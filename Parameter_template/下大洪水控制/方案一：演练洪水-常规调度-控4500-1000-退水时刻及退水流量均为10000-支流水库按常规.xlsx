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mcp-servers\Parameter_template\下大洪水控制\"/>
    </mc:Choice>
  </mc:AlternateContent>
  <xr:revisionPtr revIDLastSave="0" documentId="13_ncr:1_{E64F3DB4-273F-4169-8566-FD1CBF9341BB}" xr6:coauthVersionLast="47" xr6:coauthVersionMax="47" xr10:uidLastSave="{00000000-0000-0000-0000-000000000000}"/>
  <bookViews>
    <workbookView xWindow="-120" yWindow="-120" windowWidth="29040" windowHeight="15720" tabRatio="661" activeTab="1" xr2:uid="{00000000-000D-0000-FFFF-FFFF00000000}"/>
  </bookViews>
  <sheets>
    <sheet name="特征值" sheetId="1" r:id="rId1"/>
    <sheet name="三门峡" sheetId="2" r:id="rId2"/>
    <sheet name="小浪底" sheetId="3" r:id="rId3"/>
    <sheet name="陆浑" sheetId="4" r:id="rId4"/>
    <sheet name="故县" sheetId="5" r:id="rId5"/>
    <sheet name="河口村" sheetId="6" r:id="rId6"/>
    <sheet name="花园口以上洪水" sheetId="8" r:id="rId7"/>
    <sheet name="下游" sheetId="10" r:id="rId8"/>
    <sheet name="参数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32" i="1"/>
  <c r="C7" i="1"/>
  <c r="E7" i="1"/>
  <c r="C16" i="1"/>
  <c r="I6" i="5"/>
  <c r="I5" i="5"/>
  <c r="I2" i="4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2" i="6"/>
  <c r="E29" i="1"/>
  <c r="E30" i="1"/>
  <c r="E35" i="1"/>
  <c r="C34" i="1" l="1"/>
  <c r="E34" i="1" s="1"/>
  <c r="C33" i="1"/>
  <c r="E33" i="1" s="1"/>
  <c r="J6" i="6"/>
  <c r="J4" i="6" s="1"/>
  <c r="C24" i="1" s="1"/>
  <c r="E24" i="1" s="1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I4" i="5"/>
  <c r="I6" i="4"/>
  <c r="I4" i="4" s="1"/>
  <c r="I6" i="2"/>
  <c r="I4" i="2" s="1"/>
  <c r="C26" i="1" l="1"/>
  <c r="E26" i="1" s="1"/>
  <c r="N2" i="8" l="1"/>
  <c r="N3" i="8" l="1"/>
  <c r="L242" i="8" l="1"/>
  <c r="L243" i="8"/>
  <c r="L244" i="8"/>
  <c r="L245" i="8"/>
  <c r="L246" i="8"/>
  <c r="L247" i="8"/>
  <c r="L248" i="8"/>
  <c r="L249" i="8"/>
  <c r="L250" i="8"/>
  <c r="L251" i="8"/>
  <c r="L252" i="8"/>
  <c r="L253" i="8"/>
  <c r="L254" i="8"/>
  <c r="A368" i="8" l="1"/>
  <c r="B368" i="8"/>
  <c r="C368" i="8"/>
  <c r="D368" i="8"/>
  <c r="A369" i="8"/>
  <c r="B369" i="8"/>
  <c r="C369" i="8"/>
  <c r="D369" i="8"/>
  <c r="A370" i="8"/>
  <c r="B370" i="8"/>
  <c r="C370" i="8"/>
  <c r="D370" i="8"/>
  <c r="A371" i="8"/>
  <c r="B371" i="8"/>
  <c r="C371" i="8"/>
  <c r="D371" i="8"/>
  <c r="A372" i="8"/>
  <c r="B372" i="8"/>
  <c r="C372" i="8"/>
  <c r="D372" i="8"/>
  <c r="A373" i="8"/>
  <c r="B373" i="8"/>
  <c r="C373" i="8"/>
  <c r="D373" i="8"/>
  <c r="A374" i="8"/>
  <c r="B374" i="8"/>
  <c r="C374" i="8"/>
  <c r="D374" i="8"/>
  <c r="A359" i="8"/>
  <c r="B359" i="8"/>
  <c r="C359" i="8"/>
  <c r="D359" i="8"/>
  <c r="A360" i="8"/>
  <c r="B360" i="8"/>
  <c r="C360" i="8"/>
  <c r="D360" i="8"/>
  <c r="A361" i="8"/>
  <c r="B361" i="8"/>
  <c r="C361" i="8"/>
  <c r="D361" i="8"/>
  <c r="A362" i="8"/>
  <c r="B362" i="8"/>
  <c r="C362" i="8"/>
  <c r="D362" i="8"/>
  <c r="A363" i="8"/>
  <c r="B363" i="8"/>
  <c r="C363" i="8"/>
  <c r="D363" i="8"/>
  <c r="A364" i="8"/>
  <c r="B364" i="8"/>
  <c r="C364" i="8"/>
  <c r="D364" i="8"/>
  <c r="A365" i="8"/>
  <c r="B365" i="8"/>
  <c r="C365" i="8"/>
  <c r="D365" i="8"/>
  <c r="A366" i="8"/>
  <c r="B366" i="8"/>
  <c r="C366" i="8"/>
  <c r="D366" i="8"/>
  <c r="A367" i="8"/>
  <c r="B367" i="8"/>
  <c r="C367" i="8"/>
  <c r="D367" i="8"/>
  <c r="A242" i="8"/>
  <c r="B242" i="8"/>
  <c r="C242" i="8"/>
  <c r="D242" i="8"/>
  <c r="A243" i="8"/>
  <c r="B243" i="8"/>
  <c r="C243" i="8"/>
  <c r="D243" i="8"/>
  <c r="A244" i="8"/>
  <c r="B244" i="8"/>
  <c r="C244" i="8"/>
  <c r="D244" i="8"/>
  <c r="A245" i="8"/>
  <c r="B245" i="8"/>
  <c r="C245" i="8"/>
  <c r="D245" i="8"/>
  <c r="A246" i="8"/>
  <c r="B246" i="8"/>
  <c r="C246" i="8"/>
  <c r="D246" i="8"/>
  <c r="A247" i="8"/>
  <c r="B247" i="8"/>
  <c r="C247" i="8"/>
  <c r="D247" i="8"/>
  <c r="A248" i="8"/>
  <c r="B248" i="8"/>
  <c r="C248" i="8"/>
  <c r="D248" i="8"/>
  <c r="A249" i="8"/>
  <c r="B249" i="8"/>
  <c r="C249" i="8"/>
  <c r="D249" i="8"/>
  <c r="A250" i="8"/>
  <c r="B250" i="8"/>
  <c r="C250" i="8"/>
  <c r="D250" i="8"/>
  <c r="A251" i="8"/>
  <c r="B251" i="8"/>
  <c r="C251" i="8"/>
  <c r="D251" i="8"/>
  <c r="A252" i="8"/>
  <c r="B252" i="8"/>
  <c r="C252" i="8"/>
  <c r="D252" i="8"/>
  <c r="A253" i="8"/>
  <c r="B253" i="8"/>
  <c r="C253" i="8"/>
  <c r="D253" i="8"/>
  <c r="A254" i="8"/>
  <c r="B254" i="8"/>
  <c r="C254" i="8"/>
  <c r="D254" i="8"/>
  <c r="A255" i="8"/>
  <c r="B255" i="8"/>
  <c r="C255" i="8"/>
  <c r="D255" i="8"/>
  <c r="A256" i="8"/>
  <c r="B256" i="8"/>
  <c r="C256" i="8"/>
  <c r="D256" i="8"/>
  <c r="A257" i="8"/>
  <c r="B257" i="8"/>
  <c r="C257" i="8"/>
  <c r="D257" i="8"/>
  <c r="A258" i="8"/>
  <c r="B258" i="8"/>
  <c r="C258" i="8"/>
  <c r="D258" i="8"/>
  <c r="A259" i="8"/>
  <c r="B259" i="8"/>
  <c r="C259" i="8"/>
  <c r="D259" i="8"/>
  <c r="A260" i="8"/>
  <c r="B260" i="8"/>
  <c r="C260" i="8"/>
  <c r="D260" i="8"/>
  <c r="A261" i="8"/>
  <c r="B261" i="8"/>
  <c r="C261" i="8"/>
  <c r="D261" i="8"/>
  <c r="A262" i="8"/>
  <c r="B262" i="8"/>
  <c r="C262" i="8"/>
  <c r="D262" i="8"/>
  <c r="A263" i="8"/>
  <c r="B263" i="8"/>
  <c r="C263" i="8"/>
  <c r="D263" i="8"/>
  <c r="A264" i="8"/>
  <c r="B264" i="8"/>
  <c r="C264" i="8"/>
  <c r="D264" i="8"/>
  <c r="A265" i="8"/>
  <c r="B265" i="8"/>
  <c r="C265" i="8"/>
  <c r="D265" i="8"/>
  <c r="A266" i="8"/>
  <c r="B266" i="8"/>
  <c r="C266" i="8"/>
  <c r="D266" i="8"/>
  <c r="A267" i="8"/>
  <c r="B267" i="8"/>
  <c r="C267" i="8"/>
  <c r="D267" i="8"/>
  <c r="A268" i="8"/>
  <c r="B268" i="8"/>
  <c r="C268" i="8"/>
  <c r="D268" i="8"/>
  <c r="A269" i="8"/>
  <c r="B269" i="8"/>
  <c r="C269" i="8"/>
  <c r="D269" i="8"/>
  <c r="A270" i="8"/>
  <c r="B270" i="8"/>
  <c r="C270" i="8"/>
  <c r="D270" i="8"/>
  <c r="A271" i="8"/>
  <c r="B271" i="8"/>
  <c r="C271" i="8"/>
  <c r="D271" i="8"/>
  <c r="A272" i="8"/>
  <c r="B272" i="8"/>
  <c r="C272" i="8"/>
  <c r="D272" i="8"/>
  <c r="A273" i="8"/>
  <c r="B273" i="8"/>
  <c r="C273" i="8"/>
  <c r="D273" i="8"/>
  <c r="A274" i="8"/>
  <c r="B274" i="8"/>
  <c r="C274" i="8"/>
  <c r="D274" i="8"/>
  <c r="A275" i="8"/>
  <c r="B275" i="8"/>
  <c r="C275" i="8"/>
  <c r="D275" i="8"/>
  <c r="A276" i="8"/>
  <c r="B276" i="8"/>
  <c r="C276" i="8"/>
  <c r="D276" i="8"/>
  <c r="A277" i="8"/>
  <c r="B277" i="8"/>
  <c r="C277" i="8"/>
  <c r="D277" i="8"/>
  <c r="A278" i="8"/>
  <c r="B278" i="8"/>
  <c r="C278" i="8"/>
  <c r="D278" i="8"/>
  <c r="A279" i="8"/>
  <c r="B279" i="8"/>
  <c r="C279" i="8"/>
  <c r="D279" i="8"/>
  <c r="A280" i="8"/>
  <c r="B280" i="8"/>
  <c r="C280" i="8"/>
  <c r="D280" i="8"/>
  <c r="A281" i="8"/>
  <c r="B281" i="8"/>
  <c r="C281" i="8"/>
  <c r="D281" i="8"/>
  <c r="A282" i="8"/>
  <c r="B282" i="8"/>
  <c r="C282" i="8"/>
  <c r="D282" i="8"/>
  <c r="A283" i="8"/>
  <c r="B283" i="8"/>
  <c r="C283" i="8"/>
  <c r="D283" i="8"/>
  <c r="A284" i="8"/>
  <c r="B284" i="8"/>
  <c r="C284" i="8"/>
  <c r="D284" i="8"/>
  <c r="A285" i="8"/>
  <c r="B285" i="8"/>
  <c r="C285" i="8"/>
  <c r="D285" i="8"/>
  <c r="A286" i="8"/>
  <c r="B286" i="8"/>
  <c r="C286" i="8"/>
  <c r="D286" i="8"/>
  <c r="A287" i="8"/>
  <c r="B287" i="8"/>
  <c r="C287" i="8"/>
  <c r="D287" i="8"/>
  <c r="A288" i="8"/>
  <c r="B288" i="8"/>
  <c r="C288" i="8"/>
  <c r="D288" i="8"/>
  <c r="A289" i="8"/>
  <c r="B289" i="8"/>
  <c r="C289" i="8"/>
  <c r="D289" i="8"/>
  <c r="A290" i="8"/>
  <c r="B290" i="8"/>
  <c r="C290" i="8"/>
  <c r="D290" i="8"/>
  <c r="A291" i="8"/>
  <c r="B291" i="8"/>
  <c r="C291" i="8"/>
  <c r="D291" i="8"/>
  <c r="A292" i="8"/>
  <c r="B292" i="8"/>
  <c r="C292" i="8"/>
  <c r="D292" i="8"/>
  <c r="A293" i="8"/>
  <c r="B293" i="8"/>
  <c r="C293" i="8"/>
  <c r="D293" i="8"/>
  <c r="A294" i="8"/>
  <c r="B294" i="8"/>
  <c r="C294" i="8"/>
  <c r="D294" i="8"/>
  <c r="A295" i="8"/>
  <c r="B295" i="8"/>
  <c r="C295" i="8"/>
  <c r="D295" i="8"/>
  <c r="A296" i="8"/>
  <c r="B296" i="8"/>
  <c r="C296" i="8"/>
  <c r="D296" i="8"/>
  <c r="A297" i="8"/>
  <c r="B297" i="8"/>
  <c r="C297" i="8"/>
  <c r="D297" i="8"/>
  <c r="A298" i="8"/>
  <c r="B298" i="8"/>
  <c r="C298" i="8"/>
  <c r="D298" i="8"/>
  <c r="A299" i="8"/>
  <c r="B299" i="8"/>
  <c r="C299" i="8"/>
  <c r="D299" i="8"/>
  <c r="A300" i="8"/>
  <c r="B300" i="8"/>
  <c r="C300" i="8"/>
  <c r="D300" i="8"/>
  <c r="A301" i="8"/>
  <c r="B301" i="8"/>
  <c r="C301" i="8"/>
  <c r="D301" i="8"/>
  <c r="A302" i="8"/>
  <c r="B302" i="8"/>
  <c r="C302" i="8"/>
  <c r="D302" i="8"/>
  <c r="A303" i="8"/>
  <c r="B303" i="8"/>
  <c r="C303" i="8"/>
  <c r="D303" i="8"/>
  <c r="A304" i="8"/>
  <c r="B304" i="8"/>
  <c r="C304" i="8"/>
  <c r="D304" i="8"/>
  <c r="A305" i="8"/>
  <c r="B305" i="8"/>
  <c r="C305" i="8"/>
  <c r="D305" i="8"/>
  <c r="A306" i="8"/>
  <c r="B306" i="8"/>
  <c r="C306" i="8"/>
  <c r="D306" i="8"/>
  <c r="A307" i="8"/>
  <c r="B307" i="8"/>
  <c r="C307" i="8"/>
  <c r="D307" i="8"/>
  <c r="A308" i="8"/>
  <c r="B308" i="8"/>
  <c r="C308" i="8"/>
  <c r="D308" i="8"/>
  <c r="A309" i="8"/>
  <c r="B309" i="8"/>
  <c r="C309" i="8"/>
  <c r="D309" i="8"/>
  <c r="A310" i="8"/>
  <c r="B310" i="8"/>
  <c r="C310" i="8"/>
  <c r="D310" i="8"/>
  <c r="A311" i="8"/>
  <c r="B311" i="8"/>
  <c r="C311" i="8"/>
  <c r="D311" i="8"/>
  <c r="A312" i="8"/>
  <c r="B312" i="8"/>
  <c r="C312" i="8"/>
  <c r="D312" i="8"/>
  <c r="A313" i="8"/>
  <c r="B313" i="8"/>
  <c r="C313" i="8"/>
  <c r="D313" i="8"/>
  <c r="A314" i="8"/>
  <c r="B314" i="8"/>
  <c r="C314" i="8"/>
  <c r="D314" i="8"/>
  <c r="A315" i="8"/>
  <c r="B315" i="8"/>
  <c r="C315" i="8"/>
  <c r="D315" i="8"/>
  <c r="A316" i="8"/>
  <c r="B316" i="8"/>
  <c r="C316" i="8"/>
  <c r="D316" i="8"/>
  <c r="A317" i="8"/>
  <c r="B317" i="8"/>
  <c r="C317" i="8"/>
  <c r="D317" i="8"/>
  <c r="A318" i="8"/>
  <c r="B318" i="8"/>
  <c r="C318" i="8"/>
  <c r="D318" i="8"/>
  <c r="A319" i="8"/>
  <c r="B319" i="8"/>
  <c r="C319" i="8"/>
  <c r="D319" i="8"/>
  <c r="A320" i="8"/>
  <c r="B320" i="8"/>
  <c r="C320" i="8"/>
  <c r="D320" i="8"/>
  <c r="A321" i="8"/>
  <c r="B321" i="8"/>
  <c r="C321" i="8"/>
  <c r="D321" i="8"/>
  <c r="A322" i="8"/>
  <c r="B322" i="8"/>
  <c r="C322" i="8"/>
  <c r="D322" i="8"/>
  <c r="A323" i="8"/>
  <c r="B323" i="8"/>
  <c r="C323" i="8"/>
  <c r="D323" i="8"/>
  <c r="A324" i="8"/>
  <c r="B324" i="8"/>
  <c r="C324" i="8"/>
  <c r="D324" i="8"/>
  <c r="A325" i="8"/>
  <c r="B325" i="8"/>
  <c r="C325" i="8"/>
  <c r="D325" i="8"/>
  <c r="A326" i="8"/>
  <c r="B326" i="8"/>
  <c r="C326" i="8"/>
  <c r="D326" i="8"/>
  <c r="A327" i="8"/>
  <c r="B327" i="8"/>
  <c r="C327" i="8"/>
  <c r="D327" i="8"/>
  <c r="A328" i="8"/>
  <c r="B328" i="8"/>
  <c r="C328" i="8"/>
  <c r="D328" i="8"/>
  <c r="A329" i="8"/>
  <c r="B329" i="8"/>
  <c r="C329" i="8"/>
  <c r="D329" i="8"/>
  <c r="A330" i="8"/>
  <c r="B330" i="8"/>
  <c r="C330" i="8"/>
  <c r="D330" i="8"/>
  <c r="A331" i="8"/>
  <c r="B331" i="8"/>
  <c r="C331" i="8"/>
  <c r="D331" i="8"/>
  <c r="A332" i="8"/>
  <c r="B332" i="8"/>
  <c r="C332" i="8"/>
  <c r="D332" i="8"/>
  <c r="A333" i="8"/>
  <c r="B333" i="8"/>
  <c r="C333" i="8"/>
  <c r="D333" i="8"/>
  <c r="A334" i="8"/>
  <c r="B334" i="8"/>
  <c r="C334" i="8"/>
  <c r="D334" i="8"/>
  <c r="A335" i="8"/>
  <c r="B335" i="8"/>
  <c r="C335" i="8"/>
  <c r="D335" i="8"/>
  <c r="A336" i="8"/>
  <c r="B336" i="8"/>
  <c r="C336" i="8"/>
  <c r="D336" i="8"/>
  <c r="A337" i="8"/>
  <c r="B337" i="8"/>
  <c r="C337" i="8"/>
  <c r="D337" i="8"/>
  <c r="A338" i="8"/>
  <c r="B338" i="8"/>
  <c r="C338" i="8"/>
  <c r="D338" i="8"/>
  <c r="A339" i="8"/>
  <c r="B339" i="8"/>
  <c r="C339" i="8"/>
  <c r="D339" i="8"/>
  <c r="A340" i="8"/>
  <c r="B340" i="8"/>
  <c r="C340" i="8"/>
  <c r="D340" i="8"/>
  <c r="A341" i="8"/>
  <c r="B341" i="8"/>
  <c r="C341" i="8"/>
  <c r="D341" i="8"/>
  <c r="A342" i="8"/>
  <c r="B342" i="8"/>
  <c r="C342" i="8"/>
  <c r="D342" i="8"/>
  <c r="A343" i="8"/>
  <c r="B343" i="8"/>
  <c r="C343" i="8"/>
  <c r="D343" i="8"/>
  <c r="A344" i="8"/>
  <c r="B344" i="8"/>
  <c r="C344" i="8"/>
  <c r="D344" i="8"/>
  <c r="A345" i="8"/>
  <c r="B345" i="8"/>
  <c r="C345" i="8"/>
  <c r="D345" i="8"/>
  <c r="A346" i="8"/>
  <c r="B346" i="8"/>
  <c r="C346" i="8"/>
  <c r="D346" i="8"/>
  <c r="A347" i="8"/>
  <c r="B347" i="8"/>
  <c r="C347" i="8"/>
  <c r="D347" i="8"/>
  <c r="A348" i="8"/>
  <c r="B348" i="8"/>
  <c r="C348" i="8"/>
  <c r="D348" i="8"/>
  <c r="A349" i="8"/>
  <c r="B349" i="8"/>
  <c r="C349" i="8"/>
  <c r="D349" i="8"/>
  <c r="A350" i="8"/>
  <c r="B350" i="8"/>
  <c r="C350" i="8"/>
  <c r="D350" i="8"/>
  <c r="A351" i="8"/>
  <c r="B351" i="8"/>
  <c r="C351" i="8"/>
  <c r="D351" i="8"/>
  <c r="A352" i="8"/>
  <c r="B352" i="8"/>
  <c r="C352" i="8"/>
  <c r="D352" i="8"/>
  <c r="A353" i="8"/>
  <c r="B353" i="8"/>
  <c r="C353" i="8"/>
  <c r="D353" i="8"/>
  <c r="A354" i="8"/>
  <c r="B354" i="8"/>
  <c r="C354" i="8"/>
  <c r="D354" i="8"/>
  <c r="A355" i="8"/>
  <c r="B355" i="8"/>
  <c r="C355" i="8"/>
  <c r="D355" i="8"/>
  <c r="A356" i="8"/>
  <c r="B356" i="8"/>
  <c r="C356" i="8"/>
  <c r="D356" i="8"/>
  <c r="A357" i="8"/>
  <c r="B357" i="8"/>
  <c r="C357" i="8"/>
  <c r="D357" i="8"/>
  <c r="A358" i="8"/>
  <c r="B358" i="8"/>
  <c r="C358" i="8"/>
  <c r="D358" i="8"/>
  <c r="A3" i="8"/>
  <c r="B3" i="8"/>
  <c r="C3" i="8"/>
  <c r="D3" i="8"/>
  <c r="A4" i="8"/>
  <c r="B4" i="8"/>
  <c r="C4" i="8"/>
  <c r="D4" i="8"/>
  <c r="A5" i="8"/>
  <c r="B5" i="8"/>
  <c r="C5" i="8"/>
  <c r="D5" i="8"/>
  <c r="A6" i="8"/>
  <c r="B6" i="8"/>
  <c r="C6" i="8"/>
  <c r="D6" i="8"/>
  <c r="A7" i="8"/>
  <c r="B7" i="8"/>
  <c r="C7" i="8"/>
  <c r="D7" i="8"/>
  <c r="A8" i="8"/>
  <c r="B8" i="8"/>
  <c r="C8" i="8"/>
  <c r="D8" i="8"/>
  <c r="A9" i="8"/>
  <c r="B9" i="8"/>
  <c r="C9" i="8"/>
  <c r="D9" i="8"/>
  <c r="A10" i="8"/>
  <c r="B10" i="8"/>
  <c r="C10" i="8"/>
  <c r="D10" i="8"/>
  <c r="A11" i="8"/>
  <c r="B11" i="8"/>
  <c r="C11" i="8"/>
  <c r="D11" i="8"/>
  <c r="A12" i="8"/>
  <c r="B12" i="8"/>
  <c r="C12" i="8"/>
  <c r="D12" i="8"/>
  <c r="A13" i="8"/>
  <c r="B13" i="8"/>
  <c r="C13" i="8"/>
  <c r="D13" i="8"/>
  <c r="A14" i="8"/>
  <c r="B14" i="8"/>
  <c r="C14" i="8"/>
  <c r="D14" i="8"/>
  <c r="A15" i="8"/>
  <c r="B15" i="8"/>
  <c r="C15" i="8"/>
  <c r="D15" i="8"/>
  <c r="A16" i="8"/>
  <c r="B16" i="8"/>
  <c r="C16" i="8"/>
  <c r="D16" i="8"/>
  <c r="A17" i="8"/>
  <c r="B17" i="8"/>
  <c r="C17" i="8"/>
  <c r="D17" i="8"/>
  <c r="A18" i="8"/>
  <c r="B18" i="8"/>
  <c r="C18" i="8"/>
  <c r="D18" i="8"/>
  <c r="A19" i="8"/>
  <c r="B19" i="8"/>
  <c r="C19" i="8"/>
  <c r="D19" i="8"/>
  <c r="A20" i="8"/>
  <c r="B20" i="8"/>
  <c r="C20" i="8"/>
  <c r="D20" i="8"/>
  <c r="A21" i="8"/>
  <c r="B21" i="8"/>
  <c r="C21" i="8"/>
  <c r="D21" i="8"/>
  <c r="A22" i="8"/>
  <c r="B22" i="8"/>
  <c r="C22" i="8"/>
  <c r="D22" i="8"/>
  <c r="A23" i="8"/>
  <c r="B23" i="8"/>
  <c r="C23" i="8"/>
  <c r="D23" i="8"/>
  <c r="A24" i="8"/>
  <c r="B24" i="8"/>
  <c r="C24" i="8"/>
  <c r="D24" i="8"/>
  <c r="A25" i="8"/>
  <c r="B25" i="8"/>
  <c r="C25" i="8"/>
  <c r="D25" i="8"/>
  <c r="A26" i="8"/>
  <c r="B26" i="8"/>
  <c r="C26" i="8"/>
  <c r="D26" i="8"/>
  <c r="A27" i="8"/>
  <c r="B27" i="8"/>
  <c r="C27" i="8"/>
  <c r="D27" i="8"/>
  <c r="A28" i="8"/>
  <c r="B28" i="8"/>
  <c r="C28" i="8"/>
  <c r="D28" i="8"/>
  <c r="A29" i="8"/>
  <c r="B29" i="8"/>
  <c r="C29" i="8"/>
  <c r="D29" i="8"/>
  <c r="A30" i="8"/>
  <c r="B30" i="8"/>
  <c r="C30" i="8"/>
  <c r="D30" i="8"/>
  <c r="A31" i="8"/>
  <c r="B31" i="8"/>
  <c r="C31" i="8"/>
  <c r="D31" i="8"/>
  <c r="A32" i="8"/>
  <c r="B32" i="8"/>
  <c r="C32" i="8"/>
  <c r="D32" i="8"/>
  <c r="A33" i="8"/>
  <c r="B33" i="8"/>
  <c r="C33" i="8"/>
  <c r="D33" i="8"/>
  <c r="A34" i="8"/>
  <c r="B34" i="8"/>
  <c r="C34" i="8"/>
  <c r="D34" i="8"/>
  <c r="A35" i="8"/>
  <c r="B35" i="8"/>
  <c r="C35" i="8"/>
  <c r="D35" i="8"/>
  <c r="A36" i="8"/>
  <c r="B36" i="8"/>
  <c r="C36" i="8"/>
  <c r="D36" i="8"/>
  <c r="A37" i="8"/>
  <c r="B37" i="8"/>
  <c r="C37" i="8"/>
  <c r="D37" i="8"/>
  <c r="A38" i="8"/>
  <c r="B38" i="8"/>
  <c r="C38" i="8"/>
  <c r="D38" i="8"/>
  <c r="A39" i="8"/>
  <c r="B39" i="8"/>
  <c r="C39" i="8"/>
  <c r="D39" i="8"/>
  <c r="A40" i="8"/>
  <c r="B40" i="8"/>
  <c r="C40" i="8"/>
  <c r="D40" i="8"/>
  <c r="A41" i="8"/>
  <c r="B41" i="8"/>
  <c r="C41" i="8"/>
  <c r="D41" i="8"/>
  <c r="A42" i="8"/>
  <c r="B42" i="8"/>
  <c r="C42" i="8"/>
  <c r="D42" i="8"/>
  <c r="A43" i="8"/>
  <c r="B43" i="8"/>
  <c r="C43" i="8"/>
  <c r="D43" i="8"/>
  <c r="A44" i="8"/>
  <c r="B44" i="8"/>
  <c r="C44" i="8"/>
  <c r="D44" i="8"/>
  <c r="A45" i="8"/>
  <c r="B45" i="8"/>
  <c r="C45" i="8"/>
  <c r="D45" i="8"/>
  <c r="A46" i="8"/>
  <c r="B46" i="8"/>
  <c r="C46" i="8"/>
  <c r="D46" i="8"/>
  <c r="A47" i="8"/>
  <c r="B47" i="8"/>
  <c r="C47" i="8"/>
  <c r="D47" i="8"/>
  <c r="A48" i="8"/>
  <c r="B48" i="8"/>
  <c r="C48" i="8"/>
  <c r="D48" i="8"/>
  <c r="A49" i="8"/>
  <c r="B49" i="8"/>
  <c r="C49" i="8"/>
  <c r="D49" i="8"/>
  <c r="A50" i="8"/>
  <c r="B50" i="8"/>
  <c r="C50" i="8"/>
  <c r="D50" i="8"/>
  <c r="A51" i="8"/>
  <c r="B51" i="8"/>
  <c r="C51" i="8"/>
  <c r="D51" i="8"/>
  <c r="A52" i="8"/>
  <c r="B52" i="8"/>
  <c r="C52" i="8"/>
  <c r="D52" i="8"/>
  <c r="A53" i="8"/>
  <c r="B53" i="8"/>
  <c r="C53" i="8"/>
  <c r="D53" i="8"/>
  <c r="A54" i="8"/>
  <c r="B54" i="8"/>
  <c r="C54" i="8"/>
  <c r="D54" i="8"/>
  <c r="A55" i="8"/>
  <c r="B55" i="8"/>
  <c r="C55" i="8"/>
  <c r="D55" i="8"/>
  <c r="A56" i="8"/>
  <c r="B56" i="8"/>
  <c r="C56" i="8"/>
  <c r="D56" i="8"/>
  <c r="A57" i="8"/>
  <c r="B57" i="8"/>
  <c r="C57" i="8"/>
  <c r="D57" i="8"/>
  <c r="A58" i="8"/>
  <c r="B58" i="8"/>
  <c r="C58" i="8"/>
  <c r="D58" i="8"/>
  <c r="A59" i="8"/>
  <c r="B59" i="8"/>
  <c r="C59" i="8"/>
  <c r="D59" i="8"/>
  <c r="A60" i="8"/>
  <c r="B60" i="8"/>
  <c r="C60" i="8"/>
  <c r="D60" i="8"/>
  <c r="A61" i="8"/>
  <c r="B61" i="8"/>
  <c r="C61" i="8"/>
  <c r="D61" i="8"/>
  <c r="A62" i="8"/>
  <c r="B62" i="8"/>
  <c r="C62" i="8"/>
  <c r="D62" i="8"/>
  <c r="A63" i="8"/>
  <c r="B63" i="8"/>
  <c r="C63" i="8"/>
  <c r="D63" i="8"/>
  <c r="A64" i="8"/>
  <c r="B64" i="8"/>
  <c r="C64" i="8"/>
  <c r="D64" i="8"/>
  <c r="A65" i="8"/>
  <c r="B65" i="8"/>
  <c r="C65" i="8"/>
  <c r="D65" i="8"/>
  <c r="A66" i="8"/>
  <c r="B66" i="8"/>
  <c r="C66" i="8"/>
  <c r="D66" i="8"/>
  <c r="A67" i="8"/>
  <c r="B67" i="8"/>
  <c r="C67" i="8"/>
  <c r="D67" i="8"/>
  <c r="A68" i="8"/>
  <c r="B68" i="8"/>
  <c r="C68" i="8"/>
  <c r="D68" i="8"/>
  <c r="A69" i="8"/>
  <c r="B69" i="8"/>
  <c r="C69" i="8"/>
  <c r="D69" i="8"/>
  <c r="A70" i="8"/>
  <c r="B70" i="8"/>
  <c r="C70" i="8"/>
  <c r="D70" i="8"/>
  <c r="A71" i="8"/>
  <c r="B71" i="8"/>
  <c r="C71" i="8"/>
  <c r="D71" i="8"/>
  <c r="A72" i="8"/>
  <c r="B72" i="8"/>
  <c r="C72" i="8"/>
  <c r="D72" i="8"/>
  <c r="A73" i="8"/>
  <c r="B73" i="8"/>
  <c r="C73" i="8"/>
  <c r="D73" i="8"/>
  <c r="A74" i="8"/>
  <c r="B74" i="8"/>
  <c r="C74" i="8"/>
  <c r="D74" i="8"/>
  <c r="A75" i="8"/>
  <c r="B75" i="8"/>
  <c r="C75" i="8"/>
  <c r="D75" i="8"/>
  <c r="A76" i="8"/>
  <c r="B76" i="8"/>
  <c r="C76" i="8"/>
  <c r="D76" i="8"/>
  <c r="A77" i="8"/>
  <c r="B77" i="8"/>
  <c r="C77" i="8"/>
  <c r="D77" i="8"/>
  <c r="A78" i="8"/>
  <c r="B78" i="8"/>
  <c r="C78" i="8"/>
  <c r="D78" i="8"/>
  <c r="A79" i="8"/>
  <c r="B79" i="8"/>
  <c r="C79" i="8"/>
  <c r="D79" i="8"/>
  <c r="A80" i="8"/>
  <c r="B80" i="8"/>
  <c r="C80" i="8"/>
  <c r="D80" i="8"/>
  <c r="A81" i="8"/>
  <c r="B81" i="8"/>
  <c r="C81" i="8"/>
  <c r="D81" i="8"/>
  <c r="A82" i="8"/>
  <c r="B82" i="8"/>
  <c r="C82" i="8"/>
  <c r="D82" i="8"/>
  <c r="A83" i="8"/>
  <c r="B83" i="8"/>
  <c r="C83" i="8"/>
  <c r="D83" i="8"/>
  <c r="A84" i="8"/>
  <c r="B84" i="8"/>
  <c r="C84" i="8"/>
  <c r="D84" i="8"/>
  <c r="A85" i="8"/>
  <c r="B85" i="8"/>
  <c r="C85" i="8"/>
  <c r="D85" i="8"/>
  <c r="A86" i="8"/>
  <c r="B86" i="8"/>
  <c r="C86" i="8"/>
  <c r="D86" i="8"/>
  <c r="A87" i="8"/>
  <c r="B87" i="8"/>
  <c r="C87" i="8"/>
  <c r="D87" i="8"/>
  <c r="A88" i="8"/>
  <c r="B88" i="8"/>
  <c r="C88" i="8"/>
  <c r="D88" i="8"/>
  <c r="A89" i="8"/>
  <c r="B89" i="8"/>
  <c r="C89" i="8"/>
  <c r="D89" i="8"/>
  <c r="A90" i="8"/>
  <c r="B90" i="8"/>
  <c r="C90" i="8"/>
  <c r="D90" i="8"/>
  <c r="A91" i="8"/>
  <c r="B91" i="8"/>
  <c r="C91" i="8"/>
  <c r="D91" i="8"/>
  <c r="A92" i="8"/>
  <c r="B92" i="8"/>
  <c r="C92" i="8"/>
  <c r="D92" i="8"/>
  <c r="A93" i="8"/>
  <c r="B93" i="8"/>
  <c r="C93" i="8"/>
  <c r="D93" i="8"/>
  <c r="A94" i="8"/>
  <c r="B94" i="8"/>
  <c r="C94" i="8"/>
  <c r="D94" i="8"/>
  <c r="A95" i="8"/>
  <c r="B95" i="8"/>
  <c r="C95" i="8"/>
  <c r="D95" i="8"/>
  <c r="A96" i="8"/>
  <c r="B96" i="8"/>
  <c r="C96" i="8"/>
  <c r="D96" i="8"/>
  <c r="A97" i="8"/>
  <c r="B97" i="8"/>
  <c r="C97" i="8"/>
  <c r="D97" i="8"/>
  <c r="A98" i="8"/>
  <c r="B98" i="8"/>
  <c r="C98" i="8"/>
  <c r="D98" i="8"/>
  <c r="A99" i="8"/>
  <c r="B99" i="8"/>
  <c r="C99" i="8"/>
  <c r="D99" i="8"/>
  <c r="A100" i="8"/>
  <c r="B100" i="8"/>
  <c r="C100" i="8"/>
  <c r="D100" i="8"/>
  <c r="A101" i="8"/>
  <c r="B101" i="8"/>
  <c r="C101" i="8"/>
  <c r="D101" i="8"/>
  <c r="A102" i="8"/>
  <c r="B102" i="8"/>
  <c r="C102" i="8"/>
  <c r="D102" i="8"/>
  <c r="A103" i="8"/>
  <c r="B103" i="8"/>
  <c r="C103" i="8"/>
  <c r="D103" i="8"/>
  <c r="A104" i="8"/>
  <c r="B104" i="8"/>
  <c r="C104" i="8"/>
  <c r="D104" i="8"/>
  <c r="A105" i="8"/>
  <c r="B105" i="8"/>
  <c r="C105" i="8"/>
  <c r="D105" i="8"/>
  <c r="A106" i="8"/>
  <c r="B106" i="8"/>
  <c r="C106" i="8"/>
  <c r="D106" i="8"/>
  <c r="A107" i="8"/>
  <c r="B107" i="8"/>
  <c r="C107" i="8"/>
  <c r="D107" i="8"/>
  <c r="A108" i="8"/>
  <c r="B108" i="8"/>
  <c r="C108" i="8"/>
  <c r="D108" i="8"/>
  <c r="A109" i="8"/>
  <c r="B109" i="8"/>
  <c r="C109" i="8"/>
  <c r="D109" i="8"/>
  <c r="A110" i="8"/>
  <c r="B110" i="8"/>
  <c r="C110" i="8"/>
  <c r="D110" i="8"/>
  <c r="A111" i="8"/>
  <c r="B111" i="8"/>
  <c r="C111" i="8"/>
  <c r="D111" i="8"/>
  <c r="A112" i="8"/>
  <c r="B112" i="8"/>
  <c r="C112" i="8"/>
  <c r="D112" i="8"/>
  <c r="A113" i="8"/>
  <c r="B113" i="8"/>
  <c r="C113" i="8"/>
  <c r="D113" i="8"/>
  <c r="A114" i="8"/>
  <c r="B114" i="8"/>
  <c r="C114" i="8"/>
  <c r="D114" i="8"/>
  <c r="A115" i="8"/>
  <c r="B115" i="8"/>
  <c r="C115" i="8"/>
  <c r="D115" i="8"/>
  <c r="A116" i="8"/>
  <c r="B116" i="8"/>
  <c r="C116" i="8"/>
  <c r="D116" i="8"/>
  <c r="A117" i="8"/>
  <c r="B117" i="8"/>
  <c r="C117" i="8"/>
  <c r="D117" i="8"/>
  <c r="A118" i="8"/>
  <c r="B118" i="8"/>
  <c r="C118" i="8"/>
  <c r="D118" i="8"/>
  <c r="A119" i="8"/>
  <c r="B119" i="8"/>
  <c r="C119" i="8"/>
  <c r="D119" i="8"/>
  <c r="A120" i="8"/>
  <c r="B120" i="8"/>
  <c r="C120" i="8"/>
  <c r="D120" i="8"/>
  <c r="A121" i="8"/>
  <c r="B121" i="8"/>
  <c r="C121" i="8"/>
  <c r="D121" i="8"/>
  <c r="A122" i="8"/>
  <c r="B122" i="8"/>
  <c r="C122" i="8"/>
  <c r="D122" i="8"/>
  <c r="A123" i="8"/>
  <c r="B123" i="8"/>
  <c r="C123" i="8"/>
  <c r="D123" i="8"/>
  <c r="A124" i="8"/>
  <c r="B124" i="8"/>
  <c r="C124" i="8"/>
  <c r="D124" i="8"/>
  <c r="A125" i="8"/>
  <c r="B125" i="8"/>
  <c r="C125" i="8"/>
  <c r="D125" i="8"/>
  <c r="A126" i="8"/>
  <c r="B126" i="8"/>
  <c r="C126" i="8"/>
  <c r="D126" i="8"/>
  <c r="A127" i="8"/>
  <c r="B127" i="8"/>
  <c r="C127" i="8"/>
  <c r="D127" i="8"/>
  <c r="A128" i="8"/>
  <c r="B128" i="8"/>
  <c r="C128" i="8"/>
  <c r="D128" i="8"/>
  <c r="A129" i="8"/>
  <c r="B129" i="8"/>
  <c r="C129" i="8"/>
  <c r="D129" i="8"/>
  <c r="A130" i="8"/>
  <c r="B130" i="8"/>
  <c r="C130" i="8"/>
  <c r="D130" i="8"/>
  <c r="A131" i="8"/>
  <c r="B131" i="8"/>
  <c r="C131" i="8"/>
  <c r="D131" i="8"/>
  <c r="A132" i="8"/>
  <c r="B132" i="8"/>
  <c r="C132" i="8"/>
  <c r="D132" i="8"/>
  <c r="A133" i="8"/>
  <c r="B133" i="8"/>
  <c r="C133" i="8"/>
  <c r="D133" i="8"/>
  <c r="A134" i="8"/>
  <c r="B134" i="8"/>
  <c r="C134" i="8"/>
  <c r="D134" i="8"/>
  <c r="A135" i="8"/>
  <c r="B135" i="8"/>
  <c r="C135" i="8"/>
  <c r="D135" i="8"/>
  <c r="A136" i="8"/>
  <c r="B136" i="8"/>
  <c r="C136" i="8"/>
  <c r="D136" i="8"/>
  <c r="A137" i="8"/>
  <c r="B137" i="8"/>
  <c r="C137" i="8"/>
  <c r="D137" i="8"/>
  <c r="A138" i="8"/>
  <c r="B138" i="8"/>
  <c r="C138" i="8"/>
  <c r="D138" i="8"/>
  <c r="A139" i="8"/>
  <c r="B139" i="8"/>
  <c r="C139" i="8"/>
  <c r="D139" i="8"/>
  <c r="A140" i="8"/>
  <c r="B140" i="8"/>
  <c r="C140" i="8"/>
  <c r="D140" i="8"/>
  <c r="A141" i="8"/>
  <c r="B141" i="8"/>
  <c r="C141" i="8"/>
  <c r="D141" i="8"/>
  <c r="A142" i="8"/>
  <c r="B142" i="8"/>
  <c r="C142" i="8"/>
  <c r="D142" i="8"/>
  <c r="A143" i="8"/>
  <c r="B143" i="8"/>
  <c r="C143" i="8"/>
  <c r="D143" i="8"/>
  <c r="A144" i="8"/>
  <c r="B144" i="8"/>
  <c r="C144" i="8"/>
  <c r="D144" i="8"/>
  <c r="A145" i="8"/>
  <c r="B145" i="8"/>
  <c r="C145" i="8"/>
  <c r="D145" i="8"/>
  <c r="A146" i="8"/>
  <c r="B146" i="8"/>
  <c r="C146" i="8"/>
  <c r="D146" i="8"/>
  <c r="A147" i="8"/>
  <c r="B147" i="8"/>
  <c r="C147" i="8"/>
  <c r="D147" i="8"/>
  <c r="A148" i="8"/>
  <c r="B148" i="8"/>
  <c r="C148" i="8"/>
  <c r="D148" i="8"/>
  <c r="A149" i="8"/>
  <c r="B149" i="8"/>
  <c r="C149" i="8"/>
  <c r="D149" i="8"/>
  <c r="A150" i="8"/>
  <c r="B150" i="8"/>
  <c r="C150" i="8"/>
  <c r="D150" i="8"/>
  <c r="A151" i="8"/>
  <c r="B151" i="8"/>
  <c r="C151" i="8"/>
  <c r="D151" i="8"/>
  <c r="A152" i="8"/>
  <c r="B152" i="8"/>
  <c r="C152" i="8"/>
  <c r="D152" i="8"/>
  <c r="A153" i="8"/>
  <c r="B153" i="8"/>
  <c r="C153" i="8"/>
  <c r="D153" i="8"/>
  <c r="A154" i="8"/>
  <c r="B154" i="8"/>
  <c r="C154" i="8"/>
  <c r="D154" i="8"/>
  <c r="A155" i="8"/>
  <c r="B155" i="8"/>
  <c r="C155" i="8"/>
  <c r="D155" i="8"/>
  <c r="A156" i="8"/>
  <c r="B156" i="8"/>
  <c r="C156" i="8"/>
  <c r="D156" i="8"/>
  <c r="A157" i="8"/>
  <c r="B157" i="8"/>
  <c r="C157" i="8"/>
  <c r="D157" i="8"/>
  <c r="A158" i="8"/>
  <c r="B158" i="8"/>
  <c r="C158" i="8"/>
  <c r="D158" i="8"/>
  <c r="A159" i="8"/>
  <c r="B159" i="8"/>
  <c r="C159" i="8"/>
  <c r="D159" i="8"/>
  <c r="A160" i="8"/>
  <c r="B160" i="8"/>
  <c r="C160" i="8"/>
  <c r="D160" i="8"/>
  <c r="A161" i="8"/>
  <c r="B161" i="8"/>
  <c r="C161" i="8"/>
  <c r="D161" i="8"/>
  <c r="A162" i="8"/>
  <c r="B162" i="8"/>
  <c r="C162" i="8"/>
  <c r="D162" i="8"/>
  <c r="A163" i="8"/>
  <c r="B163" i="8"/>
  <c r="C163" i="8"/>
  <c r="D163" i="8"/>
  <c r="A164" i="8"/>
  <c r="B164" i="8"/>
  <c r="C164" i="8"/>
  <c r="D164" i="8"/>
  <c r="A165" i="8"/>
  <c r="B165" i="8"/>
  <c r="C165" i="8"/>
  <c r="D165" i="8"/>
  <c r="A166" i="8"/>
  <c r="B166" i="8"/>
  <c r="C166" i="8"/>
  <c r="D166" i="8"/>
  <c r="A167" i="8"/>
  <c r="B167" i="8"/>
  <c r="C167" i="8"/>
  <c r="D167" i="8"/>
  <c r="A168" i="8"/>
  <c r="B168" i="8"/>
  <c r="C168" i="8"/>
  <c r="D168" i="8"/>
  <c r="A169" i="8"/>
  <c r="B169" i="8"/>
  <c r="C169" i="8"/>
  <c r="D169" i="8"/>
  <c r="A170" i="8"/>
  <c r="B170" i="8"/>
  <c r="C170" i="8"/>
  <c r="D170" i="8"/>
  <c r="A171" i="8"/>
  <c r="B171" i="8"/>
  <c r="C171" i="8"/>
  <c r="D171" i="8"/>
  <c r="A172" i="8"/>
  <c r="B172" i="8"/>
  <c r="C172" i="8"/>
  <c r="D172" i="8"/>
  <c r="A173" i="8"/>
  <c r="B173" i="8"/>
  <c r="C173" i="8"/>
  <c r="D173" i="8"/>
  <c r="A174" i="8"/>
  <c r="B174" i="8"/>
  <c r="C174" i="8"/>
  <c r="D174" i="8"/>
  <c r="A175" i="8"/>
  <c r="B175" i="8"/>
  <c r="C175" i="8"/>
  <c r="D175" i="8"/>
  <c r="A176" i="8"/>
  <c r="B176" i="8"/>
  <c r="C176" i="8"/>
  <c r="D176" i="8"/>
  <c r="A177" i="8"/>
  <c r="B177" i="8"/>
  <c r="C177" i="8"/>
  <c r="D177" i="8"/>
  <c r="A178" i="8"/>
  <c r="B178" i="8"/>
  <c r="C178" i="8"/>
  <c r="D178" i="8"/>
  <c r="A179" i="8"/>
  <c r="B179" i="8"/>
  <c r="C179" i="8"/>
  <c r="D179" i="8"/>
  <c r="A180" i="8"/>
  <c r="B180" i="8"/>
  <c r="C180" i="8"/>
  <c r="D180" i="8"/>
  <c r="A181" i="8"/>
  <c r="B181" i="8"/>
  <c r="C181" i="8"/>
  <c r="D181" i="8"/>
  <c r="A182" i="8"/>
  <c r="B182" i="8"/>
  <c r="C182" i="8"/>
  <c r="D182" i="8"/>
  <c r="A183" i="8"/>
  <c r="B183" i="8"/>
  <c r="C183" i="8"/>
  <c r="D183" i="8"/>
  <c r="A184" i="8"/>
  <c r="B184" i="8"/>
  <c r="C184" i="8"/>
  <c r="D184" i="8"/>
  <c r="A185" i="8"/>
  <c r="B185" i="8"/>
  <c r="C185" i="8"/>
  <c r="D185" i="8"/>
  <c r="A186" i="8"/>
  <c r="B186" i="8"/>
  <c r="C186" i="8"/>
  <c r="D186" i="8"/>
  <c r="A187" i="8"/>
  <c r="B187" i="8"/>
  <c r="C187" i="8"/>
  <c r="D187" i="8"/>
  <c r="A188" i="8"/>
  <c r="B188" i="8"/>
  <c r="C188" i="8"/>
  <c r="D188" i="8"/>
  <c r="A189" i="8"/>
  <c r="B189" i="8"/>
  <c r="C189" i="8"/>
  <c r="D189" i="8"/>
  <c r="A190" i="8"/>
  <c r="B190" i="8"/>
  <c r="C190" i="8"/>
  <c r="D190" i="8"/>
  <c r="A191" i="8"/>
  <c r="B191" i="8"/>
  <c r="C191" i="8"/>
  <c r="D191" i="8"/>
  <c r="A192" i="8"/>
  <c r="B192" i="8"/>
  <c r="C192" i="8"/>
  <c r="D192" i="8"/>
  <c r="A193" i="8"/>
  <c r="B193" i="8"/>
  <c r="C193" i="8"/>
  <c r="D193" i="8"/>
  <c r="A194" i="8"/>
  <c r="B194" i="8"/>
  <c r="C194" i="8"/>
  <c r="D194" i="8"/>
  <c r="A195" i="8"/>
  <c r="B195" i="8"/>
  <c r="C195" i="8"/>
  <c r="D195" i="8"/>
  <c r="A196" i="8"/>
  <c r="B196" i="8"/>
  <c r="C196" i="8"/>
  <c r="D196" i="8"/>
  <c r="A197" i="8"/>
  <c r="B197" i="8"/>
  <c r="C197" i="8"/>
  <c r="D197" i="8"/>
  <c r="A198" i="8"/>
  <c r="B198" i="8"/>
  <c r="C198" i="8"/>
  <c r="D198" i="8"/>
  <c r="A199" i="8"/>
  <c r="B199" i="8"/>
  <c r="C199" i="8"/>
  <c r="D199" i="8"/>
  <c r="A200" i="8"/>
  <c r="B200" i="8"/>
  <c r="C200" i="8"/>
  <c r="D200" i="8"/>
  <c r="A201" i="8"/>
  <c r="B201" i="8"/>
  <c r="C201" i="8"/>
  <c r="D201" i="8"/>
  <c r="A202" i="8"/>
  <c r="B202" i="8"/>
  <c r="C202" i="8"/>
  <c r="D202" i="8"/>
  <c r="A203" i="8"/>
  <c r="B203" i="8"/>
  <c r="C203" i="8"/>
  <c r="D203" i="8"/>
  <c r="A204" i="8"/>
  <c r="B204" i="8"/>
  <c r="C204" i="8"/>
  <c r="D204" i="8"/>
  <c r="A205" i="8"/>
  <c r="B205" i="8"/>
  <c r="C205" i="8"/>
  <c r="D205" i="8"/>
  <c r="A206" i="8"/>
  <c r="B206" i="8"/>
  <c r="C206" i="8"/>
  <c r="D206" i="8"/>
  <c r="A207" i="8"/>
  <c r="B207" i="8"/>
  <c r="C207" i="8"/>
  <c r="D207" i="8"/>
  <c r="A208" i="8"/>
  <c r="B208" i="8"/>
  <c r="C208" i="8"/>
  <c r="D208" i="8"/>
  <c r="A209" i="8"/>
  <c r="B209" i="8"/>
  <c r="C209" i="8"/>
  <c r="D209" i="8"/>
  <c r="A210" i="8"/>
  <c r="B210" i="8"/>
  <c r="C210" i="8"/>
  <c r="D210" i="8"/>
  <c r="A211" i="8"/>
  <c r="B211" i="8"/>
  <c r="C211" i="8"/>
  <c r="D211" i="8"/>
  <c r="A212" i="8"/>
  <c r="B212" i="8"/>
  <c r="C212" i="8"/>
  <c r="D212" i="8"/>
  <c r="A213" i="8"/>
  <c r="B213" i="8"/>
  <c r="C213" i="8"/>
  <c r="D213" i="8"/>
  <c r="A214" i="8"/>
  <c r="B214" i="8"/>
  <c r="C214" i="8"/>
  <c r="D214" i="8"/>
  <c r="A215" i="8"/>
  <c r="B215" i="8"/>
  <c r="C215" i="8"/>
  <c r="D215" i="8"/>
  <c r="A216" i="8"/>
  <c r="B216" i="8"/>
  <c r="C216" i="8"/>
  <c r="D216" i="8"/>
  <c r="A217" i="8"/>
  <c r="B217" i="8"/>
  <c r="C217" i="8"/>
  <c r="D217" i="8"/>
  <c r="A218" i="8"/>
  <c r="B218" i="8"/>
  <c r="C218" i="8"/>
  <c r="D218" i="8"/>
  <c r="A219" i="8"/>
  <c r="B219" i="8"/>
  <c r="C219" i="8"/>
  <c r="D219" i="8"/>
  <c r="A220" i="8"/>
  <c r="B220" i="8"/>
  <c r="C220" i="8"/>
  <c r="D220" i="8"/>
  <c r="A221" i="8"/>
  <c r="B221" i="8"/>
  <c r="C221" i="8"/>
  <c r="D221" i="8"/>
  <c r="A222" i="8"/>
  <c r="B222" i="8"/>
  <c r="C222" i="8"/>
  <c r="D222" i="8"/>
  <c r="A223" i="8"/>
  <c r="B223" i="8"/>
  <c r="C223" i="8"/>
  <c r="D223" i="8"/>
  <c r="A224" i="8"/>
  <c r="B224" i="8"/>
  <c r="C224" i="8"/>
  <c r="D224" i="8"/>
  <c r="A225" i="8"/>
  <c r="B225" i="8"/>
  <c r="C225" i="8"/>
  <c r="D225" i="8"/>
  <c r="A226" i="8"/>
  <c r="B226" i="8"/>
  <c r="C226" i="8"/>
  <c r="D226" i="8"/>
  <c r="A227" i="8"/>
  <c r="B227" i="8"/>
  <c r="C227" i="8"/>
  <c r="D227" i="8"/>
  <c r="A228" i="8"/>
  <c r="B228" i="8"/>
  <c r="C228" i="8"/>
  <c r="D228" i="8"/>
  <c r="A229" i="8"/>
  <c r="B229" i="8"/>
  <c r="C229" i="8"/>
  <c r="D229" i="8"/>
  <c r="A230" i="8"/>
  <c r="B230" i="8"/>
  <c r="C230" i="8"/>
  <c r="D230" i="8"/>
  <c r="A231" i="8"/>
  <c r="B231" i="8"/>
  <c r="C231" i="8"/>
  <c r="D231" i="8"/>
  <c r="A232" i="8"/>
  <c r="B232" i="8"/>
  <c r="C232" i="8"/>
  <c r="D232" i="8"/>
  <c r="A233" i="8"/>
  <c r="B233" i="8"/>
  <c r="C233" i="8"/>
  <c r="D233" i="8"/>
  <c r="A234" i="8"/>
  <c r="B234" i="8"/>
  <c r="C234" i="8"/>
  <c r="D234" i="8"/>
  <c r="A235" i="8"/>
  <c r="B235" i="8"/>
  <c r="C235" i="8"/>
  <c r="D235" i="8"/>
  <c r="A236" i="8"/>
  <c r="B236" i="8"/>
  <c r="C236" i="8"/>
  <c r="D236" i="8"/>
  <c r="A237" i="8"/>
  <c r="B237" i="8"/>
  <c r="C237" i="8"/>
  <c r="D237" i="8"/>
  <c r="A238" i="8"/>
  <c r="B238" i="8"/>
  <c r="C238" i="8"/>
  <c r="D238" i="8"/>
  <c r="A239" i="8"/>
  <c r="B239" i="8"/>
  <c r="C239" i="8"/>
  <c r="D239" i="8"/>
  <c r="A240" i="8"/>
  <c r="B240" i="8"/>
  <c r="C240" i="8"/>
  <c r="D240" i="8"/>
  <c r="A241" i="8"/>
  <c r="B241" i="8"/>
  <c r="C241" i="8"/>
  <c r="D241" i="8"/>
  <c r="B2" i="8"/>
  <c r="C2" i="8"/>
  <c r="D2" i="8"/>
  <c r="A2" i="8"/>
  <c r="R1" i="8" l="1"/>
  <c r="C31" i="1" s="1"/>
  <c r="E31" i="1" s="1"/>
  <c r="L3" i="8" l="1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" i="8"/>
  <c r="M2" i="8" l="1"/>
  <c r="M3" i="8" s="1"/>
  <c r="E32" i="1" s="1"/>
  <c r="N1" i="8"/>
  <c r="C28" i="1" s="1"/>
  <c r="E28" i="1" s="1"/>
  <c r="O1" i="8"/>
  <c r="P1" i="8"/>
  <c r="Q1" i="8"/>
  <c r="M1" i="8"/>
  <c r="C27" i="1" s="1"/>
  <c r="E27" i="1" s="1"/>
  <c r="C10" i="1"/>
  <c r="E10" i="1" s="1"/>
  <c r="C8" i="1"/>
  <c r="E8" i="1" s="1"/>
  <c r="J5" i="6"/>
  <c r="C25" i="1" s="1"/>
  <c r="E25" i="1" s="1"/>
  <c r="J3" i="6"/>
  <c r="C23" i="1" s="1"/>
  <c r="E23" i="1" s="1"/>
  <c r="J2" i="6"/>
  <c r="C22" i="1" s="1"/>
  <c r="E22" i="1" s="1"/>
  <c r="C20" i="1"/>
  <c r="E20" i="1" s="1"/>
  <c r="I3" i="5"/>
  <c r="C18" i="1" s="1"/>
  <c r="E18" i="1" s="1"/>
  <c r="I2" i="5"/>
  <c r="C17" i="1" s="1"/>
  <c r="E17" i="1" s="1"/>
  <c r="I5" i="4"/>
  <c r="C15" i="1" s="1"/>
  <c r="E15" i="1" s="1"/>
  <c r="I3" i="4"/>
  <c r="C13" i="1" s="1"/>
  <c r="E13" i="1" s="1"/>
  <c r="C12" i="1"/>
  <c r="E12" i="1" s="1"/>
  <c r="I5" i="2"/>
  <c r="C5" i="1" s="1"/>
  <c r="I3" i="2"/>
  <c r="C3" i="1" s="1"/>
  <c r="I2" i="2"/>
  <c r="C2" i="1" s="1"/>
  <c r="C19" i="1" l="1"/>
  <c r="E19" i="1" s="1"/>
  <c r="C21" i="1"/>
  <c r="E21" i="1" s="1"/>
  <c r="C14" i="1"/>
  <c r="E14" i="1" s="1"/>
  <c r="E16" i="1"/>
  <c r="C9" i="1"/>
  <c r="E9" i="1" s="1"/>
  <c r="C11" i="1"/>
  <c r="E11" i="1" s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 w</author>
  </authors>
  <commentList>
    <comment ref="J74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p w:</t>
        </r>
        <r>
          <rPr>
            <sz val="9"/>
            <color indexed="81"/>
            <rFont val="宋体"/>
            <family val="3"/>
            <charset val="134"/>
          </rPr>
          <t xml:space="preserve">
修正为同时刻的天然流量1925</t>
        </r>
      </text>
    </comment>
  </commentList>
</comments>
</file>

<file path=xl/sharedStrings.xml><?xml version="1.0" encoding="utf-8"?>
<sst xmlns="http://schemas.openxmlformats.org/spreadsheetml/2006/main" count="4710" uniqueCount="75">
  <si>
    <t>名称</t>
  </si>
  <si>
    <t>项目</t>
  </si>
  <si>
    <t>三门峡水库</t>
  </si>
  <si>
    <t>最大入库(m3/s)</t>
  </si>
  <si>
    <t>最大出库(m3/s)</t>
  </si>
  <si>
    <t>滞蓄洪量(亿m3)</t>
  </si>
  <si>
    <t>最高水位(m)</t>
  </si>
  <si>
    <t>相应蓄量(亿m3)</t>
  </si>
  <si>
    <t>小浪底水库</t>
  </si>
  <si>
    <t>陆浑水库</t>
  </si>
  <si>
    <t>故县水库</t>
  </si>
  <si>
    <t>河口村水库</t>
  </si>
  <si>
    <t>龙门镇</t>
  </si>
  <si>
    <t>洪峰流量(m3/s)</t>
  </si>
  <si>
    <t>白马寺</t>
  </si>
  <si>
    <t>黑石关</t>
  </si>
  <si>
    <t>武陟</t>
  </si>
  <si>
    <t>花园口</t>
  </si>
  <si>
    <t>超万洪量(亿m3)</t>
  </si>
  <si>
    <t>孙口</t>
  </si>
  <si>
    <t>水库名称</t>
  </si>
  <si>
    <t>入库</t>
  </si>
  <si>
    <t>出库</t>
  </si>
  <si>
    <t>水位</t>
  </si>
  <si>
    <t>蓄量</t>
  </si>
  <si>
    <t>三门峡</t>
  </si>
  <si>
    <t>小浪底</t>
  </si>
  <si>
    <t>陆浑</t>
  </si>
  <si>
    <t>故县</t>
  </si>
  <si>
    <t>河口村</t>
  </si>
  <si>
    <t>时间</t>
  </si>
  <si>
    <t>山路平</t>
  </si>
  <si>
    <t>夹河滩</t>
  </si>
  <si>
    <t>高村</t>
  </si>
  <si>
    <t>艾山</t>
  </si>
  <si>
    <t>艾山</t>
    <phoneticPr fontId="3" type="noConversion"/>
  </si>
  <si>
    <t>五武间</t>
  </si>
  <si>
    <t>方案:1：
常规</t>
    <phoneticPr fontId="3" type="noConversion"/>
  </si>
  <si>
    <t>方案2：优化调度-控4500-300-退水时刻及退水流量均为4500-河口村275以下关门，陆浑故县水库按常规，最小出库流量为0</t>
  </si>
  <si>
    <t>泺口</t>
  </si>
  <si>
    <t>利津</t>
  </si>
  <si>
    <t>stcd</t>
  </si>
  <si>
    <t>stnm</t>
  </si>
  <si>
    <t>Control_Par</t>
  </si>
  <si>
    <t>Instruction</t>
  </si>
  <si>
    <t>东平湖</t>
  </si>
  <si>
    <t>0表示不分洪，1表示分洪</t>
  </si>
  <si>
    <t>北金堤</t>
  </si>
  <si>
    <t>初始水位</t>
  </si>
  <si>
    <t>0表示敞泄，1表示控泄</t>
  </si>
  <si>
    <t>防洪高水位</t>
  </si>
  <si>
    <t>蓄洪限制水位</t>
  </si>
  <si>
    <t>0表示完全自由敞泄关闭，1表示打开</t>
  </si>
  <si>
    <t>0表示预泄关闭，1表示打开</t>
  </si>
  <si>
    <t>预泄控制花园口流量</t>
  </si>
  <si>
    <t>预泄流量</t>
  </si>
  <si>
    <t>花园口12000关门的最高水位</t>
  </si>
  <si>
    <t>下大洪水，三门峡给小浪底帮忙要求的小浪底蓄洪量</t>
  </si>
  <si>
    <t>4500转控10000的判别水位</t>
  </si>
  <si>
    <t>保滩流量</t>
  </si>
  <si>
    <t>发电流量</t>
  </si>
  <si>
    <t>20年一遇以下洪水控制流量</t>
  </si>
  <si>
    <t>254.5m以下控制武陟流量</t>
  </si>
  <si>
    <t>判别库群退水时刻设置的花园口流量阈值</t>
  </si>
  <si>
    <t>下大洪水，退水过程控制的花园口流量</t>
  </si>
  <si>
    <t>上大洪水，小浪底开门敞泄的滞蓄洪量阈值</t>
  </si>
  <si>
    <t>保本流域20年一遇的水位</t>
  </si>
  <si>
    <t>保本流域21年一遇的水位</t>
  </si>
  <si>
    <t>判别支流水库关门时刻的花园口流量</t>
  </si>
  <si>
    <t>小浪底保滩库容用完后，转控花园口的流量</t>
  </si>
  <si>
    <t>上大洪水，小浪底敞泄结束，花园口流量达到的超万洪量（此时东平湖认为已装满）</t>
  </si>
  <si>
    <t>洪水类型</t>
  </si>
  <si>
    <t>0为上大洪水，1为下大洪水</t>
  </si>
  <si>
    <t>tm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</si>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</sst>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 "/>
    <numFmt numFmtId="178" formatCode="yyyy/m/d\ h:mm;@"/>
    <numFmt numFmtId="179" formatCode="0.0"/>
    <numFmt numFmtId="180" formatCode="dd\-mmm\-yy"/>
  </numFmts>
  <fonts count="14">
    <font>
      <sz val="11"/>
      <color theme="1"/>
      <name val="宋体"/>
      <family val="2"/>
      <charset val="134"/>
      <scheme val="minor"/>
    </font>
    <font>
      <b/>
      <sz val="11"/>
      <color rgb="FF606266"/>
      <name val="Microsoft YaHei"/>
      <family val="2"/>
    </font>
    <font>
      <sz val="11"/>
      <color theme="1"/>
      <name val="Microsoft YaHei"/>
      <family val="2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">
    <xf numFmtId="0" fontId="0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9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/>
    </xf>
    <xf numFmtId="0" fontId="0" fillId="4" borderId="0" xfId="0" applyFill="1">
      <alignment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5" fillId="0" borderId="0" xfId="2" applyFont="1" applyAlignment="1">
      <alignment wrapText="1"/>
    </xf>
    <xf numFmtId="0" fontId="5" fillId="0" borderId="3" xfId="2" applyFont="1" applyBorder="1" applyAlignment="1">
      <alignment horizontal="right" wrapText="1"/>
    </xf>
    <xf numFmtId="0" fontId="6" fillId="0" borderId="3" xfId="3" applyFont="1" applyBorder="1" applyAlignment="1">
      <alignment wrapText="1"/>
    </xf>
    <xf numFmtId="1" fontId="2" fillId="3" borderId="1" xfId="0" applyNumberFormat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>
      <alignment vertical="center"/>
    </xf>
    <xf numFmtId="0" fontId="5" fillId="5" borderId="2" xfId="4" applyFont="1" applyFill="1" applyBorder="1" applyAlignment="1">
      <alignment horizontal="center"/>
    </xf>
    <xf numFmtId="178" fontId="8" fillId="5" borderId="2" xfId="5" applyNumberFormat="1" applyFont="1" applyFill="1" applyBorder="1" applyAlignment="1">
      <alignment horizontal="center"/>
    </xf>
    <xf numFmtId="178" fontId="8" fillId="0" borderId="3" xfId="5" applyNumberFormat="1" applyFont="1" applyBorder="1" applyAlignment="1">
      <alignment horizontal="right" wrapText="1"/>
    </xf>
    <xf numFmtId="176" fontId="2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2" fillId="5" borderId="2" xfId="6" applyFont="1" applyFill="1" applyBorder="1" applyAlignment="1">
      <alignment horizontal="center"/>
    </xf>
    <xf numFmtId="178" fontId="12" fillId="5" borderId="2" xfId="6" applyNumberFormat="1" applyFont="1" applyFill="1" applyBorder="1" applyAlignment="1">
      <alignment horizontal="center"/>
    </xf>
    <xf numFmtId="0" fontId="12" fillId="5" borderId="2" xfId="7" applyFont="1" applyFill="1" applyBorder="1" applyAlignment="1">
      <alignment horizontal="center"/>
    </xf>
    <xf numFmtId="0" fontId="5" fillId="5" borderId="2" xfId="8" applyFont="1" applyFill="1" applyBorder="1" applyAlignment="1">
      <alignment horizontal="center"/>
    </xf>
    <xf numFmtId="0" fontId="5" fillId="5" borderId="2" xfId="9" applyFont="1" applyFill="1" applyBorder="1" applyAlignment="1">
      <alignment horizontal="center"/>
    </xf>
    <xf numFmtId="0" fontId="5" fillId="5" borderId="2" xfId="10" applyFont="1" applyFill="1" applyBorder="1" applyAlignment="1">
      <alignment horizontal="center"/>
    </xf>
    <xf numFmtId="0" fontId="5" fillId="5" borderId="2" xfId="11" applyFont="1" applyFill="1" applyBorder="1" applyAlignment="1">
      <alignment horizontal="center"/>
    </xf>
    <xf numFmtId="0" fontId="5" fillId="5" borderId="2" xfId="12" applyFont="1" applyFill="1" applyBorder="1" applyAlignment="1">
      <alignment horizontal="center"/>
    </xf>
    <xf numFmtId="178" fontId="5" fillId="5" borderId="2" xfId="12" applyNumberFormat="1" applyFont="1" applyFill="1" applyBorder="1" applyAlignment="1">
      <alignment horizontal="center"/>
    </xf>
    <xf numFmtId="176" fontId="0" fillId="0" borderId="0" xfId="0" applyNumberFormat="1">
      <alignment vertical="center"/>
    </xf>
    <xf numFmtId="179" fontId="2" fillId="3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176" fontId="5" fillId="0" borderId="0" xfId="2" applyNumberFormat="1" applyFont="1" applyAlignment="1">
      <alignment horizontal="right" wrapText="1"/>
    </xf>
    <xf numFmtId="0" fontId="5" fillId="5" borderId="0" xfId="4" applyFont="1" applyFill="1" applyAlignment="1">
      <alignment horizontal="center"/>
    </xf>
    <xf numFmtId="0" fontId="5" fillId="5" borderId="2" xfId="13" applyFont="1" applyFill="1" applyBorder="1" applyAlignment="1">
      <alignment horizontal="center"/>
    </xf>
    <xf numFmtId="0" fontId="5" fillId="0" borderId="3" xfId="13" applyFont="1" applyBorder="1" applyAlignment="1">
      <alignment horizontal="right" wrapText="1"/>
    </xf>
    <xf numFmtId="0" fontId="5" fillId="0" borderId="3" xfId="13" applyFont="1" applyBorder="1" applyAlignment="1">
      <alignment wrapText="1"/>
    </xf>
    <xf numFmtId="2" fontId="5" fillId="0" borderId="3" xfId="13" applyNumberFormat="1" applyFont="1" applyBorder="1" applyAlignment="1">
      <alignment horizontal="right" wrapText="1"/>
    </xf>
    <xf numFmtId="0" fontId="5" fillId="0" borderId="3" xfId="2" applyFont="1" applyBorder="1" applyAlignment="1">
      <alignment wrapText="1"/>
    </xf>
    <xf numFmtId="178" fontId="5" fillId="0" borderId="3" xfId="2" applyNumberFormat="1" applyFont="1" applyBorder="1" applyAlignment="1">
      <alignment horizontal="right" wrapText="1"/>
    </xf>
    <xf numFmtId="0" fontId="5" fillId="0" borderId="3" xfId="14" applyFont="1" applyBorder="1" applyAlignment="1">
      <alignment wrapText="1"/>
    </xf>
    <xf numFmtId="0" fontId="5" fillId="0" borderId="3" xfId="14" applyFont="1" applyBorder="1" applyAlignment="1">
      <alignment horizontal="right" wrapText="1"/>
    </xf>
    <xf numFmtId="0" fontId="5" fillId="0" borderId="3" xfId="15" applyFont="1" applyBorder="1" applyAlignment="1">
      <alignment horizontal="right" wrapText="1"/>
    </xf>
    <xf numFmtId="0" fontId="5" fillId="0" borderId="3" xfId="16" applyFont="1" applyBorder="1" applyAlignment="1">
      <alignment horizontal="right" wrapText="1"/>
    </xf>
    <xf numFmtId="11" fontId="5" fillId="0" borderId="3" xfId="14" applyNumberFormat="1" applyFont="1" applyBorder="1" applyAlignment="1">
      <alignment horizontal="right" wrapText="1"/>
    </xf>
    <xf numFmtId="0" fontId="5" fillId="0" borderId="3" xfId="11" applyFont="1" applyBorder="1" applyAlignment="1">
      <alignment wrapText="1"/>
    </xf>
    <xf numFmtId="180" fontId="5" fillId="0" borderId="3" xfId="11" applyNumberFormat="1" applyFont="1" applyBorder="1" applyAlignment="1">
      <alignment horizontal="right" wrapText="1"/>
    </xf>
    <xf numFmtId="0" fontId="5" fillId="0" borderId="3" xfId="11" applyFont="1" applyBorder="1" applyAlignment="1">
      <alignment horizontal="right" wrapText="1"/>
    </xf>
    <xf numFmtId="11" fontId="5" fillId="0" borderId="3" xfId="15" applyNumberFormat="1" applyFont="1" applyBorder="1" applyAlignment="1">
      <alignment horizontal="right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7">
    <cellStyle name="常规" xfId="0" builtinId="0"/>
    <cellStyle name="常规_Sheet1" xfId="2" xr:uid="{00000000-0005-0000-0000-000001000000}"/>
    <cellStyle name="常规_Sheet1_1" xfId="14" xr:uid="{00000000-0005-0000-0000-000002000000}"/>
    <cellStyle name="常规_Sheet2" xfId="15" xr:uid="{00000000-0005-0000-0000-000003000000}"/>
    <cellStyle name="常规_Sheet2_2" xfId="7" xr:uid="{00000000-0005-0000-0000-000004000000}"/>
    <cellStyle name="常规_Sheet3" xfId="16" xr:uid="{00000000-0005-0000-0000-000005000000}"/>
    <cellStyle name="常规_Sheet6 2" xfId="4" xr:uid="{00000000-0005-0000-0000-000006000000}"/>
    <cellStyle name="常规_方案二" xfId="13" xr:uid="{00000000-0005-0000-0000-000007000000}"/>
    <cellStyle name="常规_故县_1" xfId="10" xr:uid="{00000000-0005-0000-0000-000008000000}"/>
    <cellStyle name="常规_河口村" xfId="3" xr:uid="{00000000-0005-0000-0000-000009000000}"/>
    <cellStyle name="常规_河口村_1" xfId="11" xr:uid="{00000000-0005-0000-0000-00000A000000}"/>
    <cellStyle name="常规_花园口以上洪水" xfId="12" xr:uid="{00000000-0005-0000-0000-00000B000000}"/>
    <cellStyle name="常规_花园口组成_1" xfId="6" xr:uid="{00000000-0005-0000-0000-00000C000000}"/>
    <cellStyle name="常规_花园口组成_2" xfId="5" xr:uid="{00000000-0005-0000-0000-00000D000000}"/>
    <cellStyle name="常规_陆浑_1" xfId="9" xr:uid="{00000000-0005-0000-0000-00000E000000}"/>
    <cellStyle name="常规_三门峡_2" xfId="8" xr:uid="{00000000-0005-0000-0000-00000F000000}"/>
    <cellStyle name="常规_小浪底" xfId="1" xr:uid="{00000000-0005-0000-0000-000010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5.1400554097404488E-2"/>
          <c:w val="0.81099540682414684"/>
          <c:h val="0.81870771361913097"/>
        </c:manualLayout>
      </c:layout>
      <c:lineChart>
        <c:grouping val="standard"/>
        <c:varyColors val="0"/>
        <c:ser>
          <c:idx val="0"/>
          <c:order val="0"/>
          <c:tx>
            <c:strRef>
              <c:f>三门峡!$C$1</c:f>
              <c:strCache>
                <c:ptCount val="1"/>
                <c:pt idx="0">
                  <c:v>入库</c:v>
                </c:pt>
              </c:strCache>
            </c:strRef>
          </c:tx>
          <c:marker>
            <c:symbol val="none"/>
          </c:marker>
          <c:val>
            <c:numRef>
              <c:f>三门峡!$C$2:$C$746</c:f>
              <c:numCache>
                <c:formatCode>General</c:formatCode>
                <c:ptCount val="745"/>
                <c:pt idx="0">
                  <c:v>1420</c:v>
                </c:pt>
                <c:pt idx="1">
                  <c:v>1420</c:v>
                </c:pt>
                <c:pt idx="2">
                  <c:v>1420</c:v>
                </c:pt>
                <c:pt idx="3">
                  <c:v>1420</c:v>
                </c:pt>
                <c:pt idx="4">
                  <c:v>1420</c:v>
                </c:pt>
                <c:pt idx="5">
                  <c:v>1420</c:v>
                </c:pt>
                <c:pt idx="6">
                  <c:v>1420</c:v>
                </c:pt>
                <c:pt idx="7">
                  <c:v>1420</c:v>
                </c:pt>
                <c:pt idx="8">
                  <c:v>1420</c:v>
                </c:pt>
                <c:pt idx="9">
                  <c:v>1420</c:v>
                </c:pt>
                <c:pt idx="10">
                  <c:v>1420</c:v>
                </c:pt>
                <c:pt idx="11">
                  <c:v>1420</c:v>
                </c:pt>
                <c:pt idx="12">
                  <c:v>1420</c:v>
                </c:pt>
                <c:pt idx="13">
                  <c:v>1420</c:v>
                </c:pt>
                <c:pt idx="14">
                  <c:v>1420</c:v>
                </c:pt>
                <c:pt idx="15">
                  <c:v>1420</c:v>
                </c:pt>
                <c:pt idx="16">
                  <c:v>1420</c:v>
                </c:pt>
                <c:pt idx="17">
                  <c:v>1420</c:v>
                </c:pt>
                <c:pt idx="18">
                  <c:v>1420</c:v>
                </c:pt>
                <c:pt idx="19">
                  <c:v>1420</c:v>
                </c:pt>
                <c:pt idx="20">
                  <c:v>1420</c:v>
                </c:pt>
                <c:pt idx="21">
                  <c:v>1420</c:v>
                </c:pt>
                <c:pt idx="22">
                  <c:v>1420</c:v>
                </c:pt>
                <c:pt idx="23">
                  <c:v>1420</c:v>
                </c:pt>
                <c:pt idx="24">
                  <c:v>1420</c:v>
                </c:pt>
                <c:pt idx="25">
                  <c:v>1420</c:v>
                </c:pt>
                <c:pt idx="26">
                  <c:v>1420</c:v>
                </c:pt>
                <c:pt idx="27">
                  <c:v>1420</c:v>
                </c:pt>
                <c:pt idx="28">
                  <c:v>1420</c:v>
                </c:pt>
                <c:pt idx="29">
                  <c:v>1420</c:v>
                </c:pt>
                <c:pt idx="30">
                  <c:v>1420</c:v>
                </c:pt>
                <c:pt idx="31">
                  <c:v>1420</c:v>
                </c:pt>
                <c:pt idx="32">
                  <c:v>1420</c:v>
                </c:pt>
                <c:pt idx="33">
                  <c:v>1420</c:v>
                </c:pt>
                <c:pt idx="34">
                  <c:v>1420</c:v>
                </c:pt>
                <c:pt idx="35">
                  <c:v>1420</c:v>
                </c:pt>
                <c:pt idx="36">
                  <c:v>1420</c:v>
                </c:pt>
                <c:pt idx="37">
                  <c:v>1420</c:v>
                </c:pt>
                <c:pt idx="38">
                  <c:v>1420</c:v>
                </c:pt>
                <c:pt idx="39">
                  <c:v>1420</c:v>
                </c:pt>
                <c:pt idx="40">
                  <c:v>1420</c:v>
                </c:pt>
                <c:pt idx="41">
                  <c:v>1420</c:v>
                </c:pt>
                <c:pt idx="42">
                  <c:v>1420</c:v>
                </c:pt>
                <c:pt idx="43">
                  <c:v>1420</c:v>
                </c:pt>
                <c:pt idx="44">
                  <c:v>1420</c:v>
                </c:pt>
                <c:pt idx="45">
                  <c:v>1420</c:v>
                </c:pt>
                <c:pt idx="46">
                  <c:v>1420</c:v>
                </c:pt>
                <c:pt idx="47">
                  <c:v>1420</c:v>
                </c:pt>
                <c:pt idx="48">
                  <c:v>1420</c:v>
                </c:pt>
                <c:pt idx="49">
                  <c:v>1420</c:v>
                </c:pt>
                <c:pt idx="50">
                  <c:v>1420</c:v>
                </c:pt>
                <c:pt idx="51">
                  <c:v>1420</c:v>
                </c:pt>
                <c:pt idx="52">
                  <c:v>1420</c:v>
                </c:pt>
                <c:pt idx="53">
                  <c:v>1420</c:v>
                </c:pt>
                <c:pt idx="54">
                  <c:v>1420</c:v>
                </c:pt>
                <c:pt idx="55">
                  <c:v>1420</c:v>
                </c:pt>
                <c:pt idx="56">
                  <c:v>1420</c:v>
                </c:pt>
                <c:pt idx="57">
                  <c:v>1420</c:v>
                </c:pt>
                <c:pt idx="58">
                  <c:v>1420</c:v>
                </c:pt>
                <c:pt idx="59">
                  <c:v>1420</c:v>
                </c:pt>
                <c:pt idx="60">
                  <c:v>1420</c:v>
                </c:pt>
                <c:pt idx="61">
                  <c:v>1420</c:v>
                </c:pt>
                <c:pt idx="62">
                  <c:v>1420</c:v>
                </c:pt>
                <c:pt idx="63">
                  <c:v>1420</c:v>
                </c:pt>
                <c:pt idx="64">
                  <c:v>1420</c:v>
                </c:pt>
                <c:pt idx="65">
                  <c:v>1420</c:v>
                </c:pt>
                <c:pt idx="66">
                  <c:v>1420</c:v>
                </c:pt>
                <c:pt idx="67">
                  <c:v>1420</c:v>
                </c:pt>
                <c:pt idx="68">
                  <c:v>1420</c:v>
                </c:pt>
                <c:pt idx="69">
                  <c:v>1420</c:v>
                </c:pt>
                <c:pt idx="70">
                  <c:v>1420</c:v>
                </c:pt>
                <c:pt idx="71">
                  <c:v>1420</c:v>
                </c:pt>
                <c:pt idx="72">
                  <c:v>1420</c:v>
                </c:pt>
                <c:pt idx="73">
                  <c:v>1420</c:v>
                </c:pt>
                <c:pt idx="74">
                  <c:v>1420</c:v>
                </c:pt>
                <c:pt idx="75">
                  <c:v>1420</c:v>
                </c:pt>
                <c:pt idx="76">
                  <c:v>1420</c:v>
                </c:pt>
                <c:pt idx="77">
                  <c:v>1420</c:v>
                </c:pt>
                <c:pt idx="78">
                  <c:v>1420</c:v>
                </c:pt>
                <c:pt idx="79">
                  <c:v>1420</c:v>
                </c:pt>
                <c:pt idx="80">
                  <c:v>1420</c:v>
                </c:pt>
                <c:pt idx="81">
                  <c:v>1420</c:v>
                </c:pt>
                <c:pt idx="82">
                  <c:v>1420</c:v>
                </c:pt>
                <c:pt idx="83">
                  <c:v>1420</c:v>
                </c:pt>
                <c:pt idx="84">
                  <c:v>1420</c:v>
                </c:pt>
                <c:pt idx="85">
                  <c:v>1420</c:v>
                </c:pt>
                <c:pt idx="86">
                  <c:v>1420</c:v>
                </c:pt>
                <c:pt idx="87">
                  <c:v>1420</c:v>
                </c:pt>
                <c:pt idx="88">
                  <c:v>1420</c:v>
                </c:pt>
                <c:pt idx="89">
                  <c:v>1420</c:v>
                </c:pt>
                <c:pt idx="90">
                  <c:v>1420</c:v>
                </c:pt>
                <c:pt idx="91">
                  <c:v>1420</c:v>
                </c:pt>
                <c:pt idx="92">
                  <c:v>1420</c:v>
                </c:pt>
                <c:pt idx="93">
                  <c:v>1420</c:v>
                </c:pt>
                <c:pt idx="94">
                  <c:v>1420</c:v>
                </c:pt>
                <c:pt idx="95">
                  <c:v>1420</c:v>
                </c:pt>
                <c:pt idx="96">
                  <c:v>1420</c:v>
                </c:pt>
                <c:pt idx="97">
                  <c:v>1420</c:v>
                </c:pt>
                <c:pt idx="98">
                  <c:v>1420</c:v>
                </c:pt>
                <c:pt idx="99">
                  <c:v>1420</c:v>
                </c:pt>
                <c:pt idx="100">
                  <c:v>1420</c:v>
                </c:pt>
                <c:pt idx="101">
                  <c:v>1420</c:v>
                </c:pt>
                <c:pt idx="102">
                  <c:v>1420</c:v>
                </c:pt>
                <c:pt idx="103">
                  <c:v>1420</c:v>
                </c:pt>
                <c:pt idx="104">
                  <c:v>1420</c:v>
                </c:pt>
                <c:pt idx="105">
                  <c:v>1420</c:v>
                </c:pt>
                <c:pt idx="106">
                  <c:v>1420</c:v>
                </c:pt>
                <c:pt idx="107">
                  <c:v>1420</c:v>
                </c:pt>
                <c:pt idx="108">
                  <c:v>1420</c:v>
                </c:pt>
                <c:pt idx="109">
                  <c:v>1420</c:v>
                </c:pt>
                <c:pt idx="110">
                  <c:v>1420</c:v>
                </c:pt>
                <c:pt idx="111">
                  <c:v>1420</c:v>
                </c:pt>
                <c:pt idx="112">
                  <c:v>1420</c:v>
                </c:pt>
                <c:pt idx="113">
                  <c:v>1420</c:v>
                </c:pt>
                <c:pt idx="114">
                  <c:v>1420</c:v>
                </c:pt>
                <c:pt idx="115">
                  <c:v>1420</c:v>
                </c:pt>
                <c:pt idx="116">
                  <c:v>1420</c:v>
                </c:pt>
                <c:pt idx="117">
                  <c:v>1420</c:v>
                </c:pt>
                <c:pt idx="118">
                  <c:v>1420</c:v>
                </c:pt>
                <c:pt idx="119">
                  <c:v>1420</c:v>
                </c:pt>
                <c:pt idx="120">
                  <c:v>1420</c:v>
                </c:pt>
                <c:pt idx="121">
                  <c:v>1420</c:v>
                </c:pt>
                <c:pt idx="122">
                  <c:v>1420</c:v>
                </c:pt>
                <c:pt idx="123">
                  <c:v>1420</c:v>
                </c:pt>
                <c:pt idx="124">
                  <c:v>1420</c:v>
                </c:pt>
                <c:pt idx="125">
                  <c:v>1420</c:v>
                </c:pt>
                <c:pt idx="126">
                  <c:v>1420</c:v>
                </c:pt>
                <c:pt idx="127">
                  <c:v>1420</c:v>
                </c:pt>
                <c:pt idx="128">
                  <c:v>1420</c:v>
                </c:pt>
                <c:pt idx="129">
                  <c:v>1420</c:v>
                </c:pt>
                <c:pt idx="130">
                  <c:v>1420</c:v>
                </c:pt>
                <c:pt idx="131">
                  <c:v>1420</c:v>
                </c:pt>
                <c:pt idx="132">
                  <c:v>1420</c:v>
                </c:pt>
                <c:pt idx="133">
                  <c:v>1420</c:v>
                </c:pt>
                <c:pt idx="134">
                  <c:v>1420</c:v>
                </c:pt>
                <c:pt idx="135">
                  <c:v>1420</c:v>
                </c:pt>
                <c:pt idx="136">
                  <c:v>1420</c:v>
                </c:pt>
                <c:pt idx="137">
                  <c:v>1420</c:v>
                </c:pt>
                <c:pt idx="138">
                  <c:v>1420</c:v>
                </c:pt>
                <c:pt idx="139">
                  <c:v>1420</c:v>
                </c:pt>
                <c:pt idx="140">
                  <c:v>1420</c:v>
                </c:pt>
                <c:pt idx="141">
                  <c:v>1420</c:v>
                </c:pt>
                <c:pt idx="142">
                  <c:v>1420</c:v>
                </c:pt>
                <c:pt idx="143">
                  <c:v>1420</c:v>
                </c:pt>
                <c:pt idx="144">
                  <c:v>1420</c:v>
                </c:pt>
                <c:pt idx="145">
                  <c:v>1420</c:v>
                </c:pt>
                <c:pt idx="146">
                  <c:v>1420</c:v>
                </c:pt>
                <c:pt idx="147">
                  <c:v>1420</c:v>
                </c:pt>
                <c:pt idx="148">
                  <c:v>1420</c:v>
                </c:pt>
                <c:pt idx="149">
                  <c:v>1420</c:v>
                </c:pt>
                <c:pt idx="150">
                  <c:v>1420</c:v>
                </c:pt>
                <c:pt idx="151">
                  <c:v>1420</c:v>
                </c:pt>
                <c:pt idx="152">
                  <c:v>1420</c:v>
                </c:pt>
                <c:pt idx="153">
                  <c:v>1420</c:v>
                </c:pt>
                <c:pt idx="154">
                  <c:v>1420</c:v>
                </c:pt>
                <c:pt idx="155">
                  <c:v>1420</c:v>
                </c:pt>
                <c:pt idx="156">
                  <c:v>1420</c:v>
                </c:pt>
                <c:pt idx="157">
                  <c:v>1420</c:v>
                </c:pt>
                <c:pt idx="158">
                  <c:v>1420</c:v>
                </c:pt>
                <c:pt idx="159">
                  <c:v>1420</c:v>
                </c:pt>
                <c:pt idx="160">
                  <c:v>1420</c:v>
                </c:pt>
                <c:pt idx="161">
                  <c:v>1420</c:v>
                </c:pt>
                <c:pt idx="162">
                  <c:v>1420</c:v>
                </c:pt>
                <c:pt idx="163">
                  <c:v>1420</c:v>
                </c:pt>
                <c:pt idx="164">
                  <c:v>1420</c:v>
                </c:pt>
                <c:pt idx="165">
                  <c:v>1420</c:v>
                </c:pt>
                <c:pt idx="166">
                  <c:v>1420</c:v>
                </c:pt>
                <c:pt idx="167">
                  <c:v>1420</c:v>
                </c:pt>
                <c:pt idx="168">
                  <c:v>1420</c:v>
                </c:pt>
                <c:pt idx="169">
                  <c:v>1420</c:v>
                </c:pt>
                <c:pt idx="170">
                  <c:v>1420</c:v>
                </c:pt>
                <c:pt idx="171">
                  <c:v>1420</c:v>
                </c:pt>
                <c:pt idx="172">
                  <c:v>1420</c:v>
                </c:pt>
                <c:pt idx="173">
                  <c:v>1420</c:v>
                </c:pt>
                <c:pt idx="174">
                  <c:v>1420</c:v>
                </c:pt>
                <c:pt idx="175">
                  <c:v>1420</c:v>
                </c:pt>
                <c:pt idx="176">
                  <c:v>1420</c:v>
                </c:pt>
                <c:pt idx="177">
                  <c:v>1420</c:v>
                </c:pt>
                <c:pt idx="178">
                  <c:v>1420</c:v>
                </c:pt>
                <c:pt idx="179">
                  <c:v>1420</c:v>
                </c:pt>
                <c:pt idx="180">
                  <c:v>1420</c:v>
                </c:pt>
                <c:pt idx="181">
                  <c:v>1420</c:v>
                </c:pt>
                <c:pt idx="182">
                  <c:v>1420</c:v>
                </c:pt>
                <c:pt idx="183">
                  <c:v>1420</c:v>
                </c:pt>
                <c:pt idx="184">
                  <c:v>1420</c:v>
                </c:pt>
                <c:pt idx="185">
                  <c:v>1420</c:v>
                </c:pt>
                <c:pt idx="186">
                  <c:v>1420</c:v>
                </c:pt>
                <c:pt idx="187">
                  <c:v>1420</c:v>
                </c:pt>
                <c:pt idx="188">
                  <c:v>1420</c:v>
                </c:pt>
                <c:pt idx="189">
                  <c:v>1420</c:v>
                </c:pt>
                <c:pt idx="190">
                  <c:v>1420</c:v>
                </c:pt>
                <c:pt idx="191">
                  <c:v>1420</c:v>
                </c:pt>
                <c:pt idx="192">
                  <c:v>1420</c:v>
                </c:pt>
                <c:pt idx="193">
                  <c:v>1420</c:v>
                </c:pt>
                <c:pt idx="194">
                  <c:v>1420</c:v>
                </c:pt>
                <c:pt idx="195">
                  <c:v>1420</c:v>
                </c:pt>
                <c:pt idx="196">
                  <c:v>1420</c:v>
                </c:pt>
                <c:pt idx="197">
                  <c:v>1420</c:v>
                </c:pt>
                <c:pt idx="198">
                  <c:v>1420</c:v>
                </c:pt>
                <c:pt idx="199">
                  <c:v>1420</c:v>
                </c:pt>
                <c:pt idx="200">
                  <c:v>1420</c:v>
                </c:pt>
                <c:pt idx="201">
                  <c:v>1420</c:v>
                </c:pt>
                <c:pt idx="202">
                  <c:v>1420</c:v>
                </c:pt>
                <c:pt idx="203">
                  <c:v>1420</c:v>
                </c:pt>
                <c:pt idx="204">
                  <c:v>1420</c:v>
                </c:pt>
                <c:pt idx="205">
                  <c:v>1420</c:v>
                </c:pt>
                <c:pt idx="206">
                  <c:v>1420</c:v>
                </c:pt>
                <c:pt idx="207">
                  <c:v>1420</c:v>
                </c:pt>
                <c:pt idx="208">
                  <c:v>1420</c:v>
                </c:pt>
                <c:pt idx="209">
                  <c:v>1420</c:v>
                </c:pt>
                <c:pt idx="210">
                  <c:v>1420</c:v>
                </c:pt>
                <c:pt idx="211">
                  <c:v>1420</c:v>
                </c:pt>
                <c:pt idx="212">
                  <c:v>1420</c:v>
                </c:pt>
                <c:pt idx="213">
                  <c:v>1420</c:v>
                </c:pt>
                <c:pt idx="214">
                  <c:v>1420</c:v>
                </c:pt>
                <c:pt idx="215">
                  <c:v>1420</c:v>
                </c:pt>
                <c:pt idx="216">
                  <c:v>1420</c:v>
                </c:pt>
                <c:pt idx="217">
                  <c:v>1420</c:v>
                </c:pt>
                <c:pt idx="218">
                  <c:v>1420</c:v>
                </c:pt>
                <c:pt idx="219">
                  <c:v>1420</c:v>
                </c:pt>
                <c:pt idx="220">
                  <c:v>1420</c:v>
                </c:pt>
                <c:pt idx="221">
                  <c:v>1420</c:v>
                </c:pt>
                <c:pt idx="222">
                  <c:v>1420</c:v>
                </c:pt>
                <c:pt idx="223">
                  <c:v>1420</c:v>
                </c:pt>
                <c:pt idx="224">
                  <c:v>1420</c:v>
                </c:pt>
                <c:pt idx="225">
                  <c:v>1420</c:v>
                </c:pt>
                <c:pt idx="226">
                  <c:v>1420</c:v>
                </c:pt>
                <c:pt idx="227">
                  <c:v>1420</c:v>
                </c:pt>
                <c:pt idx="228">
                  <c:v>1420</c:v>
                </c:pt>
                <c:pt idx="229">
                  <c:v>1420</c:v>
                </c:pt>
                <c:pt idx="230">
                  <c:v>1420</c:v>
                </c:pt>
                <c:pt idx="231">
                  <c:v>1420</c:v>
                </c:pt>
                <c:pt idx="232">
                  <c:v>1420</c:v>
                </c:pt>
                <c:pt idx="233">
                  <c:v>1420</c:v>
                </c:pt>
                <c:pt idx="234">
                  <c:v>1420</c:v>
                </c:pt>
                <c:pt idx="235">
                  <c:v>1420</c:v>
                </c:pt>
                <c:pt idx="236">
                  <c:v>1420</c:v>
                </c:pt>
                <c:pt idx="237">
                  <c:v>1420</c:v>
                </c:pt>
                <c:pt idx="238">
                  <c:v>1420</c:v>
                </c:pt>
                <c:pt idx="239">
                  <c:v>1420</c:v>
                </c:pt>
                <c:pt idx="240">
                  <c:v>1420</c:v>
                </c:pt>
                <c:pt idx="241">
                  <c:v>1420</c:v>
                </c:pt>
                <c:pt idx="242">
                  <c:v>1420</c:v>
                </c:pt>
                <c:pt idx="243">
                  <c:v>1420</c:v>
                </c:pt>
                <c:pt idx="244">
                  <c:v>1420</c:v>
                </c:pt>
                <c:pt idx="245">
                  <c:v>1420</c:v>
                </c:pt>
                <c:pt idx="246">
                  <c:v>1420</c:v>
                </c:pt>
                <c:pt idx="247">
                  <c:v>1420</c:v>
                </c:pt>
                <c:pt idx="248">
                  <c:v>1420</c:v>
                </c:pt>
                <c:pt idx="249">
                  <c:v>1420</c:v>
                </c:pt>
                <c:pt idx="250">
                  <c:v>1420</c:v>
                </c:pt>
                <c:pt idx="251">
                  <c:v>1420</c:v>
                </c:pt>
                <c:pt idx="252">
                  <c:v>1420</c:v>
                </c:pt>
                <c:pt idx="253">
                  <c:v>1420</c:v>
                </c:pt>
                <c:pt idx="254">
                  <c:v>1420</c:v>
                </c:pt>
                <c:pt idx="255">
                  <c:v>1420</c:v>
                </c:pt>
                <c:pt idx="256">
                  <c:v>1420</c:v>
                </c:pt>
                <c:pt idx="257">
                  <c:v>1420</c:v>
                </c:pt>
                <c:pt idx="258">
                  <c:v>1420</c:v>
                </c:pt>
                <c:pt idx="259">
                  <c:v>1420</c:v>
                </c:pt>
                <c:pt idx="260">
                  <c:v>1420</c:v>
                </c:pt>
                <c:pt idx="261">
                  <c:v>1420</c:v>
                </c:pt>
                <c:pt idx="262">
                  <c:v>1420</c:v>
                </c:pt>
                <c:pt idx="263">
                  <c:v>1420</c:v>
                </c:pt>
                <c:pt idx="264">
                  <c:v>1420</c:v>
                </c:pt>
                <c:pt idx="265">
                  <c:v>1420</c:v>
                </c:pt>
                <c:pt idx="266">
                  <c:v>1420</c:v>
                </c:pt>
                <c:pt idx="267">
                  <c:v>1420</c:v>
                </c:pt>
                <c:pt idx="268">
                  <c:v>1420</c:v>
                </c:pt>
                <c:pt idx="269">
                  <c:v>1420</c:v>
                </c:pt>
                <c:pt idx="270">
                  <c:v>1420</c:v>
                </c:pt>
                <c:pt idx="271">
                  <c:v>1420</c:v>
                </c:pt>
                <c:pt idx="272">
                  <c:v>1420</c:v>
                </c:pt>
                <c:pt idx="273">
                  <c:v>1420</c:v>
                </c:pt>
                <c:pt idx="274">
                  <c:v>1420</c:v>
                </c:pt>
                <c:pt idx="275">
                  <c:v>1420</c:v>
                </c:pt>
                <c:pt idx="276">
                  <c:v>1420</c:v>
                </c:pt>
                <c:pt idx="277">
                  <c:v>1420</c:v>
                </c:pt>
                <c:pt idx="278">
                  <c:v>1420</c:v>
                </c:pt>
                <c:pt idx="279">
                  <c:v>1420</c:v>
                </c:pt>
                <c:pt idx="280">
                  <c:v>1420</c:v>
                </c:pt>
                <c:pt idx="281">
                  <c:v>1420</c:v>
                </c:pt>
                <c:pt idx="282">
                  <c:v>1420</c:v>
                </c:pt>
                <c:pt idx="283">
                  <c:v>1420</c:v>
                </c:pt>
                <c:pt idx="284">
                  <c:v>1420</c:v>
                </c:pt>
                <c:pt idx="285">
                  <c:v>1420</c:v>
                </c:pt>
                <c:pt idx="286">
                  <c:v>1420</c:v>
                </c:pt>
                <c:pt idx="287">
                  <c:v>1420</c:v>
                </c:pt>
                <c:pt idx="288">
                  <c:v>1420</c:v>
                </c:pt>
                <c:pt idx="289">
                  <c:v>1420</c:v>
                </c:pt>
                <c:pt idx="290">
                  <c:v>1420</c:v>
                </c:pt>
                <c:pt idx="291">
                  <c:v>1420</c:v>
                </c:pt>
                <c:pt idx="292">
                  <c:v>1420</c:v>
                </c:pt>
                <c:pt idx="293">
                  <c:v>1420</c:v>
                </c:pt>
                <c:pt idx="294">
                  <c:v>1420</c:v>
                </c:pt>
                <c:pt idx="295">
                  <c:v>1420</c:v>
                </c:pt>
                <c:pt idx="296">
                  <c:v>1420</c:v>
                </c:pt>
                <c:pt idx="297">
                  <c:v>1420</c:v>
                </c:pt>
                <c:pt idx="298">
                  <c:v>1420</c:v>
                </c:pt>
                <c:pt idx="299">
                  <c:v>1420</c:v>
                </c:pt>
                <c:pt idx="300">
                  <c:v>1420</c:v>
                </c:pt>
                <c:pt idx="301">
                  <c:v>1420</c:v>
                </c:pt>
                <c:pt idx="302">
                  <c:v>1420</c:v>
                </c:pt>
                <c:pt idx="303">
                  <c:v>1420</c:v>
                </c:pt>
                <c:pt idx="304">
                  <c:v>1420</c:v>
                </c:pt>
                <c:pt idx="305">
                  <c:v>1420</c:v>
                </c:pt>
                <c:pt idx="306">
                  <c:v>1420</c:v>
                </c:pt>
                <c:pt idx="307">
                  <c:v>1420</c:v>
                </c:pt>
                <c:pt idx="308">
                  <c:v>1420</c:v>
                </c:pt>
                <c:pt idx="309">
                  <c:v>1420</c:v>
                </c:pt>
                <c:pt idx="310">
                  <c:v>1420</c:v>
                </c:pt>
                <c:pt idx="311">
                  <c:v>1420</c:v>
                </c:pt>
                <c:pt idx="312">
                  <c:v>1420</c:v>
                </c:pt>
                <c:pt idx="313">
                  <c:v>1420</c:v>
                </c:pt>
                <c:pt idx="314">
                  <c:v>1420</c:v>
                </c:pt>
                <c:pt idx="315">
                  <c:v>1420</c:v>
                </c:pt>
                <c:pt idx="316">
                  <c:v>1420</c:v>
                </c:pt>
                <c:pt idx="317">
                  <c:v>1420</c:v>
                </c:pt>
                <c:pt idx="318">
                  <c:v>1420</c:v>
                </c:pt>
                <c:pt idx="319">
                  <c:v>1420</c:v>
                </c:pt>
                <c:pt idx="320">
                  <c:v>1420</c:v>
                </c:pt>
                <c:pt idx="321">
                  <c:v>1420</c:v>
                </c:pt>
                <c:pt idx="322">
                  <c:v>1420</c:v>
                </c:pt>
                <c:pt idx="323">
                  <c:v>1420</c:v>
                </c:pt>
                <c:pt idx="324">
                  <c:v>1420</c:v>
                </c:pt>
                <c:pt idx="325">
                  <c:v>1420</c:v>
                </c:pt>
                <c:pt idx="326">
                  <c:v>1420</c:v>
                </c:pt>
                <c:pt idx="327">
                  <c:v>1420</c:v>
                </c:pt>
                <c:pt idx="328">
                  <c:v>1420</c:v>
                </c:pt>
                <c:pt idx="329">
                  <c:v>1420</c:v>
                </c:pt>
                <c:pt idx="330">
                  <c:v>1420</c:v>
                </c:pt>
                <c:pt idx="331">
                  <c:v>1420</c:v>
                </c:pt>
                <c:pt idx="332">
                  <c:v>1420</c:v>
                </c:pt>
                <c:pt idx="333">
                  <c:v>1420</c:v>
                </c:pt>
                <c:pt idx="334">
                  <c:v>1420</c:v>
                </c:pt>
                <c:pt idx="335">
                  <c:v>1420</c:v>
                </c:pt>
                <c:pt idx="336">
                  <c:v>1420</c:v>
                </c:pt>
                <c:pt idx="337">
                  <c:v>1420</c:v>
                </c:pt>
                <c:pt idx="338">
                  <c:v>1420</c:v>
                </c:pt>
                <c:pt idx="339">
                  <c:v>1420</c:v>
                </c:pt>
                <c:pt idx="340">
                  <c:v>1420</c:v>
                </c:pt>
                <c:pt idx="341">
                  <c:v>1420</c:v>
                </c:pt>
                <c:pt idx="342">
                  <c:v>1420</c:v>
                </c:pt>
                <c:pt idx="343">
                  <c:v>1420</c:v>
                </c:pt>
                <c:pt idx="344">
                  <c:v>1420</c:v>
                </c:pt>
                <c:pt idx="345">
                  <c:v>1420</c:v>
                </c:pt>
                <c:pt idx="346">
                  <c:v>1420</c:v>
                </c:pt>
                <c:pt idx="347">
                  <c:v>1420</c:v>
                </c:pt>
                <c:pt idx="348">
                  <c:v>1420</c:v>
                </c:pt>
                <c:pt idx="349">
                  <c:v>1420</c:v>
                </c:pt>
                <c:pt idx="350">
                  <c:v>1420</c:v>
                </c:pt>
                <c:pt idx="351">
                  <c:v>1420</c:v>
                </c:pt>
                <c:pt idx="352">
                  <c:v>1420</c:v>
                </c:pt>
                <c:pt idx="353">
                  <c:v>1420</c:v>
                </c:pt>
                <c:pt idx="354">
                  <c:v>1420</c:v>
                </c:pt>
                <c:pt idx="355">
                  <c:v>1420</c:v>
                </c:pt>
                <c:pt idx="356">
                  <c:v>1420</c:v>
                </c:pt>
                <c:pt idx="357">
                  <c:v>1420</c:v>
                </c:pt>
                <c:pt idx="358">
                  <c:v>1420</c:v>
                </c:pt>
                <c:pt idx="359">
                  <c:v>1420</c:v>
                </c:pt>
                <c:pt idx="360">
                  <c:v>1420</c:v>
                </c:pt>
                <c:pt idx="361">
                  <c:v>1420</c:v>
                </c:pt>
                <c:pt idx="362">
                  <c:v>1420</c:v>
                </c:pt>
                <c:pt idx="363">
                  <c:v>1420</c:v>
                </c:pt>
                <c:pt idx="364">
                  <c:v>1420</c:v>
                </c:pt>
                <c:pt idx="365">
                  <c:v>1420</c:v>
                </c:pt>
                <c:pt idx="366">
                  <c:v>1420</c:v>
                </c:pt>
                <c:pt idx="367">
                  <c:v>1420</c:v>
                </c:pt>
                <c:pt idx="368">
                  <c:v>1420</c:v>
                </c:pt>
                <c:pt idx="369">
                  <c:v>1420</c:v>
                </c:pt>
                <c:pt idx="370">
                  <c:v>1420</c:v>
                </c:pt>
                <c:pt idx="371">
                  <c:v>1420</c:v>
                </c:pt>
                <c:pt idx="372">
                  <c:v>1420</c:v>
                </c:pt>
                <c:pt idx="373">
                  <c:v>1420</c:v>
                </c:pt>
                <c:pt idx="374">
                  <c:v>1420</c:v>
                </c:pt>
                <c:pt idx="375">
                  <c:v>1420</c:v>
                </c:pt>
                <c:pt idx="376">
                  <c:v>1420</c:v>
                </c:pt>
                <c:pt idx="377">
                  <c:v>1420</c:v>
                </c:pt>
                <c:pt idx="378">
                  <c:v>1420</c:v>
                </c:pt>
                <c:pt idx="379">
                  <c:v>1420</c:v>
                </c:pt>
                <c:pt idx="380">
                  <c:v>1420</c:v>
                </c:pt>
                <c:pt idx="381">
                  <c:v>1420</c:v>
                </c:pt>
                <c:pt idx="382">
                  <c:v>1420</c:v>
                </c:pt>
                <c:pt idx="383">
                  <c:v>1420</c:v>
                </c:pt>
                <c:pt idx="384">
                  <c:v>1420</c:v>
                </c:pt>
                <c:pt idx="385">
                  <c:v>1420</c:v>
                </c:pt>
                <c:pt idx="386">
                  <c:v>1420</c:v>
                </c:pt>
                <c:pt idx="387">
                  <c:v>1420</c:v>
                </c:pt>
                <c:pt idx="388">
                  <c:v>1420</c:v>
                </c:pt>
                <c:pt idx="389">
                  <c:v>1420</c:v>
                </c:pt>
                <c:pt idx="390">
                  <c:v>1420</c:v>
                </c:pt>
                <c:pt idx="391">
                  <c:v>1420</c:v>
                </c:pt>
                <c:pt idx="392">
                  <c:v>1420</c:v>
                </c:pt>
                <c:pt idx="393">
                  <c:v>1420</c:v>
                </c:pt>
                <c:pt idx="394">
                  <c:v>1420</c:v>
                </c:pt>
                <c:pt idx="395">
                  <c:v>1420</c:v>
                </c:pt>
                <c:pt idx="396">
                  <c:v>1420</c:v>
                </c:pt>
                <c:pt idx="397">
                  <c:v>1420</c:v>
                </c:pt>
                <c:pt idx="398">
                  <c:v>1420</c:v>
                </c:pt>
                <c:pt idx="399">
                  <c:v>1420</c:v>
                </c:pt>
                <c:pt idx="400">
                  <c:v>1420</c:v>
                </c:pt>
                <c:pt idx="401">
                  <c:v>1420</c:v>
                </c:pt>
                <c:pt idx="402">
                  <c:v>1420</c:v>
                </c:pt>
                <c:pt idx="403">
                  <c:v>1420</c:v>
                </c:pt>
                <c:pt idx="404">
                  <c:v>1420</c:v>
                </c:pt>
                <c:pt idx="405">
                  <c:v>1420</c:v>
                </c:pt>
                <c:pt idx="406">
                  <c:v>1420</c:v>
                </c:pt>
                <c:pt idx="407">
                  <c:v>1420</c:v>
                </c:pt>
                <c:pt idx="408">
                  <c:v>1420</c:v>
                </c:pt>
                <c:pt idx="409">
                  <c:v>1420</c:v>
                </c:pt>
                <c:pt idx="410">
                  <c:v>1420</c:v>
                </c:pt>
                <c:pt idx="411">
                  <c:v>1420</c:v>
                </c:pt>
                <c:pt idx="412">
                  <c:v>1420</c:v>
                </c:pt>
                <c:pt idx="413">
                  <c:v>1420</c:v>
                </c:pt>
                <c:pt idx="414">
                  <c:v>1420</c:v>
                </c:pt>
                <c:pt idx="415">
                  <c:v>1420</c:v>
                </c:pt>
                <c:pt idx="416">
                  <c:v>1420</c:v>
                </c:pt>
                <c:pt idx="417">
                  <c:v>1420</c:v>
                </c:pt>
                <c:pt idx="418">
                  <c:v>1420</c:v>
                </c:pt>
                <c:pt idx="419">
                  <c:v>1420</c:v>
                </c:pt>
                <c:pt idx="420">
                  <c:v>1420</c:v>
                </c:pt>
                <c:pt idx="421">
                  <c:v>1420</c:v>
                </c:pt>
                <c:pt idx="422">
                  <c:v>1420</c:v>
                </c:pt>
                <c:pt idx="423">
                  <c:v>1420</c:v>
                </c:pt>
                <c:pt idx="424">
                  <c:v>1420</c:v>
                </c:pt>
                <c:pt idx="425">
                  <c:v>1420</c:v>
                </c:pt>
                <c:pt idx="426">
                  <c:v>1420</c:v>
                </c:pt>
                <c:pt idx="427">
                  <c:v>1420</c:v>
                </c:pt>
                <c:pt idx="428">
                  <c:v>1420</c:v>
                </c:pt>
                <c:pt idx="429">
                  <c:v>1420</c:v>
                </c:pt>
                <c:pt idx="430">
                  <c:v>1420</c:v>
                </c:pt>
                <c:pt idx="431">
                  <c:v>1420</c:v>
                </c:pt>
                <c:pt idx="432">
                  <c:v>1420</c:v>
                </c:pt>
                <c:pt idx="433">
                  <c:v>1420</c:v>
                </c:pt>
                <c:pt idx="434">
                  <c:v>1420</c:v>
                </c:pt>
                <c:pt idx="435">
                  <c:v>1420</c:v>
                </c:pt>
                <c:pt idx="436">
                  <c:v>1420</c:v>
                </c:pt>
                <c:pt idx="437">
                  <c:v>1420</c:v>
                </c:pt>
                <c:pt idx="438">
                  <c:v>1420</c:v>
                </c:pt>
                <c:pt idx="439">
                  <c:v>1420</c:v>
                </c:pt>
                <c:pt idx="440">
                  <c:v>1420</c:v>
                </c:pt>
                <c:pt idx="441">
                  <c:v>1420</c:v>
                </c:pt>
                <c:pt idx="442">
                  <c:v>1420</c:v>
                </c:pt>
                <c:pt idx="443">
                  <c:v>1420</c:v>
                </c:pt>
                <c:pt idx="444">
                  <c:v>1420</c:v>
                </c:pt>
                <c:pt idx="445">
                  <c:v>1420</c:v>
                </c:pt>
                <c:pt idx="446">
                  <c:v>1420</c:v>
                </c:pt>
                <c:pt idx="447">
                  <c:v>1420</c:v>
                </c:pt>
                <c:pt idx="448">
                  <c:v>1420</c:v>
                </c:pt>
                <c:pt idx="449">
                  <c:v>1420</c:v>
                </c:pt>
                <c:pt idx="450">
                  <c:v>1420</c:v>
                </c:pt>
                <c:pt idx="451">
                  <c:v>1420</c:v>
                </c:pt>
                <c:pt idx="452">
                  <c:v>1420</c:v>
                </c:pt>
                <c:pt idx="453">
                  <c:v>1420</c:v>
                </c:pt>
                <c:pt idx="454">
                  <c:v>1420</c:v>
                </c:pt>
                <c:pt idx="455">
                  <c:v>1420</c:v>
                </c:pt>
                <c:pt idx="456">
                  <c:v>1420</c:v>
                </c:pt>
                <c:pt idx="457">
                  <c:v>1420</c:v>
                </c:pt>
                <c:pt idx="458">
                  <c:v>1420</c:v>
                </c:pt>
                <c:pt idx="459">
                  <c:v>1420</c:v>
                </c:pt>
                <c:pt idx="460">
                  <c:v>1420</c:v>
                </c:pt>
                <c:pt idx="461">
                  <c:v>1420</c:v>
                </c:pt>
                <c:pt idx="462">
                  <c:v>1420</c:v>
                </c:pt>
                <c:pt idx="463">
                  <c:v>1420</c:v>
                </c:pt>
                <c:pt idx="464">
                  <c:v>1420</c:v>
                </c:pt>
                <c:pt idx="465">
                  <c:v>1420</c:v>
                </c:pt>
                <c:pt idx="466">
                  <c:v>1420</c:v>
                </c:pt>
                <c:pt idx="467">
                  <c:v>1420</c:v>
                </c:pt>
                <c:pt idx="468">
                  <c:v>1420</c:v>
                </c:pt>
                <c:pt idx="469">
                  <c:v>1420</c:v>
                </c:pt>
                <c:pt idx="470">
                  <c:v>1420</c:v>
                </c:pt>
                <c:pt idx="471">
                  <c:v>1420</c:v>
                </c:pt>
                <c:pt idx="472">
                  <c:v>1420</c:v>
                </c:pt>
                <c:pt idx="473">
                  <c:v>1420</c:v>
                </c:pt>
                <c:pt idx="474">
                  <c:v>1420</c:v>
                </c:pt>
                <c:pt idx="475">
                  <c:v>1420</c:v>
                </c:pt>
                <c:pt idx="476">
                  <c:v>1420</c:v>
                </c:pt>
                <c:pt idx="477">
                  <c:v>1420</c:v>
                </c:pt>
                <c:pt idx="478">
                  <c:v>1420</c:v>
                </c:pt>
                <c:pt idx="479">
                  <c:v>1420</c:v>
                </c:pt>
                <c:pt idx="480">
                  <c:v>1420</c:v>
                </c:pt>
                <c:pt idx="481">
                  <c:v>1420</c:v>
                </c:pt>
                <c:pt idx="482">
                  <c:v>1420</c:v>
                </c:pt>
                <c:pt idx="483">
                  <c:v>1420</c:v>
                </c:pt>
                <c:pt idx="484">
                  <c:v>1420</c:v>
                </c:pt>
                <c:pt idx="485">
                  <c:v>1420</c:v>
                </c:pt>
                <c:pt idx="486">
                  <c:v>1420</c:v>
                </c:pt>
                <c:pt idx="487">
                  <c:v>1420</c:v>
                </c:pt>
                <c:pt idx="488">
                  <c:v>1420</c:v>
                </c:pt>
                <c:pt idx="489">
                  <c:v>1420</c:v>
                </c:pt>
                <c:pt idx="490">
                  <c:v>1420</c:v>
                </c:pt>
                <c:pt idx="491">
                  <c:v>1420</c:v>
                </c:pt>
                <c:pt idx="492">
                  <c:v>1420</c:v>
                </c:pt>
                <c:pt idx="493">
                  <c:v>1420</c:v>
                </c:pt>
                <c:pt idx="494">
                  <c:v>1420</c:v>
                </c:pt>
                <c:pt idx="495">
                  <c:v>1420</c:v>
                </c:pt>
                <c:pt idx="496">
                  <c:v>1420</c:v>
                </c:pt>
                <c:pt idx="497">
                  <c:v>1420</c:v>
                </c:pt>
                <c:pt idx="498">
                  <c:v>1420</c:v>
                </c:pt>
                <c:pt idx="499">
                  <c:v>1420</c:v>
                </c:pt>
                <c:pt idx="500">
                  <c:v>1420</c:v>
                </c:pt>
                <c:pt idx="501">
                  <c:v>1420</c:v>
                </c:pt>
                <c:pt idx="502">
                  <c:v>1420</c:v>
                </c:pt>
                <c:pt idx="503">
                  <c:v>1420</c:v>
                </c:pt>
                <c:pt idx="504">
                  <c:v>1420</c:v>
                </c:pt>
                <c:pt idx="505">
                  <c:v>1420</c:v>
                </c:pt>
                <c:pt idx="506">
                  <c:v>1420</c:v>
                </c:pt>
                <c:pt idx="507">
                  <c:v>1420</c:v>
                </c:pt>
                <c:pt idx="508">
                  <c:v>1420</c:v>
                </c:pt>
                <c:pt idx="509">
                  <c:v>1420</c:v>
                </c:pt>
                <c:pt idx="510">
                  <c:v>1420</c:v>
                </c:pt>
                <c:pt idx="511">
                  <c:v>1420</c:v>
                </c:pt>
                <c:pt idx="512">
                  <c:v>1420</c:v>
                </c:pt>
                <c:pt idx="513">
                  <c:v>1420</c:v>
                </c:pt>
                <c:pt idx="514">
                  <c:v>1420</c:v>
                </c:pt>
                <c:pt idx="515">
                  <c:v>1420</c:v>
                </c:pt>
                <c:pt idx="516">
                  <c:v>1420</c:v>
                </c:pt>
                <c:pt idx="517">
                  <c:v>1420</c:v>
                </c:pt>
                <c:pt idx="518">
                  <c:v>1420</c:v>
                </c:pt>
                <c:pt idx="519">
                  <c:v>1420</c:v>
                </c:pt>
                <c:pt idx="520">
                  <c:v>1420</c:v>
                </c:pt>
                <c:pt idx="521">
                  <c:v>1420</c:v>
                </c:pt>
                <c:pt idx="522">
                  <c:v>1420</c:v>
                </c:pt>
                <c:pt idx="523">
                  <c:v>1420</c:v>
                </c:pt>
                <c:pt idx="524">
                  <c:v>1420</c:v>
                </c:pt>
                <c:pt idx="525">
                  <c:v>1420</c:v>
                </c:pt>
                <c:pt idx="526">
                  <c:v>1420</c:v>
                </c:pt>
                <c:pt idx="527">
                  <c:v>1420</c:v>
                </c:pt>
                <c:pt idx="528">
                  <c:v>1420</c:v>
                </c:pt>
                <c:pt idx="529">
                  <c:v>1420</c:v>
                </c:pt>
                <c:pt idx="530">
                  <c:v>1420</c:v>
                </c:pt>
                <c:pt idx="531">
                  <c:v>1420</c:v>
                </c:pt>
                <c:pt idx="532">
                  <c:v>1420</c:v>
                </c:pt>
                <c:pt idx="533">
                  <c:v>1420</c:v>
                </c:pt>
                <c:pt idx="534">
                  <c:v>1420</c:v>
                </c:pt>
                <c:pt idx="535">
                  <c:v>1420</c:v>
                </c:pt>
                <c:pt idx="536">
                  <c:v>1420</c:v>
                </c:pt>
                <c:pt idx="537">
                  <c:v>1420</c:v>
                </c:pt>
                <c:pt idx="538">
                  <c:v>1420</c:v>
                </c:pt>
                <c:pt idx="539">
                  <c:v>1420</c:v>
                </c:pt>
                <c:pt idx="540">
                  <c:v>1420</c:v>
                </c:pt>
                <c:pt idx="541">
                  <c:v>1420</c:v>
                </c:pt>
                <c:pt idx="542">
                  <c:v>1420</c:v>
                </c:pt>
                <c:pt idx="543">
                  <c:v>1420</c:v>
                </c:pt>
                <c:pt idx="544">
                  <c:v>1420</c:v>
                </c:pt>
                <c:pt idx="545">
                  <c:v>1420</c:v>
                </c:pt>
                <c:pt idx="546">
                  <c:v>1420</c:v>
                </c:pt>
                <c:pt idx="547">
                  <c:v>1420</c:v>
                </c:pt>
                <c:pt idx="548">
                  <c:v>1420</c:v>
                </c:pt>
                <c:pt idx="549">
                  <c:v>1420</c:v>
                </c:pt>
                <c:pt idx="550">
                  <c:v>1420</c:v>
                </c:pt>
                <c:pt idx="551">
                  <c:v>1420</c:v>
                </c:pt>
                <c:pt idx="552">
                  <c:v>1420</c:v>
                </c:pt>
                <c:pt idx="553">
                  <c:v>1420</c:v>
                </c:pt>
                <c:pt idx="554">
                  <c:v>1420</c:v>
                </c:pt>
                <c:pt idx="555">
                  <c:v>1420</c:v>
                </c:pt>
                <c:pt idx="556">
                  <c:v>1420</c:v>
                </c:pt>
                <c:pt idx="557">
                  <c:v>1420</c:v>
                </c:pt>
                <c:pt idx="558">
                  <c:v>1420</c:v>
                </c:pt>
                <c:pt idx="559">
                  <c:v>1420</c:v>
                </c:pt>
                <c:pt idx="560">
                  <c:v>1420</c:v>
                </c:pt>
                <c:pt idx="561">
                  <c:v>1420</c:v>
                </c:pt>
                <c:pt idx="562">
                  <c:v>1420</c:v>
                </c:pt>
                <c:pt idx="563">
                  <c:v>1420</c:v>
                </c:pt>
                <c:pt idx="564">
                  <c:v>1420</c:v>
                </c:pt>
                <c:pt idx="565">
                  <c:v>1420</c:v>
                </c:pt>
                <c:pt idx="566">
                  <c:v>1420</c:v>
                </c:pt>
                <c:pt idx="567">
                  <c:v>1420</c:v>
                </c:pt>
                <c:pt idx="568">
                  <c:v>1420</c:v>
                </c:pt>
                <c:pt idx="569">
                  <c:v>1420</c:v>
                </c:pt>
                <c:pt idx="570">
                  <c:v>1420</c:v>
                </c:pt>
                <c:pt idx="571">
                  <c:v>1420</c:v>
                </c:pt>
                <c:pt idx="572">
                  <c:v>1420</c:v>
                </c:pt>
                <c:pt idx="573">
                  <c:v>1420</c:v>
                </c:pt>
                <c:pt idx="574">
                  <c:v>1420</c:v>
                </c:pt>
                <c:pt idx="575">
                  <c:v>1420</c:v>
                </c:pt>
                <c:pt idx="576">
                  <c:v>1420</c:v>
                </c:pt>
                <c:pt idx="577">
                  <c:v>1420</c:v>
                </c:pt>
                <c:pt idx="578">
                  <c:v>1420</c:v>
                </c:pt>
                <c:pt idx="579">
                  <c:v>1420</c:v>
                </c:pt>
                <c:pt idx="580">
                  <c:v>1420</c:v>
                </c:pt>
                <c:pt idx="581">
                  <c:v>1420</c:v>
                </c:pt>
                <c:pt idx="582">
                  <c:v>1420</c:v>
                </c:pt>
                <c:pt idx="583">
                  <c:v>1420</c:v>
                </c:pt>
                <c:pt idx="584">
                  <c:v>1420</c:v>
                </c:pt>
                <c:pt idx="585">
                  <c:v>1420</c:v>
                </c:pt>
                <c:pt idx="586">
                  <c:v>1420</c:v>
                </c:pt>
                <c:pt idx="587">
                  <c:v>1420</c:v>
                </c:pt>
                <c:pt idx="588">
                  <c:v>1420</c:v>
                </c:pt>
                <c:pt idx="589">
                  <c:v>1420</c:v>
                </c:pt>
                <c:pt idx="590">
                  <c:v>1420</c:v>
                </c:pt>
                <c:pt idx="591">
                  <c:v>1420</c:v>
                </c:pt>
                <c:pt idx="592">
                  <c:v>1420</c:v>
                </c:pt>
                <c:pt idx="593">
                  <c:v>1420</c:v>
                </c:pt>
                <c:pt idx="594">
                  <c:v>1420</c:v>
                </c:pt>
                <c:pt idx="595">
                  <c:v>1420</c:v>
                </c:pt>
                <c:pt idx="596">
                  <c:v>1420</c:v>
                </c:pt>
                <c:pt idx="597">
                  <c:v>1420</c:v>
                </c:pt>
                <c:pt idx="598">
                  <c:v>1420</c:v>
                </c:pt>
                <c:pt idx="599">
                  <c:v>1420</c:v>
                </c:pt>
                <c:pt idx="600">
                  <c:v>1420</c:v>
                </c:pt>
                <c:pt idx="601">
                  <c:v>1420</c:v>
                </c:pt>
                <c:pt idx="602">
                  <c:v>1420</c:v>
                </c:pt>
                <c:pt idx="603">
                  <c:v>1420</c:v>
                </c:pt>
                <c:pt idx="604">
                  <c:v>1420</c:v>
                </c:pt>
                <c:pt idx="605">
                  <c:v>1420</c:v>
                </c:pt>
                <c:pt idx="606">
                  <c:v>1420</c:v>
                </c:pt>
                <c:pt idx="607">
                  <c:v>1420</c:v>
                </c:pt>
                <c:pt idx="608">
                  <c:v>1420</c:v>
                </c:pt>
                <c:pt idx="609">
                  <c:v>1420</c:v>
                </c:pt>
                <c:pt idx="610">
                  <c:v>1420</c:v>
                </c:pt>
                <c:pt idx="611">
                  <c:v>1420</c:v>
                </c:pt>
                <c:pt idx="612">
                  <c:v>1420</c:v>
                </c:pt>
                <c:pt idx="613">
                  <c:v>1420</c:v>
                </c:pt>
                <c:pt idx="614">
                  <c:v>1420</c:v>
                </c:pt>
                <c:pt idx="615">
                  <c:v>1420</c:v>
                </c:pt>
                <c:pt idx="616">
                  <c:v>1420</c:v>
                </c:pt>
                <c:pt idx="617">
                  <c:v>1420</c:v>
                </c:pt>
                <c:pt idx="618">
                  <c:v>1420</c:v>
                </c:pt>
                <c:pt idx="619">
                  <c:v>1420</c:v>
                </c:pt>
                <c:pt idx="620">
                  <c:v>1420</c:v>
                </c:pt>
                <c:pt idx="621">
                  <c:v>1420</c:v>
                </c:pt>
                <c:pt idx="622">
                  <c:v>1420</c:v>
                </c:pt>
                <c:pt idx="623">
                  <c:v>1420</c:v>
                </c:pt>
                <c:pt idx="624">
                  <c:v>1420</c:v>
                </c:pt>
                <c:pt idx="625">
                  <c:v>1420</c:v>
                </c:pt>
                <c:pt idx="626">
                  <c:v>1420</c:v>
                </c:pt>
                <c:pt idx="627">
                  <c:v>1420</c:v>
                </c:pt>
                <c:pt idx="628">
                  <c:v>1420</c:v>
                </c:pt>
                <c:pt idx="629">
                  <c:v>1420</c:v>
                </c:pt>
                <c:pt idx="630">
                  <c:v>1420</c:v>
                </c:pt>
                <c:pt idx="631">
                  <c:v>1420</c:v>
                </c:pt>
                <c:pt idx="632">
                  <c:v>1420</c:v>
                </c:pt>
                <c:pt idx="633">
                  <c:v>1420</c:v>
                </c:pt>
                <c:pt idx="634">
                  <c:v>1420</c:v>
                </c:pt>
                <c:pt idx="635">
                  <c:v>1420</c:v>
                </c:pt>
                <c:pt idx="636">
                  <c:v>1420</c:v>
                </c:pt>
                <c:pt idx="637">
                  <c:v>1420</c:v>
                </c:pt>
                <c:pt idx="638">
                  <c:v>1420</c:v>
                </c:pt>
                <c:pt idx="639">
                  <c:v>1420</c:v>
                </c:pt>
                <c:pt idx="640">
                  <c:v>1420</c:v>
                </c:pt>
                <c:pt idx="641">
                  <c:v>1420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B-4C79-9D2C-A1272915778E}"/>
            </c:ext>
          </c:extLst>
        </c:ser>
        <c:ser>
          <c:idx val="1"/>
          <c:order val="1"/>
          <c:tx>
            <c:strRef>
              <c:f>三门峡!$D$1</c:f>
              <c:strCache>
                <c:ptCount val="1"/>
                <c:pt idx="0">
                  <c:v>出库</c:v>
                </c:pt>
              </c:strCache>
            </c:strRef>
          </c:tx>
          <c:marker>
            <c:symbol val="none"/>
          </c:marker>
          <c:val>
            <c:numRef>
              <c:f>三门峡!$D$2:$D$746</c:f>
              <c:numCache>
                <c:formatCode>General</c:formatCode>
                <c:ptCount val="745"/>
                <c:pt idx="0">
                  <c:v>1420</c:v>
                </c:pt>
                <c:pt idx="1">
                  <c:v>1420</c:v>
                </c:pt>
                <c:pt idx="2">
                  <c:v>1420</c:v>
                </c:pt>
                <c:pt idx="3">
                  <c:v>1420</c:v>
                </c:pt>
                <c:pt idx="4">
                  <c:v>1420</c:v>
                </c:pt>
                <c:pt idx="5">
                  <c:v>1420</c:v>
                </c:pt>
                <c:pt idx="6">
                  <c:v>1420</c:v>
                </c:pt>
                <c:pt idx="7">
                  <c:v>1420</c:v>
                </c:pt>
                <c:pt idx="8">
                  <c:v>1420</c:v>
                </c:pt>
                <c:pt idx="9">
                  <c:v>1420</c:v>
                </c:pt>
                <c:pt idx="10">
                  <c:v>1420</c:v>
                </c:pt>
                <c:pt idx="11">
                  <c:v>1420</c:v>
                </c:pt>
                <c:pt idx="12">
                  <c:v>1420</c:v>
                </c:pt>
                <c:pt idx="13">
                  <c:v>1420</c:v>
                </c:pt>
                <c:pt idx="14">
                  <c:v>1420</c:v>
                </c:pt>
                <c:pt idx="15">
                  <c:v>1420</c:v>
                </c:pt>
                <c:pt idx="16">
                  <c:v>1420</c:v>
                </c:pt>
                <c:pt idx="17">
                  <c:v>1420</c:v>
                </c:pt>
                <c:pt idx="18">
                  <c:v>1420</c:v>
                </c:pt>
                <c:pt idx="19">
                  <c:v>1420</c:v>
                </c:pt>
                <c:pt idx="20">
                  <c:v>1420</c:v>
                </c:pt>
                <c:pt idx="21">
                  <c:v>1420</c:v>
                </c:pt>
                <c:pt idx="22">
                  <c:v>1420</c:v>
                </c:pt>
                <c:pt idx="23">
                  <c:v>1420</c:v>
                </c:pt>
                <c:pt idx="24">
                  <c:v>1420</c:v>
                </c:pt>
                <c:pt idx="25">
                  <c:v>1420</c:v>
                </c:pt>
                <c:pt idx="26">
                  <c:v>1420</c:v>
                </c:pt>
                <c:pt idx="27">
                  <c:v>1420</c:v>
                </c:pt>
                <c:pt idx="28">
                  <c:v>1420</c:v>
                </c:pt>
                <c:pt idx="29">
                  <c:v>1420</c:v>
                </c:pt>
                <c:pt idx="30">
                  <c:v>1420</c:v>
                </c:pt>
                <c:pt idx="31">
                  <c:v>1420</c:v>
                </c:pt>
                <c:pt idx="32">
                  <c:v>1420</c:v>
                </c:pt>
                <c:pt idx="33">
                  <c:v>1420</c:v>
                </c:pt>
                <c:pt idx="34">
                  <c:v>1420</c:v>
                </c:pt>
                <c:pt idx="35">
                  <c:v>1420</c:v>
                </c:pt>
                <c:pt idx="36">
                  <c:v>1420</c:v>
                </c:pt>
                <c:pt idx="37">
                  <c:v>1420</c:v>
                </c:pt>
                <c:pt idx="38">
                  <c:v>1420</c:v>
                </c:pt>
                <c:pt idx="39">
                  <c:v>1420</c:v>
                </c:pt>
                <c:pt idx="40">
                  <c:v>1420</c:v>
                </c:pt>
                <c:pt idx="41">
                  <c:v>1420</c:v>
                </c:pt>
                <c:pt idx="42">
                  <c:v>1420</c:v>
                </c:pt>
                <c:pt idx="43">
                  <c:v>1420</c:v>
                </c:pt>
                <c:pt idx="44">
                  <c:v>1420</c:v>
                </c:pt>
                <c:pt idx="45">
                  <c:v>1420</c:v>
                </c:pt>
                <c:pt idx="46">
                  <c:v>1420</c:v>
                </c:pt>
                <c:pt idx="47">
                  <c:v>1420</c:v>
                </c:pt>
                <c:pt idx="48">
                  <c:v>1420</c:v>
                </c:pt>
                <c:pt idx="49">
                  <c:v>1420</c:v>
                </c:pt>
                <c:pt idx="50">
                  <c:v>1420</c:v>
                </c:pt>
                <c:pt idx="51">
                  <c:v>1420</c:v>
                </c:pt>
                <c:pt idx="52">
                  <c:v>1420</c:v>
                </c:pt>
                <c:pt idx="53">
                  <c:v>1420</c:v>
                </c:pt>
                <c:pt idx="54">
                  <c:v>1420</c:v>
                </c:pt>
                <c:pt idx="55">
                  <c:v>1420</c:v>
                </c:pt>
                <c:pt idx="56">
                  <c:v>1420</c:v>
                </c:pt>
                <c:pt idx="57">
                  <c:v>1420</c:v>
                </c:pt>
                <c:pt idx="58">
                  <c:v>1420</c:v>
                </c:pt>
                <c:pt idx="59">
                  <c:v>1420</c:v>
                </c:pt>
                <c:pt idx="60">
                  <c:v>1420</c:v>
                </c:pt>
                <c:pt idx="61">
                  <c:v>1420</c:v>
                </c:pt>
                <c:pt idx="62">
                  <c:v>1420</c:v>
                </c:pt>
                <c:pt idx="63">
                  <c:v>1420</c:v>
                </c:pt>
                <c:pt idx="64">
                  <c:v>1420</c:v>
                </c:pt>
                <c:pt idx="65">
                  <c:v>1420</c:v>
                </c:pt>
                <c:pt idx="66">
                  <c:v>1420</c:v>
                </c:pt>
                <c:pt idx="67">
                  <c:v>1420</c:v>
                </c:pt>
                <c:pt idx="68">
                  <c:v>1420</c:v>
                </c:pt>
                <c:pt idx="69">
                  <c:v>1420</c:v>
                </c:pt>
                <c:pt idx="70">
                  <c:v>1420</c:v>
                </c:pt>
                <c:pt idx="71">
                  <c:v>1420</c:v>
                </c:pt>
                <c:pt idx="72">
                  <c:v>1420</c:v>
                </c:pt>
                <c:pt idx="73">
                  <c:v>1420</c:v>
                </c:pt>
                <c:pt idx="74">
                  <c:v>1420</c:v>
                </c:pt>
                <c:pt idx="75">
                  <c:v>1420</c:v>
                </c:pt>
                <c:pt idx="76">
                  <c:v>1420</c:v>
                </c:pt>
                <c:pt idx="77">
                  <c:v>1420</c:v>
                </c:pt>
                <c:pt idx="78">
                  <c:v>1420</c:v>
                </c:pt>
                <c:pt idx="79">
                  <c:v>1420</c:v>
                </c:pt>
                <c:pt idx="80">
                  <c:v>1420</c:v>
                </c:pt>
                <c:pt idx="81">
                  <c:v>1420</c:v>
                </c:pt>
                <c:pt idx="82">
                  <c:v>1420</c:v>
                </c:pt>
                <c:pt idx="83">
                  <c:v>1420</c:v>
                </c:pt>
                <c:pt idx="84">
                  <c:v>1420</c:v>
                </c:pt>
                <c:pt idx="85">
                  <c:v>1420</c:v>
                </c:pt>
                <c:pt idx="86">
                  <c:v>1420</c:v>
                </c:pt>
                <c:pt idx="87">
                  <c:v>1420</c:v>
                </c:pt>
                <c:pt idx="88">
                  <c:v>1420</c:v>
                </c:pt>
                <c:pt idx="89">
                  <c:v>1420</c:v>
                </c:pt>
                <c:pt idx="90">
                  <c:v>1420</c:v>
                </c:pt>
                <c:pt idx="91">
                  <c:v>1420</c:v>
                </c:pt>
                <c:pt idx="92">
                  <c:v>1420</c:v>
                </c:pt>
                <c:pt idx="93">
                  <c:v>1420</c:v>
                </c:pt>
                <c:pt idx="94">
                  <c:v>1420</c:v>
                </c:pt>
                <c:pt idx="95">
                  <c:v>1420</c:v>
                </c:pt>
                <c:pt idx="96">
                  <c:v>1420</c:v>
                </c:pt>
                <c:pt idx="97">
                  <c:v>1420</c:v>
                </c:pt>
                <c:pt idx="98">
                  <c:v>1420</c:v>
                </c:pt>
                <c:pt idx="99">
                  <c:v>1420</c:v>
                </c:pt>
                <c:pt idx="100">
                  <c:v>1420</c:v>
                </c:pt>
                <c:pt idx="101">
                  <c:v>1420</c:v>
                </c:pt>
                <c:pt idx="102">
                  <c:v>1420</c:v>
                </c:pt>
                <c:pt idx="103">
                  <c:v>1420</c:v>
                </c:pt>
                <c:pt idx="104">
                  <c:v>1420</c:v>
                </c:pt>
                <c:pt idx="105">
                  <c:v>1420</c:v>
                </c:pt>
                <c:pt idx="106">
                  <c:v>1420</c:v>
                </c:pt>
                <c:pt idx="107">
                  <c:v>1420</c:v>
                </c:pt>
                <c:pt idx="108">
                  <c:v>1420</c:v>
                </c:pt>
                <c:pt idx="109">
                  <c:v>1420</c:v>
                </c:pt>
                <c:pt idx="110">
                  <c:v>1420</c:v>
                </c:pt>
                <c:pt idx="111">
                  <c:v>1420</c:v>
                </c:pt>
                <c:pt idx="112">
                  <c:v>1420</c:v>
                </c:pt>
                <c:pt idx="113">
                  <c:v>1420</c:v>
                </c:pt>
                <c:pt idx="114">
                  <c:v>1420</c:v>
                </c:pt>
                <c:pt idx="115">
                  <c:v>1420</c:v>
                </c:pt>
                <c:pt idx="116">
                  <c:v>1420</c:v>
                </c:pt>
                <c:pt idx="117">
                  <c:v>1420</c:v>
                </c:pt>
                <c:pt idx="118">
                  <c:v>1420</c:v>
                </c:pt>
                <c:pt idx="119">
                  <c:v>1420</c:v>
                </c:pt>
                <c:pt idx="120">
                  <c:v>1420</c:v>
                </c:pt>
                <c:pt idx="121">
                  <c:v>1420</c:v>
                </c:pt>
                <c:pt idx="122">
                  <c:v>1420</c:v>
                </c:pt>
                <c:pt idx="123">
                  <c:v>1420</c:v>
                </c:pt>
                <c:pt idx="124">
                  <c:v>1420</c:v>
                </c:pt>
                <c:pt idx="125">
                  <c:v>1420</c:v>
                </c:pt>
                <c:pt idx="126">
                  <c:v>1420</c:v>
                </c:pt>
                <c:pt idx="127">
                  <c:v>1420</c:v>
                </c:pt>
                <c:pt idx="128">
                  <c:v>1420</c:v>
                </c:pt>
                <c:pt idx="129">
                  <c:v>1420</c:v>
                </c:pt>
                <c:pt idx="130">
                  <c:v>1420</c:v>
                </c:pt>
                <c:pt idx="131">
                  <c:v>1420</c:v>
                </c:pt>
                <c:pt idx="132">
                  <c:v>1420</c:v>
                </c:pt>
                <c:pt idx="133">
                  <c:v>1420</c:v>
                </c:pt>
                <c:pt idx="134">
                  <c:v>1420</c:v>
                </c:pt>
                <c:pt idx="135">
                  <c:v>1420</c:v>
                </c:pt>
                <c:pt idx="136">
                  <c:v>1420</c:v>
                </c:pt>
                <c:pt idx="137">
                  <c:v>1420</c:v>
                </c:pt>
                <c:pt idx="138">
                  <c:v>1420</c:v>
                </c:pt>
                <c:pt idx="139">
                  <c:v>1420</c:v>
                </c:pt>
                <c:pt idx="140">
                  <c:v>1420</c:v>
                </c:pt>
                <c:pt idx="141">
                  <c:v>1420</c:v>
                </c:pt>
                <c:pt idx="142">
                  <c:v>1420</c:v>
                </c:pt>
                <c:pt idx="143">
                  <c:v>1420</c:v>
                </c:pt>
                <c:pt idx="144">
                  <c:v>1420</c:v>
                </c:pt>
                <c:pt idx="145">
                  <c:v>1420</c:v>
                </c:pt>
                <c:pt idx="146">
                  <c:v>1420</c:v>
                </c:pt>
                <c:pt idx="147">
                  <c:v>1420</c:v>
                </c:pt>
                <c:pt idx="148">
                  <c:v>1420</c:v>
                </c:pt>
                <c:pt idx="149">
                  <c:v>1420</c:v>
                </c:pt>
                <c:pt idx="150">
                  <c:v>1420</c:v>
                </c:pt>
                <c:pt idx="151">
                  <c:v>1420</c:v>
                </c:pt>
                <c:pt idx="152">
                  <c:v>1420</c:v>
                </c:pt>
                <c:pt idx="153">
                  <c:v>1420</c:v>
                </c:pt>
                <c:pt idx="154">
                  <c:v>1420</c:v>
                </c:pt>
                <c:pt idx="155">
                  <c:v>1420</c:v>
                </c:pt>
                <c:pt idx="156">
                  <c:v>1420</c:v>
                </c:pt>
                <c:pt idx="157">
                  <c:v>1420</c:v>
                </c:pt>
                <c:pt idx="158">
                  <c:v>1420</c:v>
                </c:pt>
                <c:pt idx="159">
                  <c:v>1420</c:v>
                </c:pt>
                <c:pt idx="160">
                  <c:v>1420</c:v>
                </c:pt>
                <c:pt idx="161">
                  <c:v>1420</c:v>
                </c:pt>
                <c:pt idx="162">
                  <c:v>1420</c:v>
                </c:pt>
                <c:pt idx="163">
                  <c:v>1420</c:v>
                </c:pt>
                <c:pt idx="164">
                  <c:v>1420</c:v>
                </c:pt>
                <c:pt idx="165">
                  <c:v>1420</c:v>
                </c:pt>
                <c:pt idx="166">
                  <c:v>1420</c:v>
                </c:pt>
                <c:pt idx="167">
                  <c:v>1420</c:v>
                </c:pt>
                <c:pt idx="168">
                  <c:v>1420</c:v>
                </c:pt>
                <c:pt idx="169">
                  <c:v>1420</c:v>
                </c:pt>
                <c:pt idx="170">
                  <c:v>1420</c:v>
                </c:pt>
                <c:pt idx="171">
                  <c:v>1420</c:v>
                </c:pt>
                <c:pt idx="172">
                  <c:v>1420</c:v>
                </c:pt>
                <c:pt idx="173">
                  <c:v>1420</c:v>
                </c:pt>
                <c:pt idx="174">
                  <c:v>1420</c:v>
                </c:pt>
                <c:pt idx="175">
                  <c:v>1420</c:v>
                </c:pt>
                <c:pt idx="176">
                  <c:v>1420</c:v>
                </c:pt>
                <c:pt idx="177">
                  <c:v>1420</c:v>
                </c:pt>
                <c:pt idx="178">
                  <c:v>1420</c:v>
                </c:pt>
                <c:pt idx="179">
                  <c:v>1420</c:v>
                </c:pt>
                <c:pt idx="180">
                  <c:v>1420</c:v>
                </c:pt>
                <c:pt idx="181">
                  <c:v>1420</c:v>
                </c:pt>
                <c:pt idx="182">
                  <c:v>1420</c:v>
                </c:pt>
                <c:pt idx="183">
                  <c:v>1420</c:v>
                </c:pt>
                <c:pt idx="184">
                  <c:v>1420</c:v>
                </c:pt>
                <c:pt idx="185">
                  <c:v>1420</c:v>
                </c:pt>
                <c:pt idx="186">
                  <c:v>1420</c:v>
                </c:pt>
                <c:pt idx="187">
                  <c:v>1420</c:v>
                </c:pt>
                <c:pt idx="188">
                  <c:v>1420</c:v>
                </c:pt>
                <c:pt idx="189">
                  <c:v>1420</c:v>
                </c:pt>
                <c:pt idx="190">
                  <c:v>1420</c:v>
                </c:pt>
                <c:pt idx="191">
                  <c:v>1420</c:v>
                </c:pt>
                <c:pt idx="192">
                  <c:v>1420</c:v>
                </c:pt>
                <c:pt idx="193">
                  <c:v>1420</c:v>
                </c:pt>
                <c:pt idx="194">
                  <c:v>1420</c:v>
                </c:pt>
                <c:pt idx="195">
                  <c:v>1420</c:v>
                </c:pt>
                <c:pt idx="196">
                  <c:v>1420</c:v>
                </c:pt>
                <c:pt idx="197">
                  <c:v>1420</c:v>
                </c:pt>
                <c:pt idx="198">
                  <c:v>1420</c:v>
                </c:pt>
                <c:pt idx="199">
                  <c:v>1420</c:v>
                </c:pt>
                <c:pt idx="200">
                  <c:v>1420</c:v>
                </c:pt>
                <c:pt idx="201">
                  <c:v>1420</c:v>
                </c:pt>
                <c:pt idx="202">
                  <c:v>1420</c:v>
                </c:pt>
                <c:pt idx="203">
                  <c:v>1420</c:v>
                </c:pt>
                <c:pt idx="204">
                  <c:v>1420</c:v>
                </c:pt>
                <c:pt idx="205">
                  <c:v>1420</c:v>
                </c:pt>
                <c:pt idx="206">
                  <c:v>1420</c:v>
                </c:pt>
                <c:pt idx="207">
                  <c:v>1420</c:v>
                </c:pt>
                <c:pt idx="208">
                  <c:v>1420</c:v>
                </c:pt>
                <c:pt idx="209">
                  <c:v>1420</c:v>
                </c:pt>
                <c:pt idx="210">
                  <c:v>1420</c:v>
                </c:pt>
                <c:pt idx="211">
                  <c:v>1420</c:v>
                </c:pt>
                <c:pt idx="212">
                  <c:v>1420</c:v>
                </c:pt>
                <c:pt idx="213">
                  <c:v>1420</c:v>
                </c:pt>
                <c:pt idx="214">
                  <c:v>1420</c:v>
                </c:pt>
                <c:pt idx="215">
                  <c:v>1420</c:v>
                </c:pt>
                <c:pt idx="216">
                  <c:v>1420</c:v>
                </c:pt>
                <c:pt idx="217">
                  <c:v>1420</c:v>
                </c:pt>
                <c:pt idx="218">
                  <c:v>1420</c:v>
                </c:pt>
                <c:pt idx="219">
                  <c:v>1420</c:v>
                </c:pt>
                <c:pt idx="220">
                  <c:v>1420</c:v>
                </c:pt>
                <c:pt idx="221">
                  <c:v>1420</c:v>
                </c:pt>
                <c:pt idx="222">
                  <c:v>1420</c:v>
                </c:pt>
                <c:pt idx="223">
                  <c:v>1420</c:v>
                </c:pt>
                <c:pt idx="224">
                  <c:v>1420</c:v>
                </c:pt>
                <c:pt idx="225">
                  <c:v>1420</c:v>
                </c:pt>
                <c:pt idx="226">
                  <c:v>1420</c:v>
                </c:pt>
                <c:pt idx="227">
                  <c:v>1420</c:v>
                </c:pt>
                <c:pt idx="228">
                  <c:v>1420</c:v>
                </c:pt>
                <c:pt idx="229">
                  <c:v>1420</c:v>
                </c:pt>
                <c:pt idx="230">
                  <c:v>1420</c:v>
                </c:pt>
                <c:pt idx="231">
                  <c:v>1420</c:v>
                </c:pt>
                <c:pt idx="232">
                  <c:v>1420</c:v>
                </c:pt>
                <c:pt idx="233">
                  <c:v>1420</c:v>
                </c:pt>
                <c:pt idx="234">
                  <c:v>1420</c:v>
                </c:pt>
                <c:pt idx="235">
                  <c:v>1420</c:v>
                </c:pt>
                <c:pt idx="236">
                  <c:v>1420</c:v>
                </c:pt>
                <c:pt idx="237">
                  <c:v>1420</c:v>
                </c:pt>
                <c:pt idx="238">
                  <c:v>1420</c:v>
                </c:pt>
                <c:pt idx="239">
                  <c:v>1420</c:v>
                </c:pt>
                <c:pt idx="240">
                  <c:v>1420</c:v>
                </c:pt>
                <c:pt idx="241">
                  <c:v>1420</c:v>
                </c:pt>
                <c:pt idx="242">
                  <c:v>1420</c:v>
                </c:pt>
                <c:pt idx="243">
                  <c:v>1420</c:v>
                </c:pt>
                <c:pt idx="244">
                  <c:v>1420</c:v>
                </c:pt>
                <c:pt idx="245">
                  <c:v>1420</c:v>
                </c:pt>
                <c:pt idx="246">
                  <c:v>1420</c:v>
                </c:pt>
                <c:pt idx="247">
                  <c:v>1420</c:v>
                </c:pt>
                <c:pt idx="248">
                  <c:v>1420</c:v>
                </c:pt>
                <c:pt idx="249">
                  <c:v>1420</c:v>
                </c:pt>
                <c:pt idx="250">
                  <c:v>1420</c:v>
                </c:pt>
                <c:pt idx="251">
                  <c:v>1420</c:v>
                </c:pt>
                <c:pt idx="252">
                  <c:v>1420</c:v>
                </c:pt>
                <c:pt idx="253">
                  <c:v>1420</c:v>
                </c:pt>
                <c:pt idx="254">
                  <c:v>1420</c:v>
                </c:pt>
                <c:pt idx="255">
                  <c:v>1420</c:v>
                </c:pt>
                <c:pt idx="256">
                  <c:v>1420</c:v>
                </c:pt>
                <c:pt idx="257">
                  <c:v>1420</c:v>
                </c:pt>
                <c:pt idx="258">
                  <c:v>1420</c:v>
                </c:pt>
                <c:pt idx="259">
                  <c:v>1420</c:v>
                </c:pt>
                <c:pt idx="260">
                  <c:v>1420</c:v>
                </c:pt>
                <c:pt idx="261">
                  <c:v>1420</c:v>
                </c:pt>
                <c:pt idx="262">
                  <c:v>1420</c:v>
                </c:pt>
                <c:pt idx="263">
                  <c:v>1420</c:v>
                </c:pt>
                <c:pt idx="264">
                  <c:v>1420</c:v>
                </c:pt>
                <c:pt idx="265">
                  <c:v>1420</c:v>
                </c:pt>
                <c:pt idx="266">
                  <c:v>1420</c:v>
                </c:pt>
                <c:pt idx="267">
                  <c:v>1420</c:v>
                </c:pt>
                <c:pt idx="268">
                  <c:v>1420</c:v>
                </c:pt>
                <c:pt idx="269">
                  <c:v>1420</c:v>
                </c:pt>
                <c:pt idx="270">
                  <c:v>1420</c:v>
                </c:pt>
                <c:pt idx="271">
                  <c:v>1420</c:v>
                </c:pt>
                <c:pt idx="272">
                  <c:v>1420</c:v>
                </c:pt>
                <c:pt idx="273">
                  <c:v>1420</c:v>
                </c:pt>
                <c:pt idx="274">
                  <c:v>1420</c:v>
                </c:pt>
                <c:pt idx="275">
                  <c:v>1420</c:v>
                </c:pt>
                <c:pt idx="276">
                  <c:v>1420</c:v>
                </c:pt>
                <c:pt idx="277">
                  <c:v>1420</c:v>
                </c:pt>
                <c:pt idx="278">
                  <c:v>1420</c:v>
                </c:pt>
                <c:pt idx="279">
                  <c:v>1420</c:v>
                </c:pt>
                <c:pt idx="280">
                  <c:v>1420</c:v>
                </c:pt>
                <c:pt idx="281">
                  <c:v>1420</c:v>
                </c:pt>
                <c:pt idx="282">
                  <c:v>1420</c:v>
                </c:pt>
                <c:pt idx="283">
                  <c:v>1420</c:v>
                </c:pt>
                <c:pt idx="284">
                  <c:v>1420</c:v>
                </c:pt>
                <c:pt idx="285">
                  <c:v>1420</c:v>
                </c:pt>
                <c:pt idx="286">
                  <c:v>1420</c:v>
                </c:pt>
                <c:pt idx="287">
                  <c:v>1420</c:v>
                </c:pt>
                <c:pt idx="288">
                  <c:v>1420</c:v>
                </c:pt>
                <c:pt idx="289">
                  <c:v>1420</c:v>
                </c:pt>
                <c:pt idx="290">
                  <c:v>1420</c:v>
                </c:pt>
                <c:pt idx="291">
                  <c:v>1420</c:v>
                </c:pt>
                <c:pt idx="292">
                  <c:v>1420</c:v>
                </c:pt>
                <c:pt idx="293">
                  <c:v>1420</c:v>
                </c:pt>
                <c:pt idx="294">
                  <c:v>1420</c:v>
                </c:pt>
                <c:pt idx="295">
                  <c:v>1420</c:v>
                </c:pt>
                <c:pt idx="296">
                  <c:v>1420</c:v>
                </c:pt>
                <c:pt idx="297">
                  <c:v>1420</c:v>
                </c:pt>
                <c:pt idx="298">
                  <c:v>1420</c:v>
                </c:pt>
                <c:pt idx="299">
                  <c:v>1420</c:v>
                </c:pt>
                <c:pt idx="300">
                  <c:v>1420</c:v>
                </c:pt>
                <c:pt idx="301">
                  <c:v>1420</c:v>
                </c:pt>
                <c:pt idx="302">
                  <c:v>1420</c:v>
                </c:pt>
                <c:pt idx="303">
                  <c:v>1420</c:v>
                </c:pt>
                <c:pt idx="304">
                  <c:v>1420</c:v>
                </c:pt>
                <c:pt idx="305">
                  <c:v>1420</c:v>
                </c:pt>
                <c:pt idx="306">
                  <c:v>1420</c:v>
                </c:pt>
                <c:pt idx="307">
                  <c:v>1420</c:v>
                </c:pt>
                <c:pt idx="308">
                  <c:v>1420</c:v>
                </c:pt>
                <c:pt idx="309">
                  <c:v>1420</c:v>
                </c:pt>
                <c:pt idx="310">
                  <c:v>1420</c:v>
                </c:pt>
                <c:pt idx="311">
                  <c:v>1420</c:v>
                </c:pt>
                <c:pt idx="312">
                  <c:v>1420</c:v>
                </c:pt>
                <c:pt idx="313">
                  <c:v>1420</c:v>
                </c:pt>
                <c:pt idx="314">
                  <c:v>1420</c:v>
                </c:pt>
                <c:pt idx="315">
                  <c:v>1420</c:v>
                </c:pt>
                <c:pt idx="316">
                  <c:v>1420</c:v>
                </c:pt>
                <c:pt idx="317">
                  <c:v>1420</c:v>
                </c:pt>
                <c:pt idx="318">
                  <c:v>1420</c:v>
                </c:pt>
                <c:pt idx="319">
                  <c:v>1420</c:v>
                </c:pt>
                <c:pt idx="320">
                  <c:v>1420</c:v>
                </c:pt>
                <c:pt idx="321">
                  <c:v>1420</c:v>
                </c:pt>
                <c:pt idx="322">
                  <c:v>1420</c:v>
                </c:pt>
                <c:pt idx="323">
                  <c:v>1420</c:v>
                </c:pt>
                <c:pt idx="324">
                  <c:v>1420</c:v>
                </c:pt>
                <c:pt idx="325">
                  <c:v>1420</c:v>
                </c:pt>
                <c:pt idx="326">
                  <c:v>1420</c:v>
                </c:pt>
                <c:pt idx="327">
                  <c:v>1420</c:v>
                </c:pt>
                <c:pt idx="328">
                  <c:v>1420</c:v>
                </c:pt>
                <c:pt idx="329">
                  <c:v>1420</c:v>
                </c:pt>
                <c:pt idx="330">
                  <c:v>1420</c:v>
                </c:pt>
                <c:pt idx="331">
                  <c:v>1420</c:v>
                </c:pt>
                <c:pt idx="332">
                  <c:v>1420</c:v>
                </c:pt>
                <c:pt idx="333">
                  <c:v>1420</c:v>
                </c:pt>
                <c:pt idx="334">
                  <c:v>1420</c:v>
                </c:pt>
                <c:pt idx="335">
                  <c:v>1420</c:v>
                </c:pt>
                <c:pt idx="336">
                  <c:v>1420</c:v>
                </c:pt>
                <c:pt idx="337">
                  <c:v>1420</c:v>
                </c:pt>
                <c:pt idx="338">
                  <c:v>1420</c:v>
                </c:pt>
                <c:pt idx="339">
                  <c:v>1420</c:v>
                </c:pt>
                <c:pt idx="340">
                  <c:v>1420</c:v>
                </c:pt>
                <c:pt idx="341">
                  <c:v>1420</c:v>
                </c:pt>
                <c:pt idx="342">
                  <c:v>1420</c:v>
                </c:pt>
                <c:pt idx="343">
                  <c:v>1420</c:v>
                </c:pt>
                <c:pt idx="344">
                  <c:v>1420</c:v>
                </c:pt>
                <c:pt idx="345">
                  <c:v>1420</c:v>
                </c:pt>
                <c:pt idx="346">
                  <c:v>1420</c:v>
                </c:pt>
                <c:pt idx="347">
                  <c:v>1420</c:v>
                </c:pt>
                <c:pt idx="348">
                  <c:v>1420</c:v>
                </c:pt>
                <c:pt idx="349">
                  <c:v>1420</c:v>
                </c:pt>
                <c:pt idx="350">
                  <c:v>1420</c:v>
                </c:pt>
                <c:pt idx="351">
                  <c:v>1420</c:v>
                </c:pt>
                <c:pt idx="352">
                  <c:v>1420</c:v>
                </c:pt>
                <c:pt idx="353">
                  <c:v>1420</c:v>
                </c:pt>
                <c:pt idx="354">
                  <c:v>1420</c:v>
                </c:pt>
                <c:pt idx="355">
                  <c:v>1420</c:v>
                </c:pt>
                <c:pt idx="356">
                  <c:v>1420</c:v>
                </c:pt>
                <c:pt idx="357">
                  <c:v>1420</c:v>
                </c:pt>
                <c:pt idx="358">
                  <c:v>1420</c:v>
                </c:pt>
                <c:pt idx="359">
                  <c:v>1420</c:v>
                </c:pt>
                <c:pt idx="360">
                  <c:v>1420</c:v>
                </c:pt>
                <c:pt idx="361">
                  <c:v>1420</c:v>
                </c:pt>
                <c:pt idx="362">
                  <c:v>1420</c:v>
                </c:pt>
                <c:pt idx="363">
                  <c:v>1420</c:v>
                </c:pt>
                <c:pt idx="364">
                  <c:v>1420</c:v>
                </c:pt>
                <c:pt idx="365">
                  <c:v>1420</c:v>
                </c:pt>
                <c:pt idx="366">
                  <c:v>1420</c:v>
                </c:pt>
                <c:pt idx="367">
                  <c:v>1420</c:v>
                </c:pt>
                <c:pt idx="368">
                  <c:v>1420</c:v>
                </c:pt>
                <c:pt idx="369">
                  <c:v>1420</c:v>
                </c:pt>
                <c:pt idx="370">
                  <c:v>1420</c:v>
                </c:pt>
                <c:pt idx="371">
                  <c:v>1420</c:v>
                </c:pt>
                <c:pt idx="372">
                  <c:v>1420</c:v>
                </c:pt>
                <c:pt idx="373">
                  <c:v>1420</c:v>
                </c:pt>
                <c:pt idx="374">
                  <c:v>1420</c:v>
                </c:pt>
                <c:pt idx="375">
                  <c:v>1420</c:v>
                </c:pt>
                <c:pt idx="376">
                  <c:v>1420</c:v>
                </c:pt>
                <c:pt idx="377">
                  <c:v>1420</c:v>
                </c:pt>
                <c:pt idx="378">
                  <c:v>1420</c:v>
                </c:pt>
                <c:pt idx="379">
                  <c:v>1420</c:v>
                </c:pt>
                <c:pt idx="380">
                  <c:v>1420</c:v>
                </c:pt>
                <c:pt idx="381">
                  <c:v>1420</c:v>
                </c:pt>
                <c:pt idx="382">
                  <c:v>1420</c:v>
                </c:pt>
                <c:pt idx="383">
                  <c:v>1420</c:v>
                </c:pt>
                <c:pt idx="384">
                  <c:v>1420</c:v>
                </c:pt>
                <c:pt idx="385">
                  <c:v>1420</c:v>
                </c:pt>
                <c:pt idx="386">
                  <c:v>1420</c:v>
                </c:pt>
                <c:pt idx="387">
                  <c:v>1420</c:v>
                </c:pt>
                <c:pt idx="388">
                  <c:v>1420</c:v>
                </c:pt>
                <c:pt idx="389">
                  <c:v>1420</c:v>
                </c:pt>
                <c:pt idx="390">
                  <c:v>1420</c:v>
                </c:pt>
                <c:pt idx="391">
                  <c:v>1420</c:v>
                </c:pt>
                <c:pt idx="392">
                  <c:v>1420</c:v>
                </c:pt>
                <c:pt idx="393">
                  <c:v>1420</c:v>
                </c:pt>
                <c:pt idx="394">
                  <c:v>1420</c:v>
                </c:pt>
                <c:pt idx="395">
                  <c:v>1420</c:v>
                </c:pt>
                <c:pt idx="396">
                  <c:v>1420</c:v>
                </c:pt>
                <c:pt idx="397">
                  <c:v>1420</c:v>
                </c:pt>
                <c:pt idx="398">
                  <c:v>1420</c:v>
                </c:pt>
                <c:pt idx="399">
                  <c:v>1420</c:v>
                </c:pt>
                <c:pt idx="400">
                  <c:v>1420</c:v>
                </c:pt>
                <c:pt idx="401">
                  <c:v>1420</c:v>
                </c:pt>
                <c:pt idx="402">
                  <c:v>1420</c:v>
                </c:pt>
                <c:pt idx="403">
                  <c:v>1420</c:v>
                </c:pt>
                <c:pt idx="404">
                  <c:v>1420</c:v>
                </c:pt>
                <c:pt idx="405">
                  <c:v>1420</c:v>
                </c:pt>
                <c:pt idx="406">
                  <c:v>1420</c:v>
                </c:pt>
                <c:pt idx="407">
                  <c:v>1420</c:v>
                </c:pt>
                <c:pt idx="408">
                  <c:v>1420</c:v>
                </c:pt>
                <c:pt idx="409">
                  <c:v>1420</c:v>
                </c:pt>
                <c:pt idx="410">
                  <c:v>1420</c:v>
                </c:pt>
                <c:pt idx="411">
                  <c:v>1420</c:v>
                </c:pt>
                <c:pt idx="412">
                  <c:v>1420</c:v>
                </c:pt>
                <c:pt idx="413">
                  <c:v>1420</c:v>
                </c:pt>
                <c:pt idx="414">
                  <c:v>1420</c:v>
                </c:pt>
                <c:pt idx="415">
                  <c:v>1420</c:v>
                </c:pt>
                <c:pt idx="416">
                  <c:v>1420</c:v>
                </c:pt>
                <c:pt idx="417">
                  <c:v>1420</c:v>
                </c:pt>
                <c:pt idx="418">
                  <c:v>1420</c:v>
                </c:pt>
                <c:pt idx="419">
                  <c:v>1420</c:v>
                </c:pt>
                <c:pt idx="420">
                  <c:v>1420</c:v>
                </c:pt>
                <c:pt idx="421">
                  <c:v>1420</c:v>
                </c:pt>
                <c:pt idx="422">
                  <c:v>1420</c:v>
                </c:pt>
                <c:pt idx="423">
                  <c:v>1420</c:v>
                </c:pt>
                <c:pt idx="424">
                  <c:v>1420</c:v>
                </c:pt>
                <c:pt idx="425">
                  <c:v>1420</c:v>
                </c:pt>
                <c:pt idx="426">
                  <c:v>1420</c:v>
                </c:pt>
                <c:pt idx="427">
                  <c:v>1420</c:v>
                </c:pt>
                <c:pt idx="428">
                  <c:v>1420</c:v>
                </c:pt>
                <c:pt idx="429">
                  <c:v>1420</c:v>
                </c:pt>
                <c:pt idx="430">
                  <c:v>1420</c:v>
                </c:pt>
                <c:pt idx="431">
                  <c:v>1420</c:v>
                </c:pt>
                <c:pt idx="432">
                  <c:v>1420</c:v>
                </c:pt>
                <c:pt idx="433">
                  <c:v>1420</c:v>
                </c:pt>
                <c:pt idx="434">
                  <c:v>1420</c:v>
                </c:pt>
                <c:pt idx="435">
                  <c:v>1420</c:v>
                </c:pt>
                <c:pt idx="436">
                  <c:v>1420</c:v>
                </c:pt>
                <c:pt idx="437">
                  <c:v>1420</c:v>
                </c:pt>
                <c:pt idx="438">
                  <c:v>1420</c:v>
                </c:pt>
                <c:pt idx="439">
                  <c:v>1420</c:v>
                </c:pt>
                <c:pt idx="440">
                  <c:v>1420</c:v>
                </c:pt>
                <c:pt idx="441">
                  <c:v>1420</c:v>
                </c:pt>
                <c:pt idx="442">
                  <c:v>1420</c:v>
                </c:pt>
                <c:pt idx="443">
                  <c:v>1420</c:v>
                </c:pt>
                <c:pt idx="444">
                  <c:v>1420</c:v>
                </c:pt>
                <c:pt idx="445">
                  <c:v>1420</c:v>
                </c:pt>
                <c:pt idx="446">
                  <c:v>1420</c:v>
                </c:pt>
                <c:pt idx="447">
                  <c:v>1420</c:v>
                </c:pt>
                <c:pt idx="448">
                  <c:v>1420</c:v>
                </c:pt>
                <c:pt idx="449">
                  <c:v>1420</c:v>
                </c:pt>
                <c:pt idx="450">
                  <c:v>1420</c:v>
                </c:pt>
                <c:pt idx="451">
                  <c:v>1420</c:v>
                </c:pt>
                <c:pt idx="452">
                  <c:v>1420</c:v>
                </c:pt>
                <c:pt idx="453">
                  <c:v>1420</c:v>
                </c:pt>
                <c:pt idx="454">
                  <c:v>1420</c:v>
                </c:pt>
                <c:pt idx="455">
                  <c:v>1420</c:v>
                </c:pt>
                <c:pt idx="456">
                  <c:v>1420</c:v>
                </c:pt>
                <c:pt idx="457">
                  <c:v>1420</c:v>
                </c:pt>
                <c:pt idx="458">
                  <c:v>1420</c:v>
                </c:pt>
                <c:pt idx="459">
                  <c:v>1420</c:v>
                </c:pt>
                <c:pt idx="460">
                  <c:v>1420</c:v>
                </c:pt>
                <c:pt idx="461">
                  <c:v>1420</c:v>
                </c:pt>
                <c:pt idx="462">
                  <c:v>1420</c:v>
                </c:pt>
                <c:pt idx="463">
                  <c:v>1420</c:v>
                </c:pt>
                <c:pt idx="464">
                  <c:v>1420</c:v>
                </c:pt>
                <c:pt idx="465">
                  <c:v>1420</c:v>
                </c:pt>
                <c:pt idx="466">
                  <c:v>1420</c:v>
                </c:pt>
                <c:pt idx="467">
                  <c:v>1420</c:v>
                </c:pt>
                <c:pt idx="468">
                  <c:v>1420</c:v>
                </c:pt>
                <c:pt idx="469">
                  <c:v>1420</c:v>
                </c:pt>
                <c:pt idx="470">
                  <c:v>1420</c:v>
                </c:pt>
                <c:pt idx="471">
                  <c:v>1420</c:v>
                </c:pt>
                <c:pt idx="472">
                  <c:v>1420</c:v>
                </c:pt>
                <c:pt idx="473">
                  <c:v>1420</c:v>
                </c:pt>
                <c:pt idx="474">
                  <c:v>1420</c:v>
                </c:pt>
                <c:pt idx="475">
                  <c:v>1420</c:v>
                </c:pt>
                <c:pt idx="476">
                  <c:v>1420</c:v>
                </c:pt>
                <c:pt idx="477">
                  <c:v>1420</c:v>
                </c:pt>
                <c:pt idx="478">
                  <c:v>1420</c:v>
                </c:pt>
                <c:pt idx="479">
                  <c:v>1420</c:v>
                </c:pt>
                <c:pt idx="480">
                  <c:v>1420</c:v>
                </c:pt>
                <c:pt idx="481">
                  <c:v>1420</c:v>
                </c:pt>
                <c:pt idx="482">
                  <c:v>1420</c:v>
                </c:pt>
                <c:pt idx="483">
                  <c:v>1420</c:v>
                </c:pt>
                <c:pt idx="484">
                  <c:v>1420</c:v>
                </c:pt>
                <c:pt idx="485">
                  <c:v>1420</c:v>
                </c:pt>
                <c:pt idx="486">
                  <c:v>1420</c:v>
                </c:pt>
                <c:pt idx="487">
                  <c:v>1420</c:v>
                </c:pt>
                <c:pt idx="488">
                  <c:v>1420</c:v>
                </c:pt>
                <c:pt idx="489">
                  <c:v>1420</c:v>
                </c:pt>
                <c:pt idx="490">
                  <c:v>1420</c:v>
                </c:pt>
                <c:pt idx="491">
                  <c:v>1420</c:v>
                </c:pt>
                <c:pt idx="492">
                  <c:v>1420</c:v>
                </c:pt>
                <c:pt idx="493">
                  <c:v>1420</c:v>
                </c:pt>
                <c:pt idx="494">
                  <c:v>1420</c:v>
                </c:pt>
                <c:pt idx="495">
                  <c:v>1420</c:v>
                </c:pt>
                <c:pt idx="496">
                  <c:v>1420</c:v>
                </c:pt>
                <c:pt idx="497">
                  <c:v>1420</c:v>
                </c:pt>
                <c:pt idx="498">
                  <c:v>1420</c:v>
                </c:pt>
                <c:pt idx="499">
                  <c:v>1420</c:v>
                </c:pt>
                <c:pt idx="500">
                  <c:v>1420</c:v>
                </c:pt>
                <c:pt idx="501">
                  <c:v>1420</c:v>
                </c:pt>
                <c:pt idx="502">
                  <c:v>1420</c:v>
                </c:pt>
                <c:pt idx="503">
                  <c:v>1420</c:v>
                </c:pt>
                <c:pt idx="504">
                  <c:v>1420</c:v>
                </c:pt>
                <c:pt idx="505">
                  <c:v>1420</c:v>
                </c:pt>
                <c:pt idx="506">
                  <c:v>1420</c:v>
                </c:pt>
                <c:pt idx="507">
                  <c:v>1420</c:v>
                </c:pt>
                <c:pt idx="508">
                  <c:v>1420</c:v>
                </c:pt>
                <c:pt idx="509">
                  <c:v>1420</c:v>
                </c:pt>
                <c:pt idx="510">
                  <c:v>1420</c:v>
                </c:pt>
                <c:pt idx="511">
                  <c:v>1420</c:v>
                </c:pt>
                <c:pt idx="512">
                  <c:v>1420</c:v>
                </c:pt>
                <c:pt idx="513">
                  <c:v>1420</c:v>
                </c:pt>
                <c:pt idx="514">
                  <c:v>1420</c:v>
                </c:pt>
                <c:pt idx="515">
                  <c:v>1420</c:v>
                </c:pt>
                <c:pt idx="516">
                  <c:v>1420</c:v>
                </c:pt>
                <c:pt idx="517">
                  <c:v>1420</c:v>
                </c:pt>
                <c:pt idx="518">
                  <c:v>1420</c:v>
                </c:pt>
                <c:pt idx="519">
                  <c:v>1420</c:v>
                </c:pt>
                <c:pt idx="520">
                  <c:v>1420</c:v>
                </c:pt>
                <c:pt idx="521">
                  <c:v>1420</c:v>
                </c:pt>
                <c:pt idx="522">
                  <c:v>1420</c:v>
                </c:pt>
                <c:pt idx="523">
                  <c:v>1420</c:v>
                </c:pt>
                <c:pt idx="524">
                  <c:v>1420</c:v>
                </c:pt>
                <c:pt idx="525">
                  <c:v>1420</c:v>
                </c:pt>
                <c:pt idx="526">
                  <c:v>1420</c:v>
                </c:pt>
                <c:pt idx="527">
                  <c:v>1420</c:v>
                </c:pt>
                <c:pt idx="528">
                  <c:v>1420</c:v>
                </c:pt>
                <c:pt idx="529">
                  <c:v>1420</c:v>
                </c:pt>
                <c:pt idx="530">
                  <c:v>1420</c:v>
                </c:pt>
                <c:pt idx="531">
                  <c:v>1420</c:v>
                </c:pt>
                <c:pt idx="532">
                  <c:v>1420</c:v>
                </c:pt>
                <c:pt idx="533">
                  <c:v>1420</c:v>
                </c:pt>
                <c:pt idx="534">
                  <c:v>1420</c:v>
                </c:pt>
                <c:pt idx="535">
                  <c:v>1420</c:v>
                </c:pt>
                <c:pt idx="536">
                  <c:v>1420</c:v>
                </c:pt>
                <c:pt idx="537">
                  <c:v>1420</c:v>
                </c:pt>
                <c:pt idx="538">
                  <c:v>1420</c:v>
                </c:pt>
                <c:pt idx="539">
                  <c:v>1420</c:v>
                </c:pt>
                <c:pt idx="540">
                  <c:v>1420</c:v>
                </c:pt>
                <c:pt idx="541">
                  <c:v>1420</c:v>
                </c:pt>
                <c:pt idx="542">
                  <c:v>1420</c:v>
                </c:pt>
                <c:pt idx="543">
                  <c:v>1420</c:v>
                </c:pt>
                <c:pt idx="544">
                  <c:v>1420</c:v>
                </c:pt>
                <c:pt idx="545">
                  <c:v>1420</c:v>
                </c:pt>
                <c:pt idx="546">
                  <c:v>1420</c:v>
                </c:pt>
                <c:pt idx="547">
                  <c:v>1420</c:v>
                </c:pt>
                <c:pt idx="548">
                  <c:v>1420</c:v>
                </c:pt>
                <c:pt idx="549">
                  <c:v>1420</c:v>
                </c:pt>
                <c:pt idx="550">
                  <c:v>1420</c:v>
                </c:pt>
                <c:pt idx="551">
                  <c:v>1420</c:v>
                </c:pt>
                <c:pt idx="552">
                  <c:v>1420</c:v>
                </c:pt>
                <c:pt idx="553">
                  <c:v>1420</c:v>
                </c:pt>
                <c:pt idx="554">
                  <c:v>1420</c:v>
                </c:pt>
                <c:pt idx="555">
                  <c:v>1420</c:v>
                </c:pt>
                <c:pt idx="556">
                  <c:v>1420</c:v>
                </c:pt>
                <c:pt idx="557">
                  <c:v>1420</c:v>
                </c:pt>
                <c:pt idx="558">
                  <c:v>1420</c:v>
                </c:pt>
                <c:pt idx="559">
                  <c:v>1420</c:v>
                </c:pt>
                <c:pt idx="560">
                  <c:v>1420</c:v>
                </c:pt>
                <c:pt idx="561">
                  <c:v>1420</c:v>
                </c:pt>
                <c:pt idx="562">
                  <c:v>1420</c:v>
                </c:pt>
                <c:pt idx="563">
                  <c:v>1420</c:v>
                </c:pt>
                <c:pt idx="564">
                  <c:v>1420</c:v>
                </c:pt>
                <c:pt idx="565">
                  <c:v>1420</c:v>
                </c:pt>
                <c:pt idx="566">
                  <c:v>1420</c:v>
                </c:pt>
                <c:pt idx="567">
                  <c:v>1420</c:v>
                </c:pt>
                <c:pt idx="568">
                  <c:v>1420</c:v>
                </c:pt>
                <c:pt idx="569">
                  <c:v>1420</c:v>
                </c:pt>
                <c:pt idx="570">
                  <c:v>1420</c:v>
                </c:pt>
                <c:pt idx="571">
                  <c:v>1420</c:v>
                </c:pt>
                <c:pt idx="572">
                  <c:v>1420</c:v>
                </c:pt>
                <c:pt idx="573">
                  <c:v>1420</c:v>
                </c:pt>
                <c:pt idx="574">
                  <c:v>1420</c:v>
                </c:pt>
                <c:pt idx="575">
                  <c:v>1420</c:v>
                </c:pt>
                <c:pt idx="576">
                  <c:v>1420</c:v>
                </c:pt>
                <c:pt idx="577">
                  <c:v>1420</c:v>
                </c:pt>
                <c:pt idx="578">
                  <c:v>1420</c:v>
                </c:pt>
                <c:pt idx="579">
                  <c:v>1420</c:v>
                </c:pt>
                <c:pt idx="580">
                  <c:v>1420</c:v>
                </c:pt>
                <c:pt idx="581">
                  <c:v>1420</c:v>
                </c:pt>
                <c:pt idx="582">
                  <c:v>1420</c:v>
                </c:pt>
                <c:pt idx="583">
                  <c:v>1420</c:v>
                </c:pt>
                <c:pt idx="584">
                  <c:v>1420</c:v>
                </c:pt>
                <c:pt idx="585">
                  <c:v>1420</c:v>
                </c:pt>
                <c:pt idx="586">
                  <c:v>1420</c:v>
                </c:pt>
                <c:pt idx="587">
                  <c:v>1420</c:v>
                </c:pt>
                <c:pt idx="588">
                  <c:v>1420</c:v>
                </c:pt>
                <c:pt idx="589">
                  <c:v>1420</c:v>
                </c:pt>
                <c:pt idx="590">
                  <c:v>1420</c:v>
                </c:pt>
                <c:pt idx="591">
                  <c:v>1420</c:v>
                </c:pt>
                <c:pt idx="592">
                  <c:v>1420</c:v>
                </c:pt>
                <c:pt idx="593">
                  <c:v>1420</c:v>
                </c:pt>
                <c:pt idx="594">
                  <c:v>1420</c:v>
                </c:pt>
                <c:pt idx="595">
                  <c:v>1420</c:v>
                </c:pt>
                <c:pt idx="596">
                  <c:v>1420</c:v>
                </c:pt>
                <c:pt idx="597">
                  <c:v>1420</c:v>
                </c:pt>
                <c:pt idx="598">
                  <c:v>1420</c:v>
                </c:pt>
                <c:pt idx="599">
                  <c:v>1420</c:v>
                </c:pt>
                <c:pt idx="600">
                  <c:v>1420</c:v>
                </c:pt>
                <c:pt idx="601">
                  <c:v>1420</c:v>
                </c:pt>
                <c:pt idx="602">
                  <c:v>1420</c:v>
                </c:pt>
                <c:pt idx="603">
                  <c:v>1420</c:v>
                </c:pt>
                <c:pt idx="604">
                  <c:v>1420</c:v>
                </c:pt>
                <c:pt idx="605">
                  <c:v>1420</c:v>
                </c:pt>
                <c:pt idx="606">
                  <c:v>1420</c:v>
                </c:pt>
                <c:pt idx="607">
                  <c:v>1420</c:v>
                </c:pt>
                <c:pt idx="608">
                  <c:v>1420</c:v>
                </c:pt>
                <c:pt idx="609">
                  <c:v>1420</c:v>
                </c:pt>
                <c:pt idx="610">
                  <c:v>1420</c:v>
                </c:pt>
                <c:pt idx="611">
                  <c:v>1420</c:v>
                </c:pt>
                <c:pt idx="612">
                  <c:v>1420</c:v>
                </c:pt>
                <c:pt idx="613">
                  <c:v>1420</c:v>
                </c:pt>
                <c:pt idx="614">
                  <c:v>1420</c:v>
                </c:pt>
                <c:pt idx="615">
                  <c:v>1420</c:v>
                </c:pt>
                <c:pt idx="616">
                  <c:v>1420</c:v>
                </c:pt>
                <c:pt idx="617">
                  <c:v>1420</c:v>
                </c:pt>
                <c:pt idx="618">
                  <c:v>1420</c:v>
                </c:pt>
                <c:pt idx="619">
                  <c:v>1420</c:v>
                </c:pt>
                <c:pt idx="620">
                  <c:v>1420</c:v>
                </c:pt>
                <c:pt idx="621">
                  <c:v>1420</c:v>
                </c:pt>
                <c:pt idx="622">
                  <c:v>1420</c:v>
                </c:pt>
                <c:pt idx="623">
                  <c:v>1420</c:v>
                </c:pt>
                <c:pt idx="624">
                  <c:v>1420</c:v>
                </c:pt>
                <c:pt idx="625">
                  <c:v>1420</c:v>
                </c:pt>
                <c:pt idx="626">
                  <c:v>1420</c:v>
                </c:pt>
                <c:pt idx="627">
                  <c:v>1420</c:v>
                </c:pt>
                <c:pt idx="628">
                  <c:v>1420</c:v>
                </c:pt>
                <c:pt idx="629">
                  <c:v>1420</c:v>
                </c:pt>
                <c:pt idx="630">
                  <c:v>1420</c:v>
                </c:pt>
                <c:pt idx="631">
                  <c:v>1420</c:v>
                </c:pt>
                <c:pt idx="632">
                  <c:v>1420</c:v>
                </c:pt>
                <c:pt idx="633">
                  <c:v>1420</c:v>
                </c:pt>
                <c:pt idx="634">
                  <c:v>1420</c:v>
                </c:pt>
                <c:pt idx="635">
                  <c:v>1420</c:v>
                </c:pt>
                <c:pt idx="636">
                  <c:v>1420</c:v>
                </c:pt>
                <c:pt idx="637">
                  <c:v>1420</c:v>
                </c:pt>
                <c:pt idx="638">
                  <c:v>1420</c:v>
                </c:pt>
                <c:pt idx="639">
                  <c:v>1420</c:v>
                </c:pt>
                <c:pt idx="640">
                  <c:v>1420</c:v>
                </c:pt>
                <c:pt idx="641">
                  <c:v>1420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B-4C79-9D2C-A12729157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05920"/>
        <c:axId val="187175424"/>
      </c:lineChart>
      <c:lineChart>
        <c:grouping val="standard"/>
        <c:varyColors val="0"/>
        <c:ser>
          <c:idx val="2"/>
          <c:order val="2"/>
          <c:tx>
            <c:strRef>
              <c:f>三门峡!$E$1</c:f>
              <c:strCache>
                <c:ptCount val="1"/>
                <c:pt idx="0">
                  <c:v>水位</c:v>
                </c:pt>
              </c:strCache>
            </c:strRef>
          </c:tx>
          <c:marker>
            <c:symbol val="none"/>
          </c:marker>
          <c:val>
            <c:numRef>
              <c:f>三门峡!$E$2:$E$746</c:f>
              <c:numCache>
                <c:formatCode>General</c:formatCode>
                <c:ptCount val="745"/>
                <c:pt idx="0">
                  <c:v>295</c:v>
                </c:pt>
                <c:pt idx="1">
                  <c:v>295</c:v>
                </c:pt>
                <c:pt idx="2">
                  <c:v>295</c:v>
                </c:pt>
                <c:pt idx="3">
                  <c:v>295</c:v>
                </c:pt>
                <c:pt idx="4">
                  <c:v>295</c:v>
                </c:pt>
                <c:pt idx="5">
                  <c:v>295</c:v>
                </c:pt>
                <c:pt idx="6">
                  <c:v>295</c:v>
                </c:pt>
                <c:pt idx="7">
                  <c:v>295</c:v>
                </c:pt>
                <c:pt idx="8">
                  <c:v>295</c:v>
                </c:pt>
                <c:pt idx="9">
                  <c:v>295</c:v>
                </c:pt>
                <c:pt idx="10">
                  <c:v>295</c:v>
                </c:pt>
                <c:pt idx="11">
                  <c:v>295</c:v>
                </c:pt>
                <c:pt idx="12">
                  <c:v>295</c:v>
                </c:pt>
                <c:pt idx="13">
                  <c:v>295</c:v>
                </c:pt>
                <c:pt idx="14">
                  <c:v>295</c:v>
                </c:pt>
                <c:pt idx="15">
                  <c:v>295</c:v>
                </c:pt>
                <c:pt idx="16">
                  <c:v>295</c:v>
                </c:pt>
                <c:pt idx="17">
                  <c:v>295</c:v>
                </c:pt>
                <c:pt idx="18">
                  <c:v>295</c:v>
                </c:pt>
                <c:pt idx="19">
                  <c:v>295</c:v>
                </c:pt>
                <c:pt idx="20">
                  <c:v>295</c:v>
                </c:pt>
                <c:pt idx="21">
                  <c:v>295</c:v>
                </c:pt>
                <c:pt idx="22">
                  <c:v>295</c:v>
                </c:pt>
                <c:pt idx="23">
                  <c:v>295</c:v>
                </c:pt>
                <c:pt idx="24">
                  <c:v>295</c:v>
                </c:pt>
                <c:pt idx="25">
                  <c:v>295</c:v>
                </c:pt>
                <c:pt idx="26">
                  <c:v>295</c:v>
                </c:pt>
                <c:pt idx="27">
                  <c:v>295</c:v>
                </c:pt>
                <c:pt idx="28">
                  <c:v>295</c:v>
                </c:pt>
                <c:pt idx="29">
                  <c:v>295</c:v>
                </c:pt>
                <c:pt idx="30">
                  <c:v>295</c:v>
                </c:pt>
                <c:pt idx="31">
                  <c:v>295</c:v>
                </c:pt>
                <c:pt idx="32">
                  <c:v>295</c:v>
                </c:pt>
                <c:pt idx="33">
                  <c:v>295</c:v>
                </c:pt>
                <c:pt idx="34">
                  <c:v>295</c:v>
                </c:pt>
                <c:pt idx="35">
                  <c:v>295</c:v>
                </c:pt>
                <c:pt idx="36">
                  <c:v>295</c:v>
                </c:pt>
                <c:pt idx="37">
                  <c:v>295</c:v>
                </c:pt>
                <c:pt idx="38">
                  <c:v>295</c:v>
                </c:pt>
                <c:pt idx="39">
                  <c:v>295</c:v>
                </c:pt>
                <c:pt idx="40">
                  <c:v>295</c:v>
                </c:pt>
                <c:pt idx="41">
                  <c:v>295</c:v>
                </c:pt>
                <c:pt idx="42">
                  <c:v>295</c:v>
                </c:pt>
                <c:pt idx="43">
                  <c:v>295</c:v>
                </c:pt>
                <c:pt idx="44">
                  <c:v>295</c:v>
                </c:pt>
                <c:pt idx="45">
                  <c:v>295</c:v>
                </c:pt>
                <c:pt idx="46">
                  <c:v>295</c:v>
                </c:pt>
                <c:pt idx="47">
                  <c:v>295</c:v>
                </c:pt>
                <c:pt idx="48">
                  <c:v>295</c:v>
                </c:pt>
                <c:pt idx="49">
                  <c:v>295</c:v>
                </c:pt>
                <c:pt idx="50">
                  <c:v>295</c:v>
                </c:pt>
                <c:pt idx="51">
                  <c:v>295</c:v>
                </c:pt>
                <c:pt idx="52">
                  <c:v>295</c:v>
                </c:pt>
                <c:pt idx="53">
                  <c:v>295</c:v>
                </c:pt>
                <c:pt idx="54">
                  <c:v>295</c:v>
                </c:pt>
                <c:pt idx="55">
                  <c:v>295</c:v>
                </c:pt>
                <c:pt idx="56">
                  <c:v>295</c:v>
                </c:pt>
                <c:pt idx="57">
                  <c:v>295</c:v>
                </c:pt>
                <c:pt idx="58">
                  <c:v>295</c:v>
                </c:pt>
                <c:pt idx="59">
                  <c:v>295</c:v>
                </c:pt>
                <c:pt idx="60">
                  <c:v>295</c:v>
                </c:pt>
                <c:pt idx="61">
                  <c:v>295</c:v>
                </c:pt>
                <c:pt idx="62">
                  <c:v>295</c:v>
                </c:pt>
                <c:pt idx="63">
                  <c:v>295</c:v>
                </c:pt>
                <c:pt idx="64">
                  <c:v>295</c:v>
                </c:pt>
                <c:pt idx="65">
                  <c:v>295</c:v>
                </c:pt>
                <c:pt idx="66">
                  <c:v>295</c:v>
                </c:pt>
                <c:pt idx="67">
                  <c:v>295</c:v>
                </c:pt>
                <c:pt idx="68">
                  <c:v>295</c:v>
                </c:pt>
                <c:pt idx="69">
                  <c:v>295</c:v>
                </c:pt>
                <c:pt idx="70">
                  <c:v>295</c:v>
                </c:pt>
                <c:pt idx="71">
                  <c:v>295</c:v>
                </c:pt>
                <c:pt idx="72">
                  <c:v>295</c:v>
                </c:pt>
                <c:pt idx="73">
                  <c:v>295</c:v>
                </c:pt>
                <c:pt idx="74">
                  <c:v>295</c:v>
                </c:pt>
                <c:pt idx="75">
                  <c:v>295</c:v>
                </c:pt>
                <c:pt idx="76">
                  <c:v>295</c:v>
                </c:pt>
                <c:pt idx="77">
                  <c:v>295</c:v>
                </c:pt>
                <c:pt idx="78">
                  <c:v>295</c:v>
                </c:pt>
                <c:pt idx="79">
                  <c:v>295</c:v>
                </c:pt>
                <c:pt idx="80">
                  <c:v>295</c:v>
                </c:pt>
                <c:pt idx="81">
                  <c:v>295</c:v>
                </c:pt>
                <c:pt idx="82">
                  <c:v>295</c:v>
                </c:pt>
                <c:pt idx="83">
                  <c:v>295</c:v>
                </c:pt>
                <c:pt idx="84">
                  <c:v>295</c:v>
                </c:pt>
                <c:pt idx="85">
                  <c:v>295</c:v>
                </c:pt>
                <c:pt idx="86">
                  <c:v>295</c:v>
                </c:pt>
                <c:pt idx="87">
                  <c:v>295</c:v>
                </c:pt>
                <c:pt idx="88">
                  <c:v>295</c:v>
                </c:pt>
                <c:pt idx="89">
                  <c:v>295</c:v>
                </c:pt>
                <c:pt idx="90">
                  <c:v>295</c:v>
                </c:pt>
                <c:pt idx="91">
                  <c:v>295</c:v>
                </c:pt>
                <c:pt idx="92">
                  <c:v>295</c:v>
                </c:pt>
                <c:pt idx="93">
                  <c:v>295</c:v>
                </c:pt>
                <c:pt idx="94">
                  <c:v>295</c:v>
                </c:pt>
                <c:pt idx="95">
                  <c:v>295</c:v>
                </c:pt>
                <c:pt idx="96">
                  <c:v>295</c:v>
                </c:pt>
                <c:pt idx="97">
                  <c:v>295</c:v>
                </c:pt>
                <c:pt idx="98">
                  <c:v>295</c:v>
                </c:pt>
                <c:pt idx="99">
                  <c:v>295</c:v>
                </c:pt>
                <c:pt idx="100">
                  <c:v>295</c:v>
                </c:pt>
                <c:pt idx="101">
                  <c:v>295</c:v>
                </c:pt>
                <c:pt idx="102">
                  <c:v>295</c:v>
                </c:pt>
                <c:pt idx="103">
                  <c:v>295</c:v>
                </c:pt>
                <c:pt idx="104">
                  <c:v>295</c:v>
                </c:pt>
                <c:pt idx="105">
                  <c:v>295</c:v>
                </c:pt>
                <c:pt idx="106">
                  <c:v>295</c:v>
                </c:pt>
                <c:pt idx="107">
                  <c:v>295</c:v>
                </c:pt>
                <c:pt idx="108">
                  <c:v>295</c:v>
                </c:pt>
                <c:pt idx="109">
                  <c:v>295</c:v>
                </c:pt>
                <c:pt idx="110">
                  <c:v>295</c:v>
                </c:pt>
                <c:pt idx="111">
                  <c:v>295</c:v>
                </c:pt>
                <c:pt idx="112">
                  <c:v>295</c:v>
                </c:pt>
                <c:pt idx="113">
                  <c:v>295</c:v>
                </c:pt>
                <c:pt idx="114">
                  <c:v>295</c:v>
                </c:pt>
                <c:pt idx="115">
                  <c:v>295</c:v>
                </c:pt>
                <c:pt idx="116">
                  <c:v>295</c:v>
                </c:pt>
                <c:pt idx="117">
                  <c:v>295</c:v>
                </c:pt>
                <c:pt idx="118">
                  <c:v>295</c:v>
                </c:pt>
                <c:pt idx="119">
                  <c:v>295</c:v>
                </c:pt>
                <c:pt idx="120">
                  <c:v>295</c:v>
                </c:pt>
                <c:pt idx="121">
                  <c:v>295</c:v>
                </c:pt>
                <c:pt idx="122">
                  <c:v>295</c:v>
                </c:pt>
                <c:pt idx="123">
                  <c:v>295</c:v>
                </c:pt>
                <c:pt idx="124">
                  <c:v>295</c:v>
                </c:pt>
                <c:pt idx="125">
                  <c:v>295</c:v>
                </c:pt>
                <c:pt idx="126">
                  <c:v>295</c:v>
                </c:pt>
                <c:pt idx="127">
                  <c:v>295</c:v>
                </c:pt>
                <c:pt idx="128">
                  <c:v>295</c:v>
                </c:pt>
                <c:pt idx="129">
                  <c:v>295</c:v>
                </c:pt>
                <c:pt idx="130">
                  <c:v>295</c:v>
                </c:pt>
                <c:pt idx="131">
                  <c:v>295</c:v>
                </c:pt>
                <c:pt idx="132">
                  <c:v>295</c:v>
                </c:pt>
                <c:pt idx="133">
                  <c:v>295</c:v>
                </c:pt>
                <c:pt idx="134">
                  <c:v>295</c:v>
                </c:pt>
                <c:pt idx="135">
                  <c:v>295</c:v>
                </c:pt>
                <c:pt idx="136">
                  <c:v>295</c:v>
                </c:pt>
                <c:pt idx="137">
                  <c:v>295</c:v>
                </c:pt>
                <c:pt idx="138">
                  <c:v>295</c:v>
                </c:pt>
                <c:pt idx="139">
                  <c:v>295</c:v>
                </c:pt>
                <c:pt idx="140">
                  <c:v>295</c:v>
                </c:pt>
                <c:pt idx="141">
                  <c:v>295</c:v>
                </c:pt>
                <c:pt idx="142">
                  <c:v>295</c:v>
                </c:pt>
                <c:pt idx="143">
                  <c:v>295</c:v>
                </c:pt>
                <c:pt idx="144">
                  <c:v>295</c:v>
                </c:pt>
                <c:pt idx="145">
                  <c:v>295</c:v>
                </c:pt>
                <c:pt idx="146">
                  <c:v>295</c:v>
                </c:pt>
                <c:pt idx="147">
                  <c:v>295</c:v>
                </c:pt>
                <c:pt idx="148">
                  <c:v>295</c:v>
                </c:pt>
                <c:pt idx="149">
                  <c:v>295</c:v>
                </c:pt>
                <c:pt idx="150">
                  <c:v>295</c:v>
                </c:pt>
                <c:pt idx="151">
                  <c:v>295</c:v>
                </c:pt>
                <c:pt idx="152">
                  <c:v>295</c:v>
                </c:pt>
                <c:pt idx="153">
                  <c:v>295</c:v>
                </c:pt>
                <c:pt idx="154">
                  <c:v>295</c:v>
                </c:pt>
                <c:pt idx="155">
                  <c:v>295</c:v>
                </c:pt>
                <c:pt idx="156">
                  <c:v>295</c:v>
                </c:pt>
                <c:pt idx="157">
                  <c:v>295</c:v>
                </c:pt>
                <c:pt idx="158">
                  <c:v>295</c:v>
                </c:pt>
                <c:pt idx="159">
                  <c:v>295</c:v>
                </c:pt>
                <c:pt idx="160">
                  <c:v>295</c:v>
                </c:pt>
                <c:pt idx="161">
                  <c:v>295</c:v>
                </c:pt>
                <c:pt idx="162">
                  <c:v>295</c:v>
                </c:pt>
                <c:pt idx="163">
                  <c:v>295</c:v>
                </c:pt>
                <c:pt idx="164">
                  <c:v>295</c:v>
                </c:pt>
                <c:pt idx="165">
                  <c:v>295</c:v>
                </c:pt>
                <c:pt idx="166">
                  <c:v>295</c:v>
                </c:pt>
                <c:pt idx="167">
                  <c:v>295</c:v>
                </c:pt>
                <c:pt idx="168">
                  <c:v>295</c:v>
                </c:pt>
                <c:pt idx="169">
                  <c:v>295</c:v>
                </c:pt>
                <c:pt idx="170">
                  <c:v>295</c:v>
                </c:pt>
                <c:pt idx="171">
                  <c:v>295</c:v>
                </c:pt>
                <c:pt idx="172">
                  <c:v>295</c:v>
                </c:pt>
                <c:pt idx="173">
                  <c:v>295</c:v>
                </c:pt>
                <c:pt idx="174">
                  <c:v>295</c:v>
                </c:pt>
                <c:pt idx="175">
                  <c:v>295</c:v>
                </c:pt>
                <c:pt idx="176">
                  <c:v>295</c:v>
                </c:pt>
                <c:pt idx="177">
                  <c:v>295</c:v>
                </c:pt>
                <c:pt idx="178">
                  <c:v>295</c:v>
                </c:pt>
                <c:pt idx="179">
                  <c:v>295</c:v>
                </c:pt>
                <c:pt idx="180">
                  <c:v>295</c:v>
                </c:pt>
                <c:pt idx="181">
                  <c:v>295</c:v>
                </c:pt>
                <c:pt idx="182">
                  <c:v>295</c:v>
                </c:pt>
                <c:pt idx="183">
                  <c:v>295</c:v>
                </c:pt>
                <c:pt idx="184">
                  <c:v>295</c:v>
                </c:pt>
                <c:pt idx="185">
                  <c:v>295</c:v>
                </c:pt>
                <c:pt idx="186">
                  <c:v>295</c:v>
                </c:pt>
                <c:pt idx="187">
                  <c:v>295</c:v>
                </c:pt>
                <c:pt idx="188">
                  <c:v>295</c:v>
                </c:pt>
                <c:pt idx="189">
                  <c:v>295</c:v>
                </c:pt>
                <c:pt idx="190">
                  <c:v>295</c:v>
                </c:pt>
                <c:pt idx="191">
                  <c:v>295</c:v>
                </c:pt>
                <c:pt idx="192">
                  <c:v>295</c:v>
                </c:pt>
                <c:pt idx="193">
                  <c:v>295</c:v>
                </c:pt>
                <c:pt idx="194">
                  <c:v>295</c:v>
                </c:pt>
                <c:pt idx="195">
                  <c:v>295</c:v>
                </c:pt>
                <c:pt idx="196">
                  <c:v>295</c:v>
                </c:pt>
                <c:pt idx="197">
                  <c:v>295</c:v>
                </c:pt>
                <c:pt idx="198">
                  <c:v>295</c:v>
                </c:pt>
                <c:pt idx="199">
                  <c:v>295</c:v>
                </c:pt>
                <c:pt idx="200">
                  <c:v>295</c:v>
                </c:pt>
                <c:pt idx="201">
                  <c:v>295</c:v>
                </c:pt>
                <c:pt idx="202">
                  <c:v>295</c:v>
                </c:pt>
                <c:pt idx="203">
                  <c:v>295</c:v>
                </c:pt>
                <c:pt idx="204">
                  <c:v>295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295</c:v>
                </c:pt>
                <c:pt idx="213">
                  <c:v>295</c:v>
                </c:pt>
                <c:pt idx="214">
                  <c:v>295</c:v>
                </c:pt>
                <c:pt idx="215">
                  <c:v>295</c:v>
                </c:pt>
                <c:pt idx="216">
                  <c:v>295</c:v>
                </c:pt>
                <c:pt idx="217">
                  <c:v>295</c:v>
                </c:pt>
                <c:pt idx="218">
                  <c:v>295</c:v>
                </c:pt>
                <c:pt idx="219">
                  <c:v>295</c:v>
                </c:pt>
                <c:pt idx="220">
                  <c:v>295</c:v>
                </c:pt>
                <c:pt idx="221">
                  <c:v>295</c:v>
                </c:pt>
                <c:pt idx="222">
                  <c:v>295</c:v>
                </c:pt>
                <c:pt idx="223">
                  <c:v>295</c:v>
                </c:pt>
                <c:pt idx="224">
                  <c:v>295</c:v>
                </c:pt>
                <c:pt idx="225">
                  <c:v>295</c:v>
                </c:pt>
                <c:pt idx="226">
                  <c:v>295</c:v>
                </c:pt>
                <c:pt idx="227">
                  <c:v>295</c:v>
                </c:pt>
                <c:pt idx="228">
                  <c:v>295</c:v>
                </c:pt>
                <c:pt idx="229">
                  <c:v>295</c:v>
                </c:pt>
                <c:pt idx="230">
                  <c:v>295</c:v>
                </c:pt>
                <c:pt idx="231">
                  <c:v>295</c:v>
                </c:pt>
                <c:pt idx="232">
                  <c:v>295</c:v>
                </c:pt>
                <c:pt idx="233">
                  <c:v>295</c:v>
                </c:pt>
                <c:pt idx="234">
                  <c:v>295</c:v>
                </c:pt>
                <c:pt idx="235">
                  <c:v>295</c:v>
                </c:pt>
                <c:pt idx="236">
                  <c:v>295</c:v>
                </c:pt>
                <c:pt idx="237">
                  <c:v>295</c:v>
                </c:pt>
                <c:pt idx="238">
                  <c:v>295</c:v>
                </c:pt>
                <c:pt idx="239">
                  <c:v>295</c:v>
                </c:pt>
                <c:pt idx="240">
                  <c:v>295</c:v>
                </c:pt>
                <c:pt idx="241">
                  <c:v>295</c:v>
                </c:pt>
                <c:pt idx="242">
                  <c:v>295</c:v>
                </c:pt>
                <c:pt idx="243">
                  <c:v>295</c:v>
                </c:pt>
                <c:pt idx="244">
                  <c:v>295</c:v>
                </c:pt>
                <c:pt idx="245">
                  <c:v>295</c:v>
                </c:pt>
                <c:pt idx="246">
                  <c:v>295</c:v>
                </c:pt>
                <c:pt idx="247">
                  <c:v>295</c:v>
                </c:pt>
                <c:pt idx="248">
                  <c:v>295</c:v>
                </c:pt>
                <c:pt idx="249">
                  <c:v>295</c:v>
                </c:pt>
                <c:pt idx="250">
                  <c:v>295</c:v>
                </c:pt>
                <c:pt idx="251">
                  <c:v>295</c:v>
                </c:pt>
                <c:pt idx="252">
                  <c:v>295</c:v>
                </c:pt>
                <c:pt idx="253">
                  <c:v>295</c:v>
                </c:pt>
                <c:pt idx="254">
                  <c:v>295</c:v>
                </c:pt>
                <c:pt idx="255">
                  <c:v>295</c:v>
                </c:pt>
                <c:pt idx="256">
                  <c:v>295</c:v>
                </c:pt>
                <c:pt idx="257">
                  <c:v>295</c:v>
                </c:pt>
                <c:pt idx="258">
                  <c:v>295</c:v>
                </c:pt>
                <c:pt idx="259">
                  <c:v>295</c:v>
                </c:pt>
                <c:pt idx="260">
                  <c:v>295</c:v>
                </c:pt>
                <c:pt idx="261">
                  <c:v>295</c:v>
                </c:pt>
                <c:pt idx="262">
                  <c:v>295</c:v>
                </c:pt>
                <c:pt idx="263">
                  <c:v>295</c:v>
                </c:pt>
                <c:pt idx="264">
                  <c:v>295</c:v>
                </c:pt>
                <c:pt idx="265">
                  <c:v>295</c:v>
                </c:pt>
                <c:pt idx="266">
                  <c:v>295</c:v>
                </c:pt>
                <c:pt idx="267">
                  <c:v>295</c:v>
                </c:pt>
                <c:pt idx="268">
                  <c:v>295</c:v>
                </c:pt>
                <c:pt idx="269">
                  <c:v>295</c:v>
                </c:pt>
                <c:pt idx="270">
                  <c:v>295</c:v>
                </c:pt>
                <c:pt idx="271">
                  <c:v>295</c:v>
                </c:pt>
                <c:pt idx="272">
                  <c:v>295</c:v>
                </c:pt>
                <c:pt idx="273">
                  <c:v>295</c:v>
                </c:pt>
                <c:pt idx="274">
                  <c:v>295</c:v>
                </c:pt>
                <c:pt idx="275">
                  <c:v>295</c:v>
                </c:pt>
                <c:pt idx="276">
                  <c:v>295</c:v>
                </c:pt>
                <c:pt idx="277">
                  <c:v>295</c:v>
                </c:pt>
                <c:pt idx="278">
                  <c:v>295</c:v>
                </c:pt>
                <c:pt idx="279">
                  <c:v>295</c:v>
                </c:pt>
                <c:pt idx="280">
                  <c:v>295</c:v>
                </c:pt>
                <c:pt idx="281">
                  <c:v>295</c:v>
                </c:pt>
                <c:pt idx="282">
                  <c:v>295</c:v>
                </c:pt>
                <c:pt idx="283">
                  <c:v>295</c:v>
                </c:pt>
                <c:pt idx="284">
                  <c:v>295</c:v>
                </c:pt>
                <c:pt idx="285">
                  <c:v>295</c:v>
                </c:pt>
                <c:pt idx="286">
                  <c:v>295</c:v>
                </c:pt>
                <c:pt idx="287">
                  <c:v>295</c:v>
                </c:pt>
                <c:pt idx="288">
                  <c:v>295</c:v>
                </c:pt>
                <c:pt idx="289">
                  <c:v>295</c:v>
                </c:pt>
                <c:pt idx="290">
                  <c:v>295</c:v>
                </c:pt>
                <c:pt idx="291">
                  <c:v>295</c:v>
                </c:pt>
                <c:pt idx="292">
                  <c:v>295</c:v>
                </c:pt>
                <c:pt idx="293">
                  <c:v>295</c:v>
                </c:pt>
                <c:pt idx="294">
                  <c:v>295</c:v>
                </c:pt>
                <c:pt idx="295">
                  <c:v>295</c:v>
                </c:pt>
                <c:pt idx="296">
                  <c:v>295</c:v>
                </c:pt>
                <c:pt idx="297">
                  <c:v>295</c:v>
                </c:pt>
                <c:pt idx="298">
                  <c:v>295</c:v>
                </c:pt>
                <c:pt idx="299">
                  <c:v>295</c:v>
                </c:pt>
                <c:pt idx="300">
                  <c:v>295</c:v>
                </c:pt>
                <c:pt idx="301">
                  <c:v>295</c:v>
                </c:pt>
                <c:pt idx="302">
                  <c:v>295</c:v>
                </c:pt>
                <c:pt idx="303">
                  <c:v>295</c:v>
                </c:pt>
                <c:pt idx="304">
                  <c:v>295</c:v>
                </c:pt>
                <c:pt idx="305">
                  <c:v>295</c:v>
                </c:pt>
                <c:pt idx="306">
                  <c:v>295</c:v>
                </c:pt>
                <c:pt idx="307">
                  <c:v>295</c:v>
                </c:pt>
                <c:pt idx="308">
                  <c:v>295</c:v>
                </c:pt>
                <c:pt idx="309">
                  <c:v>295</c:v>
                </c:pt>
                <c:pt idx="310">
                  <c:v>295</c:v>
                </c:pt>
                <c:pt idx="311">
                  <c:v>295</c:v>
                </c:pt>
                <c:pt idx="312">
                  <c:v>295</c:v>
                </c:pt>
                <c:pt idx="313">
                  <c:v>295</c:v>
                </c:pt>
                <c:pt idx="314">
                  <c:v>295</c:v>
                </c:pt>
                <c:pt idx="315">
                  <c:v>295</c:v>
                </c:pt>
                <c:pt idx="316">
                  <c:v>295</c:v>
                </c:pt>
                <c:pt idx="317">
                  <c:v>295</c:v>
                </c:pt>
                <c:pt idx="318">
                  <c:v>295</c:v>
                </c:pt>
                <c:pt idx="319">
                  <c:v>295</c:v>
                </c:pt>
                <c:pt idx="320">
                  <c:v>295</c:v>
                </c:pt>
                <c:pt idx="321">
                  <c:v>295</c:v>
                </c:pt>
                <c:pt idx="322">
                  <c:v>295</c:v>
                </c:pt>
                <c:pt idx="323">
                  <c:v>295</c:v>
                </c:pt>
                <c:pt idx="324">
                  <c:v>295</c:v>
                </c:pt>
                <c:pt idx="325">
                  <c:v>295</c:v>
                </c:pt>
                <c:pt idx="326">
                  <c:v>295</c:v>
                </c:pt>
                <c:pt idx="327">
                  <c:v>295</c:v>
                </c:pt>
                <c:pt idx="328">
                  <c:v>295</c:v>
                </c:pt>
                <c:pt idx="329">
                  <c:v>295</c:v>
                </c:pt>
                <c:pt idx="330">
                  <c:v>295</c:v>
                </c:pt>
                <c:pt idx="331">
                  <c:v>295</c:v>
                </c:pt>
                <c:pt idx="332">
                  <c:v>295</c:v>
                </c:pt>
                <c:pt idx="333">
                  <c:v>295</c:v>
                </c:pt>
                <c:pt idx="334">
                  <c:v>295</c:v>
                </c:pt>
                <c:pt idx="335">
                  <c:v>295</c:v>
                </c:pt>
                <c:pt idx="336">
                  <c:v>295</c:v>
                </c:pt>
                <c:pt idx="337">
                  <c:v>295</c:v>
                </c:pt>
                <c:pt idx="338">
                  <c:v>295</c:v>
                </c:pt>
                <c:pt idx="339">
                  <c:v>295</c:v>
                </c:pt>
                <c:pt idx="340">
                  <c:v>295</c:v>
                </c:pt>
                <c:pt idx="341">
                  <c:v>295</c:v>
                </c:pt>
                <c:pt idx="342">
                  <c:v>295</c:v>
                </c:pt>
                <c:pt idx="343">
                  <c:v>295</c:v>
                </c:pt>
                <c:pt idx="344">
                  <c:v>295</c:v>
                </c:pt>
                <c:pt idx="345">
                  <c:v>295</c:v>
                </c:pt>
                <c:pt idx="346">
                  <c:v>295</c:v>
                </c:pt>
                <c:pt idx="347">
                  <c:v>295</c:v>
                </c:pt>
                <c:pt idx="348">
                  <c:v>295</c:v>
                </c:pt>
                <c:pt idx="349">
                  <c:v>295</c:v>
                </c:pt>
                <c:pt idx="350">
                  <c:v>295</c:v>
                </c:pt>
                <c:pt idx="351">
                  <c:v>295</c:v>
                </c:pt>
                <c:pt idx="352">
                  <c:v>295</c:v>
                </c:pt>
                <c:pt idx="353">
                  <c:v>295</c:v>
                </c:pt>
                <c:pt idx="354">
                  <c:v>295</c:v>
                </c:pt>
                <c:pt idx="355">
                  <c:v>295</c:v>
                </c:pt>
                <c:pt idx="356">
                  <c:v>295</c:v>
                </c:pt>
                <c:pt idx="357">
                  <c:v>295</c:v>
                </c:pt>
                <c:pt idx="358">
                  <c:v>295</c:v>
                </c:pt>
                <c:pt idx="359">
                  <c:v>295</c:v>
                </c:pt>
                <c:pt idx="360">
                  <c:v>295</c:v>
                </c:pt>
                <c:pt idx="361">
                  <c:v>295</c:v>
                </c:pt>
                <c:pt idx="362">
                  <c:v>295</c:v>
                </c:pt>
                <c:pt idx="363">
                  <c:v>295</c:v>
                </c:pt>
                <c:pt idx="364">
                  <c:v>295</c:v>
                </c:pt>
                <c:pt idx="365">
                  <c:v>295</c:v>
                </c:pt>
                <c:pt idx="366">
                  <c:v>295</c:v>
                </c:pt>
                <c:pt idx="367">
                  <c:v>295</c:v>
                </c:pt>
                <c:pt idx="368">
                  <c:v>295</c:v>
                </c:pt>
                <c:pt idx="369">
                  <c:v>295</c:v>
                </c:pt>
                <c:pt idx="370">
                  <c:v>295</c:v>
                </c:pt>
                <c:pt idx="371">
                  <c:v>295</c:v>
                </c:pt>
                <c:pt idx="372">
                  <c:v>295</c:v>
                </c:pt>
                <c:pt idx="373">
                  <c:v>295</c:v>
                </c:pt>
                <c:pt idx="374">
                  <c:v>295</c:v>
                </c:pt>
                <c:pt idx="375">
                  <c:v>295</c:v>
                </c:pt>
                <c:pt idx="376">
                  <c:v>295</c:v>
                </c:pt>
                <c:pt idx="377">
                  <c:v>295</c:v>
                </c:pt>
                <c:pt idx="378">
                  <c:v>295</c:v>
                </c:pt>
                <c:pt idx="379">
                  <c:v>295</c:v>
                </c:pt>
                <c:pt idx="380">
                  <c:v>295</c:v>
                </c:pt>
                <c:pt idx="381">
                  <c:v>295</c:v>
                </c:pt>
                <c:pt idx="382">
                  <c:v>295</c:v>
                </c:pt>
                <c:pt idx="383">
                  <c:v>295</c:v>
                </c:pt>
                <c:pt idx="384">
                  <c:v>295</c:v>
                </c:pt>
                <c:pt idx="385">
                  <c:v>295</c:v>
                </c:pt>
                <c:pt idx="386">
                  <c:v>295</c:v>
                </c:pt>
                <c:pt idx="387">
                  <c:v>295</c:v>
                </c:pt>
                <c:pt idx="388">
                  <c:v>295</c:v>
                </c:pt>
                <c:pt idx="389">
                  <c:v>295</c:v>
                </c:pt>
                <c:pt idx="390">
                  <c:v>295</c:v>
                </c:pt>
                <c:pt idx="391">
                  <c:v>295</c:v>
                </c:pt>
                <c:pt idx="392">
                  <c:v>295</c:v>
                </c:pt>
                <c:pt idx="393">
                  <c:v>295</c:v>
                </c:pt>
                <c:pt idx="394">
                  <c:v>295</c:v>
                </c:pt>
                <c:pt idx="395">
                  <c:v>295</c:v>
                </c:pt>
                <c:pt idx="396">
                  <c:v>295</c:v>
                </c:pt>
                <c:pt idx="397">
                  <c:v>295</c:v>
                </c:pt>
                <c:pt idx="398">
                  <c:v>295</c:v>
                </c:pt>
                <c:pt idx="399">
                  <c:v>295</c:v>
                </c:pt>
                <c:pt idx="400">
                  <c:v>295</c:v>
                </c:pt>
                <c:pt idx="401">
                  <c:v>295</c:v>
                </c:pt>
                <c:pt idx="402">
                  <c:v>295</c:v>
                </c:pt>
                <c:pt idx="403">
                  <c:v>295</c:v>
                </c:pt>
                <c:pt idx="404">
                  <c:v>295</c:v>
                </c:pt>
                <c:pt idx="405">
                  <c:v>295</c:v>
                </c:pt>
                <c:pt idx="406">
                  <c:v>295</c:v>
                </c:pt>
                <c:pt idx="407">
                  <c:v>295</c:v>
                </c:pt>
                <c:pt idx="408">
                  <c:v>295</c:v>
                </c:pt>
                <c:pt idx="409">
                  <c:v>295</c:v>
                </c:pt>
                <c:pt idx="410">
                  <c:v>295</c:v>
                </c:pt>
                <c:pt idx="411">
                  <c:v>295</c:v>
                </c:pt>
                <c:pt idx="412">
                  <c:v>295</c:v>
                </c:pt>
                <c:pt idx="413">
                  <c:v>295</c:v>
                </c:pt>
                <c:pt idx="414">
                  <c:v>295</c:v>
                </c:pt>
                <c:pt idx="415">
                  <c:v>295</c:v>
                </c:pt>
                <c:pt idx="416">
                  <c:v>295</c:v>
                </c:pt>
                <c:pt idx="417">
                  <c:v>295</c:v>
                </c:pt>
                <c:pt idx="418">
                  <c:v>295</c:v>
                </c:pt>
                <c:pt idx="419">
                  <c:v>295</c:v>
                </c:pt>
                <c:pt idx="420">
                  <c:v>295</c:v>
                </c:pt>
                <c:pt idx="421">
                  <c:v>295</c:v>
                </c:pt>
                <c:pt idx="422">
                  <c:v>295</c:v>
                </c:pt>
                <c:pt idx="423">
                  <c:v>295</c:v>
                </c:pt>
                <c:pt idx="424">
                  <c:v>295</c:v>
                </c:pt>
                <c:pt idx="425">
                  <c:v>295</c:v>
                </c:pt>
                <c:pt idx="426">
                  <c:v>295</c:v>
                </c:pt>
                <c:pt idx="427">
                  <c:v>295</c:v>
                </c:pt>
                <c:pt idx="428">
                  <c:v>295</c:v>
                </c:pt>
                <c:pt idx="429">
                  <c:v>295</c:v>
                </c:pt>
                <c:pt idx="430">
                  <c:v>295</c:v>
                </c:pt>
                <c:pt idx="431">
                  <c:v>295</c:v>
                </c:pt>
                <c:pt idx="432">
                  <c:v>295</c:v>
                </c:pt>
                <c:pt idx="433">
                  <c:v>295</c:v>
                </c:pt>
                <c:pt idx="434">
                  <c:v>295</c:v>
                </c:pt>
                <c:pt idx="435">
                  <c:v>295</c:v>
                </c:pt>
                <c:pt idx="436">
                  <c:v>295</c:v>
                </c:pt>
                <c:pt idx="437">
                  <c:v>295</c:v>
                </c:pt>
                <c:pt idx="438">
                  <c:v>295</c:v>
                </c:pt>
                <c:pt idx="439">
                  <c:v>295</c:v>
                </c:pt>
                <c:pt idx="440">
                  <c:v>295</c:v>
                </c:pt>
                <c:pt idx="441">
                  <c:v>295</c:v>
                </c:pt>
                <c:pt idx="442">
                  <c:v>295</c:v>
                </c:pt>
                <c:pt idx="443">
                  <c:v>295</c:v>
                </c:pt>
                <c:pt idx="444">
                  <c:v>295</c:v>
                </c:pt>
                <c:pt idx="445">
                  <c:v>295</c:v>
                </c:pt>
                <c:pt idx="446">
                  <c:v>295</c:v>
                </c:pt>
                <c:pt idx="447">
                  <c:v>295</c:v>
                </c:pt>
                <c:pt idx="448">
                  <c:v>295</c:v>
                </c:pt>
                <c:pt idx="449">
                  <c:v>295</c:v>
                </c:pt>
                <c:pt idx="450">
                  <c:v>295</c:v>
                </c:pt>
                <c:pt idx="451">
                  <c:v>295</c:v>
                </c:pt>
                <c:pt idx="452">
                  <c:v>295</c:v>
                </c:pt>
                <c:pt idx="453">
                  <c:v>295</c:v>
                </c:pt>
                <c:pt idx="454">
                  <c:v>295</c:v>
                </c:pt>
                <c:pt idx="455">
                  <c:v>295</c:v>
                </c:pt>
                <c:pt idx="456">
                  <c:v>295</c:v>
                </c:pt>
                <c:pt idx="457">
                  <c:v>295</c:v>
                </c:pt>
                <c:pt idx="458">
                  <c:v>295</c:v>
                </c:pt>
                <c:pt idx="459">
                  <c:v>295</c:v>
                </c:pt>
                <c:pt idx="460">
                  <c:v>295</c:v>
                </c:pt>
                <c:pt idx="461">
                  <c:v>295</c:v>
                </c:pt>
                <c:pt idx="462">
                  <c:v>295</c:v>
                </c:pt>
                <c:pt idx="463">
                  <c:v>295</c:v>
                </c:pt>
                <c:pt idx="464">
                  <c:v>295</c:v>
                </c:pt>
                <c:pt idx="465">
                  <c:v>295</c:v>
                </c:pt>
                <c:pt idx="466">
                  <c:v>295</c:v>
                </c:pt>
                <c:pt idx="467">
                  <c:v>295</c:v>
                </c:pt>
                <c:pt idx="468">
                  <c:v>295</c:v>
                </c:pt>
                <c:pt idx="469">
                  <c:v>295</c:v>
                </c:pt>
                <c:pt idx="470">
                  <c:v>295</c:v>
                </c:pt>
                <c:pt idx="471">
                  <c:v>295</c:v>
                </c:pt>
                <c:pt idx="472">
                  <c:v>295</c:v>
                </c:pt>
                <c:pt idx="473">
                  <c:v>295</c:v>
                </c:pt>
                <c:pt idx="474">
                  <c:v>295</c:v>
                </c:pt>
                <c:pt idx="475">
                  <c:v>295</c:v>
                </c:pt>
                <c:pt idx="476">
                  <c:v>295</c:v>
                </c:pt>
                <c:pt idx="477">
                  <c:v>295</c:v>
                </c:pt>
                <c:pt idx="478">
                  <c:v>295</c:v>
                </c:pt>
                <c:pt idx="479">
                  <c:v>295</c:v>
                </c:pt>
                <c:pt idx="480">
                  <c:v>295</c:v>
                </c:pt>
                <c:pt idx="481">
                  <c:v>295</c:v>
                </c:pt>
                <c:pt idx="482">
                  <c:v>295</c:v>
                </c:pt>
                <c:pt idx="483">
                  <c:v>295</c:v>
                </c:pt>
                <c:pt idx="484">
                  <c:v>295</c:v>
                </c:pt>
                <c:pt idx="485">
                  <c:v>295</c:v>
                </c:pt>
                <c:pt idx="486">
                  <c:v>295</c:v>
                </c:pt>
                <c:pt idx="487">
                  <c:v>295</c:v>
                </c:pt>
                <c:pt idx="488">
                  <c:v>295</c:v>
                </c:pt>
                <c:pt idx="489">
                  <c:v>295</c:v>
                </c:pt>
                <c:pt idx="490">
                  <c:v>295</c:v>
                </c:pt>
                <c:pt idx="491">
                  <c:v>295</c:v>
                </c:pt>
                <c:pt idx="492">
                  <c:v>295</c:v>
                </c:pt>
                <c:pt idx="493">
                  <c:v>295</c:v>
                </c:pt>
                <c:pt idx="494">
                  <c:v>295</c:v>
                </c:pt>
                <c:pt idx="495">
                  <c:v>295</c:v>
                </c:pt>
                <c:pt idx="496">
                  <c:v>295</c:v>
                </c:pt>
                <c:pt idx="497">
                  <c:v>295</c:v>
                </c:pt>
                <c:pt idx="498">
                  <c:v>295</c:v>
                </c:pt>
                <c:pt idx="499">
                  <c:v>295</c:v>
                </c:pt>
                <c:pt idx="500">
                  <c:v>295</c:v>
                </c:pt>
                <c:pt idx="501">
                  <c:v>295</c:v>
                </c:pt>
                <c:pt idx="502">
                  <c:v>295</c:v>
                </c:pt>
                <c:pt idx="503">
                  <c:v>295</c:v>
                </c:pt>
                <c:pt idx="504">
                  <c:v>295</c:v>
                </c:pt>
                <c:pt idx="505">
                  <c:v>295</c:v>
                </c:pt>
                <c:pt idx="506">
                  <c:v>295</c:v>
                </c:pt>
                <c:pt idx="507">
                  <c:v>295</c:v>
                </c:pt>
                <c:pt idx="508">
                  <c:v>295</c:v>
                </c:pt>
                <c:pt idx="509">
                  <c:v>295</c:v>
                </c:pt>
                <c:pt idx="510">
                  <c:v>295</c:v>
                </c:pt>
                <c:pt idx="511">
                  <c:v>295</c:v>
                </c:pt>
                <c:pt idx="512">
                  <c:v>295</c:v>
                </c:pt>
                <c:pt idx="513">
                  <c:v>295</c:v>
                </c:pt>
                <c:pt idx="514">
                  <c:v>295</c:v>
                </c:pt>
                <c:pt idx="515">
                  <c:v>295</c:v>
                </c:pt>
                <c:pt idx="516">
                  <c:v>295</c:v>
                </c:pt>
                <c:pt idx="517">
                  <c:v>295</c:v>
                </c:pt>
                <c:pt idx="518">
                  <c:v>295</c:v>
                </c:pt>
                <c:pt idx="519">
                  <c:v>295</c:v>
                </c:pt>
                <c:pt idx="520">
                  <c:v>295</c:v>
                </c:pt>
                <c:pt idx="521">
                  <c:v>295</c:v>
                </c:pt>
                <c:pt idx="522">
                  <c:v>295</c:v>
                </c:pt>
                <c:pt idx="523">
                  <c:v>295</c:v>
                </c:pt>
                <c:pt idx="524">
                  <c:v>295</c:v>
                </c:pt>
                <c:pt idx="525">
                  <c:v>295</c:v>
                </c:pt>
                <c:pt idx="526">
                  <c:v>295</c:v>
                </c:pt>
                <c:pt idx="527">
                  <c:v>295</c:v>
                </c:pt>
                <c:pt idx="528">
                  <c:v>295</c:v>
                </c:pt>
                <c:pt idx="529">
                  <c:v>295</c:v>
                </c:pt>
                <c:pt idx="530">
                  <c:v>295</c:v>
                </c:pt>
                <c:pt idx="531">
                  <c:v>295</c:v>
                </c:pt>
                <c:pt idx="532">
                  <c:v>295</c:v>
                </c:pt>
                <c:pt idx="533">
                  <c:v>295</c:v>
                </c:pt>
                <c:pt idx="534">
                  <c:v>295</c:v>
                </c:pt>
                <c:pt idx="535">
                  <c:v>295</c:v>
                </c:pt>
                <c:pt idx="536">
                  <c:v>295</c:v>
                </c:pt>
                <c:pt idx="537">
                  <c:v>295</c:v>
                </c:pt>
                <c:pt idx="538">
                  <c:v>295</c:v>
                </c:pt>
                <c:pt idx="539">
                  <c:v>295</c:v>
                </c:pt>
                <c:pt idx="540">
                  <c:v>295</c:v>
                </c:pt>
                <c:pt idx="541">
                  <c:v>295</c:v>
                </c:pt>
                <c:pt idx="542">
                  <c:v>295</c:v>
                </c:pt>
                <c:pt idx="543">
                  <c:v>295</c:v>
                </c:pt>
                <c:pt idx="544">
                  <c:v>295</c:v>
                </c:pt>
                <c:pt idx="545">
                  <c:v>295</c:v>
                </c:pt>
                <c:pt idx="546">
                  <c:v>295</c:v>
                </c:pt>
                <c:pt idx="547">
                  <c:v>295</c:v>
                </c:pt>
                <c:pt idx="548">
                  <c:v>295</c:v>
                </c:pt>
                <c:pt idx="549">
                  <c:v>295</c:v>
                </c:pt>
                <c:pt idx="550">
                  <c:v>295</c:v>
                </c:pt>
                <c:pt idx="551">
                  <c:v>295</c:v>
                </c:pt>
                <c:pt idx="552">
                  <c:v>295</c:v>
                </c:pt>
                <c:pt idx="553">
                  <c:v>295</c:v>
                </c:pt>
                <c:pt idx="554">
                  <c:v>295</c:v>
                </c:pt>
                <c:pt idx="555">
                  <c:v>295</c:v>
                </c:pt>
                <c:pt idx="556">
                  <c:v>295</c:v>
                </c:pt>
                <c:pt idx="557">
                  <c:v>295</c:v>
                </c:pt>
                <c:pt idx="558">
                  <c:v>295</c:v>
                </c:pt>
                <c:pt idx="559">
                  <c:v>295</c:v>
                </c:pt>
                <c:pt idx="560">
                  <c:v>295</c:v>
                </c:pt>
                <c:pt idx="561">
                  <c:v>295</c:v>
                </c:pt>
                <c:pt idx="562">
                  <c:v>295</c:v>
                </c:pt>
                <c:pt idx="563">
                  <c:v>295</c:v>
                </c:pt>
                <c:pt idx="564">
                  <c:v>295</c:v>
                </c:pt>
                <c:pt idx="565">
                  <c:v>295</c:v>
                </c:pt>
                <c:pt idx="566">
                  <c:v>295</c:v>
                </c:pt>
                <c:pt idx="567">
                  <c:v>295</c:v>
                </c:pt>
                <c:pt idx="568">
                  <c:v>295</c:v>
                </c:pt>
                <c:pt idx="569">
                  <c:v>295</c:v>
                </c:pt>
                <c:pt idx="570">
                  <c:v>295</c:v>
                </c:pt>
                <c:pt idx="571">
                  <c:v>295</c:v>
                </c:pt>
                <c:pt idx="572">
                  <c:v>295</c:v>
                </c:pt>
                <c:pt idx="573">
                  <c:v>295</c:v>
                </c:pt>
                <c:pt idx="574">
                  <c:v>295</c:v>
                </c:pt>
                <c:pt idx="575">
                  <c:v>295</c:v>
                </c:pt>
                <c:pt idx="576">
                  <c:v>295</c:v>
                </c:pt>
                <c:pt idx="577">
                  <c:v>295</c:v>
                </c:pt>
                <c:pt idx="578">
                  <c:v>295</c:v>
                </c:pt>
                <c:pt idx="579">
                  <c:v>295</c:v>
                </c:pt>
                <c:pt idx="580">
                  <c:v>295</c:v>
                </c:pt>
                <c:pt idx="581">
                  <c:v>295</c:v>
                </c:pt>
                <c:pt idx="582">
                  <c:v>295</c:v>
                </c:pt>
                <c:pt idx="583">
                  <c:v>295</c:v>
                </c:pt>
                <c:pt idx="584">
                  <c:v>295</c:v>
                </c:pt>
                <c:pt idx="585">
                  <c:v>295</c:v>
                </c:pt>
                <c:pt idx="586">
                  <c:v>295</c:v>
                </c:pt>
                <c:pt idx="587">
                  <c:v>295</c:v>
                </c:pt>
                <c:pt idx="588">
                  <c:v>295</c:v>
                </c:pt>
                <c:pt idx="589">
                  <c:v>295</c:v>
                </c:pt>
                <c:pt idx="590">
                  <c:v>295</c:v>
                </c:pt>
                <c:pt idx="591">
                  <c:v>295</c:v>
                </c:pt>
                <c:pt idx="592">
                  <c:v>295</c:v>
                </c:pt>
                <c:pt idx="593">
                  <c:v>295</c:v>
                </c:pt>
                <c:pt idx="594">
                  <c:v>295</c:v>
                </c:pt>
                <c:pt idx="595">
                  <c:v>295</c:v>
                </c:pt>
                <c:pt idx="596">
                  <c:v>295</c:v>
                </c:pt>
                <c:pt idx="597">
                  <c:v>295</c:v>
                </c:pt>
                <c:pt idx="598">
                  <c:v>295</c:v>
                </c:pt>
                <c:pt idx="599">
                  <c:v>295</c:v>
                </c:pt>
                <c:pt idx="600">
                  <c:v>295</c:v>
                </c:pt>
                <c:pt idx="601">
                  <c:v>295</c:v>
                </c:pt>
                <c:pt idx="602">
                  <c:v>295</c:v>
                </c:pt>
                <c:pt idx="603">
                  <c:v>295</c:v>
                </c:pt>
                <c:pt idx="604">
                  <c:v>295</c:v>
                </c:pt>
                <c:pt idx="605">
                  <c:v>295</c:v>
                </c:pt>
                <c:pt idx="606">
                  <c:v>295</c:v>
                </c:pt>
                <c:pt idx="607">
                  <c:v>295</c:v>
                </c:pt>
                <c:pt idx="608">
                  <c:v>295</c:v>
                </c:pt>
                <c:pt idx="609">
                  <c:v>295</c:v>
                </c:pt>
                <c:pt idx="610">
                  <c:v>295</c:v>
                </c:pt>
                <c:pt idx="611">
                  <c:v>295</c:v>
                </c:pt>
                <c:pt idx="612">
                  <c:v>295</c:v>
                </c:pt>
                <c:pt idx="613">
                  <c:v>295</c:v>
                </c:pt>
                <c:pt idx="614">
                  <c:v>295</c:v>
                </c:pt>
                <c:pt idx="615">
                  <c:v>295</c:v>
                </c:pt>
                <c:pt idx="616">
                  <c:v>295</c:v>
                </c:pt>
                <c:pt idx="617">
                  <c:v>295</c:v>
                </c:pt>
                <c:pt idx="618">
                  <c:v>295</c:v>
                </c:pt>
                <c:pt idx="619">
                  <c:v>295</c:v>
                </c:pt>
                <c:pt idx="620">
                  <c:v>295</c:v>
                </c:pt>
                <c:pt idx="621">
                  <c:v>295</c:v>
                </c:pt>
                <c:pt idx="622">
                  <c:v>295</c:v>
                </c:pt>
                <c:pt idx="623">
                  <c:v>295</c:v>
                </c:pt>
                <c:pt idx="624">
                  <c:v>295</c:v>
                </c:pt>
                <c:pt idx="625">
                  <c:v>295</c:v>
                </c:pt>
                <c:pt idx="626">
                  <c:v>295</c:v>
                </c:pt>
                <c:pt idx="627">
                  <c:v>295</c:v>
                </c:pt>
                <c:pt idx="628">
                  <c:v>295</c:v>
                </c:pt>
                <c:pt idx="629">
                  <c:v>295</c:v>
                </c:pt>
                <c:pt idx="630">
                  <c:v>295</c:v>
                </c:pt>
                <c:pt idx="631">
                  <c:v>295</c:v>
                </c:pt>
                <c:pt idx="632">
                  <c:v>295</c:v>
                </c:pt>
                <c:pt idx="633">
                  <c:v>295</c:v>
                </c:pt>
                <c:pt idx="634">
                  <c:v>295</c:v>
                </c:pt>
                <c:pt idx="635">
                  <c:v>295</c:v>
                </c:pt>
                <c:pt idx="636">
                  <c:v>295</c:v>
                </c:pt>
                <c:pt idx="637">
                  <c:v>295</c:v>
                </c:pt>
                <c:pt idx="638">
                  <c:v>295</c:v>
                </c:pt>
                <c:pt idx="639">
                  <c:v>295</c:v>
                </c:pt>
                <c:pt idx="640">
                  <c:v>295</c:v>
                </c:pt>
                <c:pt idx="641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5B-4C79-9D2C-A12729157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06432"/>
        <c:axId val="187176000"/>
      </c:lineChart>
      <c:catAx>
        <c:axId val="209105920"/>
        <c:scaling>
          <c:orientation val="minMax"/>
        </c:scaling>
        <c:delete val="0"/>
        <c:axPos val="b"/>
        <c:majorTickMark val="out"/>
        <c:minorTickMark val="none"/>
        <c:tickLblPos val="nextTo"/>
        <c:crossAx val="187175424"/>
        <c:crosses val="autoZero"/>
        <c:auto val="1"/>
        <c:lblAlgn val="ctr"/>
        <c:lblOffset val="100"/>
        <c:noMultiLvlLbl val="0"/>
      </c:catAx>
      <c:valAx>
        <c:axId val="187175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105920"/>
        <c:crosses val="autoZero"/>
        <c:crossBetween val="between"/>
      </c:valAx>
      <c:valAx>
        <c:axId val="187176000"/>
        <c:scaling>
          <c:orientation val="minMax"/>
          <c:max val="335"/>
          <c:min val="290"/>
        </c:scaling>
        <c:delete val="0"/>
        <c:axPos val="r"/>
        <c:numFmt formatCode="General" sourceLinked="1"/>
        <c:majorTickMark val="out"/>
        <c:minorTickMark val="none"/>
        <c:tickLblPos val="nextTo"/>
        <c:crossAx val="209106432"/>
        <c:crosses val="max"/>
        <c:crossBetween val="between"/>
      </c:valAx>
      <c:catAx>
        <c:axId val="209106432"/>
        <c:scaling>
          <c:orientation val="minMax"/>
        </c:scaling>
        <c:delete val="1"/>
        <c:axPos val="b"/>
        <c:majorTickMark val="out"/>
        <c:minorTickMark val="none"/>
        <c:tickLblPos val="nextTo"/>
        <c:crossAx val="18717600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51944444444444449"/>
          <c:y val="0.3466462525517644"/>
          <c:w val="0.1388888888888889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5.1400554097404488E-2"/>
          <c:w val="0.82488429571303579"/>
          <c:h val="0.81870771361913097"/>
        </c:manualLayout>
      </c:layout>
      <c:lineChart>
        <c:grouping val="standard"/>
        <c:varyColors val="0"/>
        <c:ser>
          <c:idx val="0"/>
          <c:order val="0"/>
          <c:tx>
            <c:strRef>
              <c:f>陆浑!$C$1</c:f>
              <c:strCache>
                <c:ptCount val="1"/>
                <c:pt idx="0">
                  <c:v>入库</c:v>
                </c:pt>
              </c:strCache>
            </c:strRef>
          </c:tx>
          <c:marker>
            <c:symbol val="none"/>
          </c:marker>
          <c:val>
            <c:numRef>
              <c:f>陆浑!$C$2:$C$746</c:f>
              <c:numCache>
                <c:formatCode>General</c:formatCode>
                <c:ptCount val="7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8.5</c:v>
                </c:pt>
                <c:pt idx="7">
                  <c:v>13</c:v>
                </c:pt>
                <c:pt idx="8">
                  <c:v>178</c:v>
                </c:pt>
                <c:pt idx="9">
                  <c:v>343</c:v>
                </c:pt>
                <c:pt idx="10">
                  <c:v>3963.5</c:v>
                </c:pt>
                <c:pt idx="11">
                  <c:v>7584</c:v>
                </c:pt>
                <c:pt idx="12">
                  <c:v>8356.5</c:v>
                </c:pt>
                <c:pt idx="13">
                  <c:v>9129</c:v>
                </c:pt>
                <c:pt idx="14">
                  <c:v>8307</c:v>
                </c:pt>
                <c:pt idx="15">
                  <c:v>7485</c:v>
                </c:pt>
                <c:pt idx="16">
                  <c:v>5602</c:v>
                </c:pt>
                <c:pt idx="17">
                  <c:v>3719</c:v>
                </c:pt>
                <c:pt idx="18">
                  <c:v>2887</c:v>
                </c:pt>
                <c:pt idx="19">
                  <c:v>2055</c:v>
                </c:pt>
                <c:pt idx="20">
                  <c:v>1665.5</c:v>
                </c:pt>
                <c:pt idx="21">
                  <c:v>1276</c:v>
                </c:pt>
                <c:pt idx="22">
                  <c:v>1055.5</c:v>
                </c:pt>
                <c:pt idx="23">
                  <c:v>835</c:v>
                </c:pt>
                <c:pt idx="24">
                  <c:v>820</c:v>
                </c:pt>
                <c:pt idx="25">
                  <c:v>805</c:v>
                </c:pt>
                <c:pt idx="26">
                  <c:v>900</c:v>
                </c:pt>
                <c:pt idx="27">
                  <c:v>995</c:v>
                </c:pt>
                <c:pt idx="28">
                  <c:v>960.5</c:v>
                </c:pt>
                <c:pt idx="29">
                  <c:v>926</c:v>
                </c:pt>
                <c:pt idx="30">
                  <c:v>921.5</c:v>
                </c:pt>
                <c:pt idx="31">
                  <c:v>917</c:v>
                </c:pt>
                <c:pt idx="32">
                  <c:v>918.5</c:v>
                </c:pt>
                <c:pt idx="33">
                  <c:v>920</c:v>
                </c:pt>
                <c:pt idx="34">
                  <c:v>905</c:v>
                </c:pt>
                <c:pt idx="35">
                  <c:v>890</c:v>
                </c:pt>
                <c:pt idx="36">
                  <c:v>1088.5</c:v>
                </c:pt>
                <c:pt idx="37">
                  <c:v>1287</c:v>
                </c:pt>
                <c:pt idx="38">
                  <c:v>1386</c:v>
                </c:pt>
                <c:pt idx="39">
                  <c:v>1485</c:v>
                </c:pt>
                <c:pt idx="40">
                  <c:v>1575</c:v>
                </c:pt>
                <c:pt idx="41">
                  <c:v>1665</c:v>
                </c:pt>
                <c:pt idx="42">
                  <c:v>1595.5</c:v>
                </c:pt>
                <c:pt idx="43">
                  <c:v>1526</c:v>
                </c:pt>
                <c:pt idx="44">
                  <c:v>1489</c:v>
                </c:pt>
                <c:pt idx="45">
                  <c:v>1452</c:v>
                </c:pt>
                <c:pt idx="46">
                  <c:v>1645</c:v>
                </c:pt>
                <c:pt idx="47">
                  <c:v>1838</c:v>
                </c:pt>
                <c:pt idx="48">
                  <c:v>2074</c:v>
                </c:pt>
                <c:pt idx="49">
                  <c:v>2310</c:v>
                </c:pt>
                <c:pt idx="50">
                  <c:v>2395</c:v>
                </c:pt>
                <c:pt idx="51">
                  <c:v>2480</c:v>
                </c:pt>
                <c:pt idx="52">
                  <c:v>2381.5</c:v>
                </c:pt>
                <c:pt idx="53">
                  <c:v>2283</c:v>
                </c:pt>
                <c:pt idx="54">
                  <c:v>2281</c:v>
                </c:pt>
                <c:pt idx="55">
                  <c:v>2279</c:v>
                </c:pt>
                <c:pt idx="56">
                  <c:v>2611</c:v>
                </c:pt>
                <c:pt idx="57">
                  <c:v>2943</c:v>
                </c:pt>
                <c:pt idx="58">
                  <c:v>3154</c:v>
                </c:pt>
                <c:pt idx="59">
                  <c:v>3365</c:v>
                </c:pt>
                <c:pt idx="60">
                  <c:v>3249</c:v>
                </c:pt>
                <c:pt idx="61">
                  <c:v>3133</c:v>
                </c:pt>
                <c:pt idx="62">
                  <c:v>2945.5</c:v>
                </c:pt>
                <c:pt idx="63">
                  <c:v>2758</c:v>
                </c:pt>
                <c:pt idx="64">
                  <c:v>2578</c:v>
                </c:pt>
                <c:pt idx="65">
                  <c:v>2398</c:v>
                </c:pt>
                <c:pt idx="66">
                  <c:v>2178</c:v>
                </c:pt>
                <c:pt idx="67">
                  <c:v>1958</c:v>
                </c:pt>
                <c:pt idx="68">
                  <c:v>1728.5</c:v>
                </c:pt>
                <c:pt idx="69">
                  <c:v>1499</c:v>
                </c:pt>
                <c:pt idx="70">
                  <c:v>1318.5</c:v>
                </c:pt>
                <c:pt idx="71">
                  <c:v>1138</c:v>
                </c:pt>
                <c:pt idx="72">
                  <c:v>1039</c:v>
                </c:pt>
                <c:pt idx="73">
                  <c:v>940</c:v>
                </c:pt>
                <c:pt idx="74">
                  <c:v>909.5</c:v>
                </c:pt>
                <c:pt idx="75">
                  <c:v>879</c:v>
                </c:pt>
                <c:pt idx="76">
                  <c:v>848</c:v>
                </c:pt>
                <c:pt idx="77">
                  <c:v>817</c:v>
                </c:pt>
                <c:pt idx="78">
                  <c:v>786.5</c:v>
                </c:pt>
                <c:pt idx="79">
                  <c:v>756</c:v>
                </c:pt>
                <c:pt idx="80">
                  <c:v>712</c:v>
                </c:pt>
                <c:pt idx="81">
                  <c:v>668</c:v>
                </c:pt>
                <c:pt idx="82">
                  <c:v>605.5</c:v>
                </c:pt>
                <c:pt idx="83">
                  <c:v>543</c:v>
                </c:pt>
                <c:pt idx="84">
                  <c:v>484.5</c:v>
                </c:pt>
                <c:pt idx="85">
                  <c:v>426</c:v>
                </c:pt>
                <c:pt idx="86">
                  <c:v>377.5</c:v>
                </c:pt>
                <c:pt idx="87">
                  <c:v>329</c:v>
                </c:pt>
                <c:pt idx="88">
                  <c:v>293.5</c:v>
                </c:pt>
                <c:pt idx="89">
                  <c:v>258</c:v>
                </c:pt>
                <c:pt idx="90">
                  <c:v>231.5</c:v>
                </c:pt>
                <c:pt idx="91">
                  <c:v>205</c:v>
                </c:pt>
                <c:pt idx="92">
                  <c:v>186</c:v>
                </c:pt>
                <c:pt idx="93">
                  <c:v>167</c:v>
                </c:pt>
                <c:pt idx="94">
                  <c:v>275</c:v>
                </c:pt>
                <c:pt idx="95">
                  <c:v>383</c:v>
                </c:pt>
                <c:pt idx="96">
                  <c:v>577</c:v>
                </c:pt>
                <c:pt idx="97">
                  <c:v>771</c:v>
                </c:pt>
                <c:pt idx="98">
                  <c:v>787</c:v>
                </c:pt>
                <c:pt idx="99">
                  <c:v>803</c:v>
                </c:pt>
                <c:pt idx="100">
                  <c:v>707.5</c:v>
                </c:pt>
                <c:pt idx="101">
                  <c:v>612</c:v>
                </c:pt>
                <c:pt idx="102">
                  <c:v>519.5</c:v>
                </c:pt>
                <c:pt idx="103">
                  <c:v>427</c:v>
                </c:pt>
                <c:pt idx="104">
                  <c:v>363</c:v>
                </c:pt>
                <c:pt idx="105">
                  <c:v>299</c:v>
                </c:pt>
                <c:pt idx="106">
                  <c:v>259.5</c:v>
                </c:pt>
                <c:pt idx="107">
                  <c:v>220</c:v>
                </c:pt>
                <c:pt idx="108">
                  <c:v>196.5</c:v>
                </c:pt>
                <c:pt idx="109">
                  <c:v>173</c:v>
                </c:pt>
                <c:pt idx="110">
                  <c:v>158</c:v>
                </c:pt>
                <c:pt idx="111">
                  <c:v>143</c:v>
                </c:pt>
                <c:pt idx="112">
                  <c:v>132.5</c:v>
                </c:pt>
                <c:pt idx="113">
                  <c:v>122</c:v>
                </c:pt>
                <c:pt idx="114">
                  <c:v>114</c:v>
                </c:pt>
                <c:pt idx="115">
                  <c:v>106</c:v>
                </c:pt>
                <c:pt idx="116">
                  <c:v>99</c:v>
                </c:pt>
                <c:pt idx="117">
                  <c:v>92</c:v>
                </c:pt>
                <c:pt idx="118">
                  <c:v>86.5</c:v>
                </c:pt>
                <c:pt idx="119">
                  <c:v>81</c:v>
                </c:pt>
                <c:pt idx="120">
                  <c:v>76</c:v>
                </c:pt>
                <c:pt idx="121">
                  <c:v>71</c:v>
                </c:pt>
                <c:pt idx="122">
                  <c:v>67</c:v>
                </c:pt>
                <c:pt idx="123">
                  <c:v>63</c:v>
                </c:pt>
                <c:pt idx="124">
                  <c:v>59.5</c:v>
                </c:pt>
                <c:pt idx="125">
                  <c:v>56</c:v>
                </c:pt>
                <c:pt idx="126">
                  <c:v>52.5</c:v>
                </c:pt>
                <c:pt idx="127">
                  <c:v>49</c:v>
                </c:pt>
                <c:pt idx="128">
                  <c:v>46.5</c:v>
                </c:pt>
                <c:pt idx="129">
                  <c:v>44</c:v>
                </c:pt>
                <c:pt idx="130">
                  <c:v>42</c:v>
                </c:pt>
                <c:pt idx="131">
                  <c:v>40</c:v>
                </c:pt>
                <c:pt idx="132">
                  <c:v>37.5</c:v>
                </c:pt>
                <c:pt idx="133">
                  <c:v>35</c:v>
                </c:pt>
                <c:pt idx="134">
                  <c:v>33.5</c:v>
                </c:pt>
                <c:pt idx="135">
                  <c:v>32</c:v>
                </c:pt>
                <c:pt idx="136">
                  <c:v>30.5</c:v>
                </c:pt>
                <c:pt idx="137">
                  <c:v>29</c:v>
                </c:pt>
                <c:pt idx="138">
                  <c:v>27.5</c:v>
                </c:pt>
                <c:pt idx="139">
                  <c:v>26</c:v>
                </c:pt>
                <c:pt idx="140">
                  <c:v>24.5</c:v>
                </c:pt>
                <c:pt idx="141">
                  <c:v>23</c:v>
                </c:pt>
                <c:pt idx="142">
                  <c:v>21.5</c:v>
                </c:pt>
                <c:pt idx="143">
                  <c:v>20</c:v>
                </c:pt>
                <c:pt idx="144">
                  <c:v>19.5</c:v>
                </c:pt>
                <c:pt idx="145">
                  <c:v>19</c:v>
                </c:pt>
                <c:pt idx="146">
                  <c:v>17.5</c:v>
                </c:pt>
                <c:pt idx="147">
                  <c:v>16</c:v>
                </c:pt>
                <c:pt idx="148">
                  <c:v>15</c:v>
                </c:pt>
                <c:pt idx="149">
                  <c:v>14</c:v>
                </c:pt>
                <c:pt idx="150">
                  <c:v>13.5</c:v>
                </c:pt>
                <c:pt idx="151">
                  <c:v>13</c:v>
                </c:pt>
                <c:pt idx="152">
                  <c:v>12</c:v>
                </c:pt>
                <c:pt idx="153">
                  <c:v>11</c:v>
                </c:pt>
                <c:pt idx="154">
                  <c:v>10.5</c:v>
                </c:pt>
                <c:pt idx="155">
                  <c:v>10</c:v>
                </c:pt>
                <c:pt idx="156">
                  <c:v>9.5</c:v>
                </c:pt>
                <c:pt idx="157">
                  <c:v>9</c:v>
                </c:pt>
                <c:pt idx="158">
                  <c:v>8.5</c:v>
                </c:pt>
                <c:pt idx="159">
                  <c:v>8</c:v>
                </c:pt>
                <c:pt idx="160">
                  <c:v>7.5</c:v>
                </c:pt>
                <c:pt idx="161">
                  <c:v>7</c:v>
                </c:pt>
                <c:pt idx="162">
                  <c:v>6.5</c:v>
                </c:pt>
                <c:pt idx="163">
                  <c:v>6</c:v>
                </c:pt>
                <c:pt idx="164">
                  <c:v>5.5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4.5</c:v>
                </c:pt>
                <c:pt idx="169">
                  <c:v>4</c:v>
                </c:pt>
                <c:pt idx="170">
                  <c:v>3.5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2.5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1.5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0.5</c:v>
                </c:pt>
                <c:pt idx="185" formatCode="0.00E+00">
                  <c:v>8.3799999999999996E-9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AB-47E6-8686-6165F728AAB5}"/>
            </c:ext>
          </c:extLst>
        </c:ser>
        <c:ser>
          <c:idx val="1"/>
          <c:order val="1"/>
          <c:tx>
            <c:strRef>
              <c:f>陆浑!$D$1</c:f>
              <c:strCache>
                <c:ptCount val="1"/>
                <c:pt idx="0">
                  <c:v>出库</c:v>
                </c:pt>
              </c:strCache>
            </c:strRef>
          </c:tx>
          <c:marker>
            <c:symbol val="none"/>
          </c:marker>
          <c:val>
            <c:numRef>
              <c:f>陆浑!$D$2:$D$746</c:f>
              <c:numCache>
                <c:formatCode>General</c:formatCode>
                <c:ptCount val="745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343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77</c:v>
                </c:pt>
                <c:pt idx="29">
                  <c:v>77</c:v>
                </c:pt>
                <c:pt idx="30">
                  <c:v>77</c:v>
                </c:pt>
                <c:pt idx="31">
                  <c:v>77</c:v>
                </c:pt>
                <c:pt idx="32">
                  <c:v>77</c:v>
                </c:pt>
                <c:pt idx="33">
                  <c:v>77</c:v>
                </c:pt>
                <c:pt idx="34">
                  <c:v>77</c:v>
                </c:pt>
                <c:pt idx="35">
                  <c:v>77</c:v>
                </c:pt>
                <c:pt idx="36">
                  <c:v>77</c:v>
                </c:pt>
                <c:pt idx="37">
                  <c:v>77</c:v>
                </c:pt>
                <c:pt idx="38">
                  <c:v>77</c:v>
                </c:pt>
                <c:pt idx="39">
                  <c:v>77</c:v>
                </c:pt>
                <c:pt idx="40">
                  <c:v>77</c:v>
                </c:pt>
                <c:pt idx="41">
                  <c:v>77</c:v>
                </c:pt>
                <c:pt idx="42">
                  <c:v>77</c:v>
                </c:pt>
                <c:pt idx="43">
                  <c:v>77</c:v>
                </c:pt>
                <c:pt idx="44">
                  <c:v>77</c:v>
                </c:pt>
                <c:pt idx="45">
                  <c:v>77</c:v>
                </c:pt>
                <c:pt idx="46">
                  <c:v>77</c:v>
                </c:pt>
                <c:pt idx="47">
                  <c:v>77</c:v>
                </c:pt>
                <c:pt idx="48">
                  <c:v>77</c:v>
                </c:pt>
                <c:pt idx="49">
                  <c:v>77</c:v>
                </c:pt>
                <c:pt idx="50">
                  <c:v>77</c:v>
                </c:pt>
                <c:pt idx="51">
                  <c:v>1503.075</c:v>
                </c:pt>
                <c:pt idx="52">
                  <c:v>2381.4949999999999</c:v>
                </c:pt>
                <c:pt idx="53">
                  <c:v>2283</c:v>
                </c:pt>
                <c:pt idx="54">
                  <c:v>2281</c:v>
                </c:pt>
                <c:pt idx="55">
                  <c:v>2279</c:v>
                </c:pt>
                <c:pt idx="56">
                  <c:v>2611</c:v>
                </c:pt>
                <c:pt idx="57">
                  <c:v>2943</c:v>
                </c:pt>
                <c:pt idx="58">
                  <c:v>3154</c:v>
                </c:pt>
                <c:pt idx="59">
                  <c:v>3240.1039999999998</c:v>
                </c:pt>
                <c:pt idx="60">
                  <c:v>3241.7979999999998</c:v>
                </c:pt>
                <c:pt idx="61">
                  <c:v>3240.51</c:v>
                </c:pt>
                <c:pt idx="62">
                  <c:v>2970.09</c:v>
                </c:pt>
                <c:pt idx="63">
                  <c:v>2758</c:v>
                </c:pt>
                <c:pt idx="64">
                  <c:v>2578</c:v>
                </c:pt>
                <c:pt idx="65">
                  <c:v>2398</c:v>
                </c:pt>
                <c:pt idx="66">
                  <c:v>2178</c:v>
                </c:pt>
                <c:pt idx="67">
                  <c:v>1958</c:v>
                </c:pt>
                <c:pt idx="68">
                  <c:v>1728.5</c:v>
                </c:pt>
                <c:pt idx="69">
                  <c:v>1499</c:v>
                </c:pt>
                <c:pt idx="70">
                  <c:v>1318.5</c:v>
                </c:pt>
                <c:pt idx="71">
                  <c:v>1138</c:v>
                </c:pt>
                <c:pt idx="72">
                  <c:v>1039</c:v>
                </c:pt>
                <c:pt idx="73">
                  <c:v>940</c:v>
                </c:pt>
                <c:pt idx="74">
                  <c:v>909.5</c:v>
                </c:pt>
                <c:pt idx="75">
                  <c:v>879</c:v>
                </c:pt>
                <c:pt idx="76">
                  <c:v>848</c:v>
                </c:pt>
                <c:pt idx="77">
                  <c:v>817</c:v>
                </c:pt>
                <c:pt idx="78">
                  <c:v>786.5</c:v>
                </c:pt>
                <c:pt idx="79">
                  <c:v>756</c:v>
                </c:pt>
                <c:pt idx="80">
                  <c:v>712</c:v>
                </c:pt>
                <c:pt idx="81">
                  <c:v>668</c:v>
                </c:pt>
                <c:pt idx="82">
                  <c:v>605.5</c:v>
                </c:pt>
                <c:pt idx="83">
                  <c:v>543</c:v>
                </c:pt>
                <c:pt idx="84">
                  <c:v>484.5</c:v>
                </c:pt>
                <c:pt idx="85">
                  <c:v>426</c:v>
                </c:pt>
                <c:pt idx="86">
                  <c:v>377.5</c:v>
                </c:pt>
                <c:pt idx="87">
                  <c:v>329</c:v>
                </c:pt>
                <c:pt idx="88">
                  <c:v>293.5</c:v>
                </c:pt>
                <c:pt idx="89">
                  <c:v>258</c:v>
                </c:pt>
                <c:pt idx="90">
                  <c:v>231.5</c:v>
                </c:pt>
                <c:pt idx="91">
                  <c:v>205</c:v>
                </c:pt>
                <c:pt idx="92">
                  <c:v>186</c:v>
                </c:pt>
                <c:pt idx="93">
                  <c:v>167</c:v>
                </c:pt>
                <c:pt idx="94">
                  <c:v>275</c:v>
                </c:pt>
                <c:pt idx="95">
                  <c:v>383</c:v>
                </c:pt>
                <c:pt idx="96">
                  <c:v>577</c:v>
                </c:pt>
                <c:pt idx="97">
                  <c:v>771</c:v>
                </c:pt>
                <c:pt idx="98">
                  <c:v>787</c:v>
                </c:pt>
                <c:pt idx="99">
                  <c:v>803</c:v>
                </c:pt>
                <c:pt idx="100">
                  <c:v>707.5</c:v>
                </c:pt>
                <c:pt idx="101">
                  <c:v>612</c:v>
                </c:pt>
                <c:pt idx="102">
                  <c:v>519.5</c:v>
                </c:pt>
                <c:pt idx="103">
                  <c:v>427</c:v>
                </c:pt>
                <c:pt idx="104">
                  <c:v>363</c:v>
                </c:pt>
                <c:pt idx="105">
                  <c:v>299</c:v>
                </c:pt>
                <c:pt idx="106">
                  <c:v>259.5</c:v>
                </c:pt>
                <c:pt idx="107">
                  <c:v>220</c:v>
                </c:pt>
                <c:pt idx="108">
                  <c:v>435.82839999999999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500</c:v>
                </c:pt>
                <c:pt idx="116">
                  <c:v>500</c:v>
                </c:pt>
                <c:pt idx="117">
                  <c:v>500</c:v>
                </c:pt>
                <c:pt idx="118">
                  <c:v>500</c:v>
                </c:pt>
                <c:pt idx="119">
                  <c:v>500</c:v>
                </c:pt>
                <c:pt idx="120">
                  <c:v>500</c:v>
                </c:pt>
                <c:pt idx="121">
                  <c:v>500</c:v>
                </c:pt>
                <c:pt idx="122">
                  <c:v>500</c:v>
                </c:pt>
                <c:pt idx="123">
                  <c:v>500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500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  <c:pt idx="200">
                  <c:v>500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500</c:v>
                </c:pt>
                <c:pt idx="208">
                  <c:v>500</c:v>
                </c:pt>
                <c:pt idx="209">
                  <c:v>500</c:v>
                </c:pt>
                <c:pt idx="210">
                  <c:v>500</c:v>
                </c:pt>
                <c:pt idx="211">
                  <c:v>500</c:v>
                </c:pt>
                <c:pt idx="212">
                  <c:v>500</c:v>
                </c:pt>
                <c:pt idx="213">
                  <c:v>500</c:v>
                </c:pt>
                <c:pt idx="214">
                  <c:v>500</c:v>
                </c:pt>
                <c:pt idx="215">
                  <c:v>500</c:v>
                </c:pt>
                <c:pt idx="216">
                  <c:v>500</c:v>
                </c:pt>
                <c:pt idx="217">
                  <c:v>500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</c:v>
                </c:pt>
                <c:pt idx="222">
                  <c:v>500</c:v>
                </c:pt>
                <c:pt idx="223">
                  <c:v>500</c:v>
                </c:pt>
                <c:pt idx="224">
                  <c:v>500</c:v>
                </c:pt>
                <c:pt idx="225">
                  <c:v>500</c:v>
                </c:pt>
                <c:pt idx="226">
                  <c:v>500</c:v>
                </c:pt>
                <c:pt idx="227">
                  <c:v>500</c:v>
                </c:pt>
                <c:pt idx="228">
                  <c:v>500</c:v>
                </c:pt>
                <c:pt idx="229">
                  <c:v>500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500</c:v>
                </c:pt>
                <c:pt idx="234">
                  <c:v>500</c:v>
                </c:pt>
                <c:pt idx="235">
                  <c:v>500</c:v>
                </c:pt>
                <c:pt idx="236">
                  <c:v>500</c:v>
                </c:pt>
                <c:pt idx="237">
                  <c:v>500</c:v>
                </c:pt>
                <c:pt idx="238">
                  <c:v>500</c:v>
                </c:pt>
                <c:pt idx="239">
                  <c:v>500</c:v>
                </c:pt>
                <c:pt idx="240">
                  <c:v>500</c:v>
                </c:pt>
                <c:pt idx="241">
                  <c:v>500</c:v>
                </c:pt>
                <c:pt idx="242">
                  <c:v>500</c:v>
                </c:pt>
                <c:pt idx="243">
                  <c:v>500</c:v>
                </c:pt>
                <c:pt idx="244">
                  <c:v>500</c:v>
                </c:pt>
                <c:pt idx="245">
                  <c:v>500</c:v>
                </c:pt>
                <c:pt idx="246">
                  <c:v>500</c:v>
                </c:pt>
                <c:pt idx="247">
                  <c:v>500</c:v>
                </c:pt>
                <c:pt idx="248">
                  <c:v>500</c:v>
                </c:pt>
                <c:pt idx="249">
                  <c:v>500</c:v>
                </c:pt>
                <c:pt idx="250">
                  <c:v>500</c:v>
                </c:pt>
                <c:pt idx="251">
                  <c:v>500</c:v>
                </c:pt>
                <c:pt idx="252">
                  <c:v>500</c:v>
                </c:pt>
                <c:pt idx="253">
                  <c:v>86.659750000000003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AB-47E6-8686-6165F728A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07456"/>
        <c:axId val="208972032"/>
      </c:lineChart>
      <c:lineChart>
        <c:grouping val="standard"/>
        <c:varyColors val="0"/>
        <c:ser>
          <c:idx val="2"/>
          <c:order val="2"/>
          <c:tx>
            <c:strRef>
              <c:f>陆浑!$E$1</c:f>
              <c:strCache>
                <c:ptCount val="1"/>
                <c:pt idx="0">
                  <c:v>水位</c:v>
                </c:pt>
              </c:strCache>
            </c:strRef>
          </c:tx>
          <c:marker>
            <c:symbol val="none"/>
          </c:marker>
          <c:val>
            <c:numRef>
              <c:f>陆浑!$E$2:$E$746</c:f>
              <c:numCache>
                <c:formatCode>General</c:formatCode>
                <c:ptCount val="745"/>
                <c:pt idx="0">
                  <c:v>316.18189999999998</c:v>
                </c:pt>
                <c:pt idx="1">
                  <c:v>316.15390000000002</c:v>
                </c:pt>
                <c:pt idx="2">
                  <c:v>316.12580000000003</c:v>
                </c:pt>
                <c:pt idx="3">
                  <c:v>316.09780000000001</c:v>
                </c:pt>
                <c:pt idx="4">
                  <c:v>316.06979999999999</c:v>
                </c:pt>
                <c:pt idx="5">
                  <c:v>316.0421</c:v>
                </c:pt>
                <c:pt idx="6">
                  <c:v>316.01459999999997</c:v>
                </c:pt>
                <c:pt idx="7">
                  <c:v>315.98700000000002</c:v>
                </c:pt>
                <c:pt idx="8">
                  <c:v>315.96710000000002</c:v>
                </c:pt>
                <c:pt idx="9">
                  <c:v>315.96120000000002</c:v>
                </c:pt>
                <c:pt idx="10">
                  <c:v>316.10129999999998</c:v>
                </c:pt>
                <c:pt idx="11">
                  <c:v>316.54759999999999</c:v>
                </c:pt>
                <c:pt idx="12">
                  <c:v>317.19940000000003</c:v>
                </c:pt>
                <c:pt idx="13">
                  <c:v>317.92340000000002</c:v>
                </c:pt>
                <c:pt idx="14">
                  <c:v>318.62090000000001</c:v>
                </c:pt>
                <c:pt idx="15">
                  <c:v>319.24149999999997</c:v>
                </c:pt>
                <c:pt idx="16">
                  <c:v>319.74040000000002</c:v>
                </c:pt>
                <c:pt idx="17">
                  <c:v>320.0643</c:v>
                </c:pt>
                <c:pt idx="18">
                  <c:v>320.25490000000002</c:v>
                </c:pt>
                <c:pt idx="19">
                  <c:v>320.3766</c:v>
                </c:pt>
                <c:pt idx="20">
                  <c:v>320.44779999999997</c:v>
                </c:pt>
                <c:pt idx="21">
                  <c:v>320.48680000000002</c:v>
                </c:pt>
                <c:pt idx="22">
                  <c:v>320.50049999999999</c:v>
                </c:pt>
                <c:pt idx="23">
                  <c:v>320.49590000000001</c:v>
                </c:pt>
                <c:pt idx="24">
                  <c:v>320.48169999999999</c:v>
                </c:pt>
                <c:pt idx="25">
                  <c:v>320.46620000000001</c:v>
                </c:pt>
                <c:pt idx="26">
                  <c:v>320.45389999999998</c:v>
                </c:pt>
                <c:pt idx="27">
                  <c:v>320.44959999999998</c:v>
                </c:pt>
                <c:pt idx="28">
                  <c:v>320.48599999999999</c:v>
                </c:pt>
                <c:pt idx="29">
                  <c:v>320.55759999999998</c:v>
                </c:pt>
                <c:pt idx="30">
                  <c:v>320.6277</c:v>
                </c:pt>
                <c:pt idx="31">
                  <c:v>320.69740000000002</c:v>
                </c:pt>
                <c:pt idx="32">
                  <c:v>320.767</c:v>
                </c:pt>
                <c:pt idx="33">
                  <c:v>320.83670000000001</c:v>
                </c:pt>
                <c:pt idx="34">
                  <c:v>320.90589999999997</c:v>
                </c:pt>
                <c:pt idx="35">
                  <c:v>320.97379999999998</c:v>
                </c:pt>
                <c:pt idx="36">
                  <c:v>321.04930000000002</c:v>
                </c:pt>
                <c:pt idx="37">
                  <c:v>321.14120000000003</c:v>
                </c:pt>
                <c:pt idx="38">
                  <c:v>321.24540000000002</c:v>
                </c:pt>
                <c:pt idx="39">
                  <c:v>321.3578</c:v>
                </c:pt>
                <c:pt idx="40">
                  <c:v>321.47809999999998</c:v>
                </c:pt>
                <c:pt idx="41">
                  <c:v>321.60579999999999</c:v>
                </c:pt>
                <c:pt idx="42">
                  <c:v>321.73430000000002</c:v>
                </c:pt>
                <c:pt idx="43">
                  <c:v>321.8571</c:v>
                </c:pt>
                <c:pt idx="44">
                  <c:v>321.97550000000001</c:v>
                </c:pt>
                <c:pt idx="45">
                  <c:v>322.08679999999998</c:v>
                </c:pt>
                <c:pt idx="46">
                  <c:v>322.20319999999998</c:v>
                </c:pt>
                <c:pt idx="47">
                  <c:v>322.33499999999998</c:v>
                </c:pt>
                <c:pt idx="48">
                  <c:v>322.48360000000002</c:v>
                </c:pt>
                <c:pt idx="49">
                  <c:v>322.65100000000001</c:v>
                </c:pt>
                <c:pt idx="50">
                  <c:v>322.83100000000002</c:v>
                </c:pt>
                <c:pt idx="51">
                  <c:v>322.96140000000003</c:v>
                </c:pt>
                <c:pt idx="52">
                  <c:v>323</c:v>
                </c:pt>
                <c:pt idx="53">
                  <c:v>323</c:v>
                </c:pt>
                <c:pt idx="54">
                  <c:v>323</c:v>
                </c:pt>
                <c:pt idx="55">
                  <c:v>323</c:v>
                </c:pt>
                <c:pt idx="56">
                  <c:v>323</c:v>
                </c:pt>
                <c:pt idx="57">
                  <c:v>323</c:v>
                </c:pt>
                <c:pt idx="58">
                  <c:v>323</c:v>
                </c:pt>
                <c:pt idx="59">
                  <c:v>323.00490000000002</c:v>
                </c:pt>
                <c:pt idx="60">
                  <c:v>323.0102</c:v>
                </c:pt>
                <c:pt idx="61">
                  <c:v>323.00619999999998</c:v>
                </c:pt>
                <c:pt idx="62">
                  <c:v>323.00099999999998</c:v>
                </c:pt>
                <c:pt idx="63">
                  <c:v>323</c:v>
                </c:pt>
                <c:pt idx="64">
                  <c:v>323</c:v>
                </c:pt>
                <c:pt idx="65">
                  <c:v>323</c:v>
                </c:pt>
                <c:pt idx="66">
                  <c:v>323</c:v>
                </c:pt>
                <c:pt idx="67">
                  <c:v>323</c:v>
                </c:pt>
                <c:pt idx="68">
                  <c:v>323</c:v>
                </c:pt>
                <c:pt idx="69">
                  <c:v>323</c:v>
                </c:pt>
                <c:pt idx="70">
                  <c:v>323</c:v>
                </c:pt>
                <c:pt idx="71">
                  <c:v>323</c:v>
                </c:pt>
                <c:pt idx="72">
                  <c:v>323</c:v>
                </c:pt>
                <c:pt idx="73">
                  <c:v>323</c:v>
                </c:pt>
                <c:pt idx="74">
                  <c:v>323</c:v>
                </c:pt>
                <c:pt idx="75">
                  <c:v>323</c:v>
                </c:pt>
                <c:pt idx="76">
                  <c:v>323</c:v>
                </c:pt>
                <c:pt idx="77">
                  <c:v>323</c:v>
                </c:pt>
                <c:pt idx="78">
                  <c:v>323</c:v>
                </c:pt>
                <c:pt idx="79">
                  <c:v>323</c:v>
                </c:pt>
                <c:pt idx="80">
                  <c:v>323</c:v>
                </c:pt>
                <c:pt idx="81">
                  <c:v>323</c:v>
                </c:pt>
                <c:pt idx="82">
                  <c:v>323</c:v>
                </c:pt>
                <c:pt idx="83">
                  <c:v>323</c:v>
                </c:pt>
                <c:pt idx="84">
                  <c:v>323</c:v>
                </c:pt>
                <c:pt idx="85">
                  <c:v>323</c:v>
                </c:pt>
                <c:pt idx="86">
                  <c:v>323</c:v>
                </c:pt>
                <c:pt idx="87">
                  <c:v>323</c:v>
                </c:pt>
                <c:pt idx="88">
                  <c:v>323</c:v>
                </c:pt>
                <c:pt idx="89">
                  <c:v>323</c:v>
                </c:pt>
                <c:pt idx="90">
                  <c:v>323</c:v>
                </c:pt>
                <c:pt idx="91">
                  <c:v>323</c:v>
                </c:pt>
                <c:pt idx="92">
                  <c:v>323</c:v>
                </c:pt>
                <c:pt idx="93">
                  <c:v>323</c:v>
                </c:pt>
                <c:pt idx="94">
                  <c:v>323</c:v>
                </c:pt>
                <c:pt idx="95">
                  <c:v>323</c:v>
                </c:pt>
                <c:pt idx="96">
                  <c:v>323</c:v>
                </c:pt>
                <c:pt idx="97">
                  <c:v>323</c:v>
                </c:pt>
                <c:pt idx="98">
                  <c:v>323</c:v>
                </c:pt>
                <c:pt idx="99">
                  <c:v>323</c:v>
                </c:pt>
                <c:pt idx="100">
                  <c:v>323</c:v>
                </c:pt>
                <c:pt idx="101">
                  <c:v>323</c:v>
                </c:pt>
                <c:pt idx="102">
                  <c:v>323</c:v>
                </c:pt>
                <c:pt idx="103">
                  <c:v>323</c:v>
                </c:pt>
                <c:pt idx="104">
                  <c:v>323</c:v>
                </c:pt>
                <c:pt idx="105">
                  <c:v>323</c:v>
                </c:pt>
                <c:pt idx="106">
                  <c:v>323</c:v>
                </c:pt>
                <c:pt idx="107">
                  <c:v>323</c:v>
                </c:pt>
                <c:pt idx="108">
                  <c:v>322.9905</c:v>
                </c:pt>
                <c:pt idx="109">
                  <c:v>322.96809999999999</c:v>
                </c:pt>
                <c:pt idx="110">
                  <c:v>322.94170000000003</c:v>
                </c:pt>
                <c:pt idx="111">
                  <c:v>322.91399999999999</c:v>
                </c:pt>
                <c:pt idx="112">
                  <c:v>322.88529999999997</c:v>
                </c:pt>
                <c:pt idx="113">
                  <c:v>322.85590000000002</c:v>
                </c:pt>
                <c:pt idx="114">
                  <c:v>322.82560000000001</c:v>
                </c:pt>
                <c:pt idx="115">
                  <c:v>322.79480000000001</c:v>
                </c:pt>
                <c:pt idx="116">
                  <c:v>322.76330000000002</c:v>
                </c:pt>
                <c:pt idx="117">
                  <c:v>322.73129999999998</c:v>
                </c:pt>
                <c:pt idx="118">
                  <c:v>322.69880000000001</c:v>
                </c:pt>
                <c:pt idx="119">
                  <c:v>322.66590000000002</c:v>
                </c:pt>
                <c:pt idx="120">
                  <c:v>322.63249999999999</c:v>
                </c:pt>
                <c:pt idx="121">
                  <c:v>322.59879999999998</c:v>
                </c:pt>
                <c:pt idx="122">
                  <c:v>322.56470000000002</c:v>
                </c:pt>
                <c:pt idx="123">
                  <c:v>322.53030000000001</c:v>
                </c:pt>
                <c:pt idx="124">
                  <c:v>322.49560000000002</c:v>
                </c:pt>
                <c:pt idx="125">
                  <c:v>322.4606</c:v>
                </c:pt>
                <c:pt idx="126">
                  <c:v>322.42529999999999</c:v>
                </c:pt>
                <c:pt idx="127">
                  <c:v>322.38979999999998</c:v>
                </c:pt>
                <c:pt idx="128">
                  <c:v>322.35399999999998</c:v>
                </c:pt>
                <c:pt idx="129">
                  <c:v>322.31799999999998</c:v>
                </c:pt>
                <c:pt idx="130">
                  <c:v>322.28179999999998</c:v>
                </c:pt>
                <c:pt idx="131">
                  <c:v>322.24549999999999</c:v>
                </c:pt>
                <c:pt idx="132">
                  <c:v>322.209</c:v>
                </c:pt>
                <c:pt idx="133">
                  <c:v>322.17230000000001</c:v>
                </c:pt>
                <c:pt idx="134">
                  <c:v>322.13549999999998</c:v>
                </c:pt>
                <c:pt idx="135">
                  <c:v>322.0985</c:v>
                </c:pt>
                <c:pt idx="136">
                  <c:v>322.06139999999999</c:v>
                </c:pt>
                <c:pt idx="137">
                  <c:v>322.02420000000001</c:v>
                </c:pt>
                <c:pt idx="138">
                  <c:v>321.98630000000003</c:v>
                </c:pt>
                <c:pt idx="139">
                  <c:v>321.94709999999998</c:v>
                </c:pt>
                <c:pt idx="140">
                  <c:v>321.90780000000001</c:v>
                </c:pt>
                <c:pt idx="141">
                  <c:v>321.86840000000001</c:v>
                </c:pt>
                <c:pt idx="142">
                  <c:v>321.82889999999998</c:v>
                </c:pt>
                <c:pt idx="143">
                  <c:v>321.78919999999999</c:v>
                </c:pt>
                <c:pt idx="144">
                  <c:v>321.74950000000001</c:v>
                </c:pt>
                <c:pt idx="145">
                  <c:v>321.7097</c:v>
                </c:pt>
                <c:pt idx="146">
                  <c:v>321.66980000000001</c:v>
                </c:pt>
                <c:pt idx="147">
                  <c:v>321.62979999999999</c:v>
                </c:pt>
                <c:pt idx="148">
                  <c:v>321.58969999999999</c:v>
                </c:pt>
                <c:pt idx="149">
                  <c:v>321.5496</c:v>
                </c:pt>
                <c:pt idx="150">
                  <c:v>321.5093</c:v>
                </c:pt>
                <c:pt idx="151">
                  <c:v>321.46899999999999</c:v>
                </c:pt>
                <c:pt idx="152">
                  <c:v>321.42869999999999</c:v>
                </c:pt>
                <c:pt idx="153">
                  <c:v>321.38819999999998</c:v>
                </c:pt>
                <c:pt idx="154">
                  <c:v>321.34780000000001</c:v>
                </c:pt>
                <c:pt idx="155">
                  <c:v>321.30720000000002</c:v>
                </c:pt>
                <c:pt idx="156">
                  <c:v>321.26670000000001</c:v>
                </c:pt>
                <c:pt idx="157">
                  <c:v>321.226</c:v>
                </c:pt>
                <c:pt idx="158">
                  <c:v>321.18540000000002</c:v>
                </c:pt>
                <c:pt idx="159">
                  <c:v>321.1447</c:v>
                </c:pt>
                <c:pt idx="160">
                  <c:v>321.10390000000001</c:v>
                </c:pt>
                <c:pt idx="161">
                  <c:v>321.06319999999999</c:v>
                </c:pt>
                <c:pt idx="162">
                  <c:v>321.0224</c:v>
                </c:pt>
                <c:pt idx="163">
                  <c:v>320.98149999999998</c:v>
                </c:pt>
                <c:pt idx="164">
                  <c:v>320.94060000000002</c:v>
                </c:pt>
                <c:pt idx="165">
                  <c:v>320.8997</c:v>
                </c:pt>
                <c:pt idx="166">
                  <c:v>320.8587</c:v>
                </c:pt>
                <c:pt idx="167">
                  <c:v>320.8177</c:v>
                </c:pt>
                <c:pt idx="168">
                  <c:v>320.77670000000001</c:v>
                </c:pt>
                <c:pt idx="169">
                  <c:v>320.73570000000001</c:v>
                </c:pt>
                <c:pt idx="170">
                  <c:v>320.69459999999998</c:v>
                </c:pt>
                <c:pt idx="171">
                  <c:v>320.65350000000001</c:v>
                </c:pt>
                <c:pt idx="172">
                  <c:v>320.61239999999998</c:v>
                </c:pt>
                <c:pt idx="173">
                  <c:v>320.57130000000001</c:v>
                </c:pt>
                <c:pt idx="174">
                  <c:v>320.5301</c:v>
                </c:pt>
                <c:pt idx="175">
                  <c:v>320.4889</c:v>
                </c:pt>
                <c:pt idx="176">
                  <c:v>320.4477</c:v>
                </c:pt>
                <c:pt idx="177">
                  <c:v>320.40649999999999</c:v>
                </c:pt>
                <c:pt idx="178">
                  <c:v>320.36529999999999</c:v>
                </c:pt>
                <c:pt idx="179">
                  <c:v>320.32400000000001</c:v>
                </c:pt>
                <c:pt idx="180">
                  <c:v>320.28269999999998</c:v>
                </c:pt>
                <c:pt idx="181">
                  <c:v>320.2414</c:v>
                </c:pt>
                <c:pt idx="182">
                  <c:v>320.20010000000002</c:v>
                </c:pt>
                <c:pt idx="183">
                  <c:v>320.15879999999999</c:v>
                </c:pt>
                <c:pt idx="184">
                  <c:v>320.11750000000001</c:v>
                </c:pt>
                <c:pt idx="185">
                  <c:v>320.0761</c:v>
                </c:pt>
                <c:pt idx="186">
                  <c:v>320.03469999999999</c:v>
                </c:pt>
                <c:pt idx="187">
                  <c:v>319.99279999999999</c:v>
                </c:pt>
                <c:pt idx="188">
                  <c:v>319.94779999999997</c:v>
                </c:pt>
                <c:pt idx="189">
                  <c:v>319.90280000000001</c:v>
                </c:pt>
                <c:pt idx="190">
                  <c:v>319.8578</c:v>
                </c:pt>
                <c:pt idx="191">
                  <c:v>319.81279999999998</c:v>
                </c:pt>
                <c:pt idx="192">
                  <c:v>319.76780000000002</c:v>
                </c:pt>
                <c:pt idx="193">
                  <c:v>319.72280000000001</c:v>
                </c:pt>
                <c:pt idx="194">
                  <c:v>319.67779999999999</c:v>
                </c:pt>
                <c:pt idx="195">
                  <c:v>319.63279999999997</c:v>
                </c:pt>
                <c:pt idx="196">
                  <c:v>319.58780000000002</c:v>
                </c:pt>
                <c:pt idx="197">
                  <c:v>319.5428</c:v>
                </c:pt>
                <c:pt idx="198">
                  <c:v>319.49779999999998</c:v>
                </c:pt>
                <c:pt idx="199">
                  <c:v>319.45280000000002</c:v>
                </c:pt>
                <c:pt idx="200">
                  <c:v>319.40780000000001</c:v>
                </c:pt>
                <c:pt idx="201">
                  <c:v>319.36279999999999</c:v>
                </c:pt>
                <c:pt idx="202">
                  <c:v>319.31779999999998</c:v>
                </c:pt>
                <c:pt idx="203">
                  <c:v>319.27280000000002</c:v>
                </c:pt>
                <c:pt idx="204">
                  <c:v>319.2278</c:v>
                </c:pt>
                <c:pt idx="205">
                  <c:v>319.18279999999999</c:v>
                </c:pt>
                <c:pt idx="206">
                  <c:v>319.13780000000003</c:v>
                </c:pt>
                <c:pt idx="207">
                  <c:v>319.09280000000001</c:v>
                </c:pt>
                <c:pt idx="208">
                  <c:v>319.0478</c:v>
                </c:pt>
                <c:pt idx="209">
                  <c:v>319.00279999999998</c:v>
                </c:pt>
                <c:pt idx="210">
                  <c:v>318.95780000000002</c:v>
                </c:pt>
                <c:pt idx="211">
                  <c:v>318.9128</c:v>
                </c:pt>
                <c:pt idx="212">
                  <c:v>318.86779999999999</c:v>
                </c:pt>
                <c:pt idx="213">
                  <c:v>318.82279999999997</c:v>
                </c:pt>
                <c:pt idx="214">
                  <c:v>318.77780000000001</c:v>
                </c:pt>
                <c:pt idx="215">
                  <c:v>318.7328</c:v>
                </c:pt>
                <c:pt idx="216">
                  <c:v>318.68779999999998</c:v>
                </c:pt>
                <c:pt idx="217">
                  <c:v>318.64280000000002</c:v>
                </c:pt>
                <c:pt idx="218">
                  <c:v>318.59780000000001</c:v>
                </c:pt>
                <c:pt idx="219">
                  <c:v>318.55279999999999</c:v>
                </c:pt>
                <c:pt idx="220">
                  <c:v>318.50779999999997</c:v>
                </c:pt>
                <c:pt idx="221">
                  <c:v>318.46280000000002</c:v>
                </c:pt>
                <c:pt idx="222">
                  <c:v>318.4178</c:v>
                </c:pt>
                <c:pt idx="223">
                  <c:v>318.37279999999998</c:v>
                </c:pt>
                <c:pt idx="224">
                  <c:v>318.32780000000002</c:v>
                </c:pt>
                <c:pt idx="225">
                  <c:v>318.28280000000001</c:v>
                </c:pt>
                <c:pt idx="226">
                  <c:v>318.23779999999999</c:v>
                </c:pt>
                <c:pt idx="227">
                  <c:v>318.19279999999998</c:v>
                </c:pt>
                <c:pt idx="228">
                  <c:v>318.14780000000002</c:v>
                </c:pt>
                <c:pt idx="229">
                  <c:v>318.1028</c:v>
                </c:pt>
                <c:pt idx="230">
                  <c:v>318.05779999999999</c:v>
                </c:pt>
                <c:pt idx="231">
                  <c:v>318.01280000000003</c:v>
                </c:pt>
                <c:pt idx="232">
                  <c:v>317.96660000000003</c:v>
                </c:pt>
                <c:pt idx="233">
                  <c:v>317.91980000000001</c:v>
                </c:pt>
                <c:pt idx="234">
                  <c:v>317.87299999999999</c:v>
                </c:pt>
                <c:pt idx="235">
                  <c:v>317.8263</c:v>
                </c:pt>
                <c:pt idx="236">
                  <c:v>317.77949999999998</c:v>
                </c:pt>
                <c:pt idx="237">
                  <c:v>317.7328</c:v>
                </c:pt>
                <c:pt idx="238">
                  <c:v>317.68599999999998</c:v>
                </c:pt>
                <c:pt idx="239">
                  <c:v>317.63929999999999</c:v>
                </c:pt>
                <c:pt idx="240">
                  <c:v>317.59249999999997</c:v>
                </c:pt>
                <c:pt idx="241">
                  <c:v>317.54579999999999</c:v>
                </c:pt>
                <c:pt idx="242">
                  <c:v>317.49900000000002</c:v>
                </c:pt>
                <c:pt idx="243">
                  <c:v>317.45229999999998</c:v>
                </c:pt>
                <c:pt idx="244">
                  <c:v>317.40550000000002</c:v>
                </c:pt>
                <c:pt idx="245">
                  <c:v>317.35879999999997</c:v>
                </c:pt>
                <c:pt idx="246">
                  <c:v>317.31200000000001</c:v>
                </c:pt>
                <c:pt idx="247">
                  <c:v>317.26530000000002</c:v>
                </c:pt>
                <c:pt idx="248">
                  <c:v>317.21850000000001</c:v>
                </c:pt>
                <c:pt idx="249">
                  <c:v>317.17180000000002</c:v>
                </c:pt>
                <c:pt idx="250">
                  <c:v>317.125</c:v>
                </c:pt>
                <c:pt idx="251">
                  <c:v>317.07819999999998</c:v>
                </c:pt>
                <c:pt idx="252">
                  <c:v>317.03149999999999</c:v>
                </c:pt>
                <c:pt idx="253">
                  <c:v>317.00409999999999</c:v>
                </c:pt>
                <c:pt idx="254">
                  <c:v>317</c:v>
                </c:pt>
                <c:pt idx="255">
                  <c:v>317</c:v>
                </c:pt>
                <c:pt idx="256">
                  <c:v>317</c:v>
                </c:pt>
                <c:pt idx="257">
                  <c:v>317</c:v>
                </c:pt>
                <c:pt idx="258">
                  <c:v>317</c:v>
                </c:pt>
                <c:pt idx="259">
                  <c:v>317</c:v>
                </c:pt>
                <c:pt idx="260">
                  <c:v>317</c:v>
                </c:pt>
                <c:pt idx="261">
                  <c:v>317</c:v>
                </c:pt>
                <c:pt idx="262">
                  <c:v>317</c:v>
                </c:pt>
                <c:pt idx="263">
                  <c:v>317</c:v>
                </c:pt>
                <c:pt idx="264">
                  <c:v>317</c:v>
                </c:pt>
                <c:pt idx="265">
                  <c:v>317</c:v>
                </c:pt>
                <c:pt idx="266">
                  <c:v>317</c:v>
                </c:pt>
                <c:pt idx="267">
                  <c:v>317</c:v>
                </c:pt>
                <c:pt idx="268">
                  <c:v>317</c:v>
                </c:pt>
                <c:pt idx="269">
                  <c:v>317</c:v>
                </c:pt>
                <c:pt idx="270">
                  <c:v>317</c:v>
                </c:pt>
                <c:pt idx="271">
                  <c:v>317</c:v>
                </c:pt>
                <c:pt idx="272">
                  <c:v>317</c:v>
                </c:pt>
                <c:pt idx="273">
                  <c:v>317</c:v>
                </c:pt>
                <c:pt idx="274">
                  <c:v>317</c:v>
                </c:pt>
                <c:pt idx="275">
                  <c:v>317</c:v>
                </c:pt>
                <c:pt idx="276">
                  <c:v>317</c:v>
                </c:pt>
                <c:pt idx="277">
                  <c:v>317</c:v>
                </c:pt>
                <c:pt idx="278">
                  <c:v>317</c:v>
                </c:pt>
                <c:pt idx="279">
                  <c:v>317</c:v>
                </c:pt>
                <c:pt idx="280">
                  <c:v>317</c:v>
                </c:pt>
                <c:pt idx="281">
                  <c:v>317</c:v>
                </c:pt>
                <c:pt idx="282">
                  <c:v>317</c:v>
                </c:pt>
                <c:pt idx="283">
                  <c:v>317</c:v>
                </c:pt>
                <c:pt idx="284">
                  <c:v>317</c:v>
                </c:pt>
                <c:pt idx="285">
                  <c:v>317</c:v>
                </c:pt>
                <c:pt idx="286">
                  <c:v>317</c:v>
                </c:pt>
                <c:pt idx="287">
                  <c:v>317</c:v>
                </c:pt>
                <c:pt idx="288">
                  <c:v>317</c:v>
                </c:pt>
                <c:pt idx="289">
                  <c:v>317</c:v>
                </c:pt>
                <c:pt idx="290">
                  <c:v>317</c:v>
                </c:pt>
                <c:pt idx="291">
                  <c:v>317</c:v>
                </c:pt>
                <c:pt idx="292">
                  <c:v>317</c:v>
                </c:pt>
                <c:pt idx="293">
                  <c:v>317</c:v>
                </c:pt>
                <c:pt idx="294">
                  <c:v>317</c:v>
                </c:pt>
                <c:pt idx="295">
                  <c:v>317</c:v>
                </c:pt>
                <c:pt idx="296">
                  <c:v>317</c:v>
                </c:pt>
                <c:pt idx="297">
                  <c:v>317</c:v>
                </c:pt>
                <c:pt idx="298">
                  <c:v>317</c:v>
                </c:pt>
                <c:pt idx="299">
                  <c:v>317</c:v>
                </c:pt>
                <c:pt idx="300">
                  <c:v>317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317</c:v>
                </c:pt>
                <c:pt idx="310">
                  <c:v>317</c:v>
                </c:pt>
                <c:pt idx="311">
                  <c:v>317</c:v>
                </c:pt>
                <c:pt idx="312">
                  <c:v>317</c:v>
                </c:pt>
                <c:pt idx="313">
                  <c:v>317</c:v>
                </c:pt>
                <c:pt idx="314">
                  <c:v>317</c:v>
                </c:pt>
                <c:pt idx="315">
                  <c:v>317</c:v>
                </c:pt>
                <c:pt idx="316">
                  <c:v>317</c:v>
                </c:pt>
                <c:pt idx="317">
                  <c:v>317</c:v>
                </c:pt>
                <c:pt idx="318">
                  <c:v>317</c:v>
                </c:pt>
                <c:pt idx="319">
                  <c:v>317</c:v>
                </c:pt>
                <c:pt idx="320">
                  <c:v>317</c:v>
                </c:pt>
                <c:pt idx="321">
                  <c:v>317</c:v>
                </c:pt>
                <c:pt idx="322">
                  <c:v>317</c:v>
                </c:pt>
                <c:pt idx="323">
                  <c:v>317</c:v>
                </c:pt>
                <c:pt idx="324">
                  <c:v>317</c:v>
                </c:pt>
                <c:pt idx="325">
                  <c:v>317</c:v>
                </c:pt>
                <c:pt idx="326">
                  <c:v>317</c:v>
                </c:pt>
                <c:pt idx="327">
                  <c:v>317</c:v>
                </c:pt>
                <c:pt idx="328">
                  <c:v>317</c:v>
                </c:pt>
                <c:pt idx="329">
                  <c:v>317</c:v>
                </c:pt>
                <c:pt idx="330">
                  <c:v>317</c:v>
                </c:pt>
                <c:pt idx="331">
                  <c:v>317</c:v>
                </c:pt>
                <c:pt idx="332">
                  <c:v>317</c:v>
                </c:pt>
                <c:pt idx="333">
                  <c:v>317</c:v>
                </c:pt>
                <c:pt idx="334">
                  <c:v>317</c:v>
                </c:pt>
                <c:pt idx="335">
                  <c:v>317</c:v>
                </c:pt>
                <c:pt idx="336">
                  <c:v>317</c:v>
                </c:pt>
                <c:pt idx="337">
                  <c:v>317</c:v>
                </c:pt>
                <c:pt idx="338">
                  <c:v>317</c:v>
                </c:pt>
                <c:pt idx="339">
                  <c:v>317</c:v>
                </c:pt>
                <c:pt idx="340">
                  <c:v>317</c:v>
                </c:pt>
                <c:pt idx="341">
                  <c:v>317</c:v>
                </c:pt>
                <c:pt idx="342">
                  <c:v>317</c:v>
                </c:pt>
                <c:pt idx="343">
                  <c:v>317</c:v>
                </c:pt>
                <c:pt idx="344">
                  <c:v>317</c:v>
                </c:pt>
                <c:pt idx="345">
                  <c:v>317</c:v>
                </c:pt>
                <c:pt idx="346">
                  <c:v>317</c:v>
                </c:pt>
                <c:pt idx="347">
                  <c:v>317</c:v>
                </c:pt>
                <c:pt idx="348">
                  <c:v>317</c:v>
                </c:pt>
                <c:pt idx="349">
                  <c:v>317</c:v>
                </c:pt>
                <c:pt idx="350">
                  <c:v>317</c:v>
                </c:pt>
                <c:pt idx="351">
                  <c:v>317</c:v>
                </c:pt>
                <c:pt idx="352">
                  <c:v>317</c:v>
                </c:pt>
                <c:pt idx="353">
                  <c:v>317</c:v>
                </c:pt>
                <c:pt idx="354">
                  <c:v>317</c:v>
                </c:pt>
                <c:pt idx="355">
                  <c:v>317</c:v>
                </c:pt>
                <c:pt idx="356">
                  <c:v>317</c:v>
                </c:pt>
                <c:pt idx="357">
                  <c:v>317</c:v>
                </c:pt>
                <c:pt idx="358">
                  <c:v>317</c:v>
                </c:pt>
                <c:pt idx="359">
                  <c:v>317</c:v>
                </c:pt>
                <c:pt idx="360">
                  <c:v>317</c:v>
                </c:pt>
                <c:pt idx="361">
                  <c:v>317</c:v>
                </c:pt>
                <c:pt idx="362">
                  <c:v>317</c:v>
                </c:pt>
                <c:pt idx="363">
                  <c:v>317</c:v>
                </c:pt>
                <c:pt idx="364">
                  <c:v>317</c:v>
                </c:pt>
                <c:pt idx="365">
                  <c:v>317</c:v>
                </c:pt>
                <c:pt idx="366">
                  <c:v>317</c:v>
                </c:pt>
                <c:pt idx="367">
                  <c:v>317</c:v>
                </c:pt>
                <c:pt idx="368">
                  <c:v>317</c:v>
                </c:pt>
                <c:pt idx="369">
                  <c:v>317</c:v>
                </c:pt>
                <c:pt idx="370">
                  <c:v>317</c:v>
                </c:pt>
                <c:pt idx="371">
                  <c:v>317</c:v>
                </c:pt>
                <c:pt idx="372">
                  <c:v>317</c:v>
                </c:pt>
                <c:pt idx="373">
                  <c:v>317</c:v>
                </c:pt>
                <c:pt idx="374">
                  <c:v>317</c:v>
                </c:pt>
                <c:pt idx="375">
                  <c:v>317</c:v>
                </c:pt>
                <c:pt idx="376">
                  <c:v>317</c:v>
                </c:pt>
                <c:pt idx="377">
                  <c:v>317</c:v>
                </c:pt>
                <c:pt idx="378">
                  <c:v>317</c:v>
                </c:pt>
                <c:pt idx="379">
                  <c:v>317</c:v>
                </c:pt>
                <c:pt idx="380">
                  <c:v>317</c:v>
                </c:pt>
                <c:pt idx="381">
                  <c:v>317</c:v>
                </c:pt>
                <c:pt idx="382">
                  <c:v>317</c:v>
                </c:pt>
                <c:pt idx="383">
                  <c:v>317</c:v>
                </c:pt>
                <c:pt idx="384">
                  <c:v>317</c:v>
                </c:pt>
                <c:pt idx="385">
                  <c:v>317</c:v>
                </c:pt>
                <c:pt idx="386">
                  <c:v>317</c:v>
                </c:pt>
                <c:pt idx="387">
                  <c:v>317</c:v>
                </c:pt>
                <c:pt idx="388">
                  <c:v>317</c:v>
                </c:pt>
                <c:pt idx="389">
                  <c:v>317</c:v>
                </c:pt>
                <c:pt idx="390">
                  <c:v>317</c:v>
                </c:pt>
                <c:pt idx="391">
                  <c:v>317</c:v>
                </c:pt>
                <c:pt idx="392">
                  <c:v>317</c:v>
                </c:pt>
                <c:pt idx="393">
                  <c:v>317</c:v>
                </c:pt>
                <c:pt idx="394">
                  <c:v>317</c:v>
                </c:pt>
                <c:pt idx="395">
                  <c:v>317</c:v>
                </c:pt>
                <c:pt idx="396">
                  <c:v>317</c:v>
                </c:pt>
                <c:pt idx="397">
                  <c:v>317</c:v>
                </c:pt>
                <c:pt idx="398">
                  <c:v>317</c:v>
                </c:pt>
                <c:pt idx="399">
                  <c:v>317</c:v>
                </c:pt>
                <c:pt idx="400">
                  <c:v>317</c:v>
                </c:pt>
                <c:pt idx="401">
                  <c:v>317</c:v>
                </c:pt>
                <c:pt idx="402">
                  <c:v>317</c:v>
                </c:pt>
                <c:pt idx="403">
                  <c:v>317</c:v>
                </c:pt>
                <c:pt idx="404">
                  <c:v>317</c:v>
                </c:pt>
                <c:pt idx="405">
                  <c:v>317</c:v>
                </c:pt>
                <c:pt idx="406">
                  <c:v>317</c:v>
                </c:pt>
                <c:pt idx="407">
                  <c:v>317</c:v>
                </c:pt>
                <c:pt idx="408">
                  <c:v>317</c:v>
                </c:pt>
                <c:pt idx="409">
                  <c:v>317</c:v>
                </c:pt>
                <c:pt idx="410">
                  <c:v>317</c:v>
                </c:pt>
                <c:pt idx="411">
                  <c:v>317</c:v>
                </c:pt>
                <c:pt idx="412">
                  <c:v>317</c:v>
                </c:pt>
                <c:pt idx="413">
                  <c:v>317</c:v>
                </c:pt>
                <c:pt idx="414">
                  <c:v>317</c:v>
                </c:pt>
                <c:pt idx="415">
                  <c:v>317</c:v>
                </c:pt>
                <c:pt idx="416">
                  <c:v>317</c:v>
                </c:pt>
                <c:pt idx="417">
                  <c:v>317</c:v>
                </c:pt>
                <c:pt idx="418">
                  <c:v>317</c:v>
                </c:pt>
                <c:pt idx="419">
                  <c:v>317</c:v>
                </c:pt>
                <c:pt idx="420">
                  <c:v>317</c:v>
                </c:pt>
                <c:pt idx="421">
                  <c:v>317</c:v>
                </c:pt>
                <c:pt idx="422">
                  <c:v>317</c:v>
                </c:pt>
                <c:pt idx="423">
                  <c:v>317</c:v>
                </c:pt>
                <c:pt idx="424">
                  <c:v>317</c:v>
                </c:pt>
                <c:pt idx="425">
                  <c:v>317</c:v>
                </c:pt>
                <c:pt idx="426">
                  <c:v>317</c:v>
                </c:pt>
                <c:pt idx="427">
                  <c:v>317</c:v>
                </c:pt>
                <c:pt idx="428">
                  <c:v>317</c:v>
                </c:pt>
                <c:pt idx="429">
                  <c:v>317</c:v>
                </c:pt>
                <c:pt idx="430">
                  <c:v>317</c:v>
                </c:pt>
                <c:pt idx="431">
                  <c:v>317</c:v>
                </c:pt>
                <c:pt idx="432">
                  <c:v>317</c:v>
                </c:pt>
                <c:pt idx="433">
                  <c:v>317</c:v>
                </c:pt>
                <c:pt idx="434">
                  <c:v>317</c:v>
                </c:pt>
                <c:pt idx="435">
                  <c:v>317</c:v>
                </c:pt>
                <c:pt idx="436">
                  <c:v>317</c:v>
                </c:pt>
                <c:pt idx="437">
                  <c:v>317</c:v>
                </c:pt>
                <c:pt idx="438">
                  <c:v>317</c:v>
                </c:pt>
                <c:pt idx="439">
                  <c:v>317</c:v>
                </c:pt>
                <c:pt idx="440">
                  <c:v>317</c:v>
                </c:pt>
                <c:pt idx="441">
                  <c:v>317</c:v>
                </c:pt>
                <c:pt idx="442">
                  <c:v>317</c:v>
                </c:pt>
                <c:pt idx="443">
                  <c:v>317</c:v>
                </c:pt>
                <c:pt idx="444">
                  <c:v>317</c:v>
                </c:pt>
                <c:pt idx="445">
                  <c:v>317</c:v>
                </c:pt>
                <c:pt idx="446">
                  <c:v>317</c:v>
                </c:pt>
                <c:pt idx="447">
                  <c:v>317</c:v>
                </c:pt>
                <c:pt idx="448">
                  <c:v>317</c:v>
                </c:pt>
                <c:pt idx="449">
                  <c:v>317</c:v>
                </c:pt>
                <c:pt idx="450">
                  <c:v>317</c:v>
                </c:pt>
                <c:pt idx="451">
                  <c:v>317</c:v>
                </c:pt>
                <c:pt idx="452">
                  <c:v>317</c:v>
                </c:pt>
                <c:pt idx="453">
                  <c:v>317</c:v>
                </c:pt>
                <c:pt idx="454">
                  <c:v>317</c:v>
                </c:pt>
                <c:pt idx="455">
                  <c:v>317</c:v>
                </c:pt>
                <c:pt idx="456">
                  <c:v>317</c:v>
                </c:pt>
                <c:pt idx="457">
                  <c:v>317</c:v>
                </c:pt>
                <c:pt idx="458">
                  <c:v>317</c:v>
                </c:pt>
                <c:pt idx="459">
                  <c:v>317</c:v>
                </c:pt>
                <c:pt idx="460">
                  <c:v>317</c:v>
                </c:pt>
                <c:pt idx="461">
                  <c:v>317</c:v>
                </c:pt>
                <c:pt idx="462">
                  <c:v>317</c:v>
                </c:pt>
                <c:pt idx="463">
                  <c:v>317</c:v>
                </c:pt>
                <c:pt idx="464">
                  <c:v>317</c:v>
                </c:pt>
                <c:pt idx="465">
                  <c:v>317</c:v>
                </c:pt>
                <c:pt idx="466">
                  <c:v>317</c:v>
                </c:pt>
                <c:pt idx="467">
                  <c:v>317</c:v>
                </c:pt>
                <c:pt idx="468">
                  <c:v>317</c:v>
                </c:pt>
                <c:pt idx="469">
                  <c:v>317</c:v>
                </c:pt>
                <c:pt idx="470">
                  <c:v>317</c:v>
                </c:pt>
                <c:pt idx="471">
                  <c:v>317</c:v>
                </c:pt>
                <c:pt idx="472">
                  <c:v>317</c:v>
                </c:pt>
                <c:pt idx="473">
                  <c:v>317</c:v>
                </c:pt>
                <c:pt idx="474">
                  <c:v>317</c:v>
                </c:pt>
                <c:pt idx="475">
                  <c:v>317</c:v>
                </c:pt>
                <c:pt idx="476">
                  <c:v>317</c:v>
                </c:pt>
                <c:pt idx="477">
                  <c:v>317</c:v>
                </c:pt>
                <c:pt idx="478">
                  <c:v>317</c:v>
                </c:pt>
                <c:pt idx="479">
                  <c:v>317</c:v>
                </c:pt>
                <c:pt idx="480">
                  <c:v>317</c:v>
                </c:pt>
                <c:pt idx="481">
                  <c:v>317</c:v>
                </c:pt>
                <c:pt idx="482">
                  <c:v>317</c:v>
                </c:pt>
                <c:pt idx="483">
                  <c:v>317</c:v>
                </c:pt>
                <c:pt idx="484">
                  <c:v>317</c:v>
                </c:pt>
                <c:pt idx="485">
                  <c:v>317</c:v>
                </c:pt>
                <c:pt idx="486">
                  <c:v>317</c:v>
                </c:pt>
                <c:pt idx="487">
                  <c:v>317</c:v>
                </c:pt>
                <c:pt idx="488">
                  <c:v>317</c:v>
                </c:pt>
                <c:pt idx="489">
                  <c:v>317</c:v>
                </c:pt>
                <c:pt idx="490">
                  <c:v>317</c:v>
                </c:pt>
                <c:pt idx="491">
                  <c:v>317</c:v>
                </c:pt>
                <c:pt idx="492">
                  <c:v>317</c:v>
                </c:pt>
                <c:pt idx="493">
                  <c:v>317</c:v>
                </c:pt>
                <c:pt idx="494">
                  <c:v>317</c:v>
                </c:pt>
                <c:pt idx="495">
                  <c:v>317</c:v>
                </c:pt>
                <c:pt idx="496">
                  <c:v>317</c:v>
                </c:pt>
                <c:pt idx="497">
                  <c:v>317</c:v>
                </c:pt>
                <c:pt idx="498">
                  <c:v>317</c:v>
                </c:pt>
                <c:pt idx="499">
                  <c:v>317</c:v>
                </c:pt>
                <c:pt idx="500">
                  <c:v>317</c:v>
                </c:pt>
                <c:pt idx="501">
                  <c:v>317</c:v>
                </c:pt>
                <c:pt idx="502">
                  <c:v>317</c:v>
                </c:pt>
                <c:pt idx="503">
                  <c:v>317</c:v>
                </c:pt>
                <c:pt idx="504">
                  <c:v>317</c:v>
                </c:pt>
                <c:pt idx="505">
                  <c:v>317</c:v>
                </c:pt>
                <c:pt idx="506">
                  <c:v>317</c:v>
                </c:pt>
                <c:pt idx="507">
                  <c:v>317</c:v>
                </c:pt>
                <c:pt idx="508">
                  <c:v>317</c:v>
                </c:pt>
                <c:pt idx="509">
                  <c:v>317</c:v>
                </c:pt>
                <c:pt idx="510">
                  <c:v>317</c:v>
                </c:pt>
                <c:pt idx="511">
                  <c:v>317</c:v>
                </c:pt>
                <c:pt idx="512">
                  <c:v>317</c:v>
                </c:pt>
                <c:pt idx="513">
                  <c:v>317</c:v>
                </c:pt>
                <c:pt idx="514">
                  <c:v>317</c:v>
                </c:pt>
                <c:pt idx="515">
                  <c:v>317</c:v>
                </c:pt>
                <c:pt idx="516">
                  <c:v>317</c:v>
                </c:pt>
                <c:pt idx="517">
                  <c:v>317</c:v>
                </c:pt>
                <c:pt idx="518">
                  <c:v>317</c:v>
                </c:pt>
                <c:pt idx="519">
                  <c:v>317</c:v>
                </c:pt>
                <c:pt idx="520">
                  <c:v>317</c:v>
                </c:pt>
                <c:pt idx="521">
                  <c:v>317</c:v>
                </c:pt>
                <c:pt idx="522">
                  <c:v>317</c:v>
                </c:pt>
                <c:pt idx="523">
                  <c:v>317</c:v>
                </c:pt>
                <c:pt idx="524">
                  <c:v>317</c:v>
                </c:pt>
                <c:pt idx="525">
                  <c:v>317</c:v>
                </c:pt>
                <c:pt idx="526">
                  <c:v>317</c:v>
                </c:pt>
                <c:pt idx="527">
                  <c:v>317</c:v>
                </c:pt>
                <c:pt idx="528">
                  <c:v>317</c:v>
                </c:pt>
                <c:pt idx="529">
                  <c:v>317</c:v>
                </c:pt>
                <c:pt idx="530">
                  <c:v>317</c:v>
                </c:pt>
                <c:pt idx="531">
                  <c:v>317</c:v>
                </c:pt>
                <c:pt idx="532">
                  <c:v>317</c:v>
                </c:pt>
                <c:pt idx="533">
                  <c:v>317</c:v>
                </c:pt>
                <c:pt idx="534">
                  <c:v>317</c:v>
                </c:pt>
                <c:pt idx="535">
                  <c:v>317</c:v>
                </c:pt>
                <c:pt idx="536">
                  <c:v>317</c:v>
                </c:pt>
                <c:pt idx="537">
                  <c:v>317</c:v>
                </c:pt>
                <c:pt idx="538">
                  <c:v>317</c:v>
                </c:pt>
                <c:pt idx="539">
                  <c:v>317</c:v>
                </c:pt>
                <c:pt idx="540">
                  <c:v>317</c:v>
                </c:pt>
                <c:pt idx="541">
                  <c:v>317</c:v>
                </c:pt>
                <c:pt idx="542">
                  <c:v>317</c:v>
                </c:pt>
                <c:pt idx="543">
                  <c:v>317</c:v>
                </c:pt>
                <c:pt idx="544">
                  <c:v>317</c:v>
                </c:pt>
                <c:pt idx="545">
                  <c:v>317</c:v>
                </c:pt>
                <c:pt idx="546">
                  <c:v>317</c:v>
                </c:pt>
                <c:pt idx="547">
                  <c:v>317</c:v>
                </c:pt>
                <c:pt idx="548">
                  <c:v>317</c:v>
                </c:pt>
                <c:pt idx="549">
                  <c:v>317</c:v>
                </c:pt>
                <c:pt idx="550">
                  <c:v>317</c:v>
                </c:pt>
                <c:pt idx="551">
                  <c:v>317</c:v>
                </c:pt>
                <c:pt idx="552">
                  <c:v>317</c:v>
                </c:pt>
                <c:pt idx="553">
                  <c:v>317</c:v>
                </c:pt>
                <c:pt idx="554">
                  <c:v>317</c:v>
                </c:pt>
                <c:pt idx="555">
                  <c:v>317</c:v>
                </c:pt>
                <c:pt idx="556">
                  <c:v>317</c:v>
                </c:pt>
                <c:pt idx="557">
                  <c:v>317</c:v>
                </c:pt>
                <c:pt idx="558">
                  <c:v>317</c:v>
                </c:pt>
                <c:pt idx="559">
                  <c:v>317</c:v>
                </c:pt>
                <c:pt idx="560">
                  <c:v>317</c:v>
                </c:pt>
                <c:pt idx="561">
                  <c:v>317</c:v>
                </c:pt>
                <c:pt idx="562">
                  <c:v>317</c:v>
                </c:pt>
                <c:pt idx="563">
                  <c:v>317</c:v>
                </c:pt>
                <c:pt idx="564">
                  <c:v>317</c:v>
                </c:pt>
                <c:pt idx="565">
                  <c:v>317</c:v>
                </c:pt>
                <c:pt idx="566">
                  <c:v>317</c:v>
                </c:pt>
                <c:pt idx="567">
                  <c:v>317</c:v>
                </c:pt>
                <c:pt idx="568">
                  <c:v>317</c:v>
                </c:pt>
                <c:pt idx="569">
                  <c:v>317</c:v>
                </c:pt>
                <c:pt idx="570">
                  <c:v>317</c:v>
                </c:pt>
                <c:pt idx="571">
                  <c:v>317</c:v>
                </c:pt>
                <c:pt idx="572">
                  <c:v>317</c:v>
                </c:pt>
                <c:pt idx="573">
                  <c:v>317</c:v>
                </c:pt>
                <c:pt idx="574">
                  <c:v>317</c:v>
                </c:pt>
                <c:pt idx="575">
                  <c:v>317</c:v>
                </c:pt>
                <c:pt idx="576">
                  <c:v>317</c:v>
                </c:pt>
                <c:pt idx="577">
                  <c:v>317</c:v>
                </c:pt>
                <c:pt idx="578">
                  <c:v>317</c:v>
                </c:pt>
                <c:pt idx="579">
                  <c:v>317</c:v>
                </c:pt>
                <c:pt idx="580">
                  <c:v>317</c:v>
                </c:pt>
                <c:pt idx="581">
                  <c:v>317</c:v>
                </c:pt>
                <c:pt idx="582">
                  <c:v>317</c:v>
                </c:pt>
                <c:pt idx="583">
                  <c:v>317</c:v>
                </c:pt>
                <c:pt idx="584">
                  <c:v>317</c:v>
                </c:pt>
                <c:pt idx="585">
                  <c:v>317</c:v>
                </c:pt>
                <c:pt idx="586">
                  <c:v>317</c:v>
                </c:pt>
                <c:pt idx="587">
                  <c:v>317</c:v>
                </c:pt>
                <c:pt idx="588">
                  <c:v>317</c:v>
                </c:pt>
                <c:pt idx="589">
                  <c:v>317</c:v>
                </c:pt>
                <c:pt idx="590">
                  <c:v>317</c:v>
                </c:pt>
                <c:pt idx="591">
                  <c:v>317</c:v>
                </c:pt>
                <c:pt idx="592">
                  <c:v>317</c:v>
                </c:pt>
                <c:pt idx="593">
                  <c:v>317</c:v>
                </c:pt>
                <c:pt idx="594">
                  <c:v>317</c:v>
                </c:pt>
                <c:pt idx="595">
                  <c:v>317</c:v>
                </c:pt>
                <c:pt idx="596">
                  <c:v>317</c:v>
                </c:pt>
                <c:pt idx="597">
                  <c:v>317</c:v>
                </c:pt>
                <c:pt idx="598">
                  <c:v>317</c:v>
                </c:pt>
                <c:pt idx="599">
                  <c:v>317</c:v>
                </c:pt>
                <c:pt idx="600">
                  <c:v>317</c:v>
                </c:pt>
                <c:pt idx="601">
                  <c:v>317</c:v>
                </c:pt>
                <c:pt idx="602">
                  <c:v>317</c:v>
                </c:pt>
                <c:pt idx="603">
                  <c:v>317</c:v>
                </c:pt>
                <c:pt idx="604">
                  <c:v>317</c:v>
                </c:pt>
                <c:pt idx="605">
                  <c:v>317</c:v>
                </c:pt>
                <c:pt idx="606">
                  <c:v>317</c:v>
                </c:pt>
                <c:pt idx="607">
                  <c:v>317</c:v>
                </c:pt>
                <c:pt idx="608">
                  <c:v>317</c:v>
                </c:pt>
                <c:pt idx="609">
                  <c:v>317</c:v>
                </c:pt>
                <c:pt idx="610">
                  <c:v>317</c:v>
                </c:pt>
                <c:pt idx="611">
                  <c:v>317</c:v>
                </c:pt>
                <c:pt idx="612">
                  <c:v>317</c:v>
                </c:pt>
                <c:pt idx="613">
                  <c:v>317</c:v>
                </c:pt>
                <c:pt idx="614">
                  <c:v>317</c:v>
                </c:pt>
                <c:pt idx="615">
                  <c:v>317</c:v>
                </c:pt>
                <c:pt idx="616">
                  <c:v>317</c:v>
                </c:pt>
                <c:pt idx="617">
                  <c:v>317</c:v>
                </c:pt>
                <c:pt idx="618">
                  <c:v>317</c:v>
                </c:pt>
                <c:pt idx="619">
                  <c:v>317</c:v>
                </c:pt>
                <c:pt idx="620">
                  <c:v>317</c:v>
                </c:pt>
                <c:pt idx="621">
                  <c:v>317</c:v>
                </c:pt>
                <c:pt idx="622">
                  <c:v>317</c:v>
                </c:pt>
                <c:pt idx="623">
                  <c:v>317</c:v>
                </c:pt>
                <c:pt idx="624">
                  <c:v>317</c:v>
                </c:pt>
                <c:pt idx="625">
                  <c:v>317</c:v>
                </c:pt>
                <c:pt idx="626">
                  <c:v>317</c:v>
                </c:pt>
                <c:pt idx="627">
                  <c:v>317</c:v>
                </c:pt>
                <c:pt idx="628">
                  <c:v>317</c:v>
                </c:pt>
                <c:pt idx="629">
                  <c:v>317</c:v>
                </c:pt>
                <c:pt idx="630">
                  <c:v>317</c:v>
                </c:pt>
                <c:pt idx="631">
                  <c:v>317</c:v>
                </c:pt>
                <c:pt idx="632">
                  <c:v>317</c:v>
                </c:pt>
                <c:pt idx="633">
                  <c:v>317</c:v>
                </c:pt>
                <c:pt idx="634">
                  <c:v>317</c:v>
                </c:pt>
                <c:pt idx="635">
                  <c:v>317</c:v>
                </c:pt>
                <c:pt idx="636">
                  <c:v>317</c:v>
                </c:pt>
                <c:pt idx="637">
                  <c:v>317</c:v>
                </c:pt>
                <c:pt idx="638">
                  <c:v>317</c:v>
                </c:pt>
                <c:pt idx="639">
                  <c:v>317</c:v>
                </c:pt>
                <c:pt idx="640">
                  <c:v>317</c:v>
                </c:pt>
                <c:pt idx="641">
                  <c:v>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AB-47E6-8686-6165F728A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25280"/>
        <c:axId val="208972608"/>
      </c:lineChart>
      <c:catAx>
        <c:axId val="209107456"/>
        <c:scaling>
          <c:orientation val="minMax"/>
        </c:scaling>
        <c:delete val="0"/>
        <c:axPos val="b"/>
        <c:majorTickMark val="out"/>
        <c:minorTickMark val="none"/>
        <c:tickLblPos val="nextTo"/>
        <c:crossAx val="208972032"/>
        <c:crosses val="autoZero"/>
        <c:auto val="1"/>
        <c:lblAlgn val="ctr"/>
        <c:lblOffset val="100"/>
        <c:noMultiLvlLbl val="0"/>
      </c:catAx>
      <c:valAx>
        <c:axId val="20897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107456"/>
        <c:crosses val="autoZero"/>
        <c:crossBetween val="between"/>
      </c:valAx>
      <c:valAx>
        <c:axId val="208972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9825280"/>
        <c:crosses val="max"/>
        <c:crossBetween val="between"/>
      </c:valAx>
      <c:catAx>
        <c:axId val="209825280"/>
        <c:scaling>
          <c:orientation val="minMax"/>
        </c:scaling>
        <c:delete val="1"/>
        <c:axPos val="b"/>
        <c:majorTickMark val="out"/>
        <c:minorTickMark val="none"/>
        <c:tickLblPos val="nextTo"/>
        <c:crossAx val="20897260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1111111111111116"/>
          <c:y val="0.15220180810731995"/>
          <c:w val="0.1388888888888889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5.1400554097404488E-2"/>
          <c:w val="0.80266207349081353"/>
          <c:h val="0.81870771361913097"/>
        </c:manualLayout>
      </c:layout>
      <c:lineChart>
        <c:grouping val="standard"/>
        <c:varyColors val="0"/>
        <c:ser>
          <c:idx val="0"/>
          <c:order val="0"/>
          <c:tx>
            <c:strRef>
              <c:f>故县!$C$1</c:f>
              <c:strCache>
                <c:ptCount val="1"/>
                <c:pt idx="0">
                  <c:v>入库</c:v>
                </c:pt>
              </c:strCache>
            </c:strRef>
          </c:tx>
          <c:marker>
            <c:symbol val="none"/>
          </c:marker>
          <c:val>
            <c:numRef>
              <c:f>故县!$C$2:$C$746</c:f>
              <c:numCache>
                <c:formatCode>General</c:formatCode>
                <c:ptCount val="7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</c:v>
                </c:pt>
                <c:pt idx="15">
                  <c:v>1</c:v>
                </c:pt>
                <c:pt idx="16">
                  <c:v>1.5</c:v>
                </c:pt>
                <c:pt idx="17">
                  <c:v>2</c:v>
                </c:pt>
                <c:pt idx="18">
                  <c:v>5.5</c:v>
                </c:pt>
                <c:pt idx="19">
                  <c:v>9</c:v>
                </c:pt>
                <c:pt idx="20">
                  <c:v>14.5</c:v>
                </c:pt>
                <c:pt idx="21">
                  <c:v>20</c:v>
                </c:pt>
                <c:pt idx="22">
                  <c:v>25.5</c:v>
                </c:pt>
                <c:pt idx="23">
                  <c:v>31</c:v>
                </c:pt>
                <c:pt idx="24">
                  <c:v>35.5</c:v>
                </c:pt>
                <c:pt idx="25">
                  <c:v>40</c:v>
                </c:pt>
                <c:pt idx="26">
                  <c:v>44.5</c:v>
                </c:pt>
                <c:pt idx="27">
                  <c:v>49</c:v>
                </c:pt>
                <c:pt idx="28">
                  <c:v>52</c:v>
                </c:pt>
                <c:pt idx="29">
                  <c:v>55</c:v>
                </c:pt>
                <c:pt idx="30">
                  <c:v>58</c:v>
                </c:pt>
                <c:pt idx="31">
                  <c:v>61</c:v>
                </c:pt>
                <c:pt idx="32">
                  <c:v>62.5</c:v>
                </c:pt>
                <c:pt idx="33">
                  <c:v>64</c:v>
                </c:pt>
                <c:pt idx="34">
                  <c:v>65</c:v>
                </c:pt>
                <c:pt idx="35">
                  <c:v>66</c:v>
                </c:pt>
                <c:pt idx="36">
                  <c:v>66.5</c:v>
                </c:pt>
                <c:pt idx="37">
                  <c:v>67</c:v>
                </c:pt>
                <c:pt idx="38">
                  <c:v>67.5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69</c:v>
                </c:pt>
                <c:pt idx="43">
                  <c:v>70</c:v>
                </c:pt>
                <c:pt idx="44">
                  <c:v>71.5</c:v>
                </c:pt>
                <c:pt idx="45">
                  <c:v>73</c:v>
                </c:pt>
                <c:pt idx="46">
                  <c:v>75.5</c:v>
                </c:pt>
                <c:pt idx="47">
                  <c:v>78</c:v>
                </c:pt>
                <c:pt idx="48">
                  <c:v>82</c:v>
                </c:pt>
                <c:pt idx="49">
                  <c:v>86</c:v>
                </c:pt>
                <c:pt idx="50">
                  <c:v>93.5</c:v>
                </c:pt>
                <c:pt idx="51">
                  <c:v>101</c:v>
                </c:pt>
                <c:pt idx="52">
                  <c:v>116</c:v>
                </c:pt>
                <c:pt idx="53">
                  <c:v>131</c:v>
                </c:pt>
                <c:pt idx="54">
                  <c:v>168</c:v>
                </c:pt>
                <c:pt idx="55">
                  <c:v>205</c:v>
                </c:pt>
                <c:pt idx="56">
                  <c:v>254.5</c:v>
                </c:pt>
                <c:pt idx="57">
                  <c:v>304</c:v>
                </c:pt>
                <c:pt idx="58">
                  <c:v>358</c:v>
                </c:pt>
                <c:pt idx="59">
                  <c:v>412</c:v>
                </c:pt>
                <c:pt idx="60">
                  <c:v>467</c:v>
                </c:pt>
                <c:pt idx="61">
                  <c:v>522</c:v>
                </c:pt>
                <c:pt idx="62">
                  <c:v>575</c:v>
                </c:pt>
                <c:pt idx="63">
                  <c:v>628</c:v>
                </c:pt>
                <c:pt idx="64">
                  <c:v>677</c:v>
                </c:pt>
                <c:pt idx="65">
                  <c:v>726</c:v>
                </c:pt>
                <c:pt idx="66">
                  <c:v>765</c:v>
                </c:pt>
                <c:pt idx="67">
                  <c:v>804</c:v>
                </c:pt>
                <c:pt idx="68">
                  <c:v>831.5</c:v>
                </c:pt>
                <c:pt idx="69">
                  <c:v>859</c:v>
                </c:pt>
                <c:pt idx="70">
                  <c:v>874</c:v>
                </c:pt>
                <c:pt idx="71">
                  <c:v>889</c:v>
                </c:pt>
                <c:pt idx="72">
                  <c:v>893.5</c:v>
                </c:pt>
                <c:pt idx="73">
                  <c:v>898</c:v>
                </c:pt>
                <c:pt idx="74">
                  <c:v>890.5</c:v>
                </c:pt>
                <c:pt idx="75">
                  <c:v>883</c:v>
                </c:pt>
                <c:pt idx="76">
                  <c:v>866</c:v>
                </c:pt>
                <c:pt idx="77">
                  <c:v>849</c:v>
                </c:pt>
                <c:pt idx="78">
                  <c:v>825</c:v>
                </c:pt>
                <c:pt idx="79">
                  <c:v>801</c:v>
                </c:pt>
                <c:pt idx="80">
                  <c:v>776</c:v>
                </c:pt>
                <c:pt idx="81">
                  <c:v>751</c:v>
                </c:pt>
                <c:pt idx="82">
                  <c:v>744.5</c:v>
                </c:pt>
                <c:pt idx="83">
                  <c:v>738</c:v>
                </c:pt>
                <c:pt idx="84">
                  <c:v>783</c:v>
                </c:pt>
                <c:pt idx="85">
                  <c:v>828</c:v>
                </c:pt>
                <c:pt idx="86">
                  <c:v>880</c:v>
                </c:pt>
                <c:pt idx="87">
                  <c:v>932</c:v>
                </c:pt>
                <c:pt idx="88">
                  <c:v>943.5</c:v>
                </c:pt>
                <c:pt idx="89">
                  <c:v>955</c:v>
                </c:pt>
                <c:pt idx="90">
                  <c:v>936</c:v>
                </c:pt>
                <c:pt idx="91">
                  <c:v>917</c:v>
                </c:pt>
                <c:pt idx="92">
                  <c:v>884.5</c:v>
                </c:pt>
                <c:pt idx="93">
                  <c:v>852</c:v>
                </c:pt>
                <c:pt idx="94">
                  <c:v>813.5</c:v>
                </c:pt>
                <c:pt idx="95">
                  <c:v>775</c:v>
                </c:pt>
                <c:pt idx="96">
                  <c:v>734.5</c:v>
                </c:pt>
                <c:pt idx="97">
                  <c:v>694</c:v>
                </c:pt>
                <c:pt idx="98">
                  <c:v>654</c:v>
                </c:pt>
                <c:pt idx="99">
                  <c:v>614</c:v>
                </c:pt>
                <c:pt idx="100">
                  <c:v>579</c:v>
                </c:pt>
                <c:pt idx="101">
                  <c:v>544</c:v>
                </c:pt>
                <c:pt idx="102">
                  <c:v>516.5</c:v>
                </c:pt>
                <c:pt idx="103">
                  <c:v>489</c:v>
                </c:pt>
                <c:pt idx="104">
                  <c:v>480.5</c:v>
                </c:pt>
                <c:pt idx="105">
                  <c:v>472</c:v>
                </c:pt>
                <c:pt idx="106">
                  <c:v>483.5</c:v>
                </c:pt>
                <c:pt idx="107">
                  <c:v>495</c:v>
                </c:pt>
                <c:pt idx="108">
                  <c:v>502</c:v>
                </c:pt>
                <c:pt idx="109">
                  <c:v>509</c:v>
                </c:pt>
                <c:pt idx="110">
                  <c:v>509</c:v>
                </c:pt>
                <c:pt idx="111">
                  <c:v>509</c:v>
                </c:pt>
                <c:pt idx="112">
                  <c:v>503.5</c:v>
                </c:pt>
                <c:pt idx="113">
                  <c:v>498</c:v>
                </c:pt>
                <c:pt idx="114">
                  <c:v>484</c:v>
                </c:pt>
                <c:pt idx="115">
                  <c:v>470</c:v>
                </c:pt>
                <c:pt idx="116">
                  <c:v>450.5</c:v>
                </c:pt>
                <c:pt idx="117">
                  <c:v>431</c:v>
                </c:pt>
                <c:pt idx="118">
                  <c:v>409.5</c:v>
                </c:pt>
                <c:pt idx="119">
                  <c:v>388</c:v>
                </c:pt>
                <c:pt idx="120">
                  <c:v>366</c:v>
                </c:pt>
                <c:pt idx="121">
                  <c:v>344</c:v>
                </c:pt>
                <c:pt idx="122">
                  <c:v>324.5</c:v>
                </c:pt>
                <c:pt idx="123">
                  <c:v>305</c:v>
                </c:pt>
                <c:pt idx="124">
                  <c:v>287</c:v>
                </c:pt>
                <c:pt idx="125">
                  <c:v>269</c:v>
                </c:pt>
                <c:pt idx="126">
                  <c:v>253.5</c:v>
                </c:pt>
                <c:pt idx="127">
                  <c:v>238</c:v>
                </c:pt>
                <c:pt idx="128">
                  <c:v>223.5</c:v>
                </c:pt>
                <c:pt idx="129">
                  <c:v>209</c:v>
                </c:pt>
                <c:pt idx="130">
                  <c:v>196</c:v>
                </c:pt>
                <c:pt idx="131">
                  <c:v>183</c:v>
                </c:pt>
                <c:pt idx="132">
                  <c:v>171.5</c:v>
                </c:pt>
                <c:pt idx="133">
                  <c:v>160</c:v>
                </c:pt>
                <c:pt idx="134">
                  <c:v>150</c:v>
                </c:pt>
                <c:pt idx="135">
                  <c:v>140</c:v>
                </c:pt>
                <c:pt idx="136">
                  <c:v>131</c:v>
                </c:pt>
                <c:pt idx="137">
                  <c:v>122</c:v>
                </c:pt>
                <c:pt idx="138">
                  <c:v>114.5</c:v>
                </c:pt>
                <c:pt idx="139">
                  <c:v>107</c:v>
                </c:pt>
                <c:pt idx="140">
                  <c:v>100.5</c:v>
                </c:pt>
                <c:pt idx="141">
                  <c:v>94</c:v>
                </c:pt>
                <c:pt idx="142">
                  <c:v>88</c:v>
                </c:pt>
                <c:pt idx="143">
                  <c:v>82</c:v>
                </c:pt>
                <c:pt idx="144">
                  <c:v>77</c:v>
                </c:pt>
                <c:pt idx="145">
                  <c:v>72</c:v>
                </c:pt>
                <c:pt idx="146">
                  <c:v>68</c:v>
                </c:pt>
                <c:pt idx="147">
                  <c:v>64</c:v>
                </c:pt>
                <c:pt idx="148">
                  <c:v>60</c:v>
                </c:pt>
                <c:pt idx="149">
                  <c:v>56</c:v>
                </c:pt>
                <c:pt idx="150">
                  <c:v>52.5</c:v>
                </c:pt>
                <c:pt idx="151">
                  <c:v>49</c:v>
                </c:pt>
                <c:pt idx="152">
                  <c:v>46.5</c:v>
                </c:pt>
                <c:pt idx="153">
                  <c:v>44</c:v>
                </c:pt>
                <c:pt idx="154">
                  <c:v>41</c:v>
                </c:pt>
                <c:pt idx="155">
                  <c:v>38</c:v>
                </c:pt>
                <c:pt idx="156">
                  <c:v>35.5</c:v>
                </c:pt>
                <c:pt idx="157">
                  <c:v>33</c:v>
                </c:pt>
                <c:pt idx="158">
                  <c:v>31</c:v>
                </c:pt>
                <c:pt idx="159">
                  <c:v>29</c:v>
                </c:pt>
                <c:pt idx="160">
                  <c:v>27.5</c:v>
                </c:pt>
                <c:pt idx="161">
                  <c:v>26</c:v>
                </c:pt>
                <c:pt idx="162">
                  <c:v>24</c:v>
                </c:pt>
                <c:pt idx="163">
                  <c:v>22</c:v>
                </c:pt>
                <c:pt idx="164">
                  <c:v>21</c:v>
                </c:pt>
                <c:pt idx="165">
                  <c:v>20</c:v>
                </c:pt>
                <c:pt idx="166">
                  <c:v>18.5</c:v>
                </c:pt>
                <c:pt idx="167">
                  <c:v>17</c:v>
                </c:pt>
                <c:pt idx="168">
                  <c:v>16</c:v>
                </c:pt>
                <c:pt idx="169">
                  <c:v>15</c:v>
                </c:pt>
                <c:pt idx="170">
                  <c:v>14</c:v>
                </c:pt>
                <c:pt idx="171">
                  <c:v>13</c:v>
                </c:pt>
                <c:pt idx="172">
                  <c:v>12</c:v>
                </c:pt>
                <c:pt idx="173">
                  <c:v>11</c:v>
                </c:pt>
                <c:pt idx="174">
                  <c:v>10.5</c:v>
                </c:pt>
                <c:pt idx="175">
                  <c:v>10</c:v>
                </c:pt>
                <c:pt idx="176">
                  <c:v>9</c:v>
                </c:pt>
                <c:pt idx="177">
                  <c:v>8</c:v>
                </c:pt>
                <c:pt idx="178">
                  <c:v>7.5</c:v>
                </c:pt>
                <c:pt idx="179">
                  <c:v>7</c:v>
                </c:pt>
                <c:pt idx="180">
                  <c:v>6.5</c:v>
                </c:pt>
                <c:pt idx="181">
                  <c:v>6</c:v>
                </c:pt>
                <c:pt idx="182">
                  <c:v>5</c:v>
                </c:pt>
                <c:pt idx="183">
                  <c:v>4</c:v>
                </c:pt>
                <c:pt idx="184">
                  <c:v>3.5</c:v>
                </c:pt>
                <c:pt idx="185">
                  <c:v>3</c:v>
                </c:pt>
                <c:pt idx="186">
                  <c:v>2.5</c:v>
                </c:pt>
                <c:pt idx="187">
                  <c:v>2</c:v>
                </c:pt>
                <c:pt idx="188">
                  <c:v>1.5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0.5</c:v>
                </c:pt>
                <c:pt idx="195" formatCode="0.00E+00">
                  <c:v>9.0799999999999993E-9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6-411B-A796-214A6762E037}"/>
            </c:ext>
          </c:extLst>
        </c:ser>
        <c:ser>
          <c:idx val="1"/>
          <c:order val="1"/>
          <c:tx>
            <c:strRef>
              <c:f>故县!$D$1</c:f>
              <c:strCache>
                <c:ptCount val="1"/>
                <c:pt idx="0">
                  <c:v>出库</c:v>
                </c:pt>
              </c:strCache>
            </c:strRef>
          </c:tx>
          <c:marker>
            <c:symbol val="none"/>
          </c:marker>
          <c:val>
            <c:numRef>
              <c:f>故县!$D$2:$D$746</c:f>
              <c:numCache>
                <c:formatCode>General</c:formatCode>
                <c:ptCount val="745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</c:v>
                </c:pt>
                <c:pt idx="95">
                  <c:v>90</c:v>
                </c:pt>
                <c:pt idx="96">
                  <c:v>90</c:v>
                </c:pt>
                <c:pt idx="97">
                  <c:v>90</c:v>
                </c:pt>
                <c:pt idx="98">
                  <c:v>90</c:v>
                </c:pt>
                <c:pt idx="99">
                  <c:v>90</c:v>
                </c:pt>
                <c:pt idx="100">
                  <c:v>90</c:v>
                </c:pt>
                <c:pt idx="101">
                  <c:v>90</c:v>
                </c:pt>
                <c:pt idx="102">
                  <c:v>90</c:v>
                </c:pt>
                <c:pt idx="103">
                  <c:v>90</c:v>
                </c:pt>
                <c:pt idx="104">
                  <c:v>90</c:v>
                </c:pt>
                <c:pt idx="105">
                  <c:v>90</c:v>
                </c:pt>
                <c:pt idx="106">
                  <c:v>90</c:v>
                </c:pt>
                <c:pt idx="107">
                  <c:v>90</c:v>
                </c:pt>
                <c:pt idx="108">
                  <c:v>502</c:v>
                </c:pt>
                <c:pt idx="109">
                  <c:v>509</c:v>
                </c:pt>
                <c:pt idx="110">
                  <c:v>509</c:v>
                </c:pt>
                <c:pt idx="111">
                  <c:v>509</c:v>
                </c:pt>
                <c:pt idx="112">
                  <c:v>503.5</c:v>
                </c:pt>
                <c:pt idx="113">
                  <c:v>498</c:v>
                </c:pt>
                <c:pt idx="114">
                  <c:v>484</c:v>
                </c:pt>
                <c:pt idx="115">
                  <c:v>470</c:v>
                </c:pt>
                <c:pt idx="116">
                  <c:v>450.5</c:v>
                </c:pt>
                <c:pt idx="117">
                  <c:v>431</c:v>
                </c:pt>
                <c:pt idx="118">
                  <c:v>409.5</c:v>
                </c:pt>
                <c:pt idx="119">
                  <c:v>388</c:v>
                </c:pt>
                <c:pt idx="120">
                  <c:v>366</c:v>
                </c:pt>
                <c:pt idx="121">
                  <c:v>344</c:v>
                </c:pt>
                <c:pt idx="122">
                  <c:v>324.5</c:v>
                </c:pt>
                <c:pt idx="123">
                  <c:v>305</c:v>
                </c:pt>
                <c:pt idx="124">
                  <c:v>287</c:v>
                </c:pt>
                <c:pt idx="125">
                  <c:v>269</c:v>
                </c:pt>
                <c:pt idx="126">
                  <c:v>253.5</c:v>
                </c:pt>
                <c:pt idx="127">
                  <c:v>238</c:v>
                </c:pt>
                <c:pt idx="128">
                  <c:v>223.5</c:v>
                </c:pt>
                <c:pt idx="129">
                  <c:v>209</c:v>
                </c:pt>
                <c:pt idx="130">
                  <c:v>196</c:v>
                </c:pt>
                <c:pt idx="131">
                  <c:v>183</c:v>
                </c:pt>
                <c:pt idx="132">
                  <c:v>171.5</c:v>
                </c:pt>
                <c:pt idx="133">
                  <c:v>160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150</c:v>
                </c:pt>
                <c:pt idx="161">
                  <c:v>150</c:v>
                </c:pt>
                <c:pt idx="162">
                  <c:v>150</c:v>
                </c:pt>
                <c:pt idx="163">
                  <c:v>150</c:v>
                </c:pt>
                <c:pt idx="164">
                  <c:v>150</c:v>
                </c:pt>
                <c:pt idx="165">
                  <c:v>150</c:v>
                </c:pt>
                <c:pt idx="166">
                  <c:v>150</c:v>
                </c:pt>
                <c:pt idx="167">
                  <c:v>150</c:v>
                </c:pt>
                <c:pt idx="168">
                  <c:v>150</c:v>
                </c:pt>
                <c:pt idx="169">
                  <c:v>150</c:v>
                </c:pt>
                <c:pt idx="170">
                  <c:v>150</c:v>
                </c:pt>
                <c:pt idx="171">
                  <c:v>150</c:v>
                </c:pt>
                <c:pt idx="172">
                  <c:v>150</c:v>
                </c:pt>
                <c:pt idx="173">
                  <c:v>150</c:v>
                </c:pt>
                <c:pt idx="174">
                  <c:v>150</c:v>
                </c:pt>
                <c:pt idx="175">
                  <c:v>150</c:v>
                </c:pt>
                <c:pt idx="176">
                  <c:v>150</c:v>
                </c:pt>
                <c:pt idx="177">
                  <c:v>150</c:v>
                </c:pt>
                <c:pt idx="178">
                  <c:v>150</c:v>
                </c:pt>
                <c:pt idx="179">
                  <c:v>150</c:v>
                </c:pt>
                <c:pt idx="180">
                  <c:v>150</c:v>
                </c:pt>
                <c:pt idx="181">
                  <c:v>150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150</c:v>
                </c:pt>
                <c:pt idx="196">
                  <c:v>150</c:v>
                </c:pt>
                <c:pt idx="197">
                  <c:v>150</c:v>
                </c:pt>
                <c:pt idx="198">
                  <c:v>150</c:v>
                </c:pt>
                <c:pt idx="199">
                  <c:v>150</c:v>
                </c:pt>
                <c:pt idx="200">
                  <c:v>150</c:v>
                </c:pt>
                <c:pt idx="201">
                  <c:v>150</c:v>
                </c:pt>
                <c:pt idx="202">
                  <c:v>150</c:v>
                </c:pt>
                <c:pt idx="203">
                  <c:v>150</c:v>
                </c:pt>
                <c:pt idx="204">
                  <c:v>150</c:v>
                </c:pt>
                <c:pt idx="205">
                  <c:v>150</c:v>
                </c:pt>
                <c:pt idx="206">
                  <c:v>150</c:v>
                </c:pt>
                <c:pt idx="207">
                  <c:v>150</c:v>
                </c:pt>
                <c:pt idx="208">
                  <c:v>150</c:v>
                </c:pt>
                <c:pt idx="209">
                  <c:v>150</c:v>
                </c:pt>
                <c:pt idx="210">
                  <c:v>150</c:v>
                </c:pt>
                <c:pt idx="211">
                  <c:v>150</c:v>
                </c:pt>
                <c:pt idx="212">
                  <c:v>150</c:v>
                </c:pt>
                <c:pt idx="213">
                  <c:v>150</c:v>
                </c:pt>
                <c:pt idx="214">
                  <c:v>150</c:v>
                </c:pt>
                <c:pt idx="215">
                  <c:v>150</c:v>
                </c:pt>
                <c:pt idx="216">
                  <c:v>150</c:v>
                </c:pt>
                <c:pt idx="217">
                  <c:v>150</c:v>
                </c:pt>
                <c:pt idx="218">
                  <c:v>150</c:v>
                </c:pt>
                <c:pt idx="219">
                  <c:v>150</c:v>
                </c:pt>
                <c:pt idx="220">
                  <c:v>150</c:v>
                </c:pt>
                <c:pt idx="221">
                  <c:v>150</c:v>
                </c:pt>
                <c:pt idx="222">
                  <c:v>150</c:v>
                </c:pt>
                <c:pt idx="223">
                  <c:v>150</c:v>
                </c:pt>
                <c:pt idx="224">
                  <c:v>150</c:v>
                </c:pt>
                <c:pt idx="225">
                  <c:v>150</c:v>
                </c:pt>
                <c:pt idx="226">
                  <c:v>150</c:v>
                </c:pt>
                <c:pt idx="227">
                  <c:v>150</c:v>
                </c:pt>
                <c:pt idx="228">
                  <c:v>150</c:v>
                </c:pt>
                <c:pt idx="229">
                  <c:v>150</c:v>
                </c:pt>
                <c:pt idx="230">
                  <c:v>150</c:v>
                </c:pt>
                <c:pt idx="231">
                  <c:v>150</c:v>
                </c:pt>
                <c:pt idx="232">
                  <c:v>150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150</c:v>
                </c:pt>
                <c:pt idx="243">
                  <c:v>150</c:v>
                </c:pt>
                <c:pt idx="244">
                  <c:v>150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150</c:v>
                </c:pt>
                <c:pt idx="250">
                  <c:v>150</c:v>
                </c:pt>
                <c:pt idx="251">
                  <c:v>150</c:v>
                </c:pt>
                <c:pt idx="252">
                  <c:v>133.04509999999999</c:v>
                </c:pt>
                <c:pt idx="253">
                  <c:v>5.7679999999999997E-3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6-411B-A796-214A6762E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23232"/>
        <c:axId val="208974912"/>
      </c:lineChart>
      <c:lineChart>
        <c:grouping val="standard"/>
        <c:varyColors val="0"/>
        <c:ser>
          <c:idx val="2"/>
          <c:order val="2"/>
          <c:tx>
            <c:strRef>
              <c:f>故县!$E$1</c:f>
              <c:strCache>
                <c:ptCount val="1"/>
                <c:pt idx="0">
                  <c:v>水位</c:v>
                </c:pt>
              </c:strCache>
            </c:strRef>
          </c:tx>
          <c:marker>
            <c:symbol val="none"/>
          </c:marker>
          <c:val>
            <c:numRef>
              <c:f>故县!$E$2:$E$746</c:f>
              <c:numCache>
                <c:formatCode>General</c:formatCode>
                <c:ptCount val="745"/>
                <c:pt idx="0">
                  <c:v>524.12030000000004</c:v>
                </c:pt>
                <c:pt idx="1">
                  <c:v>524.05070000000001</c:v>
                </c:pt>
                <c:pt idx="2">
                  <c:v>523.98099999999999</c:v>
                </c:pt>
                <c:pt idx="3">
                  <c:v>523.91129999999998</c:v>
                </c:pt>
                <c:pt idx="4">
                  <c:v>523.84159999999997</c:v>
                </c:pt>
                <c:pt idx="5">
                  <c:v>523.77200000000005</c:v>
                </c:pt>
                <c:pt idx="6">
                  <c:v>523.70230000000004</c:v>
                </c:pt>
                <c:pt idx="7">
                  <c:v>523.63260000000002</c:v>
                </c:pt>
                <c:pt idx="8">
                  <c:v>523.56290000000001</c:v>
                </c:pt>
                <c:pt idx="9">
                  <c:v>523.4932</c:v>
                </c:pt>
                <c:pt idx="10">
                  <c:v>523.42359999999996</c:v>
                </c:pt>
                <c:pt idx="11">
                  <c:v>523.35389999999995</c:v>
                </c:pt>
                <c:pt idx="12">
                  <c:v>523.28420000000006</c:v>
                </c:pt>
                <c:pt idx="13">
                  <c:v>523.21450000000004</c:v>
                </c:pt>
                <c:pt idx="14">
                  <c:v>523.14490000000001</c:v>
                </c:pt>
                <c:pt idx="15">
                  <c:v>523.07539999999995</c:v>
                </c:pt>
                <c:pt idx="16">
                  <c:v>523.00599999999997</c:v>
                </c:pt>
                <c:pt idx="17">
                  <c:v>522.93679999999995</c:v>
                </c:pt>
                <c:pt idx="18">
                  <c:v>522.86789999999996</c:v>
                </c:pt>
                <c:pt idx="19">
                  <c:v>522.79989999999998</c:v>
                </c:pt>
                <c:pt idx="20">
                  <c:v>522.73299999999995</c:v>
                </c:pt>
                <c:pt idx="21">
                  <c:v>522.66740000000004</c:v>
                </c:pt>
                <c:pt idx="22">
                  <c:v>522.60299999999995</c:v>
                </c:pt>
                <c:pt idx="23">
                  <c:v>522.53980000000001</c:v>
                </c:pt>
                <c:pt idx="24">
                  <c:v>522.4778</c:v>
                </c:pt>
                <c:pt idx="25">
                  <c:v>522.41690000000006</c:v>
                </c:pt>
                <c:pt idx="26">
                  <c:v>522.35709999999995</c:v>
                </c:pt>
                <c:pt idx="27">
                  <c:v>522.29830000000004</c:v>
                </c:pt>
                <c:pt idx="28">
                  <c:v>522.26469999999995</c:v>
                </c:pt>
                <c:pt idx="29">
                  <c:v>522.25620000000004</c:v>
                </c:pt>
                <c:pt idx="30">
                  <c:v>522.24850000000004</c:v>
                </c:pt>
                <c:pt idx="31">
                  <c:v>522.2414</c:v>
                </c:pt>
                <c:pt idx="32">
                  <c:v>522.23479999999995</c:v>
                </c:pt>
                <c:pt idx="33">
                  <c:v>522.22860000000003</c:v>
                </c:pt>
                <c:pt idx="34">
                  <c:v>522.22270000000003</c:v>
                </c:pt>
                <c:pt idx="35">
                  <c:v>522.21699999999998</c:v>
                </c:pt>
                <c:pt idx="36">
                  <c:v>522.2115</c:v>
                </c:pt>
                <c:pt idx="37">
                  <c:v>522.20609999999999</c:v>
                </c:pt>
                <c:pt idx="38">
                  <c:v>522.20079999999996</c:v>
                </c:pt>
                <c:pt idx="39">
                  <c:v>522.19560000000001</c:v>
                </c:pt>
                <c:pt idx="40">
                  <c:v>522.19050000000004</c:v>
                </c:pt>
                <c:pt idx="41">
                  <c:v>522.18539999999996</c:v>
                </c:pt>
                <c:pt idx="42">
                  <c:v>522.18039999999996</c:v>
                </c:pt>
                <c:pt idx="43">
                  <c:v>522.17570000000001</c:v>
                </c:pt>
                <c:pt idx="44">
                  <c:v>522.17110000000002</c:v>
                </c:pt>
                <c:pt idx="45">
                  <c:v>522.1671</c:v>
                </c:pt>
                <c:pt idx="46">
                  <c:v>522.16340000000002</c:v>
                </c:pt>
                <c:pt idx="47">
                  <c:v>522.16030000000001</c:v>
                </c:pt>
                <c:pt idx="48">
                  <c:v>522.15800000000002</c:v>
                </c:pt>
                <c:pt idx="49">
                  <c:v>522.15660000000003</c:v>
                </c:pt>
                <c:pt idx="50">
                  <c:v>522.15660000000003</c:v>
                </c:pt>
                <c:pt idx="51">
                  <c:v>522.15819999999997</c:v>
                </c:pt>
                <c:pt idx="52">
                  <c:v>522.16250000000002</c:v>
                </c:pt>
                <c:pt idx="53">
                  <c:v>522.1703</c:v>
                </c:pt>
                <c:pt idx="54">
                  <c:v>522.18409999999994</c:v>
                </c:pt>
                <c:pt idx="55">
                  <c:v>522.20650000000001</c:v>
                </c:pt>
                <c:pt idx="56">
                  <c:v>522.23900000000003</c:v>
                </c:pt>
                <c:pt idx="57">
                  <c:v>522.28300000000002</c:v>
                </c:pt>
                <c:pt idx="58">
                  <c:v>522.33889999999997</c:v>
                </c:pt>
                <c:pt idx="59">
                  <c:v>522.40740000000005</c:v>
                </c:pt>
                <c:pt idx="60">
                  <c:v>522.48860000000002</c:v>
                </c:pt>
                <c:pt idx="61">
                  <c:v>522.58259999999996</c:v>
                </c:pt>
                <c:pt idx="62">
                  <c:v>522.68899999999996</c:v>
                </c:pt>
                <c:pt idx="63">
                  <c:v>522.80790000000002</c:v>
                </c:pt>
                <c:pt idx="64">
                  <c:v>522.93849999999998</c:v>
                </c:pt>
                <c:pt idx="65">
                  <c:v>523.08050000000003</c:v>
                </c:pt>
                <c:pt idx="66">
                  <c:v>523.2328</c:v>
                </c:pt>
                <c:pt idx="67">
                  <c:v>523.39400000000001</c:v>
                </c:pt>
                <c:pt idx="68">
                  <c:v>523.56309999999996</c:v>
                </c:pt>
                <c:pt idx="69">
                  <c:v>523.73850000000004</c:v>
                </c:pt>
                <c:pt idx="70">
                  <c:v>523.91890000000001</c:v>
                </c:pt>
                <c:pt idx="71">
                  <c:v>524.10270000000003</c:v>
                </c:pt>
                <c:pt idx="72">
                  <c:v>524.28880000000004</c:v>
                </c:pt>
                <c:pt idx="73">
                  <c:v>524.476</c:v>
                </c:pt>
                <c:pt idx="74">
                  <c:v>524.66269999999997</c:v>
                </c:pt>
                <c:pt idx="75">
                  <c:v>524.84780000000001</c:v>
                </c:pt>
                <c:pt idx="76">
                  <c:v>525.03</c:v>
                </c:pt>
                <c:pt idx="77">
                  <c:v>525.20830000000001</c:v>
                </c:pt>
                <c:pt idx="78">
                  <c:v>525.38170000000002</c:v>
                </c:pt>
                <c:pt idx="79">
                  <c:v>525.54970000000003</c:v>
                </c:pt>
                <c:pt idx="80">
                  <c:v>525.71190000000001</c:v>
                </c:pt>
                <c:pt idx="81">
                  <c:v>525.86829999999998</c:v>
                </c:pt>
                <c:pt idx="82">
                  <c:v>526.02110000000005</c:v>
                </c:pt>
                <c:pt idx="83">
                  <c:v>526.17240000000004</c:v>
                </c:pt>
                <c:pt idx="84">
                  <c:v>526.32809999999995</c:v>
                </c:pt>
                <c:pt idx="85">
                  <c:v>526.49429999999995</c:v>
                </c:pt>
                <c:pt idx="86">
                  <c:v>526.67169999999999</c:v>
                </c:pt>
                <c:pt idx="87">
                  <c:v>526.86120000000005</c:v>
                </c:pt>
                <c:pt idx="88">
                  <c:v>527.05809999999997</c:v>
                </c:pt>
                <c:pt idx="89">
                  <c:v>527.2577</c:v>
                </c:pt>
                <c:pt idx="90">
                  <c:v>527.45640000000003</c:v>
                </c:pt>
                <c:pt idx="91">
                  <c:v>527.65070000000003</c:v>
                </c:pt>
                <c:pt idx="92">
                  <c:v>527.83900000000006</c:v>
                </c:pt>
                <c:pt idx="93">
                  <c:v>528.01969999999994</c:v>
                </c:pt>
                <c:pt idx="94">
                  <c:v>528.19230000000005</c:v>
                </c:pt>
                <c:pt idx="95">
                  <c:v>528.35580000000004</c:v>
                </c:pt>
                <c:pt idx="96">
                  <c:v>528.51020000000005</c:v>
                </c:pt>
                <c:pt idx="97">
                  <c:v>528.65520000000004</c:v>
                </c:pt>
                <c:pt idx="98">
                  <c:v>528.79079999999999</c:v>
                </c:pt>
                <c:pt idx="99">
                  <c:v>528.91719999999998</c:v>
                </c:pt>
                <c:pt idx="100">
                  <c:v>529.03480000000002</c:v>
                </c:pt>
                <c:pt idx="101">
                  <c:v>529.14430000000004</c:v>
                </c:pt>
                <c:pt idx="102">
                  <c:v>529.24659999999994</c:v>
                </c:pt>
                <c:pt idx="103">
                  <c:v>529.3424</c:v>
                </c:pt>
                <c:pt idx="104">
                  <c:v>529.43409999999994</c:v>
                </c:pt>
                <c:pt idx="105">
                  <c:v>529.52380000000005</c:v>
                </c:pt>
                <c:pt idx="106">
                  <c:v>529.61389999999994</c:v>
                </c:pt>
                <c:pt idx="107">
                  <c:v>529.70659999999998</c:v>
                </c:pt>
                <c:pt idx="108">
                  <c:v>529.75369999999998</c:v>
                </c:pt>
                <c:pt idx="109">
                  <c:v>529.75369999999998</c:v>
                </c:pt>
                <c:pt idx="110">
                  <c:v>529.75369999999998</c:v>
                </c:pt>
                <c:pt idx="111">
                  <c:v>529.75369999999998</c:v>
                </c:pt>
                <c:pt idx="112">
                  <c:v>529.75369999999998</c:v>
                </c:pt>
                <c:pt idx="113">
                  <c:v>529.75369999999998</c:v>
                </c:pt>
                <c:pt idx="114">
                  <c:v>529.75369999999998</c:v>
                </c:pt>
                <c:pt idx="115">
                  <c:v>529.75369999999998</c:v>
                </c:pt>
                <c:pt idx="116">
                  <c:v>529.75369999999998</c:v>
                </c:pt>
                <c:pt idx="117">
                  <c:v>529.75369999999998</c:v>
                </c:pt>
                <c:pt idx="118">
                  <c:v>529.75369999999998</c:v>
                </c:pt>
                <c:pt idx="119">
                  <c:v>529.75369999999998</c:v>
                </c:pt>
                <c:pt idx="120">
                  <c:v>529.75369999999998</c:v>
                </c:pt>
                <c:pt idx="121">
                  <c:v>529.75369999999998</c:v>
                </c:pt>
                <c:pt idx="122">
                  <c:v>529.75369999999998</c:v>
                </c:pt>
                <c:pt idx="123">
                  <c:v>529.75369999999998</c:v>
                </c:pt>
                <c:pt idx="124">
                  <c:v>529.75369999999998</c:v>
                </c:pt>
                <c:pt idx="125">
                  <c:v>529.75369999999998</c:v>
                </c:pt>
                <c:pt idx="126">
                  <c:v>529.75369999999998</c:v>
                </c:pt>
                <c:pt idx="127">
                  <c:v>529.75369999999998</c:v>
                </c:pt>
                <c:pt idx="128">
                  <c:v>529.75369999999998</c:v>
                </c:pt>
                <c:pt idx="129">
                  <c:v>529.75369999999998</c:v>
                </c:pt>
                <c:pt idx="130">
                  <c:v>529.75369999999998</c:v>
                </c:pt>
                <c:pt idx="131">
                  <c:v>529.75369999999998</c:v>
                </c:pt>
                <c:pt idx="132">
                  <c:v>529.75369999999998</c:v>
                </c:pt>
                <c:pt idx="133">
                  <c:v>529.75369999999998</c:v>
                </c:pt>
                <c:pt idx="134">
                  <c:v>529.75369999999998</c:v>
                </c:pt>
                <c:pt idx="135">
                  <c:v>529.75250000000005</c:v>
                </c:pt>
                <c:pt idx="136">
                  <c:v>529.7491</c:v>
                </c:pt>
                <c:pt idx="137">
                  <c:v>529.74369999999999</c:v>
                </c:pt>
                <c:pt idx="138">
                  <c:v>529.73630000000003</c:v>
                </c:pt>
                <c:pt idx="139">
                  <c:v>529.72720000000004</c:v>
                </c:pt>
                <c:pt idx="140">
                  <c:v>529.71640000000002</c:v>
                </c:pt>
                <c:pt idx="141">
                  <c:v>529.70420000000001</c:v>
                </c:pt>
                <c:pt idx="142">
                  <c:v>529.69050000000004</c:v>
                </c:pt>
                <c:pt idx="143">
                  <c:v>529.67539999999997</c:v>
                </c:pt>
                <c:pt idx="144">
                  <c:v>529.65899999999999</c:v>
                </c:pt>
                <c:pt idx="145">
                  <c:v>529.64149999999995</c:v>
                </c:pt>
                <c:pt idx="146">
                  <c:v>529.62289999999996</c:v>
                </c:pt>
                <c:pt idx="147">
                  <c:v>529.60339999999997</c:v>
                </c:pt>
                <c:pt idx="148">
                  <c:v>529.5829</c:v>
                </c:pt>
                <c:pt idx="149">
                  <c:v>529.5616</c:v>
                </c:pt>
                <c:pt idx="150">
                  <c:v>529.53930000000003</c:v>
                </c:pt>
                <c:pt idx="151">
                  <c:v>529.5163</c:v>
                </c:pt>
                <c:pt idx="152">
                  <c:v>529.49260000000004</c:v>
                </c:pt>
                <c:pt idx="153">
                  <c:v>529.46820000000002</c:v>
                </c:pt>
                <c:pt idx="154">
                  <c:v>529.44320000000005</c:v>
                </c:pt>
                <c:pt idx="155">
                  <c:v>529.41750000000002</c:v>
                </c:pt>
                <c:pt idx="156">
                  <c:v>529.39120000000003</c:v>
                </c:pt>
                <c:pt idx="157">
                  <c:v>529.36440000000005</c:v>
                </c:pt>
                <c:pt idx="158">
                  <c:v>529.33699999999999</c:v>
                </c:pt>
                <c:pt idx="159">
                  <c:v>529.30909999999994</c:v>
                </c:pt>
                <c:pt idx="160">
                  <c:v>529.2808</c:v>
                </c:pt>
                <c:pt idx="161">
                  <c:v>529.25220000000002</c:v>
                </c:pt>
                <c:pt idx="162">
                  <c:v>529.22310000000004</c:v>
                </c:pt>
                <c:pt idx="163">
                  <c:v>529.19370000000004</c:v>
                </c:pt>
                <c:pt idx="164">
                  <c:v>529.16380000000004</c:v>
                </c:pt>
                <c:pt idx="165">
                  <c:v>529.13369999999998</c:v>
                </c:pt>
                <c:pt idx="166">
                  <c:v>529.10339999999997</c:v>
                </c:pt>
                <c:pt idx="167">
                  <c:v>529.07270000000005</c:v>
                </c:pt>
                <c:pt idx="168">
                  <c:v>529.04169999999999</c:v>
                </c:pt>
                <c:pt idx="169">
                  <c:v>529.0104</c:v>
                </c:pt>
                <c:pt idx="170">
                  <c:v>528.97889999999995</c:v>
                </c:pt>
                <c:pt idx="171">
                  <c:v>528.94730000000004</c:v>
                </c:pt>
                <c:pt idx="172">
                  <c:v>528.9153</c:v>
                </c:pt>
                <c:pt idx="173">
                  <c:v>528.88310000000001</c:v>
                </c:pt>
                <c:pt idx="174">
                  <c:v>528.85080000000005</c:v>
                </c:pt>
                <c:pt idx="175">
                  <c:v>528.8184</c:v>
                </c:pt>
                <c:pt idx="176">
                  <c:v>528.78570000000002</c:v>
                </c:pt>
                <c:pt idx="177">
                  <c:v>528.75289999999995</c:v>
                </c:pt>
                <c:pt idx="178">
                  <c:v>528.71979999999996</c:v>
                </c:pt>
                <c:pt idx="179">
                  <c:v>528.6866</c:v>
                </c:pt>
                <c:pt idx="180">
                  <c:v>528.65340000000003</c:v>
                </c:pt>
                <c:pt idx="181">
                  <c:v>528.62</c:v>
                </c:pt>
                <c:pt idx="182">
                  <c:v>528.58640000000003</c:v>
                </c:pt>
                <c:pt idx="183">
                  <c:v>528.55259999999998</c:v>
                </c:pt>
                <c:pt idx="184">
                  <c:v>528.51869999999997</c:v>
                </c:pt>
                <c:pt idx="185">
                  <c:v>528.4846</c:v>
                </c:pt>
                <c:pt idx="186">
                  <c:v>528.45039999999995</c:v>
                </c:pt>
                <c:pt idx="187">
                  <c:v>528.41610000000003</c:v>
                </c:pt>
                <c:pt idx="188">
                  <c:v>528.38170000000002</c:v>
                </c:pt>
                <c:pt idx="189">
                  <c:v>528.34709999999995</c:v>
                </c:pt>
                <c:pt idx="190">
                  <c:v>528.3125</c:v>
                </c:pt>
                <c:pt idx="191">
                  <c:v>528.27790000000005</c:v>
                </c:pt>
                <c:pt idx="192">
                  <c:v>528.24329999999998</c:v>
                </c:pt>
                <c:pt idx="193">
                  <c:v>528.20870000000002</c:v>
                </c:pt>
                <c:pt idx="194">
                  <c:v>528.17399999999998</c:v>
                </c:pt>
                <c:pt idx="195">
                  <c:v>528.13919999999996</c:v>
                </c:pt>
                <c:pt idx="196">
                  <c:v>528.10440000000006</c:v>
                </c:pt>
                <c:pt idx="197">
                  <c:v>528.06949999999995</c:v>
                </c:pt>
                <c:pt idx="198">
                  <c:v>528.03470000000004</c:v>
                </c:pt>
                <c:pt idx="199">
                  <c:v>527.99990000000003</c:v>
                </c:pt>
                <c:pt idx="200">
                  <c:v>527.96500000000003</c:v>
                </c:pt>
                <c:pt idx="201">
                  <c:v>527.93020000000001</c:v>
                </c:pt>
                <c:pt idx="202">
                  <c:v>527.8954</c:v>
                </c:pt>
                <c:pt idx="203">
                  <c:v>527.8605</c:v>
                </c:pt>
                <c:pt idx="204">
                  <c:v>527.82569999999998</c:v>
                </c:pt>
                <c:pt idx="205">
                  <c:v>527.79079999999999</c:v>
                </c:pt>
                <c:pt idx="206">
                  <c:v>527.75599999999997</c:v>
                </c:pt>
                <c:pt idx="207">
                  <c:v>527.72119999999995</c:v>
                </c:pt>
                <c:pt idx="208">
                  <c:v>527.68629999999996</c:v>
                </c:pt>
                <c:pt idx="209">
                  <c:v>527.65150000000006</c:v>
                </c:pt>
                <c:pt idx="210">
                  <c:v>527.61659999999995</c:v>
                </c:pt>
                <c:pt idx="211">
                  <c:v>527.58180000000004</c:v>
                </c:pt>
                <c:pt idx="212">
                  <c:v>527.54700000000003</c:v>
                </c:pt>
                <c:pt idx="213">
                  <c:v>527.51210000000003</c:v>
                </c:pt>
                <c:pt idx="214">
                  <c:v>527.47730000000001</c:v>
                </c:pt>
                <c:pt idx="215">
                  <c:v>527.4425</c:v>
                </c:pt>
                <c:pt idx="216">
                  <c:v>527.40769999999998</c:v>
                </c:pt>
                <c:pt idx="217">
                  <c:v>527.37279999999998</c:v>
                </c:pt>
                <c:pt idx="218">
                  <c:v>527.33799999999997</c:v>
                </c:pt>
                <c:pt idx="219">
                  <c:v>527.30309999999997</c:v>
                </c:pt>
                <c:pt idx="220">
                  <c:v>527.26829999999995</c:v>
                </c:pt>
                <c:pt idx="221">
                  <c:v>527.23350000000005</c:v>
                </c:pt>
                <c:pt idx="222">
                  <c:v>527.19860000000006</c:v>
                </c:pt>
                <c:pt idx="223">
                  <c:v>527.16380000000004</c:v>
                </c:pt>
                <c:pt idx="224">
                  <c:v>527.12900000000002</c:v>
                </c:pt>
                <c:pt idx="225">
                  <c:v>527.09410000000003</c:v>
                </c:pt>
                <c:pt idx="226">
                  <c:v>527.05930000000001</c:v>
                </c:pt>
                <c:pt idx="227">
                  <c:v>527.02440000000001</c:v>
                </c:pt>
                <c:pt idx="228">
                  <c:v>526.9896</c:v>
                </c:pt>
                <c:pt idx="229">
                  <c:v>526.95479999999998</c:v>
                </c:pt>
                <c:pt idx="230">
                  <c:v>526.91989999999998</c:v>
                </c:pt>
                <c:pt idx="231">
                  <c:v>526.88509999999997</c:v>
                </c:pt>
                <c:pt idx="232">
                  <c:v>526.85019999999997</c:v>
                </c:pt>
                <c:pt idx="233">
                  <c:v>526.81539999999995</c:v>
                </c:pt>
                <c:pt idx="234">
                  <c:v>526.78060000000005</c:v>
                </c:pt>
                <c:pt idx="235">
                  <c:v>526.74570000000006</c:v>
                </c:pt>
                <c:pt idx="236">
                  <c:v>526.71090000000004</c:v>
                </c:pt>
                <c:pt idx="237">
                  <c:v>526.67610000000002</c:v>
                </c:pt>
                <c:pt idx="238">
                  <c:v>526.64120000000003</c:v>
                </c:pt>
                <c:pt idx="239">
                  <c:v>526.60640000000001</c:v>
                </c:pt>
                <c:pt idx="240">
                  <c:v>526.57150000000001</c:v>
                </c:pt>
                <c:pt idx="241">
                  <c:v>526.5367</c:v>
                </c:pt>
                <c:pt idx="242">
                  <c:v>526.50189999999998</c:v>
                </c:pt>
                <c:pt idx="243">
                  <c:v>526.46699999999998</c:v>
                </c:pt>
                <c:pt idx="244">
                  <c:v>526.43219999999997</c:v>
                </c:pt>
                <c:pt idx="245">
                  <c:v>526.39729999999997</c:v>
                </c:pt>
                <c:pt idx="246">
                  <c:v>526.36249999999995</c:v>
                </c:pt>
                <c:pt idx="247">
                  <c:v>526.32770000000005</c:v>
                </c:pt>
                <c:pt idx="248">
                  <c:v>526.29280000000006</c:v>
                </c:pt>
                <c:pt idx="249">
                  <c:v>526.25800000000004</c:v>
                </c:pt>
                <c:pt idx="250">
                  <c:v>526.22310000000004</c:v>
                </c:pt>
                <c:pt idx="251">
                  <c:v>526.1884</c:v>
                </c:pt>
                <c:pt idx="252">
                  <c:v>526.15549999999996</c:v>
                </c:pt>
                <c:pt idx="253">
                  <c:v>526.14</c:v>
                </c:pt>
                <c:pt idx="254">
                  <c:v>526.14</c:v>
                </c:pt>
                <c:pt idx="255">
                  <c:v>526.14</c:v>
                </c:pt>
                <c:pt idx="256">
                  <c:v>526.14</c:v>
                </c:pt>
                <c:pt idx="257">
                  <c:v>526.14</c:v>
                </c:pt>
                <c:pt idx="258">
                  <c:v>526.14</c:v>
                </c:pt>
                <c:pt idx="259">
                  <c:v>526.14</c:v>
                </c:pt>
                <c:pt idx="260">
                  <c:v>526.14</c:v>
                </c:pt>
                <c:pt idx="261">
                  <c:v>526.14</c:v>
                </c:pt>
                <c:pt idx="262">
                  <c:v>526.14</c:v>
                </c:pt>
                <c:pt idx="263">
                  <c:v>526.14</c:v>
                </c:pt>
                <c:pt idx="264">
                  <c:v>526.14</c:v>
                </c:pt>
                <c:pt idx="265">
                  <c:v>526.14</c:v>
                </c:pt>
                <c:pt idx="266">
                  <c:v>526.14</c:v>
                </c:pt>
                <c:pt idx="267">
                  <c:v>526.14</c:v>
                </c:pt>
                <c:pt idx="268">
                  <c:v>526.14</c:v>
                </c:pt>
                <c:pt idx="269">
                  <c:v>526.14</c:v>
                </c:pt>
                <c:pt idx="270">
                  <c:v>526.14</c:v>
                </c:pt>
                <c:pt idx="271">
                  <c:v>526.14</c:v>
                </c:pt>
                <c:pt idx="272">
                  <c:v>526.14</c:v>
                </c:pt>
                <c:pt idx="273">
                  <c:v>526.14</c:v>
                </c:pt>
                <c:pt idx="274">
                  <c:v>526.14</c:v>
                </c:pt>
                <c:pt idx="275">
                  <c:v>526.14</c:v>
                </c:pt>
                <c:pt idx="276">
                  <c:v>526.14</c:v>
                </c:pt>
                <c:pt idx="277">
                  <c:v>526.14</c:v>
                </c:pt>
                <c:pt idx="278">
                  <c:v>526.14</c:v>
                </c:pt>
                <c:pt idx="279">
                  <c:v>526.14</c:v>
                </c:pt>
                <c:pt idx="280">
                  <c:v>526.14</c:v>
                </c:pt>
                <c:pt idx="281">
                  <c:v>526.14</c:v>
                </c:pt>
                <c:pt idx="282">
                  <c:v>526.14</c:v>
                </c:pt>
                <c:pt idx="283">
                  <c:v>526.14</c:v>
                </c:pt>
                <c:pt idx="284">
                  <c:v>526.14</c:v>
                </c:pt>
                <c:pt idx="285">
                  <c:v>526.14</c:v>
                </c:pt>
                <c:pt idx="286">
                  <c:v>526.14</c:v>
                </c:pt>
                <c:pt idx="287">
                  <c:v>526.14</c:v>
                </c:pt>
                <c:pt idx="288">
                  <c:v>526.14</c:v>
                </c:pt>
                <c:pt idx="289">
                  <c:v>526.14</c:v>
                </c:pt>
                <c:pt idx="290">
                  <c:v>526.14</c:v>
                </c:pt>
                <c:pt idx="291">
                  <c:v>526.14</c:v>
                </c:pt>
                <c:pt idx="292">
                  <c:v>526.14</c:v>
                </c:pt>
                <c:pt idx="293">
                  <c:v>526.14</c:v>
                </c:pt>
                <c:pt idx="294">
                  <c:v>526.14</c:v>
                </c:pt>
                <c:pt idx="295">
                  <c:v>526.14</c:v>
                </c:pt>
                <c:pt idx="296">
                  <c:v>526.14</c:v>
                </c:pt>
                <c:pt idx="297">
                  <c:v>526.14</c:v>
                </c:pt>
                <c:pt idx="298">
                  <c:v>526.14</c:v>
                </c:pt>
                <c:pt idx="299">
                  <c:v>526.14</c:v>
                </c:pt>
                <c:pt idx="300">
                  <c:v>526.14</c:v>
                </c:pt>
                <c:pt idx="301">
                  <c:v>526.14</c:v>
                </c:pt>
                <c:pt idx="302">
                  <c:v>526.14</c:v>
                </c:pt>
                <c:pt idx="303">
                  <c:v>526.14</c:v>
                </c:pt>
                <c:pt idx="304">
                  <c:v>526.14</c:v>
                </c:pt>
                <c:pt idx="305">
                  <c:v>526.14</c:v>
                </c:pt>
                <c:pt idx="306">
                  <c:v>526.14</c:v>
                </c:pt>
                <c:pt idx="307">
                  <c:v>526.14</c:v>
                </c:pt>
                <c:pt idx="308">
                  <c:v>526.14</c:v>
                </c:pt>
                <c:pt idx="309">
                  <c:v>526.14</c:v>
                </c:pt>
                <c:pt idx="310">
                  <c:v>526.14</c:v>
                </c:pt>
                <c:pt idx="311">
                  <c:v>526.14</c:v>
                </c:pt>
                <c:pt idx="312">
                  <c:v>526.14</c:v>
                </c:pt>
                <c:pt idx="313">
                  <c:v>526.14</c:v>
                </c:pt>
                <c:pt idx="314">
                  <c:v>526.14</c:v>
                </c:pt>
                <c:pt idx="315">
                  <c:v>526.14</c:v>
                </c:pt>
                <c:pt idx="316">
                  <c:v>526.14</c:v>
                </c:pt>
                <c:pt idx="317">
                  <c:v>526.14</c:v>
                </c:pt>
                <c:pt idx="318">
                  <c:v>526.14</c:v>
                </c:pt>
                <c:pt idx="319">
                  <c:v>526.14</c:v>
                </c:pt>
                <c:pt idx="320">
                  <c:v>526.14</c:v>
                </c:pt>
                <c:pt idx="321">
                  <c:v>526.14</c:v>
                </c:pt>
                <c:pt idx="322">
                  <c:v>526.14</c:v>
                </c:pt>
                <c:pt idx="323">
                  <c:v>526.14</c:v>
                </c:pt>
                <c:pt idx="324">
                  <c:v>526.14</c:v>
                </c:pt>
                <c:pt idx="325">
                  <c:v>526.14</c:v>
                </c:pt>
                <c:pt idx="326">
                  <c:v>526.14</c:v>
                </c:pt>
                <c:pt idx="327">
                  <c:v>526.14</c:v>
                </c:pt>
                <c:pt idx="328">
                  <c:v>526.14</c:v>
                </c:pt>
                <c:pt idx="329">
                  <c:v>526.14</c:v>
                </c:pt>
                <c:pt idx="330">
                  <c:v>526.14</c:v>
                </c:pt>
                <c:pt idx="331">
                  <c:v>526.14</c:v>
                </c:pt>
                <c:pt idx="332">
                  <c:v>526.14</c:v>
                </c:pt>
                <c:pt idx="333">
                  <c:v>526.14</c:v>
                </c:pt>
                <c:pt idx="334">
                  <c:v>526.14</c:v>
                </c:pt>
                <c:pt idx="335">
                  <c:v>526.14</c:v>
                </c:pt>
                <c:pt idx="336">
                  <c:v>526.14</c:v>
                </c:pt>
                <c:pt idx="337">
                  <c:v>526.14</c:v>
                </c:pt>
                <c:pt idx="338">
                  <c:v>526.14</c:v>
                </c:pt>
                <c:pt idx="339">
                  <c:v>526.14</c:v>
                </c:pt>
                <c:pt idx="340">
                  <c:v>526.14</c:v>
                </c:pt>
                <c:pt idx="341">
                  <c:v>526.14</c:v>
                </c:pt>
                <c:pt idx="342">
                  <c:v>526.14</c:v>
                </c:pt>
                <c:pt idx="343">
                  <c:v>526.14</c:v>
                </c:pt>
                <c:pt idx="344">
                  <c:v>526.14</c:v>
                </c:pt>
                <c:pt idx="345">
                  <c:v>526.14</c:v>
                </c:pt>
                <c:pt idx="346">
                  <c:v>526.14</c:v>
                </c:pt>
                <c:pt idx="347">
                  <c:v>526.14</c:v>
                </c:pt>
                <c:pt idx="348">
                  <c:v>526.14</c:v>
                </c:pt>
                <c:pt idx="349">
                  <c:v>526.14</c:v>
                </c:pt>
                <c:pt idx="350">
                  <c:v>526.14</c:v>
                </c:pt>
                <c:pt idx="351">
                  <c:v>526.14</c:v>
                </c:pt>
                <c:pt idx="352">
                  <c:v>526.14</c:v>
                </c:pt>
                <c:pt idx="353">
                  <c:v>526.14</c:v>
                </c:pt>
                <c:pt idx="354">
                  <c:v>526.14</c:v>
                </c:pt>
                <c:pt idx="355">
                  <c:v>526.14</c:v>
                </c:pt>
                <c:pt idx="356">
                  <c:v>526.14</c:v>
                </c:pt>
                <c:pt idx="357">
                  <c:v>526.14</c:v>
                </c:pt>
                <c:pt idx="358">
                  <c:v>526.14</c:v>
                </c:pt>
                <c:pt idx="359">
                  <c:v>526.14</c:v>
                </c:pt>
                <c:pt idx="360">
                  <c:v>526.14</c:v>
                </c:pt>
                <c:pt idx="361">
                  <c:v>526.14</c:v>
                </c:pt>
                <c:pt idx="362">
                  <c:v>526.14</c:v>
                </c:pt>
                <c:pt idx="363">
                  <c:v>526.14</c:v>
                </c:pt>
                <c:pt idx="364">
                  <c:v>526.14</c:v>
                </c:pt>
                <c:pt idx="365">
                  <c:v>526.14</c:v>
                </c:pt>
                <c:pt idx="366">
                  <c:v>526.14</c:v>
                </c:pt>
                <c:pt idx="367">
                  <c:v>526.14</c:v>
                </c:pt>
                <c:pt idx="368">
                  <c:v>526.14</c:v>
                </c:pt>
                <c:pt idx="369">
                  <c:v>526.14</c:v>
                </c:pt>
                <c:pt idx="370">
                  <c:v>526.14</c:v>
                </c:pt>
                <c:pt idx="371">
                  <c:v>526.14</c:v>
                </c:pt>
                <c:pt idx="372">
                  <c:v>526.14</c:v>
                </c:pt>
                <c:pt idx="373">
                  <c:v>526.14</c:v>
                </c:pt>
                <c:pt idx="374">
                  <c:v>526.14</c:v>
                </c:pt>
                <c:pt idx="375">
                  <c:v>526.14</c:v>
                </c:pt>
                <c:pt idx="376">
                  <c:v>526.14</c:v>
                </c:pt>
                <c:pt idx="377">
                  <c:v>526.14</c:v>
                </c:pt>
                <c:pt idx="378">
                  <c:v>526.14</c:v>
                </c:pt>
                <c:pt idx="379">
                  <c:v>526.14</c:v>
                </c:pt>
                <c:pt idx="380">
                  <c:v>526.14</c:v>
                </c:pt>
                <c:pt idx="381">
                  <c:v>526.14</c:v>
                </c:pt>
                <c:pt idx="382">
                  <c:v>526.14</c:v>
                </c:pt>
                <c:pt idx="383">
                  <c:v>526.14</c:v>
                </c:pt>
                <c:pt idx="384">
                  <c:v>526.14</c:v>
                </c:pt>
                <c:pt idx="385">
                  <c:v>526.14</c:v>
                </c:pt>
                <c:pt idx="386">
                  <c:v>526.14</c:v>
                </c:pt>
                <c:pt idx="387">
                  <c:v>526.14</c:v>
                </c:pt>
                <c:pt idx="388">
                  <c:v>526.14</c:v>
                </c:pt>
                <c:pt idx="389">
                  <c:v>526.14</c:v>
                </c:pt>
                <c:pt idx="390">
                  <c:v>526.14</c:v>
                </c:pt>
                <c:pt idx="391">
                  <c:v>526.14</c:v>
                </c:pt>
                <c:pt idx="392">
                  <c:v>526.14</c:v>
                </c:pt>
                <c:pt idx="393">
                  <c:v>526.14</c:v>
                </c:pt>
                <c:pt idx="394">
                  <c:v>526.14</c:v>
                </c:pt>
                <c:pt idx="395">
                  <c:v>526.14</c:v>
                </c:pt>
                <c:pt idx="396">
                  <c:v>526.14</c:v>
                </c:pt>
                <c:pt idx="397">
                  <c:v>526.14</c:v>
                </c:pt>
                <c:pt idx="398">
                  <c:v>526.14</c:v>
                </c:pt>
                <c:pt idx="399">
                  <c:v>526.14</c:v>
                </c:pt>
                <c:pt idx="400">
                  <c:v>526.14</c:v>
                </c:pt>
                <c:pt idx="401">
                  <c:v>526.14</c:v>
                </c:pt>
                <c:pt idx="402">
                  <c:v>526.14</c:v>
                </c:pt>
                <c:pt idx="403">
                  <c:v>526.14</c:v>
                </c:pt>
                <c:pt idx="404">
                  <c:v>526.14</c:v>
                </c:pt>
                <c:pt idx="405">
                  <c:v>526.14</c:v>
                </c:pt>
                <c:pt idx="406">
                  <c:v>526.14</c:v>
                </c:pt>
                <c:pt idx="407">
                  <c:v>526.14</c:v>
                </c:pt>
                <c:pt idx="408">
                  <c:v>526.14</c:v>
                </c:pt>
                <c:pt idx="409">
                  <c:v>526.14</c:v>
                </c:pt>
                <c:pt idx="410">
                  <c:v>526.14</c:v>
                </c:pt>
                <c:pt idx="411">
                  <c:v>526.14</c:v>
                </c:pt>
                <c:pt idx="412">
                  <c:v>526.14</c:v>
                </c:pt>
                <c:pt idx="413">
                  <c:v>526.14</c:v>
                </c:pt>
                <c:pt idx="414">
                  <c:v>526.14</c:v>
                </c:pt>
                <c:pt idx="415">
                  <c:v>526.14</c:v>
                </c:pt>
                <c:pt idx="416">
                  <c:v>526.14</c:v>
                </c:pt>
                <c:pt idx="417">
                  <c:v>526.14</c:v>
                </c:pt>
                <c:pt idx="418">
                  <c:v>526.14</c:v>
                </c:pt>
                <c:pt idx="419">
                  <c:v>526.14</c:v>
                </c:pt>
                <c:pt idx="420">
                  <c:v>526.14</c:v>
                </c:pt>
                <c:pt idx="421">
                  <c:v>526.14</c:v>
                </c:pt>
                <c:pt idx="422">
                  <c:v>526.14</c:v>
                </c:pt>
                <c:pt idx="423">
                  <c:v>526.14</c:v>
                </c:pt>
                <c:pt idx="424">
                  <c:v>526.14</c:v>
                </c:pt>
                <c:pt idx="425">
                  <c:v>526.14</c:v>
                </c:pt>
                <c:pt idx="426">
                  <c:v>526.14</c:v>
                </c:pt>
                <c:pt idx="427">
                  <c:v>526.14</c:v>
                </c:pt>
                <c:pt idx="428">
                  <c:v>526.14</c:v>
                </c:pt>
                <c:pt idx="429">
                  <c:v>526.14</c:v>
                </c:pt>
                <c:pt idx="430">
                  <c:v>526.14</c:v>
                </c:pt>
                <c:pt idx="431">
                  <c:v>526.14</c:v>
                </c:pt>
                <c:pt idx="432">
                  <c:v>526.14</c:v>
                </c:pt>
                <c:pt idx="433">
                  <c:v>526.14</c:v>
                </c:pt>
                <c:pt idx="434">
                  <c:v>526.14</c:v>
                </c:pt>
                <c:pt idx="435">
                  <c:v>526.14</c:v>
                </c:pt>
                <c:pt idx="436">
                  <c:v>526.14</c:v>
                </c:pt>
                <c:pt idx="437">
                  <c:v>526.14</c:v>
                </c:pt>
                <c:pt idx="438">
                  <c:v>526.14</c:v>
                </c:pt>
                <c:pt idx="439">
                  <c:v>526.14</c:v>
                </c:pt>
                <c:pt idx="440">
                  <c:v>526.14</c:v>
                </c:pt>
                <c:pt idx="441">
                  <c:v>526.14</c:v>
                </c:pt>
                <c:pt idx="442">
                  <c:v>526.14</c:v>
                </c:pt>
                <c:pt idx="443">
                  <c:v>526.14</c:v>
                </c:pt>
                <c:pt idx="444">
                  <c:v>526.14</c:v>
                </c:pt>
                <c:pt idx="445">
                  <c:v>526.14</c:v>
                </c:pt>
                <c:pt idx="446">
                  <c:v>526.14</c:v>
                </c:pt>
                <c:pt idx="447">
                  <c:v>526.14</c:v>
                </c:pt>
                <c:pt idx="448">
                  <c:v>526.14</c:v>
                </c:pt>
                <c:pt idx="449">
                  <c:v>526.14</c:v>
                </c:pt>
                <c:pt idx="450">
                  <c:v>526.14</c:v>
                </c:pt>
                <c:pt idx="451">
                  <c:v>526.14</c:v>
                </c:pt>
                <c:pt idx="452">
                  <c:v>526.14</c:v>
                </c:pt>
                <c:pt idx="453">
                  <c:v>526.14</c:v>
                </c:pt>
                <c:pt idx="454">
                  <c:v>526.14</c:v>
                </c:pt>
                <c:pt idx="455">
                  <c:v>526.14</c:v>
                </c:pt>
                <c:pt idx="456">
                  <c:v>526.14</c:v>
                </c:pt>
                <c:pt idx="457">
                  <c:v>526.14</c:v>
                </c:pt>
                <c:pt idx="458">
                  <c:v>526.14</c:v>
                </c:pt>
                <c:pt idx="459">
                  <c:v>526.14</c:v>
                </c:pt>
                <c:pt idx="460">
                  <c:v>526.14</c:v>
                </c:pt>
                <c:pt idx="461">
                  <c:v>526.14</c:v>
                </c:pt>
                <c:pt idx="462">
                  <c:v>526.14</c:v>
                </c:pt>
                <c:pt idx="463">
                  <c:v>526.14</c:v>
                </c:pt>
                <c:pt idx="464">
                  <c:v>526.14</c:v>
                </c:pt>
                <c:pt idx="465">
                  <c:v>526.14</c:v>
                </c:pt>
                <c:pt idx="466">
                  <c:v>526.14</c:v>
                </c:pt>
                <c:pt idx="467">
                  <c:v>526.14</c:v>
                </c:pt>
                <c:pt idx="468">
                  <c:v>526.14</c:v>
                </c:pt>
                <c:pt idx="469">
                  <c:v>526.14</c:v>
                </c:pt>
                <c:pt idx="470">
                  <c:v>526.14</c:v>
                </c:pt>
                <c:pt idx="471">
                  <c:v>526.14</c:v>
                </c:pt>
                <c:pt idx="472">
                  <c:v>526.14</c:v>
                </c:pt>
                <c:pt idx="473">
                  <c:v>526.14</c:v>
                </c:pt>
                <c:pt idx="474">
                  <c:v>526.14</c:v>
                </c:pt>
                <c:pt idx="475">
                  <c:v>526.14</c:v>
                </c:pt>
                <c:pt idx="476">
                  <c:v>526.14</c:v>
                </c:pt>
                <c:pt idx="477">
                  <c:v>526.14</c:v>
                </c:pt>
                <c:pt idx="478">
                  <c:v>526.14</c:v>
                </c:pt>
                <c:pt idx="479">
                  <c:v>526.14</c:v>
                </c:pt>
                <c:pt idx="480">
                  <c:v>526.14</c:v>
                </c:pt>
                <c:pt idx="481">
                  <c:v>526.14</c:v>
                </c:pt>
                <c:pt idx="482">
                  <c:v>526.14</c:v>
                </c:pt>
                <c:pt idx="483">
                  <c:v>526.14</c:v>
                </c:pt>
                <c:pt idx="484">
                  <c:v>526.14</c:v>
                </c:pt>
                <c:pt idx="485">
                  <c:v>526.14</c:v>
                </c:pt>
                <c:pt idx="486">
                  <c:v>526.14</c:v>
                </c:pt>
                <c:pt idx="487">
                  <c:v>526.14</c:v>
                </c:pt>
                <c:pt idx="488">
                  <c:v>526.14</c:v>
                </c:pt>
                <c:pt idx="489">
                  <c:v>526.14</c:v>
                </c:pt>
                <c:pt idx="490">
                  <c:v>526.14</c:v>
                </c:pt>
                <c:pt idx="491">
                  <c:v>526.14</c:v>
                </c:pt>
                <c:pt idx="492">
                  <c:v>526.14</c:v>
                </c:pt>
                <c:pt idx="493">
                  <c:v>526.14</c:v>
                </c:pt>
                <c:pt idx="494">
                  <c:v>526.14</c:v>
                </c:pt>
                <c:pt idx="495">
                  <c:v>526.14</c:v>
                </c:pt>
                <c:pt idx="496">
                  <c:v>526.14</c:v>
                </c:pt>
                <c:pt idx="497">
                  <c:v>526.14</c:v>
                </c:pt>
                <c:pt idx="498">
                  <c:v>526.14</c:v>
                </c:pt>
                <c:pt idx="499">
                  <c:v>526.14</c:v>
                </c:pt>
                <c:pt idx="500">
                  <c:v>526.14</c:v>
                </c:pt>
                <c:pt idx="501">
                  <c:v>526.14</c:v>
                </c:pt>
                <c:pt idx="502">
                  <c:v>526.14</c:v>
                </c:pt>
                <c:pt idx="503">
                  <c:v>526.14</c:v>
                </c:pt>
                <c:pt idx="504">
                  <c:v>526.14</c:v>
                </c:pt>
                <c:pt idx="505">
                  <c:v>526.14</c:v>
                </c:pt>
                <c:pt idx="506">
                  <c:v>526.14</c:v>
                </c:pt>
                <c:pt idx="507">
                  <c:v>526.14</c:v>
                </c:pt>
                <c:pt idx="508">
                  <c:v>526.14</c:v>
                </c:pt>
                <c:pt idx="509">
                  <c:v>526.14</c:v>
                </c:pt>
                <c:pt idx="510">
                  <c:v>526.14</c:v>
                </c:pt>
                <c:pt idx="511">
                  <c:v>526.14</c:v>
                </c:pt>
                <c:pt idx="512">
                  <c:v>526.14</c:v>
                </c:pt>
                <c:pt idx="513">
                  <c:v>526.14</c:v>
                </c:pt>
                <c:pt idx="514">
                  <c:v>526.14</c:v>
                </c:pt>
                <c:pt idx="515">
                  <c:v>526.14</c:v>
                </c:pt>
                <c:pt idx="516">
                  <c:v>526.14</c:v>
                </c:pt>
                <c:pt idx="517">
                  <c:v>526.14</c:v>
                </c:pt>
                <c:pt idx="518">
                  <c:v>526.14</c:v>
                </c:pt>
                <c:pt idx="519">
                  <c:v>526.14</c:v>
                </c:pt>
                <c:pt idx="520">
                  <c:v>526.14</c:v>
                </c:pt>
                <c:pt idx="521">
                  <c:v>526.14</c:v>
                </c:pt>
                <c:pt idx="522">
                  <c:v>526.14</c:v>
                </c:pt>
                <c:pt idx="523">
                  <c:v>526.14</c:v>
                </c:pt>
                <c:pt idx="524">
                  <c:v>526.14</c:v>
                </c:pt>
                <c:pt idx="525">
                  <c:v>526.14</c:v>
                </c:pt>
                <c:pt idx="526">
                  <c:v>526.14</c:v>
                </c:pt>
                <c:pt idx="527">
                  <c:v>526.14</c:v>
                </c:pt>
                <c:pt idx="528">
                  <c:v>526.14</c:v>
                </c:pt>
                <c:pt idx="529">
                  <c:v>526.14</c:v>
                </c:pt>
                <c:pt idx="530">
                  <c:v>526.14</c:v>
                </c:pt>
                <c:pt idx="531">
                  <c:v>526.14</c:v>
                </c:pt>
                <c:pt idx="532">
                  <c:v>526.14</c:v>
                </c:pt>
                <c:pt idx="533">
                  <c:v>526.14</c:v>
                </c:pt>
                <c:pt idx="534">
                  <c:v>526.14</c:v>
                </c:pt>
                <c:pt idx="535">
                  <c:v>526.14</c:v>
                </c:pt>
                <c:pt idx="536">
                  <c:v>526.14</c:v>
                </c:pt>
                <c:pt idx="537">
                  <c:v>526.14</c:v>
                </c:pt>
                <c:pt idx="538">
                  <c:v>526.14</c:v>
                </c:pt>
                <c:pt idx="539">
                  <c:v>526.14</c:v>
                </c:pt>
                <c:pt idx="540">
                  <c:v>526.14</c:v>
                </c:pt>
                <c:pt idx="541">
                  <c:v>526.14</c:v>
                </c:pt>
                <c:pt idx="542">
                  <c:v>526.14</c:v>
                </c:pt>
                <c:pt idx="543">
                  <c:v>526.14</c:v>
                </c:pt>
                <c:pt idx="544">
                  <c:v>526.14</c:v>
                </c:pt>
                <c:pt idx="545">
                  <c:v>526.14</c:v>
                </c:pt>
                <c:pt idx="546">
                  <c:v>526.14</c:v>
                </c:pt>
                <c:pt idx="547">
                  <c:v>526.14</c:v>
                </c:pt>
                <c:pt idx="548">
                  <c:v>526.14</c:v>
                </c:pt>
                <c:pt idx="549">
                  <c:v>526.14</c:v>
                </c:pt>
                <c:pt idx="550">
                  <c:v>526.14</c:v>
                </c:pt>
                <c:pt idx="551">
                  <c:v>526.14</c:v>
                </c:pt>
                <c:pt idx="552">
                  <c:v>526.14</c:v>
                </c:pt>
                <c:pt idx="553">
                  <c:v>526.14</c:v>
                </c:pt>
                <c:pt idx="554">
                  <c:v>526.14</c:v>
                </c:pt>
                <c:pt idx="555">
                  <c:v>526.14</c:v>
                </c:pt>
                <c:pt idx="556">
                  <c:v>526.14</c:v>
                </c:pt>
                <c:pt idx="557">
                  <c:v>526.14</c:v>
                </c:pt>
                <c:pt idx="558">
                  <c:v>526.14</c:v>
                </c:pt>
                <c:pt idx="559">
                  <c:v>526.14</c:v>
                </c:pt>
                <c:pt idx="560">
                  <c:v>526.14</c:v>
                </c:pt>
                <c:pt idx="561">
                  <c:v>526.14</c:v>
                </c:pt>
                <c:pt idx="562">
                  <c:v>526.14</c:v>
                </c:pt>
                <c:pt idx="563">
                  <c:v>526.14</c:v>
                </c:pt>
                <c:pt idx="564">
                  <c:v>526.14</c:v>
                </c:pt>
                <c:pt idx="565">
                  <c:v>526.14</c:v>
                </c:pt>
                <c:pt idx="566">
                  <c:v>526.14</c:v>
                </c:pt>
                <c:pt idx="567">
                  <c:v>526.14</c:v>
                </c:pt>
                <c:pt idx="568">
                  <c:v>526.14</c:v>
                </c:pt>
                <c:pt idx="569">
                  <c:v>526.14</c:v>
                </c:pt>
                <c:pt idx="570">
                  <c:v>526.14</c:v>
                </c:pt>
                <c:pt idx="571">
                  <c:v>526.14</c:v>
                </c:pt>
                <c:pt idx="572">
                  <c:v>526.14</c:v>
                </c:pt>
                <c:pt idx="573">
                  <c:v>526.14</c:v>
                </c:pt>
                <c:pt idx="574">
                  <c:v>526.14</c:v>
                </c:pt>
                <c:pt idx="575">
                  <c:v>526.14</c:v>
                </c:pt>
                <c:pt idx="576">
                  <c:v>526.14</c:v>
                </c:pt>
                <c:pt idx="577">
                  <c:v>526.14</c:v>
                </c:pt>
                <c:pt idx="578">
                  <c:v>526.14</c:v>
                </c:pt>
                <c:pt idx="579">
                  <c:v>526.14</c:v>
                </c:pt>
                <c:pt idx="580">
                  <c:v>526.14</c:v>
                </c:pt>
                <c:pt idx="581">
                  <c:v>526.14</c:v>
                </c:pt>
                <c:pt idx="582">
                  <c:v>526.14</c:v>
                </c:pt>
                <c:pt idx="583">
                  <c:v>526.14</c:v>
                </c:pt>
                <c:pt idx="584">
                  <c:v>526.14</c:v>
                </c:pt>
                <c:pt idx="585">
                  <c:v>526.14</c:v>
                </c:pt>
                <c:pt idx="586">
                  <c:v>526.14</c:v>
                </c:pt>
                <c:pt idx="587">
                  <c:v>526.14</c:v>
                </c:pt>
                <c:pt idx="588">
                  <c:v>526.14</c:v>
                </c:pt>
                <c:pt idx="589">
                  <c:v>526.14</c:v>
                </c:pt>
                <c:pt idx="590">
                  <c:v>526.14</c:v>
                </c:pt>
                <c:pt idx="591">
                  <c:v>526.14</c:v>
                </c:pt>
                <c:pt idx="592">
                  <c:v>526.14</c:v>
                </c:pt>
                <c:pt idx="593">
                  <c:v>526.14</c:v>
                </c:pt>
                <c:pt idx="594">
                  <c:v>526.14</c:v>
                </c:pt>
                <c:pt idx="595">
                  <c:v>526.14</c:v>
                </c:pt>
                <c:pt idx="596">
                  <c:v>526.14</c:v>
                </c:pt>
                <c:pt idx="597">
                  <c:v>526.14</c:v>
                </c:pt>
                <c:pt idx="598">
                  <c:v>526.14</c:v>
                </c:pt>
                <c:pt idx="599">
                  <c:v>526.14</c:v>
                </c:pt>
                <c:pt idx="600">
                  <c:v>526.14</c:v>
                </c:pt>
                <c:pt idx="601">
                  <c:v>526.14</c:v>
                </c:pt>
                <c:pt idx="602">
                  <c:v>526.14</c:v>
                </c:pt>
                <c:pt idx="603">
                  <c:v>526.14</c:v>
                </c:pt>
                <c:pt idx="604">
                  <c:v>526.14</c:v>
                </c:pt>
                <c:pt idx="605">
                  <c:v>526.14</c:v>
                </c:pt>
                <c:pt idx="606">
                  <c:v>526.14</c:v>
                </c:pt>
                <c:pt idx="607">
                  <c:v>526.14</c:v>
                </c:pt>
                <c:pt idx="608">
                  <c:v>526.14</c:v>
                </c:pt>
                <c:pt idx="609">
                  <c:v>526.14</c:v>
                </c:pt>
                <c:pt idx="610">
                  <c:v>526.14</c:v>
                </c:pt>
                <c:pt idx="611">
                  <c:v>526.14</c:v>
                </c:pt>
                <c:pt idx="612">
                  <c:v>526.14</c:v>
                </c:pt>
                <c:pt idx="613">
                  <c:v>526.14</c:v>
                </c:pt>
                <c:pt idx="614">
                  <c:v>526.14</c:v>
                </c:pt>
                <c:pt idx="615">
                  <c:v>526.14</c:v>
                </c:pt>
                <c:pt idx="616">
                  <c:v>526.14</c:v>
                </c:pt>
                <c:pt idx="617">
                  <c:v>526.14</c:v>
                </c:pt>
                <c:pt idx="618">
                  <c:v>526.14</c:v>
                </c:pt>
                <c:pt idx="619">
                  <c:v>526.14</c:v>
                </c:pt>
                <c:pt idx="620">
                  <c:v>526.14</c:v>
                </c:pt>
                <c:pt idx="621">
                  <c:v>526.14</c:v>
                </c:pt>
                <c:pt idx="622">
                  <c:v>526.14</c:v>
                </c:pt>
                <c:pt idx="623">
                  <c:v>526.14</c:v>
                </c:pt>
                <c:pt idx="624">
                  <c:v>526.14</c:v>
                </c:pt>
                <c:pt idx="625">
                  <c:v>526.14</c:v>
                </c:pt>
                <c:pt idx="626">
                  <c:v>526.14</c:v>
                </c:pt>
                <c:pt idx="627">
                  <c:v>526.14</c:v>
                </c:pt>
                <c:pt idx="628">
                  <c:v>526.14</c:v>
                </c:pt>
                <c:pt idx="629">
                  <c:v>526.14</c:v>
                </c:pt>
                <c:pt idx="630">
                  <c:v>526.14</c:v>
                </c:pt>
                <c:pt idx="631">
                  <c:v>526.14</c:v>
                </c:pt>
                <c:pt idx="632">
                  <c:v>526.14</c:v>
                </c:pt>
                <c:pt idx="633">
                  <c:v>526.14</c:v>
                </c:pt>
                <c:pt idx="634">
                  <c:v>526.14</c:v>
                </c:pt>
                <c:pt idx="635">
                  <c:v>526.14</c:v>
                </c:pt>
                <c:pt idx="636">
                  <c:v>526.14</c:v>
                </c:pt>
                <c:pt idx="637">
                  <c:v>526.14</c:v>
                </c:pt>
                <c:pt idx="638">
                  <c:v>526.14</c:v>
                </c:pt>
                <c:pt idx="639">
                  <c:v>526.14</c:v>
                </c:pt>
                <c:pt idx="640">
                  <c:v>526.14</c:v>
                </c:pt>
                <c:pt idx="641">
                  <c:v>526.14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86-411B-A796-214A6762E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33152"/>
        <c:axId val="208975488"/>
      </c:lineChart>
      <c:catAx>
        <c:axId val="209823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08974912"/>
        <c:crosses val="autoZero"/>
        <c:auto val="1"/>
        <c:lblAlgn val="ctr"/>
        <c:lblOffset val="100"/>
        <c:noMultiLvlLbl val="0"/>
      </c:catAx>
      <c:valAx>
        <c:axId val="208974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823232"/>
        <c:crosses val="autoZero"/>
        <c:crossBetween val="between"/>
      </c:valAx>
      <c:valAx>
        <c:axId val="208975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0033152"/>
        <c:crosses val="max"/>
        <c:crossBetween val="between"/>
      </c:valAx>
      <c:catAx>
        <c:axId val="210033152"/>
        <c:scaling>
          <c:orientation val="minMax"/>
        </c:scaling>
        <c:delete val="1"/>
        <c:axPos val="b"/>
        <c:majorTickMark val="out"/>
        <c:minorTickMark val="none"/>
        <c:tickLblPos val="nextTo"/>
        <c:crossAx val="20897548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56944444444444442"/>
          <c:y val="8.2757363662875491E-2"/>
          <c:w val="0.1388888888888889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5.1400554097404488E-2"/>
          <c:w val="0.80821762904636907"/>
          <c:h val="0.81870771361913097"/>
        </c:manualLayout>
      </c:layout>
      <c:lineChart>
        <c:grouping val="standard"/>
        <c:varyColors val="0"/>
        <c:ser>
          <c:idx val="0"/>
          <c:order val="0"/>
          <c:tx>
            <c:strRef>
              <c:f>河口村!$C$1</c:f>
              <c:strCache>
                <c:ptCount val="1"/>
                <c:pt idx="0">
                  <c:v>入库</c:v>
                </c:pt>
              </c:strCache>
            </c:strRef>
          </c:tx>
          <c:marker>
            <c:symbol val="none"/>
          </c:marker>
          <c:val>
            <c:numRef>
              <c:f>河口村!$C$2:$C$746</c:f>
              <c:numCache>
                <c:formatCode>General</c:formatCode>
                <c:ptCount val="7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9</c:v>
                </c:pt>
                <c:pt idx="17">
                  <c:v>11</c:v>
                </c:pt>
                <c:pt idx="18">
                  <c:v>13.5</c:v>
                </c:pt>
                <c:pt idx="19">
                  <c:v>16</c:v>
                </c:pt>
                <c:pt idx="20">
                  <c:v>27</c:v>
                </c:pt>
                <c:pt idx="21">
                  <c:v>38</c:v>
                </c:pt>
                <c:pt idx="22">
                  <c:v>68</c:v>
                </c:pt>
                <c:pt idx="23">
                  <c:v>98</c:v>
                </c:pt>
                <c:pt idx="24">
                  <c:v>162.5</c:v>
                </c:pt>
                <c:pt idx="25">
                  <c:v>227</c:v>
                </c:pt>
                <c:pt idx="26">
                  <c:v>365.5</c:v>
                </c:pt>
                <c:pt idx="27">
                  <c:v>504</c:v>
                </c:pt>
                <c:pt idx="28">
                  <c:v>685.5</c:v>
                </c:pt>
                <c:pt idx="29">
                  <c:v>867</c:v>
                </c:pt>
                <c:pt idx="30">
                  <c:v>967</c:v>
                </c:pt>
                <c:pt idx="31">
                  <c:v>1067</c:v>
                </c:pt>
                <c:pt idx="32">
                  <c:v>1105.5</c:v>
                </c:pt>
                <c:pt idx="33">
                  <c:v>1144</c:v>
                </c:pt>
                <c:pt idx="34">
                  <c:v>1170</c:v>
                </c:pt>
                <c:pt idx="35">
                  <c:v>1196</c:v>
                </c:pt>
                <c:pt idx="36">
                  <c:v>1210.5</c:v>
                </c:pt>
                <c:pt idx="37">
                  <c:v>1225</c:v>
                </c:pt>
                <c:pt idx="38">
                  <c:v>1214.5</c:v>
                </c:pt>
                <c:pt idx="39">
                  <c:v>1204</c:v>
                </c:pt>
                <c:pt idx="40">
                  <c:v>1166.5</c:v>
                </c:pt>
                <c:pt idx="41">
                  <c:v>1129</c:v>
                </c:pt>
                <c:pt idx="42">
                  <c:v>1077.5</c:v>
                </c:pt>
                <c:pt idx="43">
                  <c:v>1026</c:v>
                </c:pt>
                <c:pt idx="44">
                  <c:v>972</c:v>
                </c:pt>
                <c:pt idx="45">
                  <c:v>918</c:v>
                </c:pt>
                <c:pt idx="46">
                  <c:v>867.5</c:v>
                </c:pt>
                <c:pt idx="47">
                  <c:v>817</c:v>
                </c:pt>
                <c:pt idx="48">
                  <c:v>774.5</c:v>
                </c:pt>
                <c:pt idx="49">
                  <c:v>732</c:v>
                </c:pt>
                <c:pt idx="50">
                  <c:v>699.5</c:v>
                </c:pt>
                <c:pt idx="51">
                  <c:v>667</c:v>
                </c:pt>
                <c:pt idx="52">
                  <c:v>648.5</c:v>
                </c:pt>
                <c:pt idx="53">
                  <c:v>630</c:v>
                </c:pt>
                <c:pt idx="54">
                  <c:v>634</c:v>
                </c:pt>
                <c:pt idx="55">
                  <c:v>638</c:v>
                </c:pt>
                <c:pt idx="56">
                  <c:v>657</c:v>
                </c:pt>
                <c:pt idx="57">
                  <c:v>676</c:v>
                </c:pt>
                <c:pt idx="58">
                  <c:v>1968.5</c:v>
                </c:pt>
                <c:pt idx="59">
                  <c:v>3261</c:v>
                </c:pt>
                <c:pt idx="60">
                  <c:v>2754.5</c:v>
                </c:pt>
                <c:pt idx="61">
                  <c:v>2248</c:v>
                </c:pt>
                <c:pt idx="62">
                  <c:v>1796.5</c:v>
                </c:pt>
                <c:pt idx="63">
                  <c:v>1345</c:v>
                </c:pt>
                <c:pt idx="64">
                  <c:v>1686.5</c:v>
                </c:pt>
                <c:pt idx="65">
                  <c:v>2028</c:v>
                </c:pt>
                <c:pt idx="66">
                  <c:v>2363</c:v>
                </c:pt>
                <c:pt idx="67">
                  <c:v>2698</c:v>
                </c:pt>
                <c:pt idx="68">
                  <c:v>3091</c:v>
                </c:pt>
                <c:pt idx="69">
                  <c:v>3484</c:v>
                </c:pt>
                <c:pt idx="70">
                  <c:v>3844.5</c:v>
                </c:pt>
                <c:pt idx="71">
                  <c:v>4205</c:v>
                </c:pt>
                <c:pt idx="72">
                  <c:v>4353.5</c:v>
                </c:pt>
                <c:pt idx="73">
                  <c:v>4502</c:v>
                </c:pt>
                <c:pt idx="74">
                  <c:v>4482</c:v>
                </c:pt>
                <c:pt idx="75">
                  <c:v>4462</c:v>
                </c:pt>
                <c:pt idx="76">
                  <c:v>4331.5</c:v>
                </c:pt>
                <c:pt idx="77">
                  <c:v>4201</c:v>
                </c:pt>
                <c:pt idx="78">
                  <c:v>4004</c:v>
                </c:pt>
                <c:pt idx="79">
                  <c:v>3807</c:v>
                </c:pt>
                <c:pt idx="80">
                  <c:v>3591.5</c:v>
                </c:pt>
                <c:pt idx="81">
                  <c:v>3376</c:v>
                </c:pt>
                <c:pt idx="82">
                  <c:v>3190</c:v>
                </c:pt>
                <c:pt idx="83">
                  <c:v>3004</c:v>
                </c:pt>
                <c:pt idx="84">
                  <c:v>2884.5</c:v>
                </c:pt>
                <c:pt idx="85">
                  <c:v>2765</c:v>
                </c:pt>
                <c:pt idx="86">
                  <c:v>2912</c:v>
                </c:pt>
                <c:pt idx="87">
                  <c:v>3059</c:v>
                </c:pt>
                <c:pt idx="88">
                  <c:v>3298</c:v>
                </c:pt>
                <c:pt idx="89">
                  <c:v>3537</c:v>
                </c:pt>
                <c:pt idx="90">
                  <c:v>3750.5</c:v>
                </c:pt>
                <c:pt idx="91">
                  <c:v>3964</c:v>
                </c:pt>
                <c:pt idx="92">
                  <c:v>4099</c:v>
                </c:pt>
                <c:pt idx="93">
                  <c:v>4234</c:v>
                </c:pt>
                <c:pt idx="94">
                  <c:v>4102</c:v>
                </c:pt>
                <c:pt idx="95">
                  <c:v>3970</c:v>
                </c:pt>
                <c:pt idx="96">
                  <c:v>3756</c:v>
                </c:pt>
                <c:pt idx="97">
                  <c:v>3542</c:v>
                </c:pt>
                <c:pt idx="98">
                  <c:v>3363</c:v>
                </c:pt>
                <c:pt idx="99">
                  <c:v>3184</c:v>
                </c:pt>
                <c:pt idx="100">
                  <c:v>3033.5</c:v>
                </c:pt>
                <c:pt idx="101">
                  <c:v>2883</c:v>
                </c:pt>
                <c:pt idx="102">
                  <c:v>2756.5</c:v>
                </c:pt>
                <c:pt idx="103">
                  <c:v>2630</c:v>
                </c:pt>
                <c:pt idx="104">
                  <c:v>2524.5</c:v>
                </c:pt>
                <c:pt idx="105">
                  <c:v>2419</c:v>
                </c:pt>
                <c:pt idx="106">
                  <c:v>2346.5</c:v>
                </c:pt>
                <c:pt idx="107">
                  <c:v>2274</c:v>
                </c:pt>
                <c:pt idx="108">
                  <c:v>2254</c:v>
                </c:pt>
                <c:pt idx="109">
                  <c:v>2234</c:v>
                </c:pt>
                <c:pt idx="110">
                  <c:v>2225</c:v>
                </c:pt>
                <c:pt idx="111">
                  <c:v>2216</c:v>
                </c:pt>
                <c:pt idx="112">
                  <c:v>2190.5</c:v>
                </c:pt>
                <c:pt idx="113">
                  <c:v>2165</c:v>
                </c:pt>
                <c:pt idx="114">
                  <c:v>2137.5</c:v>
                </c:pt>
                <c:pt idx="115">
                  <c:v>2110</c:v>
                </c:pt>
                <c:pt idx="116">
                  <c:v>2069.5</c:v>
                </c:pt>
                <c:pt idx="117">
                  <c:v>2029</c:v>
                </c:pt>
                <c:pt idx="118">
                  <c:v>1969.5</c:v>
                </c:pt>
                <c:pt idx="119">
                  <c:v>1910</c:v>
                </c:pt>
                <c:pt idx="120">
                  <c:v>1843</c:v>
                </c:pt>
                <c:pt idx="121">
                  <c:v>1776</c:v>
                </c:pt>
                <c:pt idx="122">
                  <c:v>1709.5</c:v>
                </c:pt>
                <c:pt idx="123">
                  <c:v>1643</c:v>
                </c:pt>
                <c:pt idx="124">
                  <c:v>1582.5</c:v>
                </c:pt>
                <c:pt idx="125">
                  <c:v>1522</c:v>
                </c:pt>
                <c:pt idx="126">
                  <c:v>1461.5</c:v>
                </c:pt>
                <c:pt idx="127">
                  <c:v>1401</c:v>
                </c:pt>
                <c:pt idx="128">
                  <c:v>1336</c:v>
                </c:pt>
                <c:pt idx="129">
                  <c:v>1271</c:v>
                </c:pt>
                <c:pt idx="130">
                  <c:v>1205</c:v>
                </c:pt>
                <c:pt idx="131">
                  <c:v>1139</c:v>
                </c:pt>
                <c:pt idx="132">
                  <c:v>1074.5</c:v>
                </c:pt>
                <c:pt idx="133">
                  <c:v>1010</c:v>
                </c:pt>
                <c:pt idx="134">
                  <c:v>950.5</c:v>
                </c:pt>
                <c:pt idx="135">
                  <c:v>891</c:v>
                </c:pt>
                <c:pt idx="136">
                  <c:v>837</c:v>
                </c:pt>
                <c:pt idx="137">
                  <c:v>783</c:v>
                </c:pt>
                <c:pt idx="138">
                  <c:v>736</c:v>
                </c:pt>
                <c:pt idx="139">
                  <c:v>689</c:v>
                </c:pt>
                <c:pt idx="140">
                  <c:v>648</c:v>
                </c:pt>
                <c:pt idx="141">
                  <c:v>607</c:v>
                </c:pt>
                <c:pt idx="142">
                  <c:v>571.5</c:v>
                </c:pt>
                <c:pt idx="143">
                  <c:v>536</c:v>
                </c:pt>
                <c:pt idx="144">
                  <c:v>506</c:v>
                </c:pt>
                <c:pt idx="145">
                  <c:v>476</c:v>
                </c:pt>
                <c:pt idx="146">
                  <c:v>450</c:v>
                </c:pt>
                <c:pt idx="147">
                  <c:v>424</c:v>
                </c:pt>
                <c:pt idx="148">
                  <c:v>400.5</c:v>
                </c:pt>
                <c:pt idx="149">
                  <c:v>377</c:v>
                </c:pt>
                <c:pt idx="150">
                  <c:v>357</c:v>
                </c:pt>
                <c:pt idx="151">
                  <c:v>337</c:v>
                </c:pt>
                <c:pt idx="152">
                  <c:v>319</c:v>
                </c:pt>
                <c:pt idx="153">
                  <c:v>301</c:v>
                </c:pt>
                <c:pt idx="154">
                  <c:v>285</c:v>
                </c:pt>
                <c:pt idx="155">
                  <c:v>269</c:v>
                </c:pt>
                <c:pt idx="156">
                  <c:v>254.5</c:v>
                </c:pt>
                <c:pt idx="157">
                  <c:v>240</c:v>
                </c:pt>
                <c:pt idx="158">
                  <c:v>227</c:v>
                </c:pt>
                <c:pt idx="159">
                  <c:v>214</c:v>
                </c:pt>
                <c:pt idx="160">
                  <c:v>201.5</c:v>
                </c:pt>
                <c:pt idx="161">
                  <c:v>189</c:v>
                </c:pt>
                <c:pt idx="162">
                  <c:v>177.5</c:v>
                </c:pt>
                <c:pt idx="163">
                  <c:v>166</c:v>
                </c:pt>
                <c:pt idx="164">
                  <c:v>156</c:v>
                </c:pt>
                <c:pt idx="165">
                  <c:v>146</c:v>
                </c:pt>
                <c:pt idx="166">
                  <c:v>137.5</c:v>
                </c:pt>
                <c:pt idx="167">
                  <c:v>129</c:v>
                </c:pt>
                <c:pt idx="168">
                  <c:v>121</c:v>
                </c:pt>
                <c:pt idx="169">
                  <c:v>113</c:v>
                </c:pt>
                <c:pt idx="170">
                  <c:v>106.5</c:v>
                </c:pt>
                <c:pt idx="171">
                  <c:v>100</c:v>
                </c:pt>
                <c:pt idx="172">
                  <c:v>93.5</c:v>
                </c:pt>
                <c:pt idx="173">
                  <c:v>87</c:v>
                </c:pt>
                <c:pt idx="174">
                  <c:v>81.5</c:v>
                </c:pt>
                <c:pt idx="175">
                  <c:v>76</c:v>
                </c:pt>
                <c:pt idx="176">
                  <c:v>71</c:v>
                </c:pt>
                <c:pt idx="177">
                  <c:v>66</c:v>
                </c:pt>
                <c:pt idx="178">
                  <c:v>62</c:v>
                </c:pt>
                <c:pt idx="179">
                  <c:v>58</c:v>
                </c:pt>
                <c:pt idx="180">
                  <c:v>54.5</c:v>
                </c:pt>
                <c:pt idx="181">
                  <c:v>51</c:v>
                </c:pt>
                <c:pt idx="182">
                  <c:v>48</c:v>
                </c:pt>
                <c:pt idx="183">
                  <c:v>45</c:v>
                </c:pt>
                <c:pt idx="184">
                  <c:v>42.5</c:v>
                </c:pt>
                <c:pt idx="185">
                  <c:v>40</c:v>
                </c:pt>
                <c:pt idx="186">
                  <c:v>37.5</c:v>
                </c:pt>
                <c:pt idx="187">
                  <c:v>35</c:v>
                </c:pt>
                <c:pt idx="188">
                  <c:v>33</c:v>
                </c:pt>
                <c:pt idx="189">
                  <c:v>31</c:v>
                </c:pt>
                <c:pt idx="190">
                  <c:v>28.5</c:v>
                </c:pt>
                <c:pt idx="191">
                  <c:v>26</c:v>
                </c:pt>
                <c:pt idx="192">
                  <c:v>24.5</c:v>
                </c:pt>
                <c:pt idx="193">
                  <c:v>23</c:v>
                </c:pt>
                <c:pt idx="194">
                  <c:v>21</c:v>
                </c:pt>
                <c:pt idx="195">
                  <c:v>19</c:v>
                </c:pt>
                <c:pt idx="196">
                  <c:v>17</c:v>
                </c:pt>
                <c:pt idx="197">
                  <c:v>15</c:v>
                </c:pt>
                <c:pt idx="198">
                  <c:v>13.5</c:v>
                </c:pt>
                <c:pt idx="199">
                  <c:v>12</c:v>
                </c:pt>
                <c:pt idx="200">
                  <c:v>11</c:v>
                </c:pt>
                <c:pt idx="201">
                  <c:v>10</c:v>
                </c:pt>
                <c:pt idx="202">
                  <c:v>9</c:v>
                </c:pt>
                <c:pt idx="203">
                  <c:v>8</c:v>
                </c:pt>
                <c:pt idx="204">
                  <c:v>7</c:v>
                </c:pt>
                <c:pt idx="205">
                  <c:v>6</c:v>
                </c:pt>
                <c:pt idx="206">
                  <c:v>5</c:v>
                </c:pt>
                <c:pt idx="207">
                  <c:v>4</c:v>
                </c:pt>
                <c:pt idx="208">
                  <c:v>3.5</c:v>
                </c:pt>
                <c:pt idx="209">
                  <c:v>3</c:v>
                </c:pt>
                <c:pt idx="210">
                  <c:v>2.5</c:v>
                </c:pt>
                <c:pt idx="211">
                  <c:v>2</c:v>
                </c:pt>
                <c:pt idx="212">
                  <c:v>1.5</c:v>
                </c:pt>
                <c:pt idx="213">
                  <c:v>1</c:v>
                </c:pt>
                <c:pt idx="214">
                  <c:v>0.5</c:v>
                </c:pt>
                <c:pt idx="215" formatCode="0.00E+00">
                  <c:v>9.2599999999999999E-9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8-4EA4-ACA5-9BCD57AC32C5}"/>
            </c:ext>
          </c:extLst>
        </c:ser>
        <c:ser>
          <c:idx val="1"/>
          <c:order val="1"/>
          <c:tx>
            <c:strRef>
              <c:f>河口村!$D$1</c:f>
              <c:strCache>
                <c:ptCount val="1"/>
                <c:pt idx="0">
                  <c:v>出库</c:v>
                </c:pt>
              </c:strCache>
            </c:strRef>
          </c:tx>
          <c:marker>
            <c:symbol val="none"/>
          </c:marker>
          <c:val>
            <c:numRef>
              <c:f>河口村!$D$2:$D$746</c:f>
              <c:numCache>
                <c:formatCode>General</c:formatCode>
                <c:ptCount val="74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162.5</c:v>
                </c:pt>
                <c:pt idx="25">
                  <c:v>227</c:v>
                </c:pt>
                <c:pt idx="26">
                  <c:v>365.5</c:v>
                </c:pt>
                <c:pt idx="27">
                  <c:v>504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699.5</c:v>
                </c:pt>
                <c:pt idx="51">
                  <c:v>667</c:v>
                </c:pt>
                <c:pt idx="52">
                  <c:v>648.5</c:v>
                </c:pt>
                <c:pt idx="53">
                  <c:v>630</c:v>
                </c:pt>
                <c:pt idx="54">
                  <c:v>634</c:v>
                </c:pt>
                <c:pt idx="55">
                  <c:v>638</c:v>
                </c:pt>
                <c:pt idx="56">
                  <c:v>657</c:v>
                </c:pt>
                <c:pt idx="57">
                  <c:v>676</c:v>
                </c:pt>
                <c:pt idx="58">
                  <c:v>1968.5</c:v>
                </c:pt>
                <c:pt idx="59">
                  <c:v>2820.8789999999999</c:v>
                </c:pt>
                <c:pt idx="60">
                  <c:v>2602.4879999999998</c:v>
                </c:pt>
                <c:pt idx="61">
                  <c:v>2384.0970000000002</c:v>
                </c:pt>
                <c:pt idx="62">
                  <c:v>1796.5</c:v>
                </c:pt>
                <c:pt idx="63">
                  <c:v>1345</c:v>
                </c:pt>
                <c:pt idx="64">
                  <c:v>1686.5</c:v>
                </c:pt>
                <c:pt idx="65">
                  <c:v>2028</c:v>
                </c:pt>
                <c:pt idx="66">
                  <c:v>2472.5419999999999</c:v>
                </c:pt>
                <c:pt idx="67">
                  <c:v>2650.7689999999998</c:v>
                </c:pt>
                <c:pt idx="68">
                  <c:v>2837.377</c:v>
                </c:pt>
                <c:pt idx="69">
                  <c:v>3023.9859999999999</c:v>
                </c:pt>
                <c:pt idx="70">
                  <c:v>3062.5</c:v>
                </c:pt>
                <c:pt idx="71">
                  <c:v>3087.8910000000001</c:v>
                </c:pt>
                <c:pt idx="72">
                  <c:v>3119.1410000000001</c:v>
                </c:pt>
                <c:pt idx="73">
                  <c:v>3152.3440000000001</c:v>
                </c:pt>
                <c:pt idx="74">
                  <c:v>3185.547</c:v>
                </c:pt>
                <c:pt idx="75">
                  <c:v>3214.8440000000001</c:v>
                </c:pt>
                <c:pt idx="76">
                  <c:v>3244.1410000000001</c:v>
                </c:pt>
                <c:pt idx="77">
                  <c:v>3267.578</c:v>
                </c:pt>
                <c:pt idx="78">
                  <c:v>3285.1559999999999</c:v>
                </c:pt>
                <c:pt idx="79">
                  <c:v>3298.828</c:v>
                </c:pt>
                <c:pt idx="80">
                  <c:v>3308.5940000000001</c:v>
                </c:pt>
                <c:pt idx="81">
                  <c:v>3312.5</c:v>
                </c:pt>
                <c:pt idx="82">
                  <c:v>3190</c:v>
                </c:pt>
                <c:pt idx="83">
                  <c:v>3004</c:v>
                </c:pt>
                <c:pt idx="84">
                  <c:v>2884.5</c:v>
                </c:pt>
                <c:pt idx="85">
                  <c:v>2765</c:v>
                </c:pt>
                <c:pt idx="86">
                  <c:v>2912</c:v>
                </c:pt>
                <c:pt idx="87">
                  <c:v>3059</c:v>
                </c:pt>
                <c:pt idx="88">
                  <c:v>3298</c:v>
                </c:pt>
                <c:pt idx="89">
                  <c:v>3316.4059999999999</c:v>
                </c:pt>
                <c:pt idx="90">
                  <c:v>3322.2660000000001</c:v>
                </c:pt>
                <c:pt idx="91">
                  <c:v>3333.9839999999999</c:v>
                </c:pt>
                <c:pt idx="92">
                  <c:v>3056.6390000000001</c:v>
                </c:pt>
                <c:pt idx="93">
                  <c:v>2727.643</c:v>
                </c:pt>
                <c:pt idx="94">
                  <c:v>2619.462</c:v>
                </c:pt>
                <c:pt idx="95">
                  <c:v>2511.2809999999999</c:v>
                </c:pt>
                <c:pt idx="96">
                  <c:v>2595.7660000000001</c:v>
                </c:pt>
                <c:pt idx="97">
                  <c:v>2680.25</c:v>
                </c:pt>
                <c:pt idx="98">
                  <c:v>2825.27</c:v>
                </c:pt>
                <c:pt idx="99">
                  <c:v>2970.2890000000002</c:v>
                </c:pt>
                <c:pt idx="100">
                  <c:v>3111.335</c:v>
                </c:pt>
                <c:pt idx="101">
                  <c:v>3252.3809999999999</c:v>
                </c:pt>
                <c:pt idx="102">
                  <c:v>3362.6709999999998</c:v>
                </c:pt>
                <c:pt idx="103">
                  <c:v>3472.9609999999998</c:v>
                </c:pt>
                <c:pt idx="104">
                  <c:v>2524.5</c:v>
                </c:pt>
                <c:pt idx="105">
                  <c:v>2419</c:v>
                </c:pt>
                <c:pt idx="106">
                  <c:v>2346.5</c:v>
                </c:pt>
                <c:pt idx="107">
                  <c:v>2274</c:v>
                </c:pt>
                <c:pt idx="108">
                  <c:v>2254</c:v>
                </c:pt>
                <c:pt idx="109">
                  <c:v>2234</c:v>
                </c:pt>
                <c:pt idx="110">
                  <c:v>2225</c:v>
                </c:pt>
                <c:pt idx="111">
                  <c:v>2216</c:v>
                </c:pt>
                <c:pt idx="112">
                  <c:v>2190.5</c:v>
                </c:pt>
                <c:pt idx="113">
                  <c:v>2165</c:v>
                </c:pt>
                <c:pt idx="114">
                  <c:v>2137.5</c:v>
                </c:pt>
                <c:pt idx="115">
                  <c:v>2110</c:v>
                </c:pt>
                <c:pt idx="116">
                  <c:v>2069.5</c:v>
                </c:pt>
                <c:pt idx="117">
                  <c:v>2029</c:v>
                </c:pt>
                <c:pt idx="118">
                  <c:v>1969.5</c:v>
                </c:pt>
                <c:pt idx="119">
                  <c:v>1910</c:v>
                </c:pt>
                <c:pt idx="120">
                  <c:v>1843</c:v>
                </c:pt>
                <c:pt idx="121">
                  <c:v>1776</c:v>
                </c:pt>
                <c:pt idx="122">
                  <c:v>1709.5</c:v>
                </c:pt>
                <c:pt idx="123">
                  <c:v>1643</c:v>
                </c:pt>
                <c:pt idx="124">
                  <c:v>1582.5</c:v>
                </c:pt>
                <c:pt idx="125">
                  <c:v>1522</c:v>
                </c:pt>
                <c:pt idx="126">
                  <c:v>1461.5</c:v>
                </c:pt>
                <c:pt idx="127">
                  <c:v>1401</c:v>
                </c:pt>
                <c:pt idx="128">
                  <c:v>1336</c:v>
                </c:pt>
                <c:pt idx="129">
                  <c:v>1271</c:v>
                </c:pt>
                <c:pt idx="130">
                  <c:v>1205</c:v>
                </c:pt>
                <c:pt idx="131">
                  <c:v>1139</c:v>
                </c:pt>
                <c:pt idx="132">
                  <c:v>1074.5</c:v>
                </c:pt>
                <c:pt idx="133">
                  <c:v>1010</c:v>
                </c:pt>
                <c:pt idx="134">
                  <c:v>950.5</c:v>
                </c:pt>
                <c:pt idx="135">
                  <c:v>891</c:v>
                </c:pt>
                <c:pt idx="136">
                  <c:v>837</c:v>
                </c:pt>
                <c:pt idx="137">
                  <c:v>783</c:v>
                </c:pt>
                <c:pt idx="138">
                  <c:v>736</c:v>
                </c:pt>
                <c:pt idx="139">
                  <c:v>689</c:v>
                </c:pt>
                <c:pt idx="140">
                  <c:v>648</c:v>
                </c:pt>
                <c:pt idx="141">
                  <c:v>607</c:v>
                </c:pt>
                <c:pt idx="142">
                  <c:v>571.5</c:v>
                </c:pt>
                <c:pt idx="143">
                  <c:v>536</c:v>
                </c:pt>
                <c:pt idx="144">
                  <c:v>506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  <c:pt idx="200">
                  <c:v>500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500</c:v>
                </c:pt>
                <c:pt idx="208">
                  <c:v>500</c:v>
                </c:pt>
                <c:pt idx="209">
                  <c:v>500</c:v>
                </c:pt>
                <c:pt idx="210">
                  <c:v>500</c:v>
                </c:pt>
                <c:pt idx="211">
                  <c:v>500</c:v>
                </c:pt>
                <c:pt idx="212">
                  <c:v>500</c:v>
                </c:pt>
                <c:pt idx="213">
                  <c:v>500</c:v>
                </c:pt>
                <c:pt idx="214">
                  <c:v>500</c:v>
                </c:pt>
                <c:pt idx="215">
                  <c:v>500</c:v>
                </c:pt>
                <c:pt idx="216">
                  <c:v>500</c:v>
                </c:pt>
                <c:pt idx="217">
                  <c:v>500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</c:v>
                </c:pt>
                <c:pt idx="222">
                  <c:v>500</c:v>
                </c:pt>
                <c:pt idx="223">
                  <c:v>500</c:v>
                </c:pt>
                <c:pt idx="224">
                  <c:v>500</c:v>
                </c:pt>
                <c:pt idx="225">
                  <c:v>500</c:v>
                </c:pt>
                <c:pt idx="226">
                  <c:v>500</c:v>
                </c:pt>
                <c:pt idx="227">
                  <c:v>500</c:v>
                </c:pt>
                <c:pt idx="228">
                  <c:v>500</c:v>
                </c:pt>
                <c:pt idx="229">
                  <c:v>500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476.56420000000003</c:v>
                </c:pt>
                <c:pt idx="234">
                  <c:v>8.4099999999999995E-4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8-4EA4-ACA5-9BCD57AC3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05248"/>
        <c:axId val="210108416"/>
      </c:lineChart>
      <c:lineChart>
        <c:grouping val="standard"/>
        <c:varyColors val="0"/>
        <c:ser>
          <c:idx val="2"/>
          <c:order val="2"/>
          <c:tx>
            <c:strRef>
              <c:f>河口村!$E$1</c:f>
              <c:strCache>
                <c:ptCount val="1"/>
                <c:pt idx="0">
                  <c:v>水位</c:v>
                </c:pt>
              </c:strCache>
            </c:strRef>
          </c:tx>
          <c:marker>
            <c:symbol val="none"/>
          </c:marker>
          <c:val>
            <c:numRef>
              <c:f>河口村!$E$2:$E$746</c:f>
              <c:numCache>
                <c:formatCode>General</c:formatCode>
                <c:ptCount val="745"/>
                <c:pt idx="0">
                  <c:v>234.20939999999999</c:v>
                </c:pt>
                <c:pt idx="1">
                  <c:v>234.0788</c:v>
                </c:pt>
                <c:pt idx="2">
                  <c:v>233.94820000000001</c:v>
                </c:pt>
                <c:pt idx="3">
                  <c:v>233.8176</c:v>
                </c:pt>
                <c:pt idx="4">
                  <c:v>233.68700000000001</c:v>
                </c:pt>
                <c:pt idx="5">
                  <c:v>233.5564</c:v>
                </c:pt>
                <c:pt idx="6">
                  <c:v>233.42580000000001</c:v>
                </c:pt>
                <c:pt idx="7">
                  <c:v>233.2953</c:v>
                </c:pt>
                <c:pt idx="8">
                  <c:v>233.16470000000001</c:v>
                </c:pt>
                <c:pt idx="9">
                  <c:v>233.0341</c:v>
                </c:pt>
                <c:pt idx="10">
                  <c:v>232.90379999999999</c:v>
                </c:pt>
                <c:pt idx="11">
                  <c:v>232.77420000000001</c:v>
                </c:pt>
                <c:pt idx="12">
                  <c:v>232.6456</c:v>
                </c:pt>
                <c:pt idx="13">
                  <c:v>232.51820000000001</c:v>
                </c:pt>
                <c:pt idx="14">
                  <c:v>232.3929</c:v>
                </c:pt>
                <c:pt idx="15">
                  <c:v>232.27010000000001</c:v>
                </c:pt>
                <c:pt idx="16">
                  <c:v>232.1499</c:v>
                </c:pt>
                <c:pt idx="17">
                  <c:v>232.0324</c:v>
                </c:pt>
                <c:pt idx="18">
                  <c:v>231.9178</c:v>
                </c:pt>
                <c:pt idx="19">
                  <c:v>231.8065</c:v>
                </c:pt>
                <c:pt idx="20">
                  <c:v>231.70400000000001</c:v>
                </c:pt>
                <c:pt idx="21">
                  <c:v>231.61580000000001</c:v>
                </c:pt>
                <c:pt idx="22">
                  <c:v>231.55439999999999</c:v>
                </c:pt>
                <c:pt idx="23">
                  <c:v>231.53219999999999</c:v>
                </c:pt>
                <c:pt idx="24">
                  <c:v>231.5309</c:v>
                </c:pt>
                <c:pt idx="25">
                  <c:v>231.5309</c:v>
                </c:pt>
                <c:pt idx="26">
                  <c:v>231.5309</c:v>
                </c:pt>
                <c:pt idx="27">
                  <c:v>231.5309</c:v>
                </c:pt>
                <c:pt idx="28">
                  <c:v>231.96549999999999</c:v>
                </c:pt>
                <c:pt idx="29">
                  <c:v>232.95310000000001</c:v>
                </c:pt>
                <c:pt idx="30">
                  <c:v>234.12450000000001</c:v>
                </c:pt>
                <c:pt idx="31">
                  <c:v>235.4265</c:v>
                </c:pt>
                <c:pt idx="32">
                  <c:v>236.81899999999999</c:v>
                </c:pt>
                <c:pt idx="33">
                  <c:v>238.2337</c:v>
                </c:pt>
                <c:pt idx="34">
                  <c:v>239.55969999999999</c:v>
                </c:pt>
                <c:pt idx="35">
                  <c:v>240.87970000000001</c:v>
                </c:pt>
                <c:pt idx="36">
                  <c:v>242.19720000000001</c:v>
                </c:pt>
                <c:pt idx="37">
                  <c:v>243.4881</c:v>
                </c:pt>
                <c:pt idx="38">
                  <c:v>244.75069999999999</c:v>
                </c:pt>
                <c:pt idx="39">
                  <c:v>245.98240000000001</c:v>
                </c:pt>
                <c:pt idx="40">
                  <c:v>247.137</c:v>
                </c:pt>
                <c:pt idx="41">
                  <c:v>248.24080000000001</c:v>
                </c:pt>
                <c:pt idx="42">
                  <c:v>249.2595</c:v>
                </c:pt>
                <c:pt idx="43">
                  <c:v>250.21979999999999</c:v>
                </c:pt>
                <c:pt idx="44">
                  <c:v>251.101</c:v>
                </c:pt>
                <c:pt idx="45">
                  <c:v>251.93350000000001</c:v>
                </c:pt>
                <c:pt idx="46">
                  <c:v>252.69200000000001</c:v>
                </c:pt>
                <c:pt idx="47">
                  <c:v>253.40430000000001</c:v>
                </c:pt>
                <c:pt idx="48">
                  <c:v>254.0735</c:v>
                </c:pt>
                <c:pt idx="49">
                  <c:v>254.6848</c:v>
                </c:pt>
                <c:pt idx="50">
                  <c:v>254.98159999999999</c:v>
                </c:pt>
                <c:pt idx="51">
                  <c:v>254.98159999999999</c:v>
                </c:pt>
                <c:pt idx="52">
                  <c:v>254.98159999999999</c:v>
                </c:pt>
                <c:pt idx="53">
                  <c:v>254.98159999999999</c:v>
                </c:pt>
                <c:pt idx="54">
                  <c:v>254.98159999999999</c:v>
                </c:pt>
                <c:pt idx="55">
                  <c:v>254.98159999999999</c:v>
                </c:pt>
                <c:pt idx="56">
                  <c:v>254.98159999999999</c:v>
                </c:pt>
                <c:pt idx="57">
                  <c:v>254.98159999999999</c:v>
                </c:pt>
                <c:pt idx="58">
                  <c:v>254.98159999999999</c:v>
                </c:pt>
                <c:pt idx="59">
                  <c:v>255.1651</c:v>
                </c:pt>
                <c:pt idx="60">
                  <c:v>255.41200000000001</c:v>
                </c:pt>
                <c:pt idx="61">
                  <c:v>255.4186</c:v>
                </c:pt>
                <c:pt idx="62">
                  <c:v>255.36179999999999</c:v>
                </c:pt>
                <c:pt idx="63">
                  <c:v>255.36179999999999</c:v>
                </c:pt>
                <c:pt idx="64">
                  <c:v>255.36179999999999</c:v>
                </c:pt>
                <c:pt idx="65">
                  <c:v>255.36179999999999</c:v>
                </c:pt>
                <c:pt idx="66">
                  <c:v>255.31620000000001</c:v>
                </c:pt>
                <c:pt idx="67">
                  <c:v>255.2902</c:v>
                </c:pt>
                <c:pt idx="68">
                  <c:v>255.41560000000001</c:v>
                </c:pt>
                <c:pt idx="69">
                  <c:v>255.7131</c:v>
                </c:pt>
                <c:pt idx="70">
                  <c:v>256.22269999999997</c:v>
                </c:pt>
                <c:pt idx="71">
                  <c:v>256.98630000000003</c:v>
                </c:pt>
                <c:pt idx="72">
                  <c:v>257.93180000000001</c:v>
                </c:pt>
                <c:pt idx="73">
                  <c:v>258.93950000000001</c:v>
                </c:pt>
                <c:pt idx="74">
                  <c:v>259.96929999999998</c:v>
                </c:pt>
                <c:pt idx="75">
                  <c:v>260.92790000000002</c:v>
                </c:pt>
                <c:pt idx="76">
                  <c:v>261.80669999999998</c:v>
                </c:pt>
                <c:pt idx="77">
                  <c:v>262.55250000000001</c:v>
                </c:pt>
                <c:pt idx="78">
                  <c:v>263.15800000000002</c:v>
                </c:pt>
                <c:pt idx="79">
                  <c:v>263.6078</c:v>
                </c:pt>
                <c:pt idx="80">
                  <c:v>263.89769999999999</c:v>
                </c:pt>
                <c:pt idx="81">
                  <c:v>264.024</c:v>
                </c:pt>
                <c:pt idx="82">
                  <c:v>264.04649999999998</c:v>
                </c:pt>
                <c:pt idx="83">
                  <c:v>264.04649999999998</c:v>
                </c:pt>
                <c:pt idx="84">
                  <c:v>264.04649999999998</c:v>
                </c:pt>
                <c:pt idx="85">
                  <c:v>264.04649999999998</c:v>
                </c:pt>
                <c:pt idx="86">
                  <c:v>264.04649999999998</c:v>
                </c:pt>
                <c:pt idx="87">
                  <c:v>264.04649999999998</c:v>
                </c:pt>
                <c:pt idx="88">
                  <c:v>264.04649999999998</c:v>
                </c:pt>
                <c:pt idx="89">
                  <c:v>264.12509999999997</c:v>
                </c:pt>
                <c:pt idx="90">
                  <c:v>264.35610000000003</c:v>
                </c:pt>
                <c:pt idx="91">
                  <c:v>264.73289999999997</c:v>
                </c:pt>
                <c:pt idx="92">
                  <c:v>265.32839999999999</c:v>
                </c:pt>
                <c:pt idx="93">
                  <c:v>266.2285</c:v>
                </c:pt>
                <c:pt idx="94">
                  <c:v>267.25880000000001</c:v>
                </c:pt>
                <c:pt idx="95">
                  <c:v>268.26519999999999</c:v>
                </c:pt>
                <c:pt idx="96">
                  <c:v>269.14299999999997</c:v>
                </c:pt>
                <c:pt idx="97">
                  <c:v>269.82069999999999</c:v>
                </c:pt>
                <c:pt idx="98">
                  <c:v>270.28140000000002</c:v>
                </c:pt>
                <c:pt idx="99">
                  <c:v>270.52609999999999</c:v>
                </c:pt>
                <c:pt idx="100">
                  <c:v>270.57029999999997</c:v>
                </c:pt>
                <c:pt idx="101">
                  <c:v>270.42469999999997</c:v>
                </c:pt>
                <c:pt idx="102">
                  <c:v>270.1071</c:v>
                </c:pt>
                <c:pt idx="103">
                  <c:v>269.62459999999999</c:v>
                </c:pt>
                <c:pt idx="104">
                  <c:v>269.34210000000002</c:v>
                </c:pt>
                <c:pt idx="105">
                  <c:v>269.34210000000002</c:v>
                </c:pt>
                <c:pt idx="106">
                  <c:v>269.34210000000002</c:v>
                </c:pt>
                <c:pt idx="107">
                  <c:v>269.34210000000002</c:v>
                </c:pt>
                <c:pt idx="108">
                  <c:v>269.34210000000002</c:v>
                </c:pt>
                <c:pt idx="109">
                  <c:v>269.34210000000002</c:v>
                </c:pt>
                <c:pt idx="110">
                  <c:v>269.34210000000002</c:v>
                </c:pt>
                <c:pt idx="111">
                  <c:v>269.34210000000002</c:v>
                </c:pt>
                <c:pt idx="112">
                  <c:v>269.34210000000002</c:v>
                </c:pt>
                <c:pt idx="113">
                  <c:v>269.34210000000002</c:v>
                </c:pt>
                <c:pt idx="114">
                  <c:v>269.34210000000002</c:v>
                </c:pt>
                <c:pt idx="115">
                  <c:v>269.34210000000002</c:v>
                </c:pt>
                <c:pt idx="116">
                  <c:v>269.34210000000002</c:v>
                </c:pt>
                <c:pt idx="117">
                  <c:v>269.34210000000002</c:v>
                </c:pt>
                <c:pt idx="118">
                  <c:v>269.34210000000002</c:v>
                </c:pt>
                <c:pt idx="119">
                  <c:v>269.34210000000002</c:v>
                </c:pt>
                <c:pt idx="120">
                  <c:v>269.34210000000002</c:v>
                </c:pt>
                <c:pt idx="121">
                  <c:v>269.34210000000002</c:v>
                </c:pt>
                <c:pt idx="122">
                  <c:v>269.34210000000002</c:v>
                </c:pt>
                <c:pt idx="123">
                  <c:v>269.34210000000002</c:v>
                </c:pt>
                <c:pt idx="124">
                  <c:v>269.34210000000002</c:v>
                </c:pt>
                <c:pt idx="125">
                  <c:v>269.34210000000002</c:v>
                </c:pt>
                <c:pt idx="126">
                  <c:v>269.34210000000002</c:v>
                </c:pt>
                <c:pt idx="127">
                  <c:v>269.34210000000002</c:v>
                </c:pt>
                <c:pt idx="128">
                  <c:v>269.34210000000002</c:v>
                </c:pt>
                <c:pt idx="129">
                  <c:v>269.34210000000002</c:v>
                </c:pt>
                <c:pt idx="130">
                  <c:v>269.34210000000002</c:v>
                </c:pt>
                <c:pt idx="131">
                  <c:v>269.34210000000002</c:v>
                </c:pt>
                <c:pt idx="132">
                  <c:v>269.34210000000002</c:v>
                </c:pt>
                <c:pt idx="133">
                  <c:v>269.34210000000002</c:v>
                </c:pt>
                <c:pt idx="134">
                  <c:v>269.34210000000002</c:v>
                </c:pt>
                <c:pt idx="135">
                  <c:v>269.34210000000002</c:v>
                </c:pt>
                <c:pt idx="136">
                  <c:v>269.34210000000002</c:v>
                </c:pt>
                <c:pt idx="137">
                  <c:v>269.34210000000002</c:v>
                </c:pt>
                <c:pt idx="138">
                  <c:v>269.34210000000002</c:v>
                </c:pt>
                <c:pt idx="139">
                  <c:v>269.34210000000002</c:v>
                </c:pt>
                <c:pt idx="140">
                  <c:v>269.34210000000002</c:v>
                </c:pt>
                <c:pt idx="141">
                  <c:v>269.34210000000002</c:v>
                </c:pt>
                <c:pt idx="142">
                  <c:v>269.34210000000002</c:v>
                </c:pt>
                <c:pt idx="143">
                  <c:v>269.34210000000002</c:v>
                </c:pt>
                <c:pt idx="144">
                  <c:v>269.34210000000002</c:v>
                </c:pt>
                <c:pt idx="145">
                  <c:v>269.334</c:v>
                </c:pt>
                <c:pt idx="146">
                  <c:v>269.30919999999998</c:v>
                </c:pt>
                <c:pt idx="147">
                  <c:v>269.267</c:v>
                </c:pt>
                <c:pt idx="148">
                  <c:v>269.20819999999998</c:v>
                </c:pt>
                <c:pt idx="149">
                  <c:v>269.1336</c:v>
                </c:pt>
                <c:pt idx="150">
                  <c:v>269.0444</c:v>
                </c:pt>
                <c:pt idx="151">
                  <c:v>268.94189999999998</c:v>
                </c:pt>
                <c:pt idx="152">
                  <c:v>268.82659999999998</c:v>
                </c:pt>
                <c:pt idx="153">
                  <c:v>268.69920000000002</c:v>
                </c:pt>
                <c:pt idx="154">
                  <c:v>268.56049999999999</c:v>
                </c:pt>
                <c:pt idx="155">
                  <c:v>268.411</c:v>
                </c:pt>
                <c:pt idx="156">
                  <c:v>268.25130000000001</c:v>
                </c:pt>
                <c:pt idx="157">
                  <c:v>268.08179999999999</c:v>
                </c:pt>
                <c:pt idx="158">
                  <c:v>267.90039999999999</c:v>
                </c:pt>
                <c:pt idx="159">
                  <c:v>267.70769999999999</c:v>
                </c:pt>
                <c:pt idx="160">
                  <c:v>267.50619999999998</c:v>
                </c:pt>
                <c:pt idx="161">
                  <c:v>267.29610000000002</c:v>
                </c:pt>
                <c:pt idx="162">
                  <c:v>267.07769999999999</c:v>
                </c:pt>
                <c:pt idx="163">
                  <c:v>266.85140000000001</c:v>
                </c:pt>
                <c:pt idx="164">
                  <c:v>266.61770000000001</c:v>
                </c:pt>
                <c:pt idx="165">
                  <c:v>266.37700000000001</c:v>
                </c:pt>
                <c:pt idx="166">
                  <c:v>266.13010000000003</c:v>
                </c:pt>
                <c:pt idx="167">
                  <c:v>265.87310000000002</c:v>
                </c:pt>
                <c:pt idx="168">
                  <c:v>265.60610000000003</c:v>
                </c:pt>
                <c:pt idx="169">
                  <c:v>265.33330000000001</c:v>
                </c:pt>
                <c:pt idx="170">
                  <c:v>265.05540000000002</c:v>
                </c:pt>
                <c:pt idx="171">
                  <c:v>264.77289999999999</c:v>
                </c:pt>
                <c:pt idx="172">
                  <c:v>264.48570000000001</c:v>
                </c:pt>
                <c:pt idx="173">
                  <c:v>264.19389999999999</c:v>
                </c:pt>
                <c:pt idx="174">
                  <c:v>263.89479999999998</c:v>
                </c:pt>
                <c:pt idx="175">
                  <c:v>263.58600000000001</c:v>
                </c:pt>
                <c:pt idx="176">
                  <c:v>263.27339999999998</c:v>
                </c:pt>
                <c:pt idx="177">
                  <c:v>262.95710000000003</c:v>
                </c:pt>
                <c:pt idx="178">
                  <c:v>262.63749999999999</c:v>
                </c:pt>
                <c:pt idx="179">
                  <c:v>262.315</c:v>
                </c:pt>
                <c:pt idx="180">
                  <c:v>261.98939999999999</c:v>
                </c:pt>
                <c:pt idx="181">
                  <c:v>261.65269999999998</c:v>
                </c:pt>
                <c:pt idx="182">
                  <c:v>261.31349999999998</c:v>
                </c:pt>
                <c:pt idx="183">
                  <c:v>260.97199999999998</c:v>
                </c:pt>
                <c:pt idx="184">
                  <c:v>260.62849999999997</c:v>
                </c:pt>
                <c:pt idx="185">
                  <c:v>260.28309999999999</c:v>
                </c:pt>
                <c:pt idx="186">
                  <c:v>259.93369999999999</c:v>
                </c:pt>
                <c:pt idx="187">
                  <c:v>259.5727</c:v>
                </c:pt>
                <c:pt idx="188">
                  <c:v>259.20999999999998</c:v>
                </c:pt>
                <c:pt idx="189">
                  <c:v>258.8458</c:v>
                </c:pt>
                <c:pt idx="190">
                  <c:v>258.47980000000001</c:v>
                </c:pt>
                <c:pt idx="191">
                  <c:v>258.11180000000002</c:v>
                </c:pt>
                <c:pt idx="192">
                  <c:v>257.73379999999997</c:v>
                </c:pt>
                <c:pt idx="193">
                  <c:v>257.35079999999999</c:v>
                </c:pt>
                <c:pt idx="194">
                  <c:v>256.96640000000002</c:v>
                </c:pt>
                <c:pt idx="195">
                  <c:v>256.5804</c:v>
                </c:pt>
                <c:pt idx="196">
                  <c:v>256.19279999999998</c:v>
                </c:pt>
                <c:pt idx="197">
                  <c:v>255.79640000000001</c:v>
                </c:pt>
                <c:pt idx="198">
                  <c:v>255.3914</c:v>
                </c:pt>
                <c:pt idx="199">
                  <c:v>254.98509999999999</c:v>
                </c:pt>
                <c:pt idx="200">
                  <c:v>254.5778</c:v>
                </c:pt>
                <c:pt idx="201">
                  <c:v>254.16970000000001</c:v>
                </c:pt>
                <c:pt idx="202">
                  <c:v>253.75139999999999</c:v>
                </c:pt>
                <c:pt idx="203">
                  <c:v>253.32560000000001</c:v>
                </c:pt>
                <c:pt idx="204">
                  <c:v>252.899</c:v>
                </c:pt>
                <c:pt idx="205">
                  <c:v>252.47149999999999</c:v>
                </c:pt>
                <c:pt idx="206">
                  <c:v>252.04310000000001</c:v>
                </c:pt>
                <c:pt idx="207">
                  <c:v>251.59880000000001</c:v>
                </c:pt>
                <c:pt idx="208">
                  <c:v>251.15219999999999</c:v>
                </c:pt>
                <c:pt idx="209">
                  <c:v>250.70509999999999</c:v>
                </c:pt>
                <c:pt idx="210">
                  <c:v>250.2576</c:v>
                </c:pt>
                <c:pt idx="211">
                  <c:v>249.80099999999999</c:v>
                </c:pt>
                <c:pt idx="212">
                  <c:v>249.33250000000001</c:v>
                </c:pt>
                <c:pt idx="213">
                  <c:v>248.86349999999999</c:v>
                </c:pt>
                <c:pt idx="214">
                  <c:v>248.39400000000001</c:v>
                </c:pt>
                <c:pt idx="215">
                  <c:v>247.92009999999999</c:v>
                </c:pt>
                <c:pt idx="216">
                  <c:v>247.42500000000001</c:v>
                </c:pt>
                <c:pt idx="217">
                  <c:v>246.93</c:v>
                </c:pt>
                <c:pt idx="218">
                  <c:v>246.4349</c:v>
                </c:pt>
                <c:pt idx="219">
                  <c:v>245.93709999999999</c:v>
                </c:pt>
                <c:pt idx="220">
                  <c:v>245.41919999999999</c:v>
                </c:pt>
                <c:pt idx="221">
                  <c:v>244.90129999999999</c:v>
                </c:pt>
                <c:pt idx="222">
                  <c:v>244.38339999999999</c:v>
                </c:pt>
                <c:pt idx="223">
                  <c:v>243.86009999999999</c:v>
                </c:pt>
                <c:pt idx="224">
                  <c:v>243.3212</c:v>
                </c:pt>
                <c:pt idx="225">
                  <c:v>242.78229999999999</c:v>
                </c:pt>
                <c:pt idx="226">
                  <c:v>242.24350000000001</c:v>
                </c:pt>
                <c:pt idx="227">
                  <c:v>241.69300000000001</c:v>
                </c:pt>
                <c:pt idx="228">
                  <c:v>241.13300000000001</c:v>
                </c:pt>
                <c:pt idx="229">
                  <c:v>240.57300000000001</c:v>
                </c:pt>
                <c:pt idx="230">
                  <c:v>240.01300000000001</c:v>
                </c:pt>
                <c:pt idx="231">
                  <c:v>239.43039999999999</c:v>
                </c:pt>
                <c:pt idx="232">
                  <c:v>238.84729999999999</c:v>
                </c:pt>
                <c:pt idx="233">
                  <c:v>238.27789999999999</c:v>
                </c:pt>
                <c:pt idx="234">
                  <c:v>238</c:v>
                </c:pt>
                <c:pt idx="235">
                  <c:v>238</c:v>
                </c:pt>
                <c:pt idx="236">
                  <c:v>238</c:v>
                </c:pt>
                <c:pt idx="237">
                  <c:v>238</c:v>
                </c:pt>
                <c:pt idx="238">
                  <c:v>238</c:v>
                </c:pt>
                <c:pt idx="239">
                  <c:v>238</c:v>
                </c:pt>
                <c:pt idx="240">
                  <c:v>238</c:v>
                </c:pt>
                <c:pt idx="241">
                  <c:v>238</c:v>
                </c:pt>
                <c:pt idx="242">
                  <c:v>238</c:v>
                </c:pt>
                <c:pt idx="243">
                  <c:v>238</c:v>
                </c:pt>
                <c:pt idx="244">
                  <c:v>238</c:v>
                </c:pt>
                <c:pt idx="245">
                  <c:v>238</c:v>
                </c:pt>
                <c:pt idx="246">
                  <c:v>238</c:v>
                </c:pt>
                <c:pt idx="247">
                  <c:v>238</c:v>
                </c:pt>
                <c:pt idx="248">
                  <c:v>238</c:v>
                </c:pt>
                <c:pt idx="249">
                  <c:v>238</c:v>
                </c:pt>
                <c:pt idx="250">
                  <c:v>238</c:v>
                </c:pt>
                <c:pt idx="251">
                  <c:v>238</c:v>
                </c:pt>
                <c:pt idx="252">
                  <c:v>238</c:v>
                </c:pt>
                <c:pt idx="253">
                  <c:v>238</c:v>
                </c:pt>
                <c:pt idx="254">
                  <c:v>238</c:v>
                </c:pt>
                <c:pt idx="255">
                  <c:v>238</c:v>
                </c:pt>
                <c:pt idx="256">
                  <c:v>238</c:v>
                </c:pt>
                <c:pt idx="257">
                  <c:v>238</c:v>
                </c:pt>
                <c:pt idx="258">
                  <c:v>238</c:v>
                </c:pt>
                <c:pt idx="259">
                  <c:v>238</c:v>
                </c:pt>
                <c:pt idx="260">
                  <c:v>238</c:v>
                </c:pt>
                <c:pt idx="261">
                  <c:v>238</c:v>
                </c:pt>
                <c:pt idx="262">
                  <c:v>238</c:v>
                </c:pt>
                <c:pt idx="263">
                  <c:v>238</c:v>
                </c:pt>
                <c:pt idx="264">
                  <c:v>238</c:v>
                </c:pt>
                <c:pt idx="265">
                  <c:v>238</c:v>
                </c:pt>
                <c:pt idx="266">
                  <c:v>238</c:v>
                </c:pt>
                <c:pt idx="267">
                  <c:v>238</c:v>
                </c:pt>
                <c:pt idx="268">
                  <c:v>238</c:v>
                </c:pt>
                <c:pt idx="269">
                  <c:v>238</c:v>
                </c:pt>
                <c:pt idx="270">
                  <c:v>238</c:v>
                </c:pt>
                <c:pt idx="271">
                  <c:v>238</c:v>
                </c:pt>
                <c:pt idx="272">
                  <c:v>238</c:v>
                </c:pt>
                <c:pt idx="273">
                  <c:v>238</c:v>
                </c:pt>
                <c:pt idx="274">
                  <c:v>238</c:v>
                </c:pt>
                <c:pt idx="275">
                  <c:v>238</c:v>
                </c:pt>
                <c:pt idx="276">
                  <c:v>238</c:v>
                </c:pt>
                <c:pt idx="277">
                  <c:v>238</c:v>
                </c:pt>
                <c:pt idx="278">
                  <c:v>238</c:v>
                </c:pt>
                <c:pt idx="279">
                  <c:v>238</c:v>
                </c:pt>
                <c:pt idx="280">
                  <c:v>238</c:v>
                </c:pt>
                <c:pt idx="281">
                  <c:v>238</c:v>
                </c:pt>
                <c:pt idx="282">
                  <c:v>238</c:v>
                </c:pt>
                <c:pt idx="283">
                  <c:v>238</c:v>
                </c:pt>
                <c:pt idx="284">
                  <c:v>238</c:v>
                </c:pt>
                <c:pt idx="285">
                  <c:v>238</c:v>
                </c:pt>
                <c:pt idx="286">
                  <c:v>238</c:v>
                </c:pt>
                <c:pt idx="287">
                  <c:v>238</c:v>
                </c:pt>
                <c:pt idx="288">
                  <c:v>238</c:v>
                </c:pt>
                <c:pt idx="289">
                  <c:v>238</c:v>
                </c:pt>
                <c:pt idx="290">
                  <c:v>238</c:v>
                </c:pt>
                <c:pt idx="291">
                  <c:v>238</c:v>
                </c:pt>
                <c:pt idx="292">
                  <c:v>238</c:v>
                </c:pt>
                <c:pt idx="293">
                  <c:v>238</c:v>
                </c:pt>
                <c:pt idx="294">
                  <c:v>238</c:v>
                </c:pt>
                <c:pt idx="295">
                  <c:v>238</c:v>
                </c:pt>
                <c:pt idx="296">
                  <c:v>238</c:v>
                </c:pt>
                <c:pt idx="297">
                  <c:v>238</c:v>
                </c:pt>
                <c:pt idx="298">
                  <c:v>238</c:v>
                </c:pt>
                <c:pt idx="299">
                  <c:v>238</c:v>
                </c:pt>
                <c:pt idx="300">
                  <c:v>238</c:v>
                </c:pt>
                <c:pt idx="301">
                  <c:v>238</c:v>
                </c:pt>
                <c:pt idx="302">
                  <c:v>238</c:v>
                </c:pt>
                <c:pt idx="303">
                  <c:v>238</c:v>
                </c:pt>
                <c:pt idx="304">
                  <c:v>238</c:v>
                </c:pt>
                <c:pt idx="305">
                  <c:v>238</c:v>
                </c:pt>
                <c:pt idx="306">
                  <c:v>238</c:v>
                </c:pt>
                <c:pt idx="307">
                  <c:v>238</c:v>
                </c:pt>
                <c:pt idx="308">
                  <c:v>238</c:v>
                </c:pt>
                <c:pt idx="309">
                  <c:v>238</c:v>
                </c:pt>
                <c:pt idx="310">
                  <c:v>238</c:v>
                </c:pt>
                <c:pt idx="311">
                  <c:v>238</c:v>
                </c:pt>
                <c:pt idx="312">
                  <c:v>238</c:v>
                </c:pt>
                <c:pt idx="313">
                  <c:v>238</c:v>
                </c:pt>
                <c:pt idx="314">
                  <c:v>238</c:v>
                </c:pt>
                <c:pt idx="315">
                  <c:v>238</c:v>
                </c:pt>
                <c:pt idx="316">
                  <c:v>238</c:v>
                </c:pt>
                <c:pt idx="317">
                  <c:v>238</c:v>
                </c:pt>
                <c:pt idx="318">
                  <c:v>238</c:v>
                </c:pt>
                <c:pt idx="319">
                  <c:v>238</c:v>
                </c:pt>
                <c:pt idx="320">
                  <c:v>238</c:v>
                </c:pt>
                <c:pt idx="321">
                  <c:v>238</c:v>
                </c:pt>
                <c:pt idx="322">
                  <c:v>238</c:v>
                </c:pt>
                <c:pt idx="323">
                  <c:v>238</c:v>
                </c:pt>
                <c:pt idx="324">
                  <c:v>238</c:v>
                </c:pt>
                <c:pt idx="325">
                  <c:v>238</c:v>
                </c:pt>
                <c:pt idx="326">
                  <c:v>238</c:v>
                </c:pt>
                <c:pt idx="327">
                  <c:v>238</c:v>
                </c:pt>
                <c:pt idx="328">
                  <c:v>238</c:v>
                </c:pt>
                <c:pt idx="329">
                  <c:v>238</c:v>
                </c:pt>
                <c:pt idx="330">
                  <c:v>238</c:v>
                </c:pt>
                <c:pt idx="331">
                  <c:v>238</c:v>
                </c:pt>
                <c:pt idx="332">
                  <c:v>238</c:v>
                </c:pt>
                <c:pt idx="333">
                  <c:v>238</c:v>
                </c:pt>
                <c:pt idx="334">
                  <c:v>238</c:v>
                </c:pt>
                <c:pt idx="335">
                  <c:v>238</c:v>
                </c:pt>
                <c:pt idx="336">
                  <c:v>238</c:v>
                </c:pt>
                <c:pt idx="337">
                  <c:v>238</c:v>
                </c:pt>
                <c:pt idx="338">
                  <c:v>238</c:v>
                </c:pt>
                <c:pt idx="339">
                  <c:v>238</c:v>
                </c:pt>
                <c:pt idx="340">
                  <c:v>238</c:v>
                </c:pt>
                <c:pt idx="341">
                  <c:v>238</c:v>
                </c:pt>
                <c:pt idx="342">
                  <c:v>238</c:v>
                </c:pt>
                <c:pt idx="343">
                  <c:v>238</c:v>
                </c:pt>
                <c:pt idx="344">
                  <c:v>238</c:v>
                </c:pt>
                <c:pt idx="345">
                  <c:v>238</c:v>
                </c:pt>
                <c:pt idx="346">
                  <c:v>238</c:v>
                </c:pt>
                <c:pt idx="347">
                  <c:v>238</c:v>
                </c:pt>
                <c:pt idx="348">
                  <c:v>238</c:v>
                </c:pt>
                <c:pt idx="349">
                  <c:v>238</c:v>
                </c:pt>
                <c:pt idx="350">
                  <c:v>238</c:v>
                </c:pt>
                <c:pt idx="351">
                  <c:v>238</c:v>
                </c:pt>
                <c:pt idx="352">
                  <c:v>238</c:v>
                </c:pt>
                <c:pt idx="353">
                  <c:v>238</c:v>
                </c:pt>
                <c:pt idx="354">
                  <c:v>238</c:v>
                </c:pt>
                <c:pt idx="355">
                  <c:v>238</c:v>
                </c:pt>
                <c:pt idx="356">
                  <c:v>238</c:v>
                </c:pt>
                <c:pt idx="357">
                  <c:v>238</c:v>
                </c:pt>
                <c:pt idx="358">
                  <c:v>238</c:v>
                </c:pt>
                <c:pt idx="359">
                  <c:v>238</c:v>
                </c:pt>
                <c:pt idx="360">
                  <c:v>238</c:v>
                </c:pt>
                <c:pt idx="361">
                  <c:v>238</c:v>
                </c:pt>
                <c:pt idx="362">
                  <c:v>238</c:v>
                </c:pt>
                <c:pt idx="363">
                  <c:v>238</c:v>
                </c:pt>
                <c:pt idx="364">
                  <c:v>238</c:v>
                </c:pt>
                <c:pt idx="365">
                  <c:v>238</c:v>
                </c:pt>
                <c:pt idx="366">
                  <c:v>238</c:v>
                </c:pt>
                <c:pt idx="367">
                  <c:v>238</c:v>
                </c:pt>
                <c:pt idx="368">
                  <c:v>238</c:v>
                </c:pt>
                <c:pt idx="369">
                  <c:v>238</c:v>
                </c:pt>
                <c:pt idx="370">
                  <c:v>238</c:v>
                </c:pt>
                <c:pt idx="371">
                  <c:v>238</c:v>
                </c:pt>
                <c:pt idx="372">
                  <c:v>238</c:v>
                </c:pt>
                <c:pt idx="373">
                  <c:v>238</c:v>
                </c:pt>
                <c:pt idx="374">
                  <c:v>238</c:v>
                </c:pt>
                <c:pt idx="375">
                  <c:v>238</c:v>
                </c:pt>
                <c:pt idx="376">
                  <c:v>238</c:v>
                </c:pt>
                <c:pt idx="377">
                  <c:v>238</c:v>
                </c:pt>
                <c:pt idx="378">
                  <c:v>238</c:v>
                </c:pt>
                <c:pt idx="379">
                  <c:v>238</c:v>
                </c:pt>
                <c:pt idx="380">
                  <c:v>238</c:v>
                </c:pt>
                <c:pt idx="381">
                  <c:v>238</c:v>
                </c:pt>
                <c:pt idx="382">
                  <c:v>238</c:v>
                </c:pt>
                <c:pt idx="383">
                  <c:v>238</c:v>
                </c:pt>
                <c:pt idx="384">
                  <c:v>238</c:v>
                </c:pt>
                <c:pt idx="385">
                  <c:v>238</c:v>
                </c:pt>
                <c:pt idx="386">
                  <c:v>238</c:v>
                </c:pt>
                <c:pt idx="387">
                  <c:v>238</c:v>
                </c:pt>
                <c:pt idx="388">
                  <c:v>238</c:v>
                </c:pt>
                <c:pt idx="389">
                  <c:v>238</c:v>
                </c:pt>
                <c:pt idx="390">
                  <c:v>238</c:v>
                </c:pt>
                <c:pt idx="391">
                  <c:v>238</c:v>
                </c:pt>
                <c:pt idx="392">
                  <c:v>238</c:v>
                </c:pt>
                <c:pt idx="393">
                  <c:v>238</c:v>
                </c:pt>
                <c:pt idx="394">
                  <c:v>238</c:v>
                </c:pt>
                <c:pt idx="395">
                  <c:v>238</c:v>
                </c:pt>
                <c:pt idx="396">
                  <c:v>238</c:v>
                </c:pt>
                <c:pt idx="397">
                  <c:v>238</c:v>
                </c:pt>
                <c:pt idx="398">
                  <c:v>238</c:v>
                </c:pt>
                <c:pt idx="399">
                  <c:v>238</c:v>
                </c:pt>
                <c:pt idx="400">
                  <c:v>238</c:v>
                </c:pt>
                <c:pt idx="401">
                  <c:v>238</c:v>
                </c:pt>
                <c:pt idx="402">
                  <c:v>238</c:v>
                </c:pt>
                <c:pt idx="403">
                  <c:v>238</c:v>
                </c:pt>
                <c:pt idx="404">
                  <c:v>238</c:v>
                </c:pt>
                <c:pt idx="405">
                  <c:v>238</c:v>
                </c:pt>
                <c:pt idx="406">
                  <c:v>238</c:v>
                </c:pt>
                <c:pt idx="407">
                  <c:v>238</c:v>
                </c:pt>
                <c:pt idx="408">
                  <c:v>238</c:v>
                </c:pt>
                <c:pt idx="409">
                  <c:v>238</c:v>
                </c:pt>
                <c:pt idx="410">
                  <c:v>238</c:v>
                </c:pt>
                <c:pt idx="411">
                  <c:v>238</c:v>
                </c:pt>
                <c:pt idx="412">
                  <c:v>238</c:v>
                </c:pt>
                <c:pt idx="413">
                  <c:v>238</c:v>
                </c:pt>
                <c:pt idx="414">
                  <c:v>238</c:v>
                </c:pt>
                <c:pt idx="415">
                  <c:v>238</c:v>
                </c:pt>
                <c:pt idx="416">
                  <c:v>238</c:v>
                </c:pt>
                <c:pt idx="417">
                  <c:v>238</c:v>
                </c:pt>
                <c:pt idx="418">
                  <c:v>238</c:v>
                </c:pt>
                <c:pt idx="419">
                  <c:v>238</c:v>
                </c:pt>
                <c:pt idx="420">
                  <c:v>238</c:v>
                </c:pt>
                <c:pt idx="421">
                  <c:v>238</c:v>
                </c:pt>
                <c:pt idx="422">
                  <c:v>238</c:v>
                </c:pt>
                <c:pt idx="423">
                  <c:v>238</c:v>
                </c:pt>
                <c:pt idx="424">
                  <c:v>238</c:v>
                </c:pt>
                <c:pt idx="425">
                  <c:v>238</c:v>
                </c:pt>
                <c:pt idx="426">
                  <c:v>238</c:v>
                </c:pt>
                <c:pt idx="427">
                  <c:v>238</c:v>
                </c:pt>
                <c:pt idx="428">
                  <c:v>238</c:v>
                </c:pt>
                <c:pt idx="429">
                  <c:v>238</c:v>
                </c:pt>
                <c:pt idx="430">
                  <c:v>238</c:v>
                </c:pt>
                <c:pt idx="431">
                  <c:v>238</c:v>
                </c:pt>
                <c:pt idx="432">
                  <c:v>238</c:v>
                </c:pt>
                <c:pt idx="433">
                  <c:v>238</c:v>
                </c:pt>
                <c:pt idx="434">
                  <c:v>238</c:v>
                </c:pt>
                <c:pt idx="435">
                  <c:v>238</c:v>
                </c:pt>
                <c:pt idx="436">
                  <c:v>238</c:v>
                </c:pt>
                <c:pt idx="437">
                  <c:v>238</c:v>
                </c:pt>
                <c:pt idx="438">
                  <c:v>238</c:v>
                </c:pt>
                <c:pt idx="439">
                  <c:v>238</c:v>
                </c:pt>
                <c:pt idx="440">
                  <c:v>238</c:v>
                </c:pt>
                <c:pt idx="441">
                  <c:v>238</c:v>
                </c:pt>
                <c:pt idx="442">
                  <c:v>238</c:v>
                </c:pt>
                <c:pt idx="443">
                  <c:v>238</c:v>
                </c:pt>
                <c:pt idx="444">
                  <c:v>238</c:v>
                </c:pt>
                <c:pt idx="445">
                  <c:v>238</c:v>
                </c:pt>
                <c:pt idx="446">
                  <c:v>238</c:v>
                </c:pt>
                <c:pt idx="447">
                  <c:v>238</c:v>
                </c:pt>
                <c:pt idx="448">
                  <c:v>238</c:v>
                </c:pt>
                <c:pt idx="449">
                  <c:v>238</c:v>
                </c:pt>
                <c:pt idx="450">
                  <c:v>238</c:v>
                </c:pt>
                <c:pt idx="451">
                  <c:v>238</c:v>
                </c:pt>
                <c:pt idx="452">
                  <c:v>238</c:v>
                </c:pt>
                <c:pt idx="453">
                  <c:v>238</c:v>
                </c:pt>
                <c:pt idx="454">
                  <c:v>238</c:v>
                </c:pt>
                <c:pt idx="455">
                  <c:v>238</c:v>
                </c:pt>
                <c:pt idx="456">
                  <c:v>238</c:v>
                </c:pt>
                <c:pt idx="457">
                  <c:v>238</c:v>
                </c:pt>
                <c:pt idx="458">
                  <c:v>238</c:v>
                </c:pt>
                <c:pt idx="459">
                  <c:v>238</c:v>
                </c:pt>
                <c:pt idx="460">
                  <c:v>238</c:v>
                </c:pt>
                <c:pt idx="461">
                  <c:v>238</c:v>
                </c:pt>
                <c:pt idx="462">
                  <c:v>238</c:v>
                </c:pt>
                <c:pt idx="463">
                  <c:v>238</c:v>
                </c:pt>
                <c:pt idx="464">
                  <c:v>238</c:v>
                </c:pt>
                <c:pt idx="465">
                  <c:v>238</c:v>
                </c:pt>
                <c:pt idx="466">
                  <c:v>238</c:v>
                </c:pt>
                <c:pt idx="467">
                  <c:v>238</c:v>
                </c:pt>
                <c:pt idx="468">
                  <c:v>238</c:v>
                </c:pt>
                <c:pt idx="469">
                  <c:v>238</c:v>
                </c:pt>
                <c:pt idx="470">
                  <c:v>238</c:v>
                </c:pt>
                <c:pt idx="471">
                  <c:v>238</c:v>
                </c:pt>
                <c:pt idx="472">
                  <c:v>238</c:v>
                </c:pt>
                <c:pt idx="473">
                  <c:v>238</c:v>
                </c:pt>
                <c:pt idx="474">
                  <c:v>238</c:v>
                </c:pt>
                <c:pt idx="475">
                  <c:v>238</c:v>
                </c:pt>
                <c:pt idx="476">
                  <c:v>238</c:v>
                </c:pt>
                <c:pt idx="477">
                  <c:v>238</c:v>
                </c:pt>
                <c:pt idx="478">
                  <c:v>238</c:v>
                </c:pt>
                <c:pt idx="479">
                  <c:v>238</c:v>
                </c:pt>
                <c:pt idx="480">
                  <c:v>238</c:v>
                </c:pt>
                <c:pt idx="481">
                  <c:v>238</c:v>
                </c:pt>
                <c:pt idx="482">
                  <c:v>238</c:v>
                </c:pt>
                <c:pt idx="483">
                  <c:v>238</c:v>
                </c:pt>
                <c:pt idx="484">
                  <c:v>238</c:v>
                </c:pt>
                <c:pt idx="485">
                  <c:v>238</c:v>
                </c:pt>
                <c:pt idx="486">
                  <c:v>238</c:v>
                </c:pt>
                <c:pt idx="487">
                  <c:v>238</c:v>
                </c:pt>
                <c:pt idx="488">
                  <c:v>238</c:v>
                </c:pt>
                <c:pt idx="489">
                  <c:v>238</c:v>
                </c:pt>
                <c:pt idx="490">
                  <c:v>238</c:v>
                </c:pt>
                <c:pt idx="491">
                  <c:v>238</c:v>
                </c:pt>
                <c:pt idx="492">
                  <c:v>238</c:v>
                </c:pt>
                <c:pt idx="493">
                  <c:v>238</c:v>
                </c:pt>
                <c:pt idx="494">
                  <c:v>238</c:v>
                </c:pt>
                <c:pt idx="495">
                  <c:v>238</c:v>
                </c:pt>
                <c:pt idx="496">
                  <c:v>238</c:v>
                </c:pt>
                <c:pt idx="497">
                  <c:v>238</c:v>
                </c:pt>
                <c:pt idx="498">
                  <c:v>238</c:v>
                </c:pt>
                <c:pt idx="499">
                  <c:v>238</c:v>
                </c:pt>
                <c:pt idx="500">
                  <c:v>238</c:v>
                </c:pt>
                <c:pt idx="501">
                  <c:v>238</c:v>
                </c:pt>
                <c:pt idx="502">
                  <c:v>238</c:v>
                </c:pt>
                <c:pt idx="503">
                  <c:v>238</c:v>
                </c:pt>
                <c:pt idx="504">
                  <c:v>238</c:v>
                </c:pt>
                <c:pt idx="505">
                  <c:v>238</c:v>
                </c:pt>
                <c:pt idx="506">
                  <c:v>238</c:v>
                </c:pt>
                <c:pt idx="507">
                  <c:v>238</c:v>
                </c:pt>
                <c:pt idx="508">
                  <c:v>238</c:v>
                </c:pt>
                <c:pt idx="509">
                  <c:v>238</c:v>
                </c:pt>
                <c:pt idx="510">
                  <c:v>238</c:v>
                </c:pt>
                <c:pt idx="511">
                  <c:v>238</c:v>
                </c:pt>
                <c:pt idx="512">
                  <c:v>238</c:v>
                </c:pt>
                <c:pt idx="513">
                  <c:v>238</c:v>
                </c:pt>
                <c:pt idx="514">
                  <c:v>238</c:v>
                </c:pt>
                <c:pt idx="515">
                  <c:v>238</c:v>
                </c:pt>
                <c:pt idx="516">
                  <c:v>238</c:v>
                </c:pt>
                <c:pt idx="517">
                  <c:v>238</c:v>
                </c:pt>
                <c:pt idx="518">
                  <c:v>238</c:v>
                </c:pt>
                <c:pt idx="519">
                  <c:v>238</c:v>
                </c:pt>
                <c:pt idx="520">
                  <c:v>238</c:v>
                </c:pt>
                <c:pt idx="521">
                  <c:v>238</c:v>
                </c:pt>
                <c:pt idx="522">
                  <c:v>238</c:v>
                </c:pt>
                <c:pt idx="523">
                  <c:v>238</c:v>
                </c:pt>
                <c:pt idx="524">
                  <c:v>238</c:v>
                </c:pt>
                <c:pt idx="525">
                  <c:v>238</c:v>
                </c:pt>
                <c:pt idx="526">
                  <c:v>238</c:v>
                </c:pt>
                <c:pt idx="527">
                  <c:v>238</c:v>
                </c:pt>
                <c:pt idx="528">
                  <c:v>238</c:v>
                </c:pt>
                <c:pt idx="529">
                  <c:v>238</c:v>
                </c:pt>
                <c:pt idx="530">
                  <c:v>238</c:v>
                </c:pt>
                <c:pt idx="531">
                  <c:v>238</c:v>
                </c:pt>
                <c:pt idx="532">
                  <c:v>238</c:v>
                </c:pt>
                <c:pt idx="533">
                  <c:v>238</c:v>
                </c:pt>
                <c:pt idx="534">
                  <c:v>238</c:v>
                </c:pt>
                <c:pt idx="535">
                  <c:v>238</c:v>
                </c:pt>
                <c:pt idx="536">
                  <c:v>238</c:v>
                </c:pt>
                <c:pt idx="537">
                  <c:v>238</c:v>
                </c:pt>
                <c:pt idx="538">
                  <c:v>238</c:v>
                </c:pt>
                <c:pt idx="539">
                  <c:v>238</c:v>
                </c:pt>
                <c:pt idx="540">
                  <c:v>238</c:v>
                </c:pt>
                <c:pt idx="541">
                  <c:v>238</c:v>
                </c:pt>
                <c:pt idx="542">
                  <c:v>238</c:v>
                </c:pt>
                <c:pt idx="543">
                  <c:v>238</c:v>
                </c:pt>
                <c:pt idx="544">
                  <c:v>238</c:v>
                </c:pt>
                <c:pt idx="545">
                  <c:v>238</c:v>
                </c:pt>
                <c:pt idx="546">
                  <c:v>238</c:v>
                </c:pt>
                <c:pt idx="547">
                  <c:v>238</c:v>
                </c:pt>
                <c:pt idx="548">
                  <c:v>238</c:v>
                </c:pt>
                <c:pt idx="549">
                  <c:v>238</c:v>
                </c:pt>
                <c:pt idx="550">
                  <c:v>238</c:v>
                </c:pt>
                <c:pt idx="551">
                  <c:v>238</c:v>
                </c:pt>
                <c:pt idx="552">
                  <c:v>238</c:v>
                </c:pt>
                <c:pt idx="553">
                  <c:v>238</c:v>
                </c:pt>
                <c:pt idx="554">
                  <c:v>238</c:v>
                </c:pt>
                <c:pt idx="555">
                  <c:v>238</c:v>
                </c:pt>
                <c:pt idx="556">
                  <c:v>238</c:v>
                </c:pt>
                <c:pt idx="557">
                  <c:v>238</c:v>
                </c:pt>
                <c:pt idx="558">
                  <c:v>238</c:v>
                </c:pt>
                <c:pt idx="559">
                  <c:v>238</c:v>
                </c:pt>
                <c:pt idx="560">
                  <c:v>238</c:v>
                </c:pt>
                <c:pt idx="561">
                  <c:v>238</c:v>
                </c:pt>
                <c:pt idx="562">
                  <c:v>238</c:v>
                </c:pt>
                <c:pt idx="563">
                  <c:v>238</c:v>
                </c:pt>
                <c:pt idx="564">
                  <c:v>238</c:v>
                </c:pt>
                <c:pt idx="565">
                  <c:v>238</c:v>
                </c:pt>
                <c:pt idx="566">
                  <c:v>238</c:v>
                </c:pt>
                <c:pt idx="567">
                  <c:v>238</c:v>
                </c:pt>
                <c:pt idx="568">
                  <c:v>238</c:v>
                </c:pt>
                <c:pt idx="569">
                  <c:v>238</c:v>
                </c:pt>
                <c:pt idx="570">
                  <c:v>238</c:v>
                </c:pt>
                <c:pt idx="571">
                  <c:v>238</c:v>
                </c:pt>
                <c:pt idx="572">
                  <c:v>238</c:v>
                </c:pt>
                <c:pt idx="573">
                  <c:v>238</c:v>
                </c:pt>
                <c:pt idx="574">
                  <c:v>238</c:v>
                </c:pt>
                <c:pt idx="575">
                  <c:v>238</c:v>
                </c:pt>
                <c:pt idx="576">
                  <c:v>238</c:v>
                </c:pt>
                <c:pt idx="577">
                  <c:v>238</c:v>
                </c:pt>
                <c:pt idx="578">
                  <c:v>238</c:v>
                </c:pt>
                <c:pt idx="579">
                  <c:v>238</c:v>
                </c:pt>
                <c:pt idx="580">
                  <c:v>238</c:v>
                </c:pt>
                <c:pt idx="581">
                  <c:v>238</c:v>
                </c:pt>
                <c:pt idx="582">
                  <c:v>238</c:v>
                </c:pt>
                <c:pt idx="583">
                  <c:v>238</c:v>
                </c:pt>
                <c:pt idx="584">
                  <c:v>238</c:v>
                </c:pt>
                <c:pt idx="585">
                  <c:v>238</c:v>
                </c:pt>
                <c:pt idx="586">
                  <c:v>238</c:v>
                </c:pt>
                <c:pt idx="587">
                  <c:v>238</c:v>
                </c:pt>
                <c:pt idx="588">
                  <c:v>238</c:v>
                </c:pt>
                <c:pt idx="589">
                  <c:v>238</c:v>
                </c:pt>
                <c:pt idx="590">
                  <c:v>238</c:v>
                </c:pt>
                <c:pt idx="591">
                  <c:v>238</c:v>
                </c:pt>
                <c:pt idx="592">
                  <c:v>238</c:v>
                </c:pt>
                <c:pt idx="593">
                  <c:v>238</c:v>
                </c:pt>
                <c:pt idx="594">
                  <c:v>238</c:v>
                </c:pt>
                <c:pt idx="595">
                  <c:v>238</c:v>
                </c:pt>
                <c:pt idx="596">
                  <c:v>238</c:v>
                </c:pt>
                <c:pt idx="597">
                  <c:v>238</c:v>
                </c:pt>
                <c:pt idx="598">
                  <c:v>238</c:v>
                </c:pt>
                <c:pt idx="599">
                  <c:v>238</c:v>
                </c:pt>
                <c:pt idx="600">
                  <c:v>238</c:v>
                </c:pt>
                <c:pt idx="601">
                  <c:v>238</c:v>
                </c:pt>
                <c:pt idx="602">
                  <c:v>238</c:v>
                </c:pt>
                <c:pt idx="603">
                  <c:v>238</c:v>
                </c:pt>
                <c:pt idx="604">
                  <c:v>238</c:v>
                </c:pt>
                <c:pt idx="605">
                  <c:v>238</c:v>
                </c:pt>
                <c:pt idx="606">
                  <c:v>238</c:v>
                </c:pt>
                <c:pt idx="607">
                  <c:v>238</c:v>
                </c:pt>
                <c:pt idx="608">
                  <c:v>238</c:v>
                </c:pt>
                <c:pt idx="609">
                  <c:v>238</c:v>
                </c:pt>
                <c:pt idx="610">
                  <c:v>238</c:v>
                </c:pt>
                <c:pt idx="611">
                  <c:v>238</c:v>
                </c:pt>
                <c:pt idx="612">
                  <c:v>238</c:v>
                </c:pt>
                <c:pt idx="613">
                  <c:v>238</c:v>
                </c:pt>
                <c:pt idx="614">
                  <c:v>238</c:v>
                </c:pt>
                <c:pt idx="615">
                  <c:v>238</c:v>
                </c:pt>
                <c:pt idx="616">
                  <c:v>238</c:v>
                </c:pt>
                <c:pt idx="617">
                  <c:v>238</c:v>
                </c:pt>
                <c:pt idx="618">
                  <c:v>238</c:v>
                </c:pt>
                <c:pt idx="619">
                  <c:v>238</c:v>
                </c:pt>
                <c:pt idx="620">
                  <c:v>238</c:v>
                </c:pt>
                <c:pt idx="621">
                  <c:v>238</c:v>
                </c:pt>
                <c:pt idx="622">
                  <c:v>238</c:v>
                </c:pt>
                <c:pt idx="623">
                  <c:v>238</c:v>
                </c:pt>
                <c:pt idx="624">
                  <c:v>238</c:v>
                </c:pt>
                <c:pt idx="625">
                  <c:v>238</c:v>
                </c:pt>
                <c:pt idx="626">
                  <c:v>238</c:v>
                </c:pt>
                <c:pt idx="627">
                  <c:v>238</c:v>
                </c:pt>
                <c:pt idx="628">
                  <c:v>238</c:v>
                </c:pt>
                <c:pt idx="629">
                  <c:v>238</c:v>
                </c:pt>
                <c:pt idx="630">
                  <c:v>238</c:v>
                </c:pt>
                <c:pt idx="631">
                  <c:v>238</c:v>
                </c:pt>
                <c:pt idx="632">
                  <c:v>238</c:v>
                </c:pt>
                <c:pt idx="633">
                  <c:v>238</c:v>
                </c:pt>
                <c:pt idx="634">
                  <c:v>238</c:v>
                </c:pt>
                <c:pt idx="635">
                  <c:v>238</c:v>
                </c:pt>
                <c:pt idx="636">
                  <c:v>238</c:v>
                </c:pt>
                <c:pt idx="637">
                  <c:v>238</c:v>
                </c:pt>
                <c:pt idx="638">
                  <c:v>238</c:v>
                </c:pt>
                <c:pt idx="639">
                  <c:v>238</c:v>
                </c:pt>
                <c:pt idx="640">
                  <c:v>238</c:v>
                </c:pt>
                <c:pt idx="641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08-4EA4-ACA5-9BCD57AC3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84864"/>
        <c:axId val="210108992"/>
      </c:lineChart>
      <c:catAx>
        <c:axId val="199605248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08416"/>
        <c:crosses val="autoZero"/>
        <c:auto val="1"/>
        <c:lblAlgn val="ctr"/>
        <c:lblOffset val="100"/>
        <c:noMultiLvlLbl val="0"/>
      </c:catAx>
      <c:valAx>
        <c:axId val="21010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605248"/>
        <c:crosses val="autoZero"/>
        <c:crossBetween val="between"/>
      </c:valAx>
      <c:valAx>
        <c:axId val="2101089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0084864"/>
        <c:crosses val="max"/>
        <c:crossBetween val="between"/>
      </c:valAx>
      <c:catAx>
        <c:axId val="210084864"/>
        <c:scaling>
          <c:orientation val="minMax"/>
        </c:scaling>
        <c:delete val="1"/>
        <c:axPos val="b"/>
        <c:majorTickMark val="out"/>
        <c:minorTickMark val="none"/>
        <c:tickLblPos val="nextTo"/>
        <c:crossAx val="210108992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7500000000000004"/>
          <c:y val="0.25868328958880138"/>
          <c:w val="0.1388888888888889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花园口以上洪水!$F$1</c:f>
              <c:strCache>
                <c:ptCount val="1"/>
                <c:pt idx="0">
                  <c:v>龙门镇</c:v>
                </c:pt>
              </c:strCache>
            </c:strRef>
          </c:tx>
          <c:marker>
            <c:symbol val="none"/>
          </c:marker>
          <c:val>
            <c:numRef>
              <c:f>花园口以上洪水!$F$2:$F$746</c:f>
              <c:numCache>
                <c:formatCode>General</c:formatCode>
                <c:ptCount val="745"/>
                <c:pt idx="0">
                  <c:v>302</c:v>
                </c:pt>
                <c:pt idx="1">
                  <c:v>303</c:v>
                </c:pt>
                <c:pt idx="2">
                  <c:v>305</c:v>
                </c:pt>
                <c:pt idx="3">
                  <c:v>307</c:v>
                </c:pt>
                <c:pt idx="4">
                  <c:v>309.5</c:v>
                </c:pt>
                <c:pt idx="5">
                  <c:v>312</c:v>
                </c:pt>
                <c:pt idx="6">
                  <c:v>316</c:v>
                </c:pt>
                <c:pt idx="7">
                  <c:v>320</c:v>
                </c:pt>
                <c:pt idx="8">
                  <c:v>325.5</c:v>
                </c:pt>
                <c:pt idx="9">
                  <c:v>331.09230000000002</c:v>
                </c:pt>
                <c:pt idx="10">
                  <c:v>352.5027</c:v>
                </c:pt>
                <c:pt idx="11">
                  <c:v>374.28829999999999</c:v>
                </c:pt>
                <c:pt idx="12">
                  <c:v>560.57100000000003</c:v>
                </c:pt>
                <c:pt idx="13">
                  <c:v>731.1653</c:v>
                </c:pt>
                <c:pt idx="14">
                  <c:v>1595.8150000000001</c:v>
                </c:pt>
                <c:pt idx="15">
                  <c:v>2309.1019999999999</c:v>
                </c:pt>
                <c:pt idx="16">
                  <c:v>3913.6109999999999</c:v>
                </c:pt>
                <c:pt idx="17">
                  <c:v>5127.5209999999997</c:v>
                </c:pt>
                <c:pt idx="18">
                  <c:v>5572.1390000000001</c:v>
                </c:pt>
                <c:pt idx="19">
                  <c:v>5964.9440000000004</c:v>
                </c:pt>
                <c:pt idx="20">
                  <c:v>5473.1030000000001</c:v>
                </c:pt>
                <c:pt idx="21">
                  <c:v>4976.625</c:v>
                </c:pt>
                <c:pt idx="22">
                  <c:v>4301.973</c:v>
                </c:pt>
                <c:pt idx="23">
                  <c:v>3626.9749999999999</c:v>
                </c:pt>
                <c:pt idx="24">
                  <c:v>3161.998</c:v>
                </c:pt>
                <c:pt idx="25">
                  <c:v>2696.998</c:v>
                </c:pt>
                <c:pt idx="26">
                  <c:v>2468.5</c:v>
                </c:pt>
                <c:pt idx="27">
                  <c:v>2240</c:v>
                </c:pt>
                <c:pt idx="28">
                  <c:v>2141.0189999999998</c:v>
                </c:pt>
                <c:pt idx="29">
                  <c:v>2044.018</c:v>
                </c:pt>
                <c:pt idx="30">
                  <c:v>1950.19</c:v>
                </c:pt>
                <c:pt idx="31">
                  <c:v>1894.69</c:v>
                </c:pt>
                <c:pt idx="32">
                  <c:v>1603.818</c:v>
                </c:pt>
                <c:pt idx="33">
                  <c:v>1561.818</c:v>
                </c:pt>
                <c:pt idx="34">
                  <c:v>978.28700000000003</c:v>
                </c:pt>
                <c:pt idx="35">
                  <c:v>948.28700000000003</c:v>
                </c:pt>
                <c:pt idx="36">
                  <c:v>859.56870000000004</c:v>
                </c:pt>
                <c:pt idx="37">
                  <c:v>844.06870000000004</c:v>
                </c:pt>
                <c:pt idx="38">
                  <c:v>849.02430000000004</c:v>
                </c:pt>
                <c:pt idx="39">
                  <c:v>860.52430000000004</c:v>
                </c:pt>
                <c:pt idx="40">
                  <c:v>900.03520000000003</c:v>
                </c:pt>
                <c:pt idx="41">
                  <c:v>940.03520000000003</c:v>
                </c:pt>
                <c:pt idx="42">
                  <c:v>987.00220000000002</c:v>
                </c:pt>
                <c:pt idx="43">
                  <c:v>1034.002</c:v>
                </c:pt>
                <c:pt idx="44">
                  <c:v>1064.5</c:v>
                </c:pt>
                <c:pt idx="45">
                  <c:v>1095</c:v>
                </c:pt>
                <c:pt idx="46">
                  <c:v>1098</c:v>
                </c:pt>
                <c:pt idx="47">
                  <c:v>1101</c:v>
                </c:pt>
                <c:pt idx="48">
                  <c:v>1089</c:v>
                </c:pt>
                <c:pt idx="49">
                  <c:v>1077</c:v>
                </c:pt>
                <c:pt idx="50">
                  <c:v>1067.5</c:v>
                </c:pt>
                <c:pt idx="51">
                  <c:v>1061.0609999999999</c:v>
                </c:pt>
                <c:pt idx="52">
                  <c:v>1072.9469999999999</c:v>
                </c:pt>
                <c:pt idx="53">
                  <c:v>1141.9549999999999</c:v>
                </c:pt>
                <c:pt idx="54">
                  <c:v>1216.9280000000001</c:v>
                </c:pt>
                <c:pt idx="55">
                  <c:v>1635.8520000000001</c:v>
                </c:pt>
                <c:pt idx="56">
                  <c:v>1978.3330000000001</c:v>
                </c:pt>
                <c:pt idx="57">
                  <c:v>2912.634</c:v>
                </c:pt>
                <c:pt idx="58">
                  <c:v>3669.13</c:v>
                </c:pt>
                <c:pt idx="59">
                  <c:v>3952.62</c:v>
                </c:pt>
                <c:pt idx="60">
                  <c:v>4323.8869999999997</c:v>
                </c:pt>
                <c:pt idx="61">
                  <c:v>4622.5770000000002</c:v>
                </c:pt>
                <c:pt idx="62">
                  <c:v>5091.1319999999996</c:v>
                </c:pt>
                <c:pt idx="63">
                  <c:v>5519.8419999999996</c:v>
                </c:pt>
                <c:pt idx="64">
                  <c:v>5724.009</c:v>
                </c:pt>
                <c:pt idx="65">
                  <c:v>5854.4260000000004</c:v>
                </c:pt>
                <c:pt idx="66">
                  <c:v>5706.7030000000004</c:v>
                </c:pt>
                <c:pt idx="67">
                  <c:v>5562.9790000000003</c:v>
                </c:pt>
                <c:pt idx="68">
                  <c:v>5221.4520000000002</c:v>
                </c:pt>
                <c:pt idx="69">
                  <c:v>4913.7820000000002</c:v>
                </c:pt>
                <c:pt idx="70">
                  <c:v>4584.2809999999999</c:v>
                </c:pt>
                <c:pt idx="71">
                  <c:v>4259.32</c:v>
                </c:pt>
                <c:pt idx="72">
                  <c:v>3922.6089999999999</c:v>
                </c:pt>
                <c:pt idx="73">
                  <c:v>3586.3049999999998</c:v>
                </c:pt>
                <c:pt idx="74">
                  <c:v>3265.9560000000001</c:v>
                </c:pt>
                <c:pt idx="75">
                  <c:v>2945.6370000000002</c:v>
                </c:pt>
                <c:pt idx="76">
                  <c:v>2681.9920000000002</c:v>
                </c:pt>
                <c:pt idx="77">
                  <c:v>2418.35</c:v>
                </c:pt>
                <c:pt idx="78">
                  <c:v>2235.3330000000001</c:v>
                </c:pt>
                <c:pt idx="79">
                  <c:v>2052.3159999999998</c:v>
                </c:pt>
                <c:pt idx="80">
                  <c:v>1930.0419999999999</c:v>
                </c:pt>
                <c:pt idx="81">
                  <c:v>1807.768</c:v>
                </c:pt>
                <c:pt idx="82">
                  <c:v>1885.2660000000001</c:v>
                </c:pt>
                <c:pt idx="83">
                  <c:v>1962.7639999999999</c:v>
                </c:pt>
                <c:pt idx="84">
                  <c:v>2038.654</c:v>
                </c:pt>
                <c:pt idx="85">
                  <c:v>2114.5430000000001</c:v>
                </c:pt>
                <c:pt idx="86">
                  <c:v>2026.1110000000001</c:v>
                </c:pt>
                <c:pt idx="87">
                  <c:v>1937.6780000000001</c:v>
                </c:pt>
                <c:pt idx="88">
                  <c:v>1768.1089999999999</c:v>
                </c:pt>
                <c:pt idx="89">
                  <c:v>1598.539</c:v>
                </c:pt>
                <c:pt idx="90">
                  <c:v>1429.56</c:v>
                </c:pt>
                <c:pt idx="91">
                  <c:v>1260.5820000000001</c:v>
                </c:pt>
                <c:pt idx="92">
                  <c:v>1121.174</c:v>
                </c:pt>
                <c:pt idx="93">
                  <c:v>981.76700000000005</c:v>
                </c:pt>
                <c:pt idx="94">
                  <c:v>876.47799999999995</c:v>
                </c:pt>
                <c:pt idx="95">
                  <c:v>771.18910000000005</c:v>
                </c:pt>
                <c:pt idx="96">
                  <c:v>710.38170000000002</c:v>
                </c:pt>
                <c:pt idx="97">
                  <c:v>649.57439999999997</c:v>
                </c:pt>
                <c:pt idx="98">
                  <c:v>676.00900000000001</c:v>
                </c:pt>
                <c:pt idx="99">
                  <c:v>702.44370000000004</c:v>
                </c:pt>
                <c:pt idx="100">
                  <c:v>826.76469999999995</c:v>
                </c:pt>
                <c:pt idx="101">
                  <c:v>951.08579999999995</c:v>
                </c:pt>
                <c:pt idx="102">
                  <c:v>1061.9960000000001</c:v>
                </c:pt>
                <c:pt idx="103">
                  <c:v>1172.9059999999999</c:v>
                </c:pt>
                <c:pt idx="104">
                  <c:v>1145.9169999999999</c:v>
                </c:pt>
                <c:pt idx="105">
                  <c:v>1118.9280000000001</c:v>
                </c:pt>
                <c:pt idx="106">
                  <c:v>1012.174</c:v>
                </c:pt>
                <c:pt idx="107">
                  <c:v>905.41899999999998</c:v>
                </c:pt>
                <c:pt idx="108">
                  <c:v>800.15689999999995</c:v>
                </c:pt>
                <c:pt idx="109">
                  <c:v>694.56910000000005</c:v>
                </c:pt>
                <c:pt idx="110">
                  <c:v>626.50059999999996</c:v>
                </c:pt>
                <c:pt idx="111">
                  <c:v>552.13430000000005</c:v>
                </c:pt>
                <c:pt idx="112">
                  <c:v>563.85820000000001</c:v>
                </c:pt>
                <c:pt idx="113">
                  <c:v>534.6902</c:v>
                </c:pt>
                <c:pt idx="114">
                  <c:v>645.98469999999998</c:v>
                </c:pt>
                <c:pt idx="115">
                  <c:v>666.32950000000005</c:v>
                </c:pt>
                <c:pt idx="116">
                  <c:v>672.13279999999997</c:v>
                </c:pt>
                <c:pt idx="117">
                  <c:v>665.9058</c:v>
                </c:pt>
                <c:pt idx="118">
                  <c:v>658.41269999999997</c:v>
                </c:pt>
                <c:pt idx="119">
                  <c:v>649.8442</c:v>
                </c:pt>
                <c:pt idx="120">
                  <c:v>642.45699999999999</c:v>
                </c:pt>
                <c:pt idx="121">
                  <c:v>634.98950000000002</c:v>
                </c:pt>
                <c:pt idx="122">
                  <c:v>628.49710000000005</c:v>
                </c:pt>
                <c:pt idx="123">
                  <c:v>621.99929999999995</c:v>
                </c:pt>
                <c:pt idx="124">
                  <c:v>616.49980000000005</c:v>
                </c:pt>
                <c:pt idx="125">
                  <c:v>610.99990000000003</c:v>
                </c:pt>
                <c:pt idx="126">
                  <c:v>605.99990000000003</c:v>
                </c:pt>
                <c:pt idx="127">
                  <c:v>600.99990000000003</c:v>
                </c:pt>
                <c:pt idx="128">
                  <c:v>596.99990000000003</c:v>
                </c:pt>
                <c:pt idx="129">
                  <c:v>592.99990000000003</c:v>
                </c:pt>
                <c:pt idx="130">
                  <c:v>588.99990000000003</c:v>
                </c:pt>
                <c:pt idx="131">
                  <c:v>584.99990000000003</c:v>
                </c:pt>
                <c:pt idx="132">
                  <c:v>581.99990000000003</c:v>
                </c:pt>
                <c:pt idx="133">
                  <c:v>578.99990000000003</c:v>
                </c:pt>
                <c:pt idx="134">
                  <c:v>576.49990000000003</c:v>
                </c:pt>
                <c:pt idx="135">
                  <c:v>573.99990000000003</c:v>
                </c:pt>
                <c:pt idx="136">
                  <c:v>570.99990000000003</c:v>
                </c:pt>
                <c:pt idx="137">
                  <c:v>567.99990000000003</c:v>
                </c:pt>
                <c:pt idx="138">
                  <c:v>565.99990000000003</c:v>
                </c:pt>
                <c:pt idx="139">
                  <c:v>563.99990000000003</c:v>
                </c:pt>
                <c:pt idx="140">
                  <c:v>561.99990000000003</c:v>
                </c:pt>
                <c:pt idx="141">
                  <c:v>559.99990000000003</c:v>
                </c:pt>
                <c:pt idx="142">
                  <c:v>557.99990000000003</c:v>
                </c:pt>
                <c:pt idx="143">
                  <c:v>555.99990000000003</c:v>
                </c:pt>
                <c:pt idx="144">
                  <c:v>553.49990000000003</c:v>
                </c:pt>
                <c:pt idx="145">
                  <c:v>550.99990000000003</c:v>
                </c:pt>
                <c:pt idx="146">
                  <c:v>549.49990000000003</c:v>
                </c:pt>
                <c:pt idx="147">
                  <c:v>547.99990000000003</c:v>
                </c:pt>
                <c:pt idx="148">
                  <c:v>545.49990000000003</c:v>
                </c:pt>
                <c:pt idx="149">
                  <c:v>542.99990000000003</c:v>
                </c:pt>
                <c:pt idx="150">
                  <c:v>540.99990000000003</c:v>
                </c:pt>
                <c:pt idx="151">
                  <c:v>538.99990000000003</c:v>
                </c:pt>
                <c:pt idx="152">
                  <c:v>536.99990000000003</c:v>
                </c:pt>
                <c:pt idx="153">
                  <c:v>534.99990000000003</c:v>
                </c:pt>
                <c:pt idx="154">
                  <c:v>533.49990000000003</c:v>
                </c:pt>
                <c:pt idx="155">
                  <c:v>531.99990000000003</c:v>
                </c:pt>
                <c:pt idx="156">
                  <c:v>529.99990000000003</c:v>
                </c:pt>
                <c:pt idx="157">
                  <c:v>527.99990000000003</c:v>
                </c:pt>
                <c:pt idx="158">
                  <c:v>526.49990000000003</c:v>
                </c:pt>
                <c:pt idx="159">
                  <c:v>524.99990000000003</c:v>
                </c:pt>
                <c:pt idx="160">
                  <c:v>523.49990000000003</c:v>
                </c:pt>
                <c:pt idx="161">
                  <c:v>521.99990000000003</c:v>
                </c:pt>
                <c:pt idx="162">
                  <c:v>520.99990000000003</c:v>
                </c:pt>
                <c:pt idx="163">
                  <c:v>519.99990000000003</c:v>
                </c:pt>
                <c:pt idx="164">
                  <c:v>518.49990000000003</c:v>
                </c:pt>
                <c:pt idx="165">
                  <c:v>516.99990000000003</c:v>
                </c:pt>
                <c:pt idx="166">
                  <c:v>515.99990000000003</c:v>
                </c:pt>
                <c:pt idx="167">
                  <c:v>514.99990000000003</c:v>
                </c:pt>
                <c:pt idx="168">
                  <c:v>513.99990000000003</c:v>
                </c:pt>
                <c:pt idx="169">
                  <c:v>512.99990000000003</c:v>
                </c:pt>
                <c:pt idx="170">
                  <c:v>511.99990000000003</c:v>
                </c:pt>
                <c:pt idx="171">
                  <c:v>510.99990000000003</c:v>
                </c:pt>
                <c:pt idx="172">
                  <c:v>510.49990000000003</c:v>
                </c:pt>
                <c:pt idx="173">
                  <c:v>509.99990000000003</c:v>
                </c:pt>
                <c:pt idx="174">
                  <c:v>509.49990000000003</c:v>
                </c:pt>
                <c:pt idx="175">
                  <c:v>508.99990000000003</c:v>
                </c:pt>
                <c:pt idx="176">
                  <c:v>507.99990000000003</c:v>
                </c:pt>
                <c:pt idx="177">
                  <c:v>506.99990000000003</c:v>
                </c:pt>
                <c:pt idx="178">
                  <c:v>506.49990000000003</c:v>
                </c:pt>
                <c:pt idx="179">
                  <c:v>505.99990000000003</c:v>
                </c:pt>
                <c:pt idx="180">
                  <c:v>505.49990000000003</c:v>
                </c:pt>
                <c:pt idx="181">
                  <c:v>504.99990000000003</c:v>
                </c:pt>
                <c:pt idx="182">
                  <c:v>504.49990000000003</c:v>
                </c:pt>
                <c:pt idx="183">
                  <c:v>503.99990000000003</c:v>
                </c:pt>
                <c:pt idx="184">
                  <c:v>503.49990000000003</c:v>
                </c:pt>
                <c:pt idx="185">
                  <c:v>502.99990000000003</c:v>
                </c:pt>
                <c:pt idx="186">
                  <c:v>502.49990000000003</c:v>
                </c:pt>
                <c:pt idx="187">
                  <c:v>501.99990000000003</c:v>
                </c:pt>
                <c:pt idx="188">
                  <c:v>501.99990000000003</c:v>
                </c:pt>
                <c:pt idx="189">
                  <c:v>501.99990000000003</c:v>
                </c:pt>
                <c:pt idx="190">
                  <c:v>501.49990000000003</c:v>
                </c:pt>
                <c:pt idx="191">
                  <c:v>500.99990000000003</c:v>
                </c:pt>
                <c:pt idx="192">
                  <c:v>500.99990000000003</c:v>
                </c:pt>
                <c:pt idx="193">
                  <c:v>500.99990000000003</c:v>
                </c:pt>
                <c:pt idx="194">
                  <c:v>500.49990000000003</c:v>
                </c:pt>
                <c:pt idx="195">
                  <c:v>499.99990000000003</c:v>
                </c:pt>
                <c:pt idx="196">
                  <c:v>499.99990000000003</c:v>
                </c:pt>
                <c:pt idx="197">
                  <c:v>499.99990000000003</c:v>
                </c:pt>
                <c:pt idx="198">
                  <c:v>499.99990000000003</c:v>
                </c:pt>
                <c:pt idx="199">
                  <c:v>499.99990000000003</c:v>
                </c:pt>
                <c:pt idx="200">
                  <c:v>499.99990000000003</c:v>
                </c:pt>
                <c:pt idx="201">
                  <c:v>499.99990000000003</c:v>
                </c:pt>
                <c:pt idx="202">
                  <c:v>499.99990000000003</c:v>
                </c:pt>
                <c:pt idx="203">
                  <c:v>499.99990000000003</c:v>
                </c:pt>
                <c:pt idx="204">
                  <c:v>499.99990000000003</c:v>
                </c:pt>
                <c:pt idx="205">
                  <c:v>499.99990000000003</c:v>
                </c:pt>
                <c:pt idx="206">
                  <c:v>499.99990000000003</c:v>
                </c:pt>
                <c:pt idx="207">
                  <c:v>499.99990000000003</c:v>
                </c:pt>
                <c:pt idx="208">
                  <c:v>499.99990000000003</c:v>
                </c:pt>
                <c:pt idx="209">
                  <c:v>499.99990000000003</c:v>
                </c:pt>
                <c:pt idx="210">
                  <c:v>499.99990000000003</c:v>
                </c:pt>
                <c:pt idx="211">
                  <c:v>499.99990000000003</c:v>
                </c:pt>
                <c:pt idx="212">
                  <c:v>499.99990000000003</c:v>
                </c:pt>
                <c:pt idx="213">
                  <c:v>499.99990000000003</c:v>
                </c:pt>
                <c:pt idx="214">
                  <c:v>499.99990000000003</c:v>
                </c:pt>
                <c:pt idx="215">
                  <c:v>499.99990000000003</c:v>
                </c:pt>
                <c:pt idx="216">
                  <c:v>499.99990000000003</c:v>
                </c:pt>
                <c:pt idx="217">
                  <c:v>499.99990000000003</c:v>
                </c:pt>
                <c:pt idx="218">
                  <c:v>499.99990000000003</c:v>
                </c:pt>
                <c:pt idx="219">
                  <c:v>499.99990000000003</c:v>
                </c:pt>
                <c:pt idx="220">
                  <c:v>499.99990000000003</c:v>
                </c:pt>
                <c:pt idx="221">
                  <c:v>499.99990000000003</c:v>
                </c:pt>
                <c:pt idx="222">
                  <c:v>499.99990000000003</c:v>
                </c:pt>
                <c:pt idx="223">
                  <c:v>499.99990000000003</c:v>
                </c:pt>
                <c:pt idx="224">
                  <c:v>499.99990000000003</c:v>
                </c:pt>
                <c:pt idx="225">
                  <c:v>499.99990000000003</c:v>
                </c:pt>
                <c:pt idx="226">
                  <c:v>499.99990000000003</c:v>
                </c:pt>
                <c:pt idx="227">
                  <c:v>499.99990000000003</c:v>
                </c:pt>
                <c:pt idx="228">
                  <c:v>499.99990000000003</c:v>
                </c:pt>
                <c:pt idx="229">
                  <c:v>499.99990000000003</c:v>
                </c:pt>
                <c:pt idx="230">
                  <c:v>499.99990000000003</c:v>
                </c:pt>
                <c:pt idx="231">
                  <c:v>499.99990000000003</c:v>
                </c:pt>
                <c:pt idx="232">
                  <c:v>499.99990000000003</c:v>
                </c:pt>
                <c:pt idx="233">
                  <c:v>499.99990000000003</c:v>
                </c:pt>
                <c:pt idx="234">
                  <c:v>499.99990000000003</c:v>
                </c:pt>
                <c:pt idx="235">
                  <c:v>499.99990000000003</c:v>
                </c:pt>
                <c:pt idx="236">
                  <c:v>499.99990000000003</c:v>
                </c:pt>
                <c:pt idx="237">
                  <c:v>499.99990000000003</c:v>
                </c:pt>
                <c:pt idx="238">
                  <c:v>499.99990000000003</c:v>
                </c:pt>
                <c:pt idx="239">
                  <c:v>499.99990000000003</c:v>
                </c:pt>
                <c:pt idx="240">
                  <c:v>499.99990000000003</c:v>
                </c:pt>
                <c:pt idx="241">
                  <c:v>499.99990000000003</c:v>
                </c:pt>
                <c:pt idx="242">
                  <c:v>499.99990000000003</c:v>
                </c:pt>
                <c:pt idx="243">
                  <c:v>499.99990000000003</c:v>
                </c:pt>
                <c:pt idx="244">
                  <c:v>499.99990000000003</c:v>
                </c:pt>
                <c:pt idx="245">
                  <c:v>499.99990000000003</c:v>
                </c:pt>
                <c:pt idx="246">
                  <c:v>499.99990000000003</c:v>
                </c:pt>
                <c:pt idx="247">
                  <c:v>499.99990000000003</c:v>
                </c:pt>
                <c:pt idx="248">
                  <c:v>499.99990000000003</c:v>
                </c:pt>
                <c:pt idx="249">
                  <c:v>499.99990000000003</c:v>
                </c:pt>
                <c:pt idx="250">
                  <c:v>499.99990000000003</c:v>
                </c:pt>
                <c:pt idx="251">
                  <c:v>499.99990000000003</c:v>
                </c:pt>
                <c:pt idx="252">
                  <c:v>499.99990000000003</c:v>
                </c:pt>
                <c:pt idx="253">
                  <c:v>499.11259999999999</c:v>
                </c:pt>
                <c:pt idx="254">
                  <c:v>498.92660000000001</c:v>
                </c:pt>
                <c:pt idx="255">
                  <c:v>481.76209999999998</c:v>
                </c:pt>
                <c:pt idx="256">
                  <c:v>478.1635</c:v>
                </c:pt>
                <c:pt idx="257">
                  <c:v>366.71300000000002</c:v>
                </c:pt>
                <c:pt idx="258">
                  <c:v>343.34660000000002</c:v>
                </c:pt>
                <c:pt idx="259">
                  <c:v>95.462999999999994</c:v>
                </c:pt>
                <c:pt idx="260">
                  <c:v>43.492420000000003</c:v>
                </c:pt>
                <c:pt idx="261">
                  <c:v>10.703620000000001</c:v>
                </c:pt>
                <c:pt idx="262">
                  <c:v>3.829218</c:v>
                </c:pt>
                <c:pt idx="263">
                  <c:v>0.89846800000000004</c:v>
                </c:pt>
                <c:pt idx="264">
                  <c:v>0.28401599999999999</c:v>
                </c:pt>
                <c:pt idx="265">
                  <c:v>6.4967999999999998E-2</c:v>
                </c:pt>
                <c:pt idx="266">
                  <c:v>1.9043000000000001E-2</c:v>
                </c:pt>
                <c:pt idx="267">
                  <c:v>4.2880000000000001E-3</c:v>
                </c:pt>
                <c:pt idx="268">
                  <c:v>1.194E-3</c:v>
                </c:pt>
                <c:pt idx="269">
                  <c:v>2.6600000000000001E-4</c:v>
                </c:pt>
                <c:pt idx="270" formatCode="0.00E+00">
                  <c:v>7.1400000000000001E-5</c:v>
                </c:pt>
                <c:pt idx="271" formatCode="0.00E+00">
                  <c:v>1.5800000000000001E-5</c:v>
                </c:pt>
                <c:pt idx="272" formatCode="0.00E+00">
                  <c:v>4.1200000000000004E-6</c:v>
                </c:pt>
                <c:pt idx="273" formatCode="0.00E+00">
                  <c:v>9.0599999999999999E-7</c:v>
                </c:pt>
                <c:pt idx="274" formatCode="0.00E+00">
                  <c:v>2.3099999999999999E-7</c:v>
                </c:pt>
                <c:pt idx="275" formatCode="0.00E+00">
                  <c:v>5.0600000000000003E-8</c:v>
                </c:pt>
                <c:pt idx="276" formatCode="0.00E+00">
                  <c:v>1.27E-8</c:v>
                </c:pt>
                <c:pt idx="277" formatCode="0.00E+00">
                  <c:v>2.7700000000000002E-9</c:v>
                </c:pt>
                <c:pt idx="278" formatCode="0.00E+00">
                  <c:v>6.8600000000000001E-10</c:v>
                </c:pt>
                <c:pt idx="279" formatCode="0.00E+00">
                  <c:v>1.49E-10</c:v>
                </c:pt>
                <c:pt idx="280" formatCode="0.00E+00">
                  <c:v>3.6399999999999998E-11</c:v>
                </c:pt>
                <c:pt idx="281" formatCode="0.00E+00">
                  <c:v>7.8899999999999997E-12</c:v>
                </c:pt>
                <c:pt idx="282" formatCode="0.00E+00">
                  <c:v>1.9100000000000001E-12</c:v>
                </c:pt>
                <c:pt idx="283" formatCode="0.00E+00">
                  <c:v>4.1300000000000001E-13</c:v>
                </c:pt>
                <c:pt idx="284" formatCode="0.00E+00">
                  <c:v>9.9100000000000002E-14</c:v>
                </c:pt>
                <c:pt idx="285" formatCode="0.00E+00">
                  <c:v>2.1399999999999999E-14</c:v>
                </c:pt>
                <c:pt idx="286" formatCode="0.00E+00">
                  <c:v>5.0900000000000003E-15</c:v>
                </c:pt>
                <c:pt idx="287" formatCode="0.00E+00">
                  <c:v>1.0999999999999999E-15</c:v>
                </c:pt>
                <c:pt idx="288" formatCode="0.00E+00">
                  <c:v>2.5999999999999998E-16</c:v>
                </c:pt>
                <c:pt idx="289" formatCode="0.00E+00">
                  <c:v>5.5900000000000006E-17</c:v>
                </c:pt>
                <c:pt idx="290" formatCode="0.00E+00">
                  <c:v>1.31E-17</c:v>
                </c:pt>
                <c:pt idx="291" formatCode="0.00E+00">
                  <c:v>2.82E-18</c:v>
                </c:pt>
                <c:pt idx="292" formatCode="0.00E+00">
                  <c:v>6.6099999999999999E-19</c:v>
                </c:pt>
                <c:pt idx="293" formatCode="0.00E+00">
                  <c:v>1.42E-19</c:v>
                </c:pt>
                <c:pt idx="294" formatCode="0.00E+00">
                  <c:v>3.3E-20</c:v>
                </c:pt>
                <c:pt idx="295" formatCode="0.00E+00">
                  <c:v>7.0799999999999997E-21</c:v>
                </c:pt>
                <c:pt idx="296" formatCode="0.00E+00">
                  <c:v>1.64E-21</c:v>
                </c:pt>
                <c:pt idx="297" formatCode="0.00E+00">
                  <c:v>3.5199999999999999E-22</c:v>
                </c:pt>
                <c:pt idx="298" formatCode="0.00E+00">
                  <c:v>8.1200000000000002E-23</c:v>
                </c:pt>
                <c:pt idx="299" formatCode="0.00E+00">
                  <c:v>1.7399999999999999E-23</c:v>
                </c:pt>
                <c:pt idx="300" formatCode="0.00E+00">
                  <c:v>3.9999999999999997E-24</c:v>
                </c:pt>
                <c:pt idx="301" formatCode="0.00E+00">
                  <c:v>8.5599999999999996E-25</c:v>
                </c:pt>
                <c:pt idx="302" formatCode="0.00E+00">
                  <c:v>1.96E-25</c:v>
                </c:pt>
                <c:pt idx="303" formatCode="0.00E+00">
                  <c:v>4.2000000000000002E-26</c:v>
                </c:pt>
                <c:pt idx="304" formatCode="0.00E+00">
                  <c:v>9.6100000000000003E-27</c:v>
                </c:pt>
                <c:pt idx="305" formatCode="0.00E+00">
                  <c:v>2.0499999999999999E-27</c:v>
                </c:pt>
                <c:pt idx="306" formatCode="0.00E+00">
                  <c:v>4.6800000000000002E-28</c:v>
                </c:pt>
                <c:pt idx="307" formatCode="0.00E+00">
                  <c:v>9.99E-29</c:v>
                </c:pt>
                <c:pt idx="308" formatCode="0.00E+00">
                  <c:v>2.2699999999999999E-29</c:v>
                </c:pt>
                <c:pt idx="309" formatCode="0.00E+00">
                  <c:v>4.8499999999999997E-30</c:v>
                </c:pt>
                <c:pt idx="310" formatCode="0.00E+00">
                  <c:v>1.0999999999999999E-30</c:v>
                </c:pt>
                <c:pt idx="311" formatCode="0.00E+00">
                  <c:v>2.3499999999999999E-31</c:v>
                </c:pt>
                <c:pt idx="312" formatCode="0.00E+00">
                  <c:v>5.3299999999999996E-32</c:v>
                </c:pt>
                <c:pt idx="313" formatCode="0.00E+00">
                  <c:v>1.1400000000000001E-32</c:v>
                </c:pt>
                <c:pt idx="314" formatCode="0.00E+00">
                  <c:v>2.57E-33</c:v>
                </c:pt>
                <c:pt idx="315" formatCode="0.00E+00">
                  <c:v>5.4699999999999999E-34</c:v>
                </c:pt>
                <c:pt idx="316" formatCode="0.00E+00">
                  <c:v>1.23E-34</c:v>
                </c:pt>
                <c:pt idx="317" formatCode="0.00E+00">
                  <c:v>2.6300000000000002E-35</c:v>
                </c:pt>
                <c:pt idx="318" formatCode="0.00E+00">
                  <c:v>5.9299999999999997E-36</c:v>
                </c:pt>
                <c:pt idx="319" formatCode="0.00E+00">
                  <c:v>1.26E-36</c:v>
                </c:pt>
                <c:pt idx="320" formatCode="0.00E+00">
                  <c:v>2.8400000000000001E-37</c:v>
                </c:pt>
                <c:pt idx="321" formatCode="0.00E+00">
                  <c:v>6.0399999999999995E-38</c:v>
                </c:pt>
                <c:pt idx="322" formatCode="0.00E+00">
                  <c:v>1.36E-38</c:v>
                </c:pt>
                <c:pt idx="323" formatCode="0.00E+00">
                  <c:v>2.8900000000000001E-39</c:v>
                </c:pt>
                <c:pt idx="324" formatCode="0.00E+00">
                  <c:v>6.4800000000000001E-40</c:v>
                </c:pt>
                <c:pt idx="325" formatCode="0.00E+00">
                  <c:v>1.38E-40</c:v>
                </c:pt>
                <c:pt idx="326" formatCode="0.00E+00">
                  <c:v>3.0900000000000002E-41</c:v>
                </c:pt>
                <c:pt idx="327" formatCode="0.00E+00">
                  <c:v>6.5599999999999997E-42</c:v>
                </c:pt>
                <c:pt idx="328" formatCode="0.00E+00">
                  <c:v>1.4699999999999999E-42</c:v>
                </c:pt>
                <c:pt idx="329" formatCode="0.00E+00">
                  <c:v>3.1100000000000001E-43</c:v>
                </c:pt>
                <c:pt idx="330" formatCode="0.00E+00">
                  <c:v>7.0099999999999999E-44</c:v>
                </c:pt>
                <c:pt idx="331" formatCode="0.00E+00">
                  <c:v>1.5400000000000001E-44</c:v>
                </c:pt>
                <c:pt idx="332" formatCode="0.00E+00">
                  <c:v>2.8000000000000001E-45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D7-4BD7-9B3A-8691CBEFB615}"/>
            </c:ext>
          </c:extLst>
        </c:ser>
        <c:ser>
          <c:idx val="1"/>
          <c:order val="1"/>
          <c:tx>
            <c:strRef>
              <c:f>花园口以上洪水!$G$1</c:f>
              <c:strCache>
                <c:ptCount val="1"/>
                <c:pt idx="0">
                  <c:v>白马寺</c:v>
                </c:pt>
              </c:strCache>
            </c:strRef>
          </c:tx>
          <c:marker>
            <c:symbol val="none"/>
          </c:marker>
          <c:val>
            <c:numRef>
              <c:f>花园口以上洪水!$G$2:$G$746</c:f>
              <c:numCache>
                <c:formatCode>General</c:formatCode>
                <c:ptCount val="745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300.00009999999997</c:v>
                </c:pt>
                <c:pt idx="7">
                  <c:v>300.00020000000001</c:v>
                </c:pt>
                <c:pt idx="8">
                  <c:v>300.00290000000001</c:v>
                </c:pt>
                <c:pt idx="9">
                  <c:v>300.00560000000002</c:v>
                </c:pt>
                <c:pt idx="10">
                  <c:v>300.06299999999999</c:v>
                </c:pt>
                <c:pt idx="11">
                  <c:v>300.12040000000002</c:v>
                </c:pt>
                <c:pt idx="12">
                  <c:v>307.4511</c:v>
                </c:pt>
                <c:pt idx="13">
                  <c:v>314.78179999999998</c:v>
                </c:pt>
                <c:pt idx="14">
                  <c:v>418.06880000000001</c:v>
                </c:pt>
                <c:pt idx="15">
                  <c:v>521.35569999999996</c:v>
                </c:pt>
                <c:pt idx="16">
                  <c:v>1041.4090000000001</c:v>
                </c:pt>
                <c:pt idx="17">
                  <c:v>1561.462</c:v>
                </c:pt>
                <c:pt idx="18">
                  <c:v>2650.1640000000002</c:v>
                </c:pt>
                <c:pt idx="19">
                  <c:v>3738.866</c:v>
                </c:pt>
                <c:pt idx="20">
                  <c:v>4988.41</c:v>
                </c:pt>
                <c:pt idx="21">
                  <c:v>6237.9539999999997</c:v>
                </c:pt>
                <c:pt idx="22">
                  <c:v>6265.8490000000002</c:v>
                </c:pt>
                <c:pt idx="23">
                  <c:v>6293.7449999999999</c:v>
                </c:pt>
                <c:pt idx="24">
                  <c:v>6066.3909999999996</c:v>
                </c:pt>
                <c:pt idx="25">
                  <c:v>5839.0379999999996</c:v>
                </c:pt>
                <c:pt idx="26">
                  <c:v>5859.78</c:v>
                </c:pt>
                <c:pt idx="27">
                  <c:v>5880.5230000000001</c:v>
                </c:pt>
                <c:pt idx="28">
                  <c:v>6321.36</c:v>
                </c:pt>
                <c:pt idx="29">
                  <c:v>6762.1980000000003</c:v>
                </c:pt>
                <c:pt idx="30">
                  <c:v>6215.6229999999996</c:v>
                </c:pt>
                <c:pt idx="31">
                  <c:v>5669.0559999999996</c:v>
                </c:pt>
                <c:pt idx="32">
                  <c:v>4940.3249999999998</c:v>
                </c:pt>
                <c:pt idx="33">
                  <c:v>4211.8050000000003</c:v>
                </c:pt>
                <c:pt idx="34">
                  <c:v>3721.2179999999998</c:v>
                </c:pt>
                <c:pt idx="35">
                  <c:v>3232.8330000000001</c:v>
                </c:pt>
                <c:pt idx="36">
                  <c:v>2937.7750000000001</c:v>
                </c:pt>
                <c:pt idx="37">
                  <c:v>2654.9</c:v>
                </c:pt>
                <c:pt idx="38">
                  <c:v>2448.4929999999999</c:v>
                </c:pt>
                <c:pt idx="39">
                  <c:v>2280.1260000000002</c:v>
                </c:pt>
                <c:pt idx="40">
                  <c:v>2100.8119999999999</c:v>
                </c:pt>
                <c:pt idx="41">
                  <c:v>1987.7460000000001</c:v>
                </c:pt>
                <c:pt idx="42">
                  <c:v>1847.83</c:v>
                </c:pt>
                <c:pt idx="43">
                  <c:v>1767.059</c:v>
                </c:pt>
                <c:pt idx="44">
                  <c:v>1687.9280000000001</c:v>
                </c:pt>
                <c:pt idx="45">
                  <c:v>1632.2840000000001</c:v>
                </c:pt>
                <c:pt idx="46">
                  <c:v>1590.6590000000001</c:v>
                </c:pt>
                <c:pt idx="47">
                  <c:v>1555.6079999999999</c:v>
                </c:pt>
                <c:pt idx="48">
                  <c:v>1546.921</c:v>
                </c:pt>
                <c:pt idx="49">
                  <c:v>1539.7539999999999</c:v>
                </c:pt>
                <c:pt idx="50">
                  <c:v>1569.61</c:v>
                </c:pt>
                <c:pt idx="51">
                  <c:v>1599.779</c:v>
                </c:pt>
                <c:pt idx="52">
                  <c:v>1667.2349999999999</c:v>
                </c:pt>
                <c:pt idx="53">
                  <c:v>1734.751</c:v>
                </c:pt>
                <c:pt idx="54">
                  <c:v>1841.92</c:v>
                </c:pt>
                <c:pt idx="55">
                  <c:v>1949.0989999999999</c:v>
                </c:pt>
                <c:pt idx="56">
                  <c:v>2042.52</c:v>
                </c:pt>
                <c:pt idx="57">
                  <c:v>2135.9430000000002</c:v>
                </c:pt>
                <c:pt idx="58">
                  <c:v>2199.7469999999998</c:v>
                </c:pt>
                <c:pt idx="59">
                  <c:v>2263.5509999999999</c:v>
                </c:pt>
                <c:pt idx="60">
                  <c:v>2381.2199999999998</c:v>
                </c:pt>
                <c:pt idx="61">
                  <c:v>2498.8890000000001</c:v>
                </c:pt>
                <c:pt idx="62">
                  <c:v>2711.393</c:v>
                </c:pt>
                <c:pt idx="63">
                  <c:v>2923.8980000000001</c:v>
                </c:pt>
                <c:pt idx="64">
                  <c:v>3173.3580000000002</c:v>
                </c:pt>
                <c:pt idx="65">
                  <c:v>3422.82</c:v>
                </c:pt>
                <c:pt idx="66">
                  <c:v>3697.4169999999999</c:v>
                </c:pt>
                <c:pt idx="67">
                  <c:v>3972.0160000000001</c:v>
                </c:pt>
                <c:pt idx="68">
                  <c:v>4417.9920000000002</c:v>
                </c:pt>
                <c:pt idx="69">
                  <c:v>4863.9679999999998</c:v>
                </c:pt>
                <c:pt idx="70">
                  <c:v>5008.4210000000003</c:v>
                </c:pt>
                <c:pt idx="71">
                  <c:v>5152.875</c:v>
                </c:pt>
                <c:pt idx="72">
                  <c:v>5016.3450000000003</c:v>
                </c:pt>
                <c:pt idx="73">
                  <c:v>4879.8140000000003</c:v>
                </c:pt>
                <c:pt idx="74">
                  <c:v>4680.24</c:v>
                </c:pt>
                <c:pt idx="75">
                  <c:v>4480.6670000000004</c:v>
                </c:pt>
                <c:pt idx="76">
                  <c:v>4277.7</c:v>
                </c:pt>
                <c:pt idx="77">
                  <c:v>4074.7339999999999</c:v>
                </c:pt>
                <c:pt idx="78">
                  <c:v>3884.7910000000002</c:v>
                </c:pt>
                <c:pt idx="79">
                  <c:v>3694.848</c:v>
                </c:pt>
                <c:pt idx="80">
                  <c:v>3572.1210000000001</c:v>
                </c:pt>
                <c:pt idx="81">
                  <c:v>3449.3939999999998</c:v>
                </c:pt>
                <c:pt idx="82">
                  <c:v>3487.3850000000002</c:v>
                </c:pt>
                <c:pt idx="83">
                  <c:v>3525.377</c:v>
                </c:pt>
                <c:pt idx="84">
                  <c:v>3680.48</c:v>
                </c:pt>
                <c:pt idx="85">
                  <c:v>3835.5819999999999</c:v>
                </c:pt>
                <c:pt idx="86">
                  <c:v>3818.1120000000001</c:v>
                </c:pt>
                <c:pt idx="87">
                  <c:v>3800.6419999999998</c:v>
                </c:pt>
                <c:pt idx="88">
                  <c:v>3582.752</c:v>
                </c:pt>
                <c:pt idx="89">
                  <c:v>3364.8629999999998</c:v>
                </c:pt>
                <c:pt idx="90">
                  <c:v>3089.692</c:v>
                </c:pt>
                <c:pt idx="91">
                  <c:v>2814.5210000000002</c:v>
                </c:pt>
                <c:pt idx="92">
                  <c:v>2546.2080000000001</c:v>
                </c:pt>
                <c:pt idx="93">
                  <c:v>2277.8960000000002</c:v>
                </c:pt>
                <c:pt idx="94">
                  <c:v>2041.8150000000001</c:v>
                </c:pt>
                <c:pt idx="95">
                  <c:v>1805.7349999999999</c:v>
                </c:pt>
                <c:pt idx="96">
                  <c:v>1627.1959999999999</c:v>
                </c:pt>
                <c:pt idx="97">
                  <c:v>1448.6569999999999</c:v>
                </c:pt>
                <c:pt idx="98">
                  <c:v>1341.9390000000001</c:v>
                </c:pt>
                <c:pt idx="99">
                  <c:v>1235.221</c:v>
                </c:pt>
                <c:pt idx="100">
                  <c:v>1196.1279999999999</c:v>
                </c:pt>
                <c:pt idx="101">
                  <c:v>1157.0350000000001</c:v>
                </c:pt>
                <c:pt idx="102">
                  <c:v>1168.828</c:v>
                </c:pt>
                <c:pt idx="103">
                  <c:v>1180.6210000000001</c:v>
                </c:pt>
                <c:pt idx="104">
                  <c:v>1202.617</c:v>
                </c:pt>
                <c:pt idx="105">
                  <c:v>1224.614</c:v>
                </c:pt>
                <c:pt idx="106">
                  <c:v>1217.5730000000001</c:v>
                </c:pt>
                <c:pt idx="107">
                  <c:v>1210.5309999999999</c:v>
                </c:pt>
                <c:pt idx="108">
                  <c:v>1397.7529999999999</c:v>
                </c:pt>
                <c:pt idx="109">
                  <c:v>1584.9749999999999</c:v>
                </c:pt>
                <c:pt idx="110">
                  <c:v>2179.6709999999998</c:v>
                </c:pt>
                <c:pt idx="111">
                  <c:v>2774.35</c:v>
                </c:pt>
                <c:pt idx="112">
                  <c:v>3439.2289999999998</c:v>
                </c:pt>
                <c:pt idx="113">
                  <c:v>4103.7030000000004</c:v>
                </c:pt>
                <c:pt idx="114">
                  <c:v>4404.0860000000002</c:v>
                </c:pt>
                <c:pt idx="115">
                  <c:v>4700.2240000000002</c:v>
                </c:pt>
                <c:pt idx="116">
                  <c:v>4845.2479999999996</c:v>
                </c:pt>
                <c:pt idx="117">
                  <c:v>4966.777</c:v>
                </c:pt>
                <c:pt idx="118">
                  <c:v>4193.7659999999996</c:v>
                </c:pt>
                <c:pt idx="119">
                  <c:v>3347.3890000000001</c:v>
                </c:pt>
                <c:pt idx="120">
                  <c:v>2831.0880000000002</c:v>
                </c:pt>
                <c:pt idx="121">
                  <c:v>2187.0219999999999</c:v>
                </c:pt>
                <c:pt idx="122">
                  <c:v>2000.4349999999999</c:v>
                </c:pt>
                <c:pt idx="123">
                  <c:v>1699.7840000000001</c:v>
                </c:pt>
                <c:pt idx="124">
                  <c:v>1611.8209999999999</c:v>
                </c:pt>
                <c:pt idx="125">
                  <c:v>1478.5609999999999</c:v>
                </c:pt>
                <c:pt idx="126">
                  <c:v>1415.2260000000001</c:v>
                </c:pt>
                <c:pt idx="127">
                  <c:v>1339.21</c:v>
                </c:pt>
                <c:pt idx="128">
                  <c:v>1281.2560000000001</c:v>
                </c:pt>
                <c:pt idx="129">
                  <c:v>1220.3710000000001</c:v>
                </c:pt>
                <c:pt idx="130">
                  <c:v>1161.6949999999999</c:v>
                </c:pt>
                <c:pt idx="131">
                  <c:v>1102.4169999999999</c:v>
                </c:pt>
                <c:pt idx="132">
                  <c:v>1044.3789999999999</c:v>
                </c:pt>
                <c:pt idx="133">
                  <c:v>986.22609999999997</c:v>
                </c:pt>
                <c:pt idx="134">
                  <c:v>932.04369999999994</c:v>
                </c:pt>
                <c:pt idx="135">
                  <c:v>877.84100000000001</c:v>
                </c:pt>
                <c:pt idx="136">
                  <c:v>828.58579999999995</c:v>
                </c:pt>
                <c:pt idx="137">
                  <c:v>779.32759999999996</c:v>
                </c:pt>
                <c:pt idx="138">
                  <c:v>735.04179999999997</c:v>
                </c:pt>
                <c:pt idx="139">
                  <c:v>690.76549999999997</c:v>
                </c:pt>
                <c:pt idx="140">
                  <c:v>652.10140000000001</c:v>
                </c:pt>
                <c:pt idx="141">
                  <c:v>613.5421</c:v>
                </c:pt>
                <c:pt idx="142">
                  <c:v>578.97860000000003</c:v>
                </c:pt>
                <c:pt idx="143">
                  <c:v>544.99509999999998</c:v>
                </c:pt>
                <c:pt idx="144">
                  <c:v>515.03880000000004</c:v>
                </c:pt>
                <c:pt idx="145">
                  <c:v>486.89400000000001</c:v>
                </c:pt>
                <c:pt idx="146">
                  <c:v>461.04509999999999</c:v>
                </c:pt>
                <c:pt idx="147">
                  <c:v>438.35079999999999</c:v>
                </c:pt>
                <c:pt idx="148">
                  <c:v>418.5249</c:v>
                </c:pt>
                <c:pt idx="149">
                  <c:v>401.5154</c:v>
                </c:pt>
                <c:pt idx="150">
                  <c:v>386.41590000000002</c:v>
                </c:pt>
                <c:pt idx="151">
                  <c:v>372.4348</c:v>
                </c:pt>
                <c:pt idx="152">
                  <c:v>359.27260000000001</c:v>
                </c:pt>
                <c:pt idx="153">
                  <c:v>346.42349999999999</c:v>
                </c:pt>
                <c:pt idx="154">
                  <c:v>334.03190000000001</c:v>
                </c:pt>
                <c:pt idx="155">
                  <c:v>321.71249999999998</c:v>
                </c:pt>
                <c:pt idx="156">
                  <c:v>310.98480000000001</c:v>
                </c:pt>
                <c:pt idx="157">
                  <c:v>300.27190000000002</c:v>
                </c:pt>
                <c:pt idx="158">
                  <c:v>289.89920000000001</c:v>
                </c:pt>
                <c:pt idx="159">
                  <c:v>279.52940000000001</c:v>
                </c:pt>
                <c:pt idx="160">
                  <c:v>271.21260000000001</c:v>
                </c:pt>
                <c:pt idx="161">
                  <c:v>262.8963</c:v>
                </c:pt>
                <c:pt idx="162">
                  <c:v>255.4897</c:v>
                </c:pt>
                <c:pt idx="163">
                  <c:v>248.08330000000001</c:v>
                </c:pt>
                <c:pt idx="164">
                  <c:v>242.71180000000001</c:v>
                </c:pt>
                <c:pt idx="165">
                  <c:v>237.34030000000001</c:v>
                </c:pt>
                <c:pt idx="166">
                  <c:v>232.37479999999999</c:v>
                </c:pt>
                <c:pt idx="167">
                  <c:v>227.40940000000001</c:v>
                </c:pt>
                <c:pt idx="168">
                  <c:v>223.3075</c:v>
                </c:pt>
                <c:pt idx="169">
                  <c:v>219.20570000000001</c:v>
                </c:pt>
                <c:pt idx="170">
                  <c:v>215.47030000000001</c:v>
                </c:pt>
                <c:pt idx="171">
                  <c:v>211.73480000000001</c:v>
                </c:pt>
                <c:pt idx="172">
                  <c:v>208.44739999999999</c:v>
                </c:pt>
                <c:pt idx="173">
                  <c:v>205.16</c:v>
                </c:pt>
                <c:pt idx="174">
                  <c:v>202.3622</c:v>
                </c:pt>
                <c:pt idx="175">
                  <c:v>199.5643</c:v>
                </c:pt>
                <c:pt idx="176">
                  <c:v>197.5275</c:v>
                </c:pt>
                <c:pt idx="177">
                  <c:v>195.49080000000001</c:v>
                </c:pt>
                <c:pt idx="178">
                  <c:v>192.595</c:v>
                </c:pt>
                <c:pt idx="179">
                  <c:v>189.69929999999999</c:v>
                </c:pt>
                <c:pt idx="180">
                  <c:v>186.1216</c:v>
                </c:pt>
                <c:pt idx="181">
                  <c:v>182.54390000000001</c:v>
                </c:pt>
                <c:pt idx="182">
                  <c:v>179.95359999999999</c:v>
                </c:pt>
                <c:pt idx="183">
                  <c:v>177.36330000000001</c:v>
                </c:pt>
                <c:pt idx="184">
                  <c:v>175.9042</c:v>
                </c:pt>
                <c:pt idx="185">
                  <c:v>174.4451</c:v>
                </c:pt>
                <c:pt idx="186">
                  <c:v>173.22550000000001</c:v>
                </c:pt>
                <c:pt idx="187">
                  <c:v>172.00579999999999</c:v>
                </c:pt>
                <c:pt idx="188">
                  <c:v>170.12090000000001</c:v>
                </c:pt>
                <c:pt idx="189">
                  <c:v>168.23609999999999</c:v>
                </c:pt>
                <c:pt idx="190">
                  <c:v>166.99019999999999</c:v>
                </c:pt>
                <c:pt idx="191">
                  <c:v>165.74449999999999</c:v>
                </c:pt>
                <c:pt idx="192">
                  <c:v>163.71129999999999</c:v>
                </c:pt>
                <c:pt idx="193">
                  <c:v>161.6782</c:v>
                </c:pt>
                <c:pt idx="194">
                  <c:v>160.27959999999999</c:v>
                </c:pt>
                <c:pt idx="195">
                  <c:v>158.881</c:v>
                </c:pt>
                <c:pt idx="196">
                  <c:v>157.374</c:v>
                </c:pt>
                <c:pt idx="197">
                  <c:v>155.86709999999999</c:v>
                </c:pt>
                <c:pt idx="198">
                  <c:v>154.69829999999999</c:v>
                </c:pt>
                <c:pt idx="199">
                  <c:v>153.52950000000001</c:v>
                </c:pt>
                <c:pt idx="200">
                  <c:v>153.2028</c:v>
                </c:pt>
                <c:pt idx="201">
                  <c:v>152.87610000000001</c:v>
                </c:pt>
                <c:pt idx="202">
                  <c:v>152.57859999999999</c:v>
                </c:pt>
                <c:pt idx="203">
                  <c:v>152.28120000000001</c:v>
                </c:pt>
                <c:pt idx="204">
                  <c:v>151.38239999999999</c:v>
                </c:pt>
                <c:pt idx="205">
                  <c:v>150.4836</c:v>
                </c:pt>
                <c:pt idx="206">
                  <c:v>150.26609999999999</c:v>
                </c:pt>
                <c:pt idx="207">
                  <c:v>150.04849999999999</c:v>
                </c:pt>
                <c:pt idx="208">
                  <c:v>150.02600000000001</c:v>
                </c:pt>
                <c:pt idx="209">
                  <c:v>150.0035</c:v>
                </c:pt>
                <c:pt idx="210">
                  <c:v>150.0018</c:v>
                </c:pt>
                <c:pt idx="211">
                  <c:v>150.00020000000001</c:v>
                </c:pt>
                <c:pt idx="212">
                  <c:v>150.0001</c:v>
                </c:pt>
                <c:pt idx="213">
                  <c:v>150</c:v>
                </c:pt>
                <c:pt idx="214">
                  <c:v>150</c:v>
                </c:pt>
                <c:pt idx="215">
                  <c:v>150</c:v>
                </c:pt>
                <c:pt idx="216">
                  <c:v>150</c:v>
                </c:pt>
                <c:pt idx="217">
                  <c:v>150</c:v>
                </c:pt>
                <c:pt idx="218">
                  <c:v>150</c:v>
                </c:pt>
                <c:pt idx="219">
                  <c:v>150</c:v>
                </c:pt>
                <c:pt idx="220">
                  <c:v>150</c:v>
                </c:pt>
                <c:pt idx="221">
                  <c:v>150</c:v>
                </c:pt>
                <c:pt idx="222">
                  <c:v>150</c:v>
                </c:pt>
                <c:pt idx="223">
                  <c:v>150</c:v>
                </c:pt>
                <c:pt idx="224">
                  <c:v>150</c:v>
                </c:pt>
                <c:pt idx="225">
                  <c:v>150</c:v>
                </c:pt>
                <c:pt idx="226">
                  <c:v>150</c:v>
                </c:pt>
                <c:pt idx="227">
                  <c:v>150</c:v>
                </c:pt>
                <c:pt idx="228">
                  <c:v>150</c:v>
                </c:pt>
                <c:pt idx="229">
                  <c:v>150</c:v>
                </c:pt>
                <c:pt idx="230">
                  <c:v>150</c:v>
                </c:pt>
                <c:pt idx="231">
                  <c:v>150</c:v>
                </c:pt>
                <c:pt idx="232">
                  <c:v>150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150</c:v>
                </c:pt>
                <c:pt idx="243">
                  <c:v>150</c:v>
                </c:pt>
                <c:pt idx="244">
                  <c:v>150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150</c:v>
                </c:pt>
                <c:pt idx="250">
                  <c:v>150</c:v>
                </c:pt>
                <c:pt idx="251">
                  <c:v>150</c:v>
                </c:pt>
                <c:pt idx="252">
                  <c:v>150</c:v>
                </c:pt>
                <c:pt idx="253">
                  <c:v>150</c:v>
                </c:pt>
                <c:pt idx="254">
                  <c:v>149.99930000000001</c:v>
                </c:pt>
                <c:pt idx="255">
                  <c:v>149.9941</c:v>
                </c:pt>
                <c:pt idx="256">
                  <c:v>149.97720000000001</c:v>
                </c:pt>
                <c:pt idx="257">
                  <c:v>149.8443</c:v>
                </c:pt>
                <c:pt idx="258">
                  <c:v>149.66659999999999</c:v>
                </c:pt>
                <c:pt idx="259">
                  <c:v>148.27209999999999</c:v>
                </c:pt>
                <c:pt idx="260">
                  <c:v>147.2885</c:v>
                </c:pt>
                <c:pt idx="261">
                  <c:v>139.5712</c:v>
                </c:pt>
                <c:pt idx="262">
                  <c:v>136.49950000000001</c:v>
                </c:pt>
                <c:pt idx="263">
                  <c:v>112.3999</c:v>
                </c:pt>
                <c:pt idx="264">
                  <c:v>107.0501</c:v>
                </c:pt>
                <c:pt idx="265">
                  <c:v>65.080719999999999</c:v>
                </c:pt>
                <c:pt idx="266">
                  <c:v>60.303739999999998</c:v>
                </c:pt>
                <c:pt idx="267">
                  <c:v>22.83465</c:v>
                </c:pt>
                <c:pt idx="268">
                  <c:v>20.936720000000001</c:v>
                </c:pt>
                <c:pt idx="269">
                  <c:v>6.0570040000000001</c:v>
                </c:pt>
                <c:pt idx="270">
                  <c:v>5.5254849999999998</c:v>
                </c:pt>
                <c:pt idx="271">
                  <c:v>1.35989</c:v>
                </c:pt>
                <c:pt idx="272">
                  <c:v>1.2369969999999999</c:v>
                </c:pt>
                <c:pt idx="273">
                  <c:v>0.27411600000000003</c:v>
                </c:pt>
                <c:pt idx="274">
                  <c:v>0.248893</c:v>
                </c:pt>
                <c:pt idx="275">
                  <c:v>5.1300999999999999E-2</c:v>
                </c:pt>
                <c:pt idx="276">
                  <c:v>4.6523000000000002E-2</c:v>
                </c:pt>
                <c:pt idx="277">
                  <c:v>9.0989999999999994E-3</c:v>
                </c:pt>
                <c:pt idx="278">
                  <c:v>8.2439999999999996E-3</c:v>
                </c:pt>
                <c:pt idx="279">
                  <c:v>1.5499999999999999E-3</c:v>
                </c:pt>
                <c:pt idx="280">
                  <c:v>1.403E-3</c:v>
                </c:pt>
                <c:pt idx="281">
                  <c:v>2.5599999999999999E-4</c:v>
                </c:pt>
                <c:pt idx="282">
                  <c:v>2.32E-4</c:v>
                </c:pt>
                <c:pt idx="283" formatCode="0.00E+00">
                  <c:v>4.1199999999999999E-5</c:v>
                </c:pt>
                <c:pt idx="284" formatCode="0.00E+00">
                  <c:v>3.7299999999999999E-5</c:v>
                </c:pt>
                <c:pt idx="285" formatCode="0.00E+00">
                  <c:v>6.4999999999999996E-6</c:v>
                </c:pt>
                <c:pt idx="286" formatCode="0.00E+00">
                  <c:v>5.8799999999999996E-6</c:v>
                </c:pt>
                <c:pt idx="287" formatCode="0.00E+00">
                  <c:v>1.0100000000000001E-6</c:v>
                </c:pt>
                <c:pt idx="288" formatCode="0.00E+00">
                  <c:v>9.1200000000000001E-7</c:v>
                </c:pt>
                <c:pt idx="289" formatCode="0.00E+00">
                  <c:v>1.54E-7</c:v>
                </c:pt>
                <c:pt idx="290" formatCode="0.00E+00">
                  <c:v>1.3899999999999999E-7</c:v>
                </c:pt>
                <c:pt idx="291" formatCode="0.00E+00">
                  <c:v>2.33E-8</c:v>
                </c:pt>
                <c:pt idx="292" formatCode="0.00E+00">
                  <c:v>2.11E-8</c:v>
                </c:pt>
                <c:pt idx="293" formatCode="0.00E+00">
                  <c:v>3.4900000000000001E-9</c:v>
                </c:pt>
                <c:pt idx="294" formatCode="0.00E+00">
                  <c:v>3.1500000000000001E-9</c:v>
                </c:pt>
                <c:pt idx="295" formatCode="0.00E+00">
                  <c:v>5.1699999999999997E-10</c:v>
                </c:pt>
                <c:pt idx="296" formatCode="0.00E+00">
                  <c:v>4.6700000000000004E-10</c:v>
                </c:pt>
                <c:pt idx="297" formatCode="0.00E+00">
                  <c:v>7.5900000000000004E-11</c:v>
                </c:pt>
                <c:pt idx="298" formatCode="0.00E+00">
                  <c:v>6.8600000000000001E-11</c:v>
                </c:pt>
                <c:pt idx="299" formatCode="0.00E+00">
                  <c:v>1.1100000000000001E-11</c:v>
                </c:pt>
                <c:pt idx="300" formatCode="0.00E+00">
                  <c:v>9.9999999999999994E-12</c:v>
                </c:pt>
                <c:pt idx="301" formatCode="0.00E+00">
                  <c:v>1.61E-12</c:v>
                </c:pt>
                <c:pt idx="302" formatCode="0.00E+00">
                  <c:v>1.4500000000000001E-12</c:v>
                </c:pt>
                <c:pt idx="303" formatCode="0.00E+00">
                  <c:v>2.3200000000000002E-13</c:v>
                </c:pt>
                <c:pt idx="304" formatCode="0.00E+00">
                  <c:v>2.0899999999999999E-13</c:v>
                </c:pt>
                <c:pt idx="305" formatCode="0.00E+00">
                  <c:v>3.3300000000000001E-14</c:v>
                </c:pt>
                <c:pt idx="306" formatCode="0.00E+00">
                  <c:v>2.9999999999999998E-14</c:v>
                </c:pt>
                <c:pt idx="307" formatCode="0.00E+00">
                  <c:v>4.7500000000000003E-15</c:v>
                </c:pt>
                <c:pt idx="308" formatCode="0.00E+00">
                  <c:v>4.2899999999999999E-15</c:v>
                </c:pt>
                <c:pt idx="309" formatCode="0.00E+00">
                  <c:v>6.7600000000000004E-16</c:v>
                </c:pt>
                <c:pt idx="310" formatCode="0.00E+00">
                  <c:v>6.0999999999999995E-16</c:v>
                </c:pt>
                <c:pt idx="311" formatCode="0.00E+00">
                  <c:v>9.5799999999999999E-17</c:v>
                </c:pt>
                <c:pt idx="312" formatCode="0.00E+00">
                  <c:v>8.65E-17</c:v>
                </c:pt>
                <c:pt idx="313" formatCode="0.00E+00">
                  <c:v>1.3500000000000001E-17</c:v>
                </c:pt>
                <c:pt idx="314" formatCode="0.00E+00">
                  <c:v>1.22E-17</c:v>
                </c:pt>
                <c:pt idx="315" formatCode="0.00E+00">
                  <c:v>1.8999999999999999E-18</c:v>
                </c:pt>
                <c:pt idx="316" formatCode="0.00E+00">
                  <c:v>1.7200000000000001E-18</c:v>
                </c:pt>
                <c:pt idx="317" formatCode="0.00E+00">
                  <c:v>2.67E-19</c:v>
                </c:pt>
                <c:pt idx="318" formatCode="0.00E+00">
                  <c:v>2.4100000000000001E-19</c:v>
                </c:pt>
                <c:pt idx="319" formatCode="0.00E+00">
                  <c:v>3.7400000000000002E-20</c:v>
                </c:pt>
                <c:pt idx="320" formatCode="0.00E+00">
                  <c:v>3.3699999999999999E-20</c:v>
                </c:pt>
                <c:pt idx="321" formatCode="0.00E+00">
                  <c:v>5.2100000000000002E-21</c:v>
                </c:pt>
                <c:pt idx="322" formatCode="0.00E+00">
                  <c:v>4.7100000000000002E-21</c:v>
                </c:pt>
                <c:pt idx="323" formatCode="0.00E+00">
                  <c:v>7.2599999999999996E-22</c:v>
                </c:pt>
                <c:pt idx="324" formatCode="0.00E+00">
                  <c:v>6.5499999999999998E-22</c:v>
                </c:pt>
                <c:pt idx="325" formatCode="0.00E+00">
                  <c:v>1.01E-22</c:v>
                </c:pt>
                <c:pt idx="326" formatCode="0.00E+00">
                  <c:v>9.0999999999999999E-23</c:v>
                </c:pt>
                <c:pt idx="327" formatCode="0.00E+00">
                  <c:v>1.3999999999999999E-23</c:v>
                </c:pt>
                <c:pt idx="328" formatCode="0.00E+00">
                  <c:v>1.26E-23</c:v>
                </c:pt>
                <c:pt idx="329" formatCode="0.00E+00">
                  <c:v>1.93E-24</c:v>
                </c:pt>
                <c:pt idx="330" formatCode="0.00E+00">
                  <c:v>1.7399999999999998E-24</c:v>
                </c:pt>
                <c:pt idx="331" formatCode="0.00E+00">
                  <c:v>2.6699999999999998E-25</c:v>
                </c:pt>
                <c:pt idx="332" formatCode="0.00E+00">
                  <c:v>2.4100000000000001E-25</c:v>
                </c:pt>
                <c:pt idx="333" formatCode="0.00E+00">
                  <c:v>3.6799999999999999E-26</c:v>
                </c:pt>
                <c:pt idx="334" formatCode="0.00E+00">
                  <c:v>3.3199999999999998E-26</c:v>
                </c:pt>
                <c:pt idx="335" formatCode="0.00E+00">
                  <c:v>5.0600000000000003E-27</c:v>
                </c:pt>
                <c:pt idx="336" formatCode="0.00E+00">
                  <c:v>4.5699999999999998E-27</c:v>
                </c:pt>
                <c:pt idx="337" formatCode="0.00E+00">
                  <c:v>6.9500000000000004E-28</c:v>
                </c:pt>
                <c:pt idx="338" formatCode="0.00E+00">
                  <c:v>6.2699999999999997E-28</c:v>
                </c:pt>
                <c:pt idx="339" formatCode="0.00E+00">
                  <c:v>9.5400000000000002E-29</c:v>
                </c:pt>
                <c:pt idx="340" formatCode="0.00E+00">
                  <c:v>8.6100000000000004E-29</c:v>
                </c:pt>
                <c:pt idx="341" formatCode="0.00E+00">
                  <c:v>1.3100000000000001E-29</c:v>
                </c:pt>
                <c:pt idx="342" formatCode="0.00E+00">
                  <c:v>1.18E-29</c:v>
                </c:pt>
                <c:pt idx="343" formatCode="0.00E+00">
                  <c:v>1.7899999999999999E-30</c:v>
                </c:pt>
                <c:pt idx="344" formatCode="0.00E+00">
                  <c:v>1.6100000000000001E-30</c:v>
                </c:pt>
                <c:pt idx="345" formatCode="0.00E+00">
                  <c:v>2.4399999999999998E-31</c:v>
                </c:pt>
                <c:pt idx="346" formatCode="0.00E+00">
                  <c:v>2.2000000000000001E-31</c:v>
                </c:pt>
                <c:pt idx="347" formatCode="0.00E+00">
                  <c:v>3.3299999999999998E-32</c:v>
                </c:pt>
                <c:pt idx="348" formatCode="0.00E+00">
                  <c:v>3.0099999999999999E-32</c:v>
                </c:pt>
                <c:pt idx="349" formatCode="0.00E+00">
                  <c:v>4.5399999999999998E-33</c:v>
                </c:pt>
                <c:pt idx="350" formatCode="0.00E+00">
                  <c:v>4.1E-33</c:v>
                </c:pt>
                <c:pt idx="351" formatCode="0.00E+00">
                  <c:v>6.1899999999999998E-34</c:v>
                </c:pt>
                <c:pt idx="352" formatCode="0.00E+00">
                  <c:v>5.5800000000000003E-34</c:v>
                </c:pt>
                <c:pt idx="353" formatCode="0.00E+00">
                  <c:v>8.4100000000000001E-35</c:v>
                </c:pt>
                <c:pt idx="354" formatCode="0.00E+00">
                  <c:v>7.59E-35</c:v>
                </c:pt>
                <c:pt idx="355" formatCode="0.00E+00">
                  <c:v>1.14E-35</c:v>
                </c:pt>
                <c:pt idx="356" formatCode="0.00E+00">
                  <c:v>1.03E-35</c:v>
                </c:pt>
                <c:pt idx="357" formatCode="0.00E+00">
                  <c:v>1.5499999999999999E-36</c:v>
                </c:pt>
                <c:pt idx="358" formatCode="0.00E+00">
                  <c:v>1.4000000000000001E-36</c:v>
                </c:pt>
                <c:pt idx="359" formatCode="0.00E+00">
                  <c:v>2.1000000000000001E-37</c:v>
                </c:pt>
                <c:pt idx="360" formatCode="0.00E+00">
                  <c:v>1.9000000000000002E-37</c:v>
                </c:pt>
                <c:pt idx="361" formatCode="0.00E+00">
                  <c:v>2.85E-38</c:v>
                </c:pt>
                <c:pt idx="362" formatCode="0.00E+00">
                  <c:v>2.57E-38</c:v>
                </c:pt>
                <c:pt idx="363" formatCode="0.00E+00">
                  <c:v>3.86E-39</c:v>
                </c:pt>
                <c:pt idx="364" formatCode="0.00E+00">
                  <c:v>3.4799999999999999E-39</c:v>
                </c:pt>
                <c:pt idx="365" formatCode="0.00E+00">
                  <c:v>5.2200000000000001E-40</c:v>
                </c:pt>
                <c:pt idx="366" formatCode="0.00E+00">
                  <c:v>4.7099999999999998E-40</c:v>
                </c:pt>
                <c:pt idx="367" formatCode="0.00E+00">
                  <c:v>7.0599999999999998E-41</c:v>
                </c:pt>
                <c:pt idx="368" formatCode="0.00E+00">
                  <c:v>6.3700000000000003E-41</c:v>
                </c:pt>
                <c:pt idx="369" formatCode="0.00E+00">
                  <c:v>9.5400000000000002E-42</c:v>
                </c:pt>
                <c:pt idx="370" formatCode="0.00E+00">
                  <c:v>8.6099999999999998E-42</c:v>
                </c:pt>
                <c:pt idx="371" formatCode="0.00E+00">
                  <c:v>1.29E-42</c:v>
                </c:pt>
                <c:pt idx="372" formatCode="0.00E+00">
                  <c:v>1.1600000000000001E-42</c:v>
                </c:pt>
                <c:pt idx="373" formatCode="0.00E+00">
                  <c:v>1.7200000000000001E-43</c:v>
                </c:pt>
                <c:pt idx="374" formatCode="0.00E+00">
                  <c:v>1.57E-43</c:v>
                </c:pt>
                <c:pt idx="375" formatCode="0.00E+00">
                  <c:v>2.2400000000000001E-44</c:v>
                </c:pt>
                <c:pt idx="376" formatCode="0.00E+00">
                  <c:v>2.1E-44</c:v>
                </c:pt>
                <c:pt idx="377" formatCode="0.00E+00">
                  <c:v>2.8000000000000001E-45</c:v>
                </c:pt>
                <c:pt idx="378" formatCode="0.00E+00">
                  <c:v>2.8000000000000001E-45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7-4BD7-9B3A-8691CBEFB615}"/>
            </c:ext>
          </c:extLst>
        </c:ser>
        <c:ser>
          <c:idx val="2"/>
          <c:order val="2"/>
          <c:tx>
            <c:strRef>
              <c:f>花园口以上洪水!$H$1</c:f>
              <c:strCache>
                <c:ptCount val="1"/>
                <c:pt idx="0">
                  <c:v>黑石关</c:v>
                </c:pt>
              </c:strCache>
            </c:strRef>
          </c:tx>
          <c:marker>
            <c:symbol val="none"/>
          </c:marker>
          <c:val>
            <c:numRef>
              <c:f>花园口以上洪水!$H$2:$H$746</c:f>
              <c:numCache>
                <c:formatCode>General</c:formatCode>
                <c:ptCount val="745"/>
                <c:pt idx="0">
                  <c:v>602</c:v>
                </c:pt>
                <c:pt idx="1">
                  <c:v>603</c:v>
                </c:pt>
                <c:pt idx="2">
                  <c:v>602.00009999999997</c:v>
                </c:pt>
                <c:pt idx="3">
                  <c:v>603.00009999999997</c:v>
                </c:pt>
                <c:pt idx="4">
                  <c:v>605.50509999999997</c:v>
                </c:pt>
                <c:pt idx="5">
                  <c:v>610.0068</c:v>
                </c:pt>
                <c:pt idx="6">
                  <c:v>613.58240000000001</c:v>
                </c:pt>
                <c:pt idx="7">
                  <c:v>619.10820000000001</c:v>
                </c:pt>
                <c:pt idx="8">
                  <c:v>623.57600000000002</c:v>
                </c:pt>
                <c:pt idx="9">
                  <c:v>629.74210000000005</c:v>
                </c:pt>
                <c:pt idx="10">
                  <c:v>634.67899999999997</c:v>
                </c:pt>
                <c:pt idx="11">
                  <c:v>640.73540000000003</c:v>
                </c:pt>
                <c:pt idx="12">
                  <c:v>645.83519999999999</c:v>
                </c:pt>
                <c:pt idx="13">
                  <c:v>651.55050000000006</c:v>
                </c:pt>
                <c:pt idx="14">
                  <c:v>658.77970000000005</c:v>
                </c:pt>
                <c:pt idx="15">
                  <c:v>666.29859999999996</c:v>
                </c:pt>
                <c:pt idx="16">
                  <c:v>693.09270000000004</c:v>
                </c:pt>
                <c:pt idx="17">
                  <c:v>719.47109999999998</c:v>
                </c:pt>
                <c:pt idx="18">
                  <c:v>852.03070000000002</c:v>
                </c:pt>
                <c:pt idx="19">
                  <c:v>978.6377</c:v>
                </c:pt>
                <c:pt idx="20">
                  <c:v>1495.981</c:v>
                </c:pt>
                <c:pt idx="21">
                  <c:v>1980.684</c:v>
                </c:pt>
                <c:pt idx="22">
                  <c:v>3196.4140000000002</c:v>
                </c:pt>
                <c:pt idx="23">
                  <c:v>4313.9960000000001</c:v>
                </c:pt>
                <c:pt idx="24">
                  <c:v>6037.915</c:v>
                </c:pt>
                <c:pt idx="25">
                  <c:v>7601.4170000000004</c:v>
                </c:pt>
                <c:pt idx="26">
                  <c:v>8770.3919999999998</c:v>
                </c:pt>
                <c:pt idx="27">
                  <c:v>9000</c:v>
                </c:pt>
                <c:pt idx="28">
                  <c:v>9000</c:v>
                </c:pt>
                <c:pt idx="29">
                  <c:v>9000</c:v>
                </c:pt>
                <c:pt idx="30">
                  <c:v>9000</c:v>
                </c:pt>
                <c:pt idx="31">
                  <c:v>9000</c:v>
                </c:pt>
                <c:pt idx="32">
                  <c:v>9000</c:v>
                </c:pt>
                <c:pt idx="33">
                  <c:v>9000</c:v>
                </c:pt>
                <c:pt idx="34">
                  <c:v>9000</c:v>
                </c:pt>
                <c:pt idx="35">
                  <c:v>9000</c:v>
                </c:pt>
                <c:pt idx="36">
                  <c:v>8595.2340000000004</c:v>
                </c:pt>
                <c:pt idx="37">
                  <c:v>7954.7030000000004</c:v>
                </c:pt>
                <c:pt idx="38">
                  <c:v>7277.95</c:v>
                </c:pt>
                <c:pt idx="39">
                  <c:v>6656.7179999999998</c:v>
                </c:pt>
                <c:pt idx="40">
                  <c:v>6007.5780000000004</c:v>
                </c:pt>
                <c:pt idx="41">
                  <c:v>5518.3620000000001</c:v>
                </c:pt>
                <c:pt idx="42">
                  <c:v>4913.8530000000001</c:v>
                </c:pt>
                <c:pt idx="43">
                  <c:v>4570.3389999999999</c:v>
                </c:pt>
                <c:pt idx="44">
                  <c:v>4092.9690000000001</c:v>
                </c:pt>
                <c:pt idx="45">
                  <c:v>3863.7130000000002</c:v>
                </c:pt>
                <c:pt idx="46">
                  <c:v>3536.9229999999998</c:v>
                </c:pt>
                <c:pt idx="47">
                  <c:v>3391.393</c:v>
                </c:pt>
                <c:pt idx="48">
                  <c:v>3235.03</c:v>
                </c:pt>
                <c:pt idx="49">
                  <c:v>3186.8760000000002</c:v>
                </c:pt>
                <c:pt idx="50">
                  <c:v>3129.4670000000001</c:v>
                </c:pt>
                <c:pt idx="51">
                  <c:v>3128.0430000000001</c:v>
                </c:pt>
                <c:pt idx="52">
                  <c:v>3123.723</c:v>
                </c:pt>
                <c:pt idx="53">
                  <c:v>3145.6959999999999</c:v>
                </c:pt>
                <c:pt idx="54">
                  <c:v>3177.3780000000002</c:v>
                </c:pt>
                <c:pt idx="55">
                  <c:v>3220.799</c:v>
                </c:pt>
                <c:pt idx="56">
                  <c:v>3297.5369999999998</c:v>
                </c:pt>
                <c:pt idx="57">
                  <c:v>3381.4430000000002</c:v>
                </c:pt>
                <c:pt idx="58">
                  <c:v>3668.4229999999998</c:v>
                </c:pt>
                <c:pt idx="59">
                  <c:v>3974.4409999999998</c:v>
                </c:pt>
                <c:pt idx="60">
                  <c:v>4194.4799999999996</c:v>
                </c:pt>
                <c:pt idx="61">
                  <c:v>4488.933</c:v>
                </c:pt>
                <c:pt idx="62">
                  <c:v>4656.8729999999996</c:v>
                </c:pt>
                <c:pt idx="63">
                  <c:v>5003.1130000000003</c:v>
                </c:pt>
                <c:pt idx="64">
                  <c:v>5302.6779999999999</c:v>
                </c:pt>
                <c:pt idx="65">
                  <c:v>5808.5429999999997</c:v>
                </c:pt>
                <c:pt idx="66">
                  <c:v>6303.5320000000002</c:v>
                </c:pt>
                <c:pt idx="67">
                  <c:v>6860.1109999999999</c:v>
                </c:pt>
                <c:pt idx="68">
                  <c:v>7448.4979999999996</c:v>
                </c:pt>
                <c:pt idx="69">
                  <c:v>8012.8829999999998</c:v>
                </c:pt>
                <c:pt idx="70">
                  <c:v>8615.8310000000001</c:v>
                </c:pt>
                <c:pt idx="71">
                  <c:v>9000</c:v>
                </c:pt>
                <c:pt idx="72">
                  <c:v>9000</c:v>
                </c:pt>
                <c:pt idx="73">
                  <c:v>9000</c:v>
                </c:pt>
                <c:pt idx="74">
                  <c:v>9000</c:v>
                </c:pt>
                <c:pt idx="75">
                  <c:v>9000</c:v>
                </c:pt>
                <c:pt idx="76">
                  <c:v>9000</c:v>
                </c:pt>
                <c:pt idx="77">
                  <c:v>9000</c:v>
                </c:pt>
                <c:pt idx="78">
                  <c:v>9000</c:v>
                </c:pt>
                <c:pt idx="79">
                  <c:v>9000</c:v>
                </c:pt>
                <c:pt idx="80">
                  <c:v>9000</c:v>
                </c:pt>
                <c:pt idx="81">
                  <c:v>9000</c:v>
                </c:pt>
                <c:pt idx="82">
                  <c:v>8534.7749999999996</c:v>
                </c:pt>
                <c:pt idx="83">
                  <c:v>8033.2240000000002</c:v>
                </c:pt>
                <c:pt idx="84">
                  <c:v>7601.643</c:v>
                </c:pt>
                <c:pt idx="85">
                  <c:v>7171.0609999999997</c:v>
                </c:pt>
                <c:pt idx="86">
                  <c:v>6928.8729999999996</c:v>
                </c:pt>
                <c:pt idx="87">
                  <c:v>6687.17</c:v>
                </c:pt>
                <c:pt idx="88">
                  <c:v>6668.9610000000002</c:v>
                </c:pt>
                <c:pt idx="89">
                  <c:v>6650.9690000000001</c:v>
                </c:pt>
                <c:pt idx="90">
                  <c:v>6699.9660000000003</c:v>
                </c:pt>
                <c:pt idx="91">
                  <c:v>6749.0559999999996</c:v>
                </c:pt>
                <c:pt idx="92">
                  <c:v>6671.7709999999997</c:v>
                </c:pt>
                <c:pt idx="93">
                  <c:v>6594.5259999999998</c:v>
                </c:pt>
                <c:pt idx="94">
                  <c:v>6325.5079999999998</c:v>
                </c:pt>
                <c:pt idx="95">
                  <c:v>6056.5069999999996</c:v>
                </c:pt>
                <c:pt idx="96">
                  <c:v>5695.1019999999999</c:v>
                </c:pt>
                <c:pt idx="97">
                  <c:v>5333.7030000000004</c:v>
                </c:pt>
                <c:pt idx="98">
                  <c:v>4940.79</c:v>
                </c:pt>
                <c:pt idx="99">
                  <c:v>4547.8789999999999</c:v>
                </c:pt>
                <c:pt idx="100">
                  <c:v>4168.1109999999999</c:v>
                </c:pt>
                <c:pt idx="101">
                  <c:v>3788.3449999999998</c:v>
                </c:pt>
                <c:pt idx="102">
                  <c:v>3462.2280000000001</c:v>
                </c:pt>
                <c:pt idx="103">
                  <c:v>3136.1109999999999</c:v>
                </c:pt>
                <c:pt idx="104">
                  <c:v>2895.2310000000002</c:v>
                </c:pt>
                <c:pt idx="105">
                  <c:v>2654.3519999999999</c:v>
                </c:pt>
                <c:pt idx="106">
                  <c:v>2530.7600000000002</c:v>
                </c:pt>
                <c:pt idx="107">
                  <c:v>2407.1680000000001</c:v>
                </c:pt>
                <c:pt idx="108">
                  <c:v>2385.6210000000001</c:v>
                </c:pt>
                <c:pt idx="109">
                  <c:v>2364.0729999999999</c:v>
                </c:pt>
                <c:pt idx="110">
                  <c:v>2383.3980000000001</c:v>
                </c:pt>
                <c:pt idx="111">
                  <c:v>2402.7220000000002</c:v>
                </c:pt>
                <c:pt idx="112">
                  <c:v>2499.1590000000001</c:v>
                </c:pt>
                <c:pt idx="113">
                  <c:v>2595.5770000000002</c:v>
                </c:pt>
                <c:pt idx="114">
                  <c:v>2888.24</c:v>
                </c:pt>
                <c:pt idx="115">
                  <c:v>3180.627</c:v>
                </c:pt>
                <c:pt idx="116">
                  <c:v>3611.5529999999999</c:v>
                </c:pt>
                <c:pt idx="117">
                  <c:v>4040.1840000000002</c:v>
                </c:pt>
                <c:pt idx="118">
                  <c:v>4396.7290000000003</c:v>
                </c:pt>
                <c:pt idx="119">
                  <c:v>4741.4219999999996</c:v>
                </c:pt>
                <c:pt idx="120">
                  <c:v>4973.3500000000004</c:v>
                </c:pt>
                <c:pt idx="121">
                  <c:v>5166.3140000000003</c:v>
                </c:pt>
                <c:pt idx="122">
                  <c:v>4955.3919999999998</c:v>
                </c:pt>
                <c:pt idx="123">
                  <c:v>4661.7839999999997</c:v>
                </c:pt>
                <c:pt idx="124">
                  <c:v>4283.32</c:v>
                </c:pt>
                <c:pt idx="125">
                  <c:v>3786.828</c:v>
                </c:pt>
                <c:pt idx="126">
                  <c:v>3480.7620000000002</c:v>
                </c:pt>
                <c:pt idx="127">
                  <c:v>3053.2739999999999</c:v>
                </c:pt>
                <c:pt idx="128">
                  <c:v>2851.297</c:v>
                </c:pt>
                <c:pt idx="129">
                  <c:v>2562.1410000000001</c:v>
                </c:pt>
                <c:pt idx="130">
                  <c:v>2430.2049999999999</c:v>
                </c:pt>
                <c:pt idx="131">
                  <c:v>2248.4580000000001</c:v>
                </c:pt>
                <c:pt idx="132">
                  <c:v>2154</c:v>
                </c:pt>
                <c:pt idx="133">
                  <c:v>2034.8150000000001</c:v>
                </c:pt>
                <c:pt idx="134">
                  <c:v>1957.2270000000001</c:v>
                </c:pt>
                <c:pt idx="135">
                  <c:v>1868.402</c:v>
                </c:pt>
                <c:pt idx="136">
                  <c:v>1799.164</c:v>
                </c:pt>
                <c:pt idx="137">
                  <c:v>1725.1</c:v>
                </c:pt>
                <c:pt idx="138">
                  <c:v>1661.741</c:v>
                </c:pt>
                <c:pt idx="139">
                  <c:v>1596.383</c:v>
                </c:pt>
                <c:pt idx="140">
                  <c:v>1538.2360000000001</c:v>
                </c:pt>
                <c:pt idx="141">
                  <c:v>1479.2809999999999</c:v>
                </c:pt>
                <c:pt idx="142">
                  <c:v>1426.394</c:v>
                </c:pt>
                <c:pt idx="143">
                  <c:v>1373.192</c:v>
                </c:pt>
                <c:pt idx="144">
                  <c:v>1325.7639999999999</c:v>
                </c:pt>
                <c:pt idx="145">
                  <c:v>1278.2750000000001</c:v>
                </c:pt>
                <c:pt idx="146">
                  <c:v>1236.4069999999999</c:v>
                </c:pt>
                <c:pt idx="147">
                  <c:v>1194.83</c:v>
                </c:pt>
                <c:pt idx="148">
                  <c:v>1157.828</c:v>
                </c:pt>
                <c:pt idx="149">
                  <c:v>1121.8800000000001</c:v>
                </c:pt>
                <c:pt idx="150">
                  <c:v>1089.414</c:v>
                </c:pt>
                <c:pt idx="151">
                  <c:v>1059.0260000000001</c:v>
                </c:pt>
                <c:pt idx="152">
                  <c:v>1031.1969999999999</c:v>
                </c:pt>
                <c:pt idx="153">
                  <c:v>1005.838</c:v>
                </c:pt>
                <c:pt idx="154">
                  <c:v>984.01459999999997</c:v>
                </c:pt>
                <c:pt idx="155">
                  <c:v>964.06309999999996</c:v>
                </c:pt>
                <c:pt idx="156">
                  <c:v>945.21780000000001</c:v>
                </c:pt>
                <c:pt idx="157">
                  <c:v>927.46810000000005</c:v>
                </c:pt>
                <c:pt idx="158">
                  <c:v>910.79499999999996</c:v>
                </c:pt>
                <c:pt idx="159">
                  <c:v>894.67250000000001</c:v>
                </c:pt>
                <c:pt idx="160">
                  <c:v>879.84280000000001</c:v>
                </c:pt>
                <c:pt idx="161">
                  <c:v>865.26490000000001</c:v>
                </c:pt>
                <c:pt idx="162">
                  <c:v>851.68050000000005</c:v>
                </c:pt>
                <c:pt idx="163">
                  <c:v>838.20460000000003</c:v>
                </c:pt>
                <c:pt idx="164">
                  <c:v>826.63750000000005</c:v>
                </c:pt>
                <c:pt idx="165">
                  <c:v>815.1155</c:v>
                </c:pt>
                <c:pt idx="166">
                  <c:v>804.43359999999996</c:v>
                </c:pt>
                <c:pt idx="167">
                  <c:v>793.77</c:v>
                </c:pt>
                <c:pt idx="168">
                  <c:v>785.2894</c:v>
                </c:pt>
                <c:pt idx="169">
                  <c:v>776.81619999999998</c:v>
                </c:pt>
                <c:pt idx="170">
                  <c:v>769.06039999999996</c:v>
                </c:pt>
                <c:pt idx="171">
                  <c:v>761.30740000000003</c:v>
                </c:pt>
                <c:pt idx="172">
                  <c:v>755.04340000000002</c:v>
                </c:pt>
                <c:pt idx="173">
                  <c:v>748.78060000000005</c:v>
                </c:pt>
                <c:pt idx="174">
                  <c:v>743.28110000000004</c:v>
                </c:pt>
                <c:pt idx="175">
                  <c:v>737.78210000000001</c:v>
                </c:pt>
                <c:pt idx="176">
                  <c:v>732.92370000000005</c:v>
                </c:pt>
                <c:pt idx="177">
                  <c:v>728.06560000000002</c:v>
                </c:pt>
                <c:pt idx="178">
                  <c:v>723.83789999999999</c:v>
                </c:pt>
                <c:pt idx="179">
                  <c:v>719.61030000000005</c:v>
                </c:pt>
                <c:pt idx="180">
                  <c:v>715.62570000000005</c:v>
                </c:pt>
                <c:pt idx="181">
                  <c:v>711.6413</c:v>
                </c:pt>
                <c:pt idx="182">
                  <c:v>708.18209999999999</c:v>
                </c:pt>
                <c:pt idx="183">
                  <c:v>704.72299999999996</c:v>
                </c:pt>
                <c:pt idx="184">
                  <c:v>700.90219999999999</c:v>
                </c:pt>
                <c:pt idx="185">
                  <c:v>697.08140000000003</c:v>
                </c:pt>
                <c:pt idx="186">
                  <c:v>693.54719999999998</c:v>
                </c:pt>
                <c:pt idx="187">
                  <c:v>690.01300000000003</c:v>
                </c:pt>
                <c:pt idx="188">
                  <c:v>687.21939999999995</c:v>
                </c:pt>
                <c:pt idx="189">
                  <c:v>684.42589999999996</c:v>
                </c:pt>
                <c:pt idx="190">
                  <c:v>682.17550000000006</c:v>
                </c:pt>
                <c:pt idx="191">
                  <c:v>679.92520000000002</c:v>
                </c:pt>
                <c:pt idx="192">
                  <c:v>677.69489999999996</c:v>
                </c:pt>
                <c:pt idx="193">
                  <c:v>675.46469999999999</c:v>
                </c:pt>
                <c:pt idx="194">
                  <c:v>673.49260000000004</c:v>
                </c:pt>
                <c:pt idx="195">
                  <c:v>671.5204</c:v>
                </c:pt>
                <c:pt idx="196">
                  <c:v>669.45169999999996</c:v>
                </c:pt>
                <c:pt idx="197">
                  <c:v>667.38289999999995</c:v>
                </c:pt>
                <c:pt idx="198">
                  <c:v>665.47529999999995</c:v>
                </c:pt>
                <c:pt idx="199">
                  <c:v>663.56780000000003</c:v>
                </c:pt>
                <c:pt idx="200">
                  <c:v>661.76900000000001</c:v>
                </c:pt>
                <c:pt idx="201">
                  <c:v>659.97019999999998</c:v>
                </c:pt>
                <c:pt idx="202">
                  <c:v>658.3741</c:v>
                </c:pt>
                <c:pt idx="203">
                  <c:v>656.77809999999999</c:v>
                </c:pt>
                <c:pt idx="204">
                  <c:v>655.73829999999998</c:v>
                </c:pt>
                <c:pt idx="205">
                  <c:v>654.69849999999997</c:v>
                </c:pt>
                <c:pt idx="206">
                  <c:v>654.02419999999995</c:v>
                </c:pt>
                <c:pt idx="207">
                  <c:v>653.35</c:v>
                </c:pt>
                <c:pt idx="208">
                  <c:v>652.62490000000003</c:v>
                </c:pt>
                <c:pt idx="209">
                  <c:v>651.9</c:v>
                </c:pt>
                <c:pt idx="210">
                  <c:v>651.40549999999996</c:v>
                </c:pt>
                <c:pt idx="211">
                  <c:v>650.91120000000001</c:v>
                </c:pt>
                <c:pt idx="212">
                  <c:v>650.65520000000004</c:v>
                </c:pt>
                <c:pt idx="213">
                  <c:v>650.39909999999998</c:v>
                </c:pt>
                <c:pt idx="214">
                  <c:v>650.28269999999998</c:v>
                </c:pt>
                <c:pt idx="215">
                  <c:v>650.16629999999998</c:v>
                </c:pt>
                <c:pt idx="216">
                  <c:v>650.11680000000001</c:v>
                </c:pt>
                <c:pt idx="217">
                  <c:v>650.06730000000005</c:v>
                </c:pt>
                <c:pt idx="218">
                  <c:v>650.04700000000003</c:v>
                </c:pt>
                <c:pt idx="219">
                  <c:v>650.02670000000001</c:v>
                </c:pt>
                <c:pt idx="220">
                  <c:v>650.01859999999999</c:v>
                </c:pt>
                <c:pt idx="221">
                  <c:v>650.0104</c:v>
                </c:pt>
                <c:pt idx="222">
                  <c:v>650.00720000000001</c:v>
                </c:pt>
                <c:pt idx="223">
                  <c:v>650.00400000000002</c:v>
                </c:pt>
                <c:pt idx="224">
                  <c:v>650.0027</c:v>
                </c:pt>
                <c:pt idx="225">
                  <c:v>650.00149999999996</c:v>
                </c:pt>
                <c:pt idx="226">
                  <c:v>650.00099999999998</c:v>
                </c:pt>
                <c:pt idx="227">
                  <c:v>650.00049999999999</c:v>
                </c:pt>
                <c:pt idx="228">
                  <c:v>650.00030000000004</c:v>
                </c:pt>
                <c:pt idx="229">
                  <c:v>650.00009999999997</c:v>
                </c:pt>
                <c:pt idx="230">
                  <c:v>650.00009999999997</c:v>
                </c:pt>
                <c:pt idx="231">
                  <c:v>650</c:v>
                </c:pt>
                <c:pt idx="232">
                  <c:v>650</c:v>
                </c:pt>
                <c:pt idx="233">
                  <c:v>649.99990000000003</c:v>
                </c:pt>
                <c:pt idx="234">
                  <c:v>649.99990000000003</c:v>
                </c:pt>
                <c:pt idx="235">
                  <c:v>649.99990000000003</c:v>
                </c:pt>
                <c:pt idx="236">
                  <c:v>649.99990000000003</c:v>
                </c:pt>
                <c:pt idx="237">
                  <c:v>649.99990000000003</c:v>
                </c:pt>
                <c:pt idx="238">
                  <c:v>649.99990000000003</c:v>
                </c:pt>
                <c:pt idx="239">
                  <c:v>649.99990000000003</c:v>
                </c:pt>
                <c:pt idx="240">
                  <c:v>649.99990000000003</c:v>
                </c:pt>
                <c:pt idx="241">
                  <c:v>649.99990000000003</c:v>
                </c:pt>
                <c:pt idx="242">
                  <c:v>649.99990000000003</c:v>
                </c:pt>
                <c:pt idx="243">
                  <c:v>649.99990000000003</c:v>
                </c:pt>
                <c:pt idx="244">
                  <c:v>649.99990000000003</c:v>
                </c:pt>
                <c:pt idx="245">
                  <c:v>649.99990000000003</c:v>
                </c:pt>
                <c:pt idx="246">
                  <c:v>649.99990000000003</c:v>
                </c:pt>
                <c:pt idx="247">
                  <c:v>649.99990000000003</c:v>
                </c:pt>
                <c:pt idx="248">
                  <c:v>649.99990000000003</c:v>
                </c:pt>
                <c:pt idx="249">
                  <c:v>649.99990000000003</c:v>
                </c:pt>
                <c:pt idx="250">
                  <c:v>649.99990000000003</c:v>
                </c:pt>
                <c:pt idx="251">
                  <c:v>649.99990000000003</c:v>
                </c:pt>
                <c:pt idx="252">
                  <c:v>649.99990000000003</c:v>
                </c:pt>
                <c:pt idx="253">
                  <c:v>649.99990000000003</c:v>
                </c:pt>
                <c:pt idx="254">
                  <c:v>649.99990000000003</c:v>
                </c:pt>
                <c:pt idx="255">
                  <c:v>649.99800000000005</c:v>
                </c:pt>
                <c:pt idx="256">
                  <c:v>649.99760000000003</c:v>
                </c:pt>
                <c:pt idx="257">
                  <c:v>649.94579999999996</c:v>
                </c:pt>
                <c:pt idx="258">
                  <c:v>649.93409999999994</c:v>
                </c:pt>
                <c:pt idx="259">
                  <c:v>649.22659999999996</c:v>
                </c:pt>
                <c:pt idx="260">
                  <c:v>649.06679999999994</c:v>
                </c:pt>
                <c:pt idx="261">
                  <c:v>643.54539999999997</c:v>
                </c:pt>
                <c:pt idx="262">
                  <c:v>642.29750000000001</c:v>
                </c:pt>
                <c:pt idx="263">
                  <c:v>616.37369999999999</c:v>
                </c:pt>
                <c:pt idx="264">
                  <c:v>610.54660000000001</c:v>
                </c:pt>
                <c:pt idx="265">
                  <c:v>537.2817</c:v>
                </c:pt>
                <c:pt idx="266">
                  <c:v>521.04790000000003</c:v>
                </c:pt>
                <c:pt idx="267">
                  <c:v>399.85449999999997</c:v>
                </c:pt>
                <c:pt idx="268">
                  <c:v>373.90289999999999</c:v>
                </c:pt>
                <c:pt idx="269">
                  <c:v>254.61109999999999</c:v>
                </c:pt>
                <c:pt idx="270">
                  <c:v>231.22139999999999</c:v>
                </c:pt>
                <c:pt idx="271">
                  <c:v>140.38480000000001</c:v>
                </c:pt>
                <c:pt idx="272">
                  <c:v>125.0616</c:v>
                </c:pt>
                <c:pt idx="273">
                  <c:v>69.291330000000002</c:v>
                </c:pt>
                <c:pt idx="274">
                  <c:v>60.9636</c:v>
                </c:pt>
                <c:pt idx="275">
                  <c:v>31.61478</c:v>
                </c:pt>
                <c:pt idx="276">
                  <c:v>27.584499999999998</c:v>
                </c:pt>
                <c:pt idx="277">
                  <c:v>13.663589999999999</c:v>
                </c:pt>
                <c:pt idx="278">
                  <c:v>11.85374</c:v>
                </c:pt>
                <c:pt idx="279">
                  <c:v>5.6912029999999998</c:v>
                </c:pt>
                <c:pt idx="280">
                  <c:v>4.917719</c:v>
                </c:pt>
                <c:pt idx="281">
                  <c:v>2.3119450000000001</c:v>
                </c:pt>
                <c:pt idx="282">
                  <c:v>1.9921739999999999</c:v>
                </c:pt>
                <c:pt idx="283">
                  <c:v>0.92344800000000005</c:v>
                </c:pt>
                <c:pt idx="284">
                  <c:v>0.794184</c:v>
                </c:pt>
                <c:pt idx="285">
                  <c:v>0.36467500000000003</c:v>
                </c:pt>
                <c:pt idx="286">
                  <c:v>0.31320999999999999</c:v>
                </c:pt>
                <c:pt idx="287">
                  <c:v>0.14291699999999999</c:v>
                </c:pt>
                <c:pt idx="288">
                  <c:v>0.122636</c:v>
                </c:pt>
                <c:pt idx="289">
                  <c:v>5.5724000000000003E-2</c:v>
                </c:pt>
                <c:pt idx="290">
                  <c:v>4.7787000000000003E-2</c:v>
                </c:pt>
                <c:pt idx="291">
                  <c:v>2.1652999999999999E-2</c:v>
                </c:pt>
                <c:pt idx="292">
                  <c:v>1.8561999999999999E-2</c:v>
                </c:pt>
                <c:pt idx="293">
                  <c:v>8.3949999999999997E-3</c:v>
                </c:pt>
                <c:pt idx="294">
                  <c:v>7.1939999999999999E-3</c:v>
                </c:pt>
                <c:pt idx="295">
                  <c:v>3.2499999999999999E-3</c:v>
                </c:pt>
                <c:pt idx="296">
                  <c:v>2.7850000000000001E-3</c:v>
                </c:pt>
                <c:pt idx="297">
                  <c:v>1.2570000000000001E-3</c:v>
                </c:pt>
                <c:pt idx="298">
                  <c:v>1.077E-3</c:v>
                </c:pt>
                <c:pt idx="299">
                  <c:v>4.86E-4</c:v>
                </c:pt>
                <c:pt idx="300">
                  <c:v>4.1599999999999997E-4</c:v>
                </c:pt>
                <c:pt idx="301">
                  <c:v>1.8799999999999999E-4</c:v>
                </c:pt>
                <c:pt idx="302">
                  <c:v>1.6100000000000001E-4</c:v>
                </c:pt>
                <c:pt idx="303" formatCode="0.00E+00">
                  <c:v>7.25E-5</c:v>
                </c:pt>
                <c:pt idx="304" formatCode="0.00E+00">
                  <c:v>6.2100000000000005E-5</c:v>
                </c:pt>
                <c:pt idx="305" formatCode="0.00E+00">
                  <c:v>2.8E-5</c:v>
                </c:pt>
                <c:pt idx="306" formatCode="0.00E+00">
                  <c:v>2.4000000000000001E-5</c:v>
                </c:pt>
                <c:pt idx="307" formatCode="0.00E+00">
                  <c:v>1.08E-5</c:v>
                </c:pt>
                <c:pt idx="308" formatCode="0.00E+00">
                  <c:v>9.2499999999999995E-6</c:v>
                </c:pt>
                <c:pt idx="309" formatCode="0.00E+00">
                  <c:v>4.1699999999999999E-6</c:v>
                </c:pt>
                <c:pt idx="310" formatCode="0.00E+00">
                  <c:v>3.5700000000000001E-6</c:v>
                </c:pt>
                <c:pt idx="311" formatCode="0.00E+00">
                  <c:v>1.61E-6</c:v>
                </c:pt>
                <c:pt idx="312" formatCode="0.00E+00">
                  <c:v>1.3799999999999999E-6</c:v>
                </c:pt>
                <c:pt idx="313" formatCode="0.00E+00">
                  <c:v>6.2200000000000004E-7</c:v>
                </c:pt>
                <c:pt idx="314" formatCode="0.00E+00">
                  <c:v>5.3200000000000005E-7</c:v>
                </c:pt>
                <c:pt idx="315" formatCode="0.00E+00">
                  <c:v>2.3999999999999998E-7</c:v>
                </c:pt>
                <c:pt idx="316" formatCode="0.00E+00">
                  <c:v>2.0599999999999999E-7</c:v>
                </c:pt>
                <c:pt idx="317" formatCode="0.00E+00">
                  <c:v>9.2599999999999995E-8</c:v>
                </c:pt>
                <c:pt idx="318" formatCode="0.00E+00">
                  <c:v>7.9300000000000002E-8</c:v>
                </c:pt>
                <c:pt idx="319" formatCode="0.00E+00">
                  <c:v>3.5700000000000002E-8</c:v>
                </c:pt>
                <c:pt idx="320" formatCode="0.00E+00">
                  <c:v>3.0600000000000003E-8</c:v>
                </c:pt>
                <c:pt idx="321" formatCode="0.00E+00">
                  <c:v>1.3799999999999999E-8</c:v>
                </c:pt>
                <c:pt idx="322" formatCode="0.00E+00">
                  <c:v>1.18E-8</c:v>
                </c:pt>
                <c:pt idx="323" formatCode="0.00E+00">
                  <c:v>5.3300000000000004E-9</c:v>
                </c:pt>
                <c:pt idx="324" formatCode="0.00E+00">
                  <c:v>4.56E-9</c:v>
                </c:pt>
                <c:pt idx="325" formatCode="0.00E+00">
                  <c:v>2.0599999999999999E-9</c:v>
                </c:pt>
                <c:pt idx="326" formatCode="0.00E+00">
                  <c:v>1.7599999999999999E-9</c:v>
                </c:pt>
                <c:pt idx="327" formatCode="0.00E+00">
                  <c:v>7.9400000000000005E-10</c:v>
                </c:pt>
                <c:pt idx="328" formatCode="0.00E+00">
                  <c:v>6.8000000000000003E-10</c:v>
                </c:pt>
                <c:pt idx="329" formatCode="0.00E+00">
                  <c:v>3.0599999999999998E-10</c:v>
                </c:pt>
                <c:pt idx="330" formatCode="0.00E+00">
                  <c:v>2.6200000000000003E-10</c:v>
                </c:pt>
                <c:pt idx="331" formatCode="0.00E+00">
                  <c:v>1.1800000000000001E-10</c:v>
                </c:pt>
                <c:pt idx="332" formatCode="0.00E+00">
                  <c:v>1.01E-10</c:v>
                </c:pt>
                <c:pt idx="333" formatCode="0.00E+00">
                  <c:v>4.5600000000000003E-11</c:v>
                </c:pt>
                <c:pt idx="334" formatCode="0.00E+00">
                  <c:v>3.9099999999999999E-11</c:v>
                </c:pt>
                <c:pt idx="335" formatCode="0.00E+00">
                  <c:v>1.7599999999999999E-11</c:v>
                </c:pt>
                <c:pt idx="336" formatCode="0.00E+00">
                  <c:v>1.5100000000000001E-11</c:v>
                </c:pt>
                <c:pt idx="337" formatCode="0.00E+00">
                  <c:v>6.8000000000000001E-12</c:v>
                </c:pt>
                <c:pt idx="338" formatCode="0.00E+00">
                  <c:v>5.83E-12</c:v>
                </c:pt>
                <c:pt idx="339" formatCode="0.00E+00">
                  <c:v>2.6299999999999999E-12</c:v>
                </c:pt>
                <c:pt idx="340" formatCode="0.00E+00">
                  <c:v>2.2499999999999999E-12</c:v>
                </c:pt>
                <c:pt idx="341" formatCode="0.00E+00">
                  <c:v>1.0099999999999999E-12</c:v>
                </c:pt>
                <c:pt idx="342" formatCode="0.00E+00">
                  <c:v>8.6800000000000004E-13</c:v>
                </c:pt>
                <c:pt idx="343" formatCode="0.00E+00">
                  <c:v>3.91E-13</c:v>
                </c:pt>
                <c:pt idx="344" formatCode="0.00E+00">
                  <c:v>3.3499999999999999E-13</c:v>
                </c:pt>
                <c:pt idx="345" formatCode="0.00E+00">
                  <c:v>1.5099999999999999E-13</c:v>
                </c:pt>
                <c:pt idx="346" formatCode="0.00E+00">
                  <c:v>1.2900000000000001E-13</c:v>
                </c:pt>
                <c:pt idx="347" formatCode="0.00E+00">
                  <c:v>5.8300000000000001E-14</c:v>
                </c:pt>
                <c:pt idx="348" formatCode="0.00E+00">
                  <c:v>4.9900000000000001E-14</c:v>
                </c:pt>
                <c:pt idx="349" formatCode="0.00E+00">
                  <c:v>2.2499999999999999E-14</c:v>
                </c:pt>
                <c:pt idx="350" formatCode="0.00E+00">
                  <c:v>1.93E-14</c:v>
                </c:pt>
                <c:pt idx="351" formatCode="0.00E+00">
                  <c:v>8.6800000000000006E-15</c:v>
                </c:pt>
                <c:pt idx="352" formatCode="0.00E+00">
                  <c:v>7.4399999999999994E-15</c:v>
                </c:pt>
                <c:pt idx="353" formatCode="0.00E+00">
                  <c:v>3.35E-15</c:v>
                </c:pt>
                <c:pt idx="354" formatCode="0.00E+00">
                  <c:v>2.8700000000000001E-15</c:v>
                </c:pt>
                <c:pt idx="355" formatCode="0.00E+00">
                  <c:v>1.2900000000000001E-15</c:v>
                </c:pt>
                <c:pt idx="356" formatCode="0.00E+00">
                  <c:v>1.1100000000000001E-15</c:v>
                </c:pt>
                <c:pt idx="357" formatCode="0.00E+00">
                  <c:v>4.9900000000000002E-16</c:v>
                </c:pt>
                <c:pt idx="358" formatCode="0.00E+00">
                  <c:v>4.28E-16</c:v>
                </c:pt>
                <c:pt idx="359" formatCode="0.00E+00">
                  <c:v>1.9300000000000001E-16</c:v>
                </c:pt>
                <c:pt idx="360" formatCode="0.00E+00">
                  <c:v>1.6499999999999999E-16</c:v>
                </c:pt>
                <c:pt idx="361" formatCode="0.00E+00">
                  <c:v>7.4399999999999999E-17</c:v>
                </c:pt>
                <c:pt idx="362" formatCode="0.00E+00">
                  <c:v>6.3700000000000005E-17</c:v>
                </c:pt>
                <c:pt idx="363" formatCode="0.00E+00">
                  <c:v>2.8700000000000003E-17</c:v>
                </c:pt>
                <c:pt idx="364" formatCode="0.00E+00">
                  <c:v>2.4599999999999999E-17</c:v>
                </c:pt>
                <c:pt idx="365" formatCode="0.00E+00">
                  <c:v>1.1099999999999999E-17</c:v>
                </c:pt>
                <c:pt idx="366" formatCode="0.00E+00">
                  <c:v>9.5000000000000003E-18</c:v>
                </c:pt>
                <c:pt idx="367" formatCode="0.00E+00">
                  <c:v>4.2800000000000003E-18</c:v>
                </c:pt>
                <c:pt idx="368" formatCode="0.00E+00">
                  <c:v>3.6699999999999997E-18</c:v>
                </c:pt>
                <c:pt idx="369" formatCode="0.00E+00">
                  <c:v>1.6500000000000001E-18</c:v>
                </c:pt>
                <c:pt idx="370" formatCode="0.00E+00">
                  <c:v>1.41E-18</c:v>
                </c:pt>
                <c:pt idx="371" formatCode="0.00E+00">
                  <c:v>6.3799999999999999E-19</c:v>
                </c:pt>
                <c:pt idx="372" formatCode="0.00E+00">
                  <c:v>5.4600000000000002E-19</c:v>
                </c:pt>
                <c:pt idx="373" formatCode="0.00E+00">
                  <c:v>2.4599999999999998E-19</c:v>
                </c:pt>
                <c:pt idx="374" formatCode="0.00E+00">
                  <c:v>2.11E-19</c:v>
                </c:pt>
                <c:pt idx="375" formatCode="0.00E+00">
                  <c:v>9.5E-20</c:v>
                </c:pt>
                <c:pt idx="376" formatCode="0.00E+00">
                  <c:v>8.1400000000000006E-20</c:v>
                </c:pt>
                <c:pt idx="377" formatCode="0.00E+00">
                  <c:v>3.6700000000000003E-20</c:v>
                </c:pt>
                <c:pt idx="378" formatCode="0.00E+00">
                  <c:v>3.1400000000000001E-20</c:v>
                </c:pt>
                <c:pt idx="379" formatCode="0.00E+00">
                  <c:v>1.4199999999999999E-20</c:v>
                </c:pt>
                <c:pt idx="380" formatCode="0.00E+00">
                  <c:v>1.21E-20</c:v>
                </c:pt>
                <c:pt idx="381" formatCode="0.00E+00">
                  <c:v>5.4600000000000003E-21</c:v>
                </c:pt>
                <c:pt idx="382" formatCode="0.00E+00">
                  <c:v>4.6799999999999998E-21</c:v>
                </c:pt>
                <c:pt idx="383" formatCode="0.00E+00">
                  <c:v>2.11E-21</c:v>
                </c:pt>
                <c:pt idx="384" formatCode="0.00E+00">
                  <c:v>1.8099999999999998E-21</c:v>
                </c:pt>
                <c:pt idx="385" formatCode="0.00E+00">
                  <c:v>8.1399999999999998E-22</c:v>
                </c:pt>
                <c:pt idx="386" formatCode="0.00E+00">
                  <c:v>6.9700000000000001E-22</c:v>
                </c:pt>
                <c:pt idx="387" formatCode="0.00E+00">
                  <c:v>3.1399999999999998E-22</c:v>
                </c:pt>
                <c:pt idx="388" formatCode="0.00E+00">
                  <c:v>2.69E-22</c:v>
                </c:pt>
                <c:pt idx="389" formatCode="0.00E+00">
                  <c:v>1.2099999999999999E-22</c:v>
                </c:pt>
                <c:pt idx="390" formatCode="0.00E+00">
                  <c:v>1.04E-22</c:v>
                </c:pt>
                <c:pt idx="391" formatCode="0.00E+00">
                  <c:v>4.68E-23</c:v>
                </c:pt>
                <c:pt idx="392" formatCode="0.00E+00">
                  <c:v>4.0099999999999999E-23</c:v>
                </c:pt>
                <c:pt idx="393" formatCode="0.00E+00">
                  <c:v>1.8099999999999999E-23</c:v>
                </c:pt>
                <c:pt idx="394" formatCode="0.00E+00">
                  <c:v>1.5499999999999999E-23</c:v>
                </c:pt>
                <c:pt idx="395" formatCode="0.00E+00">
                  <c:v>6.9800000000000001E-24</c:v>
                </c:pt>
                <c:pt idx="396" formatCode="0.00E+00">
                  <c:v>5.98E-24</c:v>
                </c:pt>
                <c:pt idx="397" formatCode="0.00E+00">
                  <c:v>2.6900000000000001E-24</c:v>
                </c:pt>
                <c:pt idx="398" formatCode="0.00E+00">
                  <c:v>2.3100000000000001E-24</c:v>
                </c:pt>
                <c:pt idx="399" formatCode="0.00E+00">
                  <c:v>1.04E-24</c:v>
                </c:pt>
                <c:pt idx="400" formatCode="0.00E+00">
                  <c:v>8.9000000000000005E-25</c:v>
                </c:pt>
                <c:pt idx="401" formatCode="0.00E+00">
                  <c:v>4.0100000000000001E-25</c:v>
                </c:pt>
                <c:pt idx="402" formatCode="0.00E+00">
                  <c:v>3.4399999999999999E-25</c:v>
                </c:pt>
                <c:pt idx="403" formatCode="0.00E+00">
                  <c:v>1.55E-25</c:v>
                </c:pt>
                <c:pt idx="404" formatCode="0.00E+00">
                  <c:v>1.3299999999999999E-25</c:v>
                </c:pt>
                <c:pt idx="405" formatCode="0.00E+00">
                  <c:v>5.9800000000000003E-26</c:v>
                </c:pt>
                <c:pt idx="406" formatCode="0.00E+00">
                  <c:v>5.1199999999999999E-26</c:v>
                </c:pt>
                <c:pt idx="407" formatCode="0.00E+00">
                  <c:v>2.3100000000000001E-26</c:v>
                </c:pt>
                <c:pt idx="408" formatCode="0.00E+00">
                  <c:v>1.9800000000000001E-26</c:v>
                </c:pt>
                <c:pt idx="409" formatCode="0.00E+00">
                  <c:v>8.9099999999999995E-27</c:v>
                </c:pt>
                <c:pt idx="410" formatCode="0.00E+00">
                  <c:v>7.6299999999999993E-27</c:v>
                </c:pt>
                <c:pt idx="411" formatCode="0.00E+00">
                  <c:v>3.44E-27</c:v>
                </c:pt>
                <c:pt idx="412" formatCode="0.00E+00">
                  <c:v>2.9499999999999999E-27</c:v>
                </c:pt>
                <c:pt idx="413" formatCode="0.00E+00">
                  <c:v>1.33E-27</c:v>
                </c:pt>
                <c:pt idx="414" formatCode="0.00E+00">
                  <c:v>1.1400000000000001E-27</c:v>
                </c:pt>
                <c:pt idx="415" formatCode="0.00E+00">
                  <c:v>5.1200000000000004E-28</c:v>
                </c:pt>
                <c:pt idx="416" formatCode="0.00E+00">
                  <c:v>4.3900000000000002E-28</c:v>
                </c:pt>
                <c:pt idx="417" formatCode="0.00E+00">
                  <c:v>1.9800000000000001E-28</c:v>
                </c:pt>
                <c:pt idx="418" formatCode="0.00E+00">
                  <c:v>1.6900000000000001E-28</c:v>
                </c:pt>
                <c:pt idx="419" formatCode="0.00E+00">
                  <c:v>7.6299999999999998E-29</c:v>
                </c:pt>
                <c:pt idx="420" formatCode="0.00E+00">
                  <c:v>6.54E-29</c:v>
                </c:pt>
                <c:pt idx="421" formatCode="0.00E+00">
                  <c:v>2.95E-29</c:v>
                </c:pt>
                <c:pt idx="422" formatCode="0.00E+00">
                  <c:v>2.5199999999999999E-29</c:v>
                </c:pt>
                <c:pt idx="423" formatCode="0.00E+00">
                  <c:v>1.14E-29</c:v>
                </c:pt>
                <c:pt idx="424" formatCode="0.00E+00">
                  <c:v>9.7400000000000005E-30</c:v>
                </c:pt>
                <c:pt idx="425" formatCode="0.00E+00">
                  <c:v>4.3900000000000001E-30</c:v>
                </c:pt>
                <c:pt idx="426" formatCode="0.00E+00">
                  <c:v>3.7599999999999999E-30</c:v>
                </c:pt>
                <c:pt idx="427" formatCode="0.00E+00">
                  <c:v>1.6899999999999999E-30</c:v>
                </c:pt>
                <c:pt idx="428" formatCode="0.00E+00">
                  <c:v>1.4499999999999999E-30</c:v>
                </c:pt>
                <c:pt idx="429" formatCode="0.00E+00">
                  <c:v>6.5399999999999999E-31</c:v>
                </c:pt>
                <c:pt idx="430" formatCode="0.00E+00">
                  <c:v>5.5999999999999998E-31</c:v>
                </c:pt>
                <c:pt idx="431" formatCode="0.00E+00">
                  <c:v>2.5199999999999999E-31</c:v>
                </c:pt>
                <c:pt idx="432" formatCode="0.00E+00">
                  <c:v>2.1599999999999998E-31</c:v>
                </c:pt>
                <c:pt idx="433" formatCode="0.00E+00">
                  <c:v>9.7400000000000005E-32</c:v>
                </c:pt>
                <c:pt idx="434" formatCode="0.00E+00">
                  <c:v>8.3500000000000004E-32</c:v>
                </c:pt>
                <c:pt idx="435" formatCode="0.00E+00">
                  <c:v>3.7600000000000002E-32</c:v>
                </c:pt>
                <c:pt idx="436" formatCode="0.00E+00">
                  <c:v>3.2199999999999999E-32</c:v>
                </c:pt>
                <c:pt idx="437" formatCode="0.00E+00">
                  <c:v>1.45E-32</c:v>
                </c:pt>
                <c:pt idx="438" formatCode="0.00E+00">
                  <c:v>1.24E-32</c:v>
                </c:pt>
                <c:pt idx="439" formatCode="0.00E+00">
                  <c:v>5.5999999999999998E-33</c:v>
                </c:pt>
                <c:pt idx="440" formatCode="0.00E+00">
                  <c:v>4.8E-33</c:v>
                </c:pt>
                <c:pt idx="441" formatCode="0.00E+00">
                  <c:v>2.1600000000000001E-33</c:v>
                </c:pt>
                <c:pt idx="442" formatCode="0.00E+00">
                  <c:v>1.8500000000000001E-33</c:v>
                </c:pt>
                <c:pt idx="443" formatCode="0.00E+00">
                  <c:v>8.3500000000000004E-34</c:v>
                </c:pt>
                <c:pt idx="444" formatCode="0.00E+00">
                  <c:v>7.1500000000000003E-34</c:v>
                </c:pt>
                <c:pt idx="445" formatCode="0.00E+00">
                  <c:v>3.2200000000000001E-34</c:v>
                </c:pt>
                <c:pt idx="446" formatCode="0.00E+00">
                  <c:v>2.7599999999999999E-34</c:v>
                </c:pt>
                <c:pt idx="447" formatCode="0.00E+00">
                  <c:v>1.24E-34</c:v>
                </c:pt>
                <c:pt idx="448" formatCode="0.00E+00">
                  <c:v>1.0700000000000001E-34</c:v>
                </c:pt>
                <c:pt idx="449" formatCode="0.00E+00">
                  <c:v>4.8000000000000003E-35</c:v>
                </c:pt>
                <c:pt idx="450" formatCode="0.00E+00">
                  <c:v>4.11E-35</c:v>
                </c:pt>
                <c:pt idx="451" formatCode="0.00E+00">
                  <c:v>1.8499999999999999E-35</c:v>
                </c:pt>
                <c:pt idx="452" formatCode="0.00E+00">
                  <c:v>1.5899999999999999E-35</c:v>
                </c:pt>
                <c:pt idx="453" formatCode="0.00E+00">
                  <c:v>7.1600000000000005E-36</c:v>
                </c:pt>
                <c:pt idx="454" formatCode="0.00E+00">
                  <c:v>6.1300000000000005E-36</c:v>
                </c:pt>
                <c:pt idx="455" formatCode="0.00E+00">
                  <c:v>2.76E-36</c:v>
                </c:pt>
                <c:pt idx="456" formatCode="0.00E+00">
                  <c:v>2.3699999999999999E-36</c:v>
                </c:pt>
                <c:pt idx="457" formatCode="0.00E+00">
                  <c:v>1.07E-36</c:v>
                </c:pt>
                <c:pt idx="458" formatCode="0.00E+00">
                  <c:v>9.1299999999999993E-37</c:v>
                </c:pt>
                <c:pt idx="459" formatCode="0.00E+00">
                  <c:v>4.1200000000000002E-37</c:v>
                </c:pt>
                <c:pt idx="460" formatCode="0.00E+00">
                  <c:v>3.5299999999999999E-37</c:v>
                </c:pt>
                <c:pt idx="461" formatCode="0.00E+00">
                  <c:v>1.5899999999999999E-37</c:v>
                </c:pt>
                <c:pt idx="462" formatCode="0.00E+00">
                  <c:v>1.3600000000000001E-37</c:v>
                </c:pt>
                <c:pt idx="463" formatCode="0.00E+00">
                  <c:v>6.1300000000000003E-38</c:v>
                </c:pt>
                <c:pt idx="464" formatCode="0.00E+00">
                  <c:v>5.2500000000000002E-38</c:v>
                </c:pt>
                <c:pt idx="465" formatCode="0.00E+00">
                  <c:v>2.3700000000000001E-38</c:v>
                </c:pt>
                <c:pt idx="466" formatCode="0.00E+00">
                  <c:v>2.03E-38</c:v>
                </c:pt>
                <c:pt idx="467" formatCode="0.00E+00">
                  <c:v>9.1399999999999999E-39</c:v>
                </c:pt>
                <c:pt idx="468" formatCode="0.00E+00">
                  <c:v>7.8300000000000002E-39</c:v>
                </c:pt>
                <c:pt idx="469" formatCode="0.00E+00">
                  <c:v>3.5300000000000002E-39</c:v>
                </c:pt>
                <c:pt idx="470" formatCode="0.00E+00">
                  <c:v>3.0199999999999998E-39</c:v>
                </c:pt>
                <c:pt idx="471" formatCode="0.00E+00">
                  <c:v>1.3599999999999999E-39</c:v>
                </c:pt>
                <c:pt idx="472" formatCode="0.00E+00">
                  <c:v>1.17E-39</c:v>
                </c:pt>
                <c:pt idx="473" formatCode="0.00E+00">
                  <c:v>5.2499999999999998E-40</c:v>
                </c:pt>
                <c:pt idx="474" formatCode="0.00E+00">
                  <c:v>4.5000000000000001E-40</c:v>
                </c:pt>
                <c:pt idx="475" formatCode="0.00E+00">
                  <c:v>2.03E-40</c:v>
                </c:pt>
                <c:pt idx="476" formatCode="0.00E+00">
                  <c:v>1.74E-40</c:v>
                </c:pt>
                <c:pt idx="477" formatCode="0.00E+00">
                  <c:v>7.8299999999999997E-41</c:v>
                </c:pt>
                <c:pt idx="478" formatCode="0.00E+00">
                  <c:v>6.7099999999999999E-41</c:v>
                </c:pt>
                <c:pt idx="479" formatCode="0.00E+00">
                  <c:v>3.02E-41</c:v>
                </c:pt>
                <c:pt idx="480" formatCode="0.00E+00">
                  <c:v>2.5900000000000001E-41</c:v>
                </c:pt>
                <c:pt idx="481" formatCode="0.00E+00">
                  <c:v>1.1699999999999999E-41</c:v>
                </c:pt>
                <c:pt idx="482" formatCode="0.00E+00">
                  <c:v>9.9900000000000005E-42</c:v>
                </c:pt>
                <c:pt idx="483" formatCode="0.00E+00">
                  <c:v>4.5000000000000001E-42</c:v>
                </c:pt>
                <c:pt idx="484" formatCode="0.00E+00">
                  <c:v>3.86E-42</c:v>
                </c:pt>
                <c:pt idx="485" formatCode="0.00E+00">
                  <c:v>1.7399999999999999E-42</c:v>
                </c:pt>
                <c:pt idx="486" formatCode="0.00E+00">
                  <c:v>1.4899999999999999E-42</c:v>
                </c:pt>
                <c:pt idx="487" formatCode="0.00E+00">
                  <c:v>6.6999999999999998E-43</c:v>
                </c:pt>
                <c:pt idx="488" formatCode="0.00E+00">
                  <c:v>5.7500000000000001E-43</c:v>
                </c:pt>
                <c:pt idx="489" formatCode="0.00E+00">
                  <c:v>2.5800000000000002E-43</c:v>
                </c:pt>
                <c:pt idx="490" formatCode="0.00E+00">
                  <c:v>2.2100000000000001E-43</c:v>
                </c:pt>
                <c:pt idx="491" formatCode="0.00E+00">
                  <c:v>9.9500000000000002E-44</c:v>
                </c:pt>
                <c:pt idx="492" formatCode="0.00E+00">
                  <c:v>8.5499999999999997E-44</c:v>
                </c:pt>
                <c:pt idx="493" formatCode="0.00E+00">
                  <c:v>3.9199999999999998E-44</c:v>
                </c:pt>
                <c:pt idx="494" formatCode="0.00E+00">
                  <c:v>3.3599999999999999E-44</c:v>
                </c:pt>
                <c:pt idx="495" formatCode="0.00E+00">
                  <c:v>1.4E-44</c:v>
                </c:pt>
                <c:pt idx="496" formatCode="0.00E+00">
                  <c:v>1.2599999999999999E-44</c:v>
                </c:pt>
                <c:pt idx="497" formatCode="0.00E+00">
                  <c:v>5.6100000000000003E-45</c:v>
                </c:pt>
                <c:pt idx="498" formatCode="0.00E+00">
                  <c:v>5.6100000000000003E-45</c:v>
                </c:pt>
                <c:pt idx="499" formatCode="0.00E+00">
                  <c:v>2.8000000000000001E-45</c:v>
                </c:pt>
                <c:pt idx="500" formatCode="0.00E+00">
                  <c:v>2.8000000000000001E-45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D7-4BD7-9B3A-8691CBEFB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085888"/>
        <c:axId val="210111296"/>
      </c:lineChart>
      <c:catAx>
        <c:axId val="210085888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11296"/>
        <c:crosses val="autoZero"/>
        <c:auto val="1"/>
        <c:lblAlgn val="ctr"/>
        <c:lblOffset val="100"/>
        <c:noMultiLvlLbl val="0"/>
      </c:catAx>
      <c:valAx>
        <c:axId val="210111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085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花园口以上洪水!$I$1</c:f>
              <c:strCache>
                <c:ptCount val="1"/>
                <c:pt idx="0">
                  <c:v>山路平</c:v>
                </c:pt>
              </c:strCache>
            </c:strRef>
          </c:tx>
          <c:marker>
            <c:symbol val="none"/>
          </c:marker>
          <c:val>
            <c:numRef>
              <c:f>花园口以上洪水!$I$2:$I$746</c:f>
              <c:numCache>
                <c:formatCode>General</c:formatCode>
                <c:ptCount val="7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2.5</c:v>
                </c:pt>
                <c:pt idx="11">
                  <c:v>4</c:v>
                </c:pt>
                <c:pt idx="12">
                  <c:v>6.5</c:v>
                </c:pt>
                <c:pt idx="13">
                  <c:v>9</c:v>
                </c:pt>
                <c:pt idx="14">
                  <c:v>11.5</c:v>
                </c:pt>
                <c:pt idx="15">
                  <c:v>14</c:v>
                </c:pt>
                <c:pt idx="16">
                  <c:v>15.5</c:v>
                </c:pt>
                <c:pt idx="17">
                  <c:v>17</c:v>
                </c:pt>
                <c:pt idx="18">
                  <c:v>18.5</c:v>
                </c:pt>
                <c:pt idx="19">
                  <c:v>20</c:v>
                </c:pt>
                <c:pt idx="20">
                  <c:v>23</c:v>
                </c:pt>
                <c:pt idx="21">
                  <c:v>26</c:v>
                </c:pt>
                <c:pt idx="22">
                  <c:v>31</c:v>
                </c:pt>
                <c:pt idx="23">
                  <c:v>36</c:v>
                </c:pt>
                <c:pt idx="24">
                  <c:v>42</c:v>
                </c:pt>
                <c:pt idx="25">
                  <c:v>48</c:v>
                </c:pt>
                <c:pt idx="26">
                  <c:v>52.5</c:v>
                </c:pt>
                <c:pt idx="27">
                  <c:v>57</c:v>
                </c:pt>
                <c:pt idx="28">
                  <c:v>750.5</c:v>
                </c:pt>
                <c:pt idx="29">
                  <c:v>1444</c:v>
                </c:pt>
                <c:pt idx="30">
                  <c:v>1560</c:v>
                </c:pt>
                <c:pt idx="31">
                  <c:v>1676</c:v>
                </c:pt>
                <c:pt idx="32">
                  <c:v>1601</c:v>
                </c:pt>
                <c:pt idx="33">
                  <c:v>1526</c:v>
                </c:pt>
                <c:pt idx="34">
                  <c:v>1422.5</c:v>
                </c:pt>
                <c:pt idx="35">
                  <c:v>1319</c:v>
                </c:pt>
                <c:pt idx="36">
                  <c:v>1191.5</c:v>
                </c:pt>
                <c:pt idx="37">
                  <c:v>1064</c:v>
                </c:pt>
                <c:pt idx="38">
                  <c:v>909</c:v>
                </c:pt>
                <c:pt idx="39">
                  <c:v>754</c:v>
                </c:pt>
                <c:pt idx="40">
                  <c:v>614.5</c:v>
                </c:pt>
                <c:pt idx="41">
                  <c:v>475</c:v>
                </c:pt>
                <c:pt idx="42">
                  <c:v>392</c:v>
                </c:pt>
                <c:pt idx="43">
                  <c:v>309</c:v>
                </c:pt>
                <c:pt idx="44">
                  <c:v>264</c:v>
                </c:pt>
                <c:pt idx="45">
                  <c:v>219</c:v>
                </c:pt>
                <c:pt idx="46">
                  <c:v>190.5</c:v>
                </c:pt>
                <c:pt idx="47">
                  <c:v>162</c:v>
                </c:pt>
                <c:pt idx="48">
                  <c:v>144</c:v>
                </c:pt>
                <c:pt idx="49">
                  <c:v>126</c:v>
                </c:pt>
                <c:pt idx="50">
                  <c:v>115.5</c:v>
                </c:pt>
                <c:pt idx="51">
                  <c:v>105</c:v>
                </c:pt>
                <c:pt idx="52">
                  <c:v>129.5</c:v>
                </c:pt>
                <c:pt idx="53">
                  <c:v>154</c:v>
                </c:pt>
                <c:pt idx="54">
                  <c:v>265.5</c:v>
                </c:pt>
                <c:pt idx="55">
                  <c:v>377</c:v>
                </c:pt>
                <c:pt idx="56">
                  <c:v>486.5</c:v>
                </c:pt>
                <c:pt idx="57">
                  <c:v>596</c:v>
                </c:pt>
                <c:pt idx="58">
                  <c:v>631</c:v>
                </c:pt>
                <c:pt idx="59">
                  <c:v>666</c:v>
                </c:pt>
                <c:pt idx="60">
                  <c:v>724.5</c:v>
                </c:pt>
                <c:pt idx="61">
                  <c:v>783</c:v>
                </c:pt>
                <c:pt idx="62">
                  <c:v>782.5</c:v>
                </c:pt>
                <c:pt idx="63">
                  <c:v>782</c:v>
                </c:pt>
                <c:pt idx="64">
                  <c:v>700.5</c:v>
                </c:pt>
                <c:pt idx="65">
                  <c:v>619</c:v>
                </c:pt>
                <c:pt idx="66">
                  <c:v>526</c:v>
                </c:pt>
                <c:pt idx="67">
                  <c:v>433</c:v>
                </c:pt>
                <c:pt idx="68">
                  <c:v>366</c:v>
                </c:pt>
                <c:pt idx="69">
                  <c:v>299</c:v>
                </c:pt>
                <c:pt idx="70">
                  <c:v>262.5</c:v>
                </c:pt>
                <c:pt idx="71">
                  <c:v>226</c:v>
                </c:pt>
                <c:pt idx="72">
                  <c:v>217.5</c:v>
                </c:pt>
                <c:pt idx="73">
                  <c:v>209</c:v>
                </c:pt>
                <c:pt idx="74">
                  <c:v>216.5</c:v>
                </c:pt>
                <c:pt idx="75">
                  <c:v>224</c:v>
                </c:pt>
                <c:pt idx="76">
                  <c:v>235</c:v>
                </c:pt>
                <c:pt idx="77">
                  <c:v>246</c:v>
                </c:pt>
                <c:pt idx="78">
                  <c:v>255.5</c:v>
                </c:pt>
                <c:pt idx="79">
                  <c:v>265</c:v>
                </c:pt>
                <c:pt idx="80">
                  <c:v>268.5</c:v>
                </c:pt>
                <c:pt idx="81">
                  <c:v>272</c:v>
                </c:pt>
                <c:pt idx="82">
                  <c:v>272.5</c:v>
                </c:pt>
                <c:pt idx="83">
                  <c:v>273</c:v>
                </c:pt>
                <c:pt idx="84">
                  <c:v>274</c:v>
                </c:pt>
                <c:pt idx="85">
                  <c:v>275</c:v>
                </c:pt>
                <c:pt idx="86">
                  <c:v>269.5</c:v>
                </c:pt>
                <c:pt idx="87">
                  <c:v>264</c:v>
                </c:pt>
                <c:pt idx="88">
                  <c:v>253.5</c:v>
                </c:pt>
                <c:pt idx="89">
                  <c:v>243</c:v>
                </c:pt>
                <c:pt idx="90">
                  <c:v>242</c:v>
                </c:pt>
                <c:pt idx="91">
                  <c:v>241</c:v>
                </c:pt>
                <c:pt idx="92">
                  <c:v>660</c:v>
                </c:pt>
                <c:pt idx="93">
                  <c:v>1079</c:v>
                </c:pt>
                <c:pt idx="94">
                  <c:v>1138</c:v>
                </c:pt>
                <c:pt idx="95">
                  <c:v>1197</c:v>
                </c:pt>
                <c:pt idx="96">
                  <c:v>1085</c:v>
                </c:pt>
                <c:pt idx="97">
                  <c:v>973</c:v>
                </c:pt>
                <c:pt idx="98">
                  <c:v>844.5</c:v>
                </c:pt>
                <c:pt idx="99">
                  <c:v>716</c:v>
                </c:pt>
                <c:pt idx="100">
                  <c:v>601.5</c:v>
                </c:pt>
                <c:pt idx="101">
                  <c:v>487</c:v>
                </c:pt>
                <c:pt idx="102">
                  <c:v>404.5</c:v>
                </c:pt>
                <c:pt idx="103">
                  <c:v>322</c:v>
                </c:pt>
                <c:pt idx="104">
                  <c:v>268</c:v>
                </c:pt>
                <c:pt idx="105">
                  <c:v>214</c:v>
                </c:pt>
                <c:pt idx="106">
                  <c:v>179.5</c:v>
                </c:pt>
                <c:pt idx="107">
                  <c:v>145</c:v>
                </c:pt>
                <c:pt idx="108">
                  <c:v>123.5</c:v>
                </c:pt>
                <c:pt idx="109">
                  <c:v>102</c:v>
                </c:pt>
                <c:pt idx="110">
                  <c:v>88.5</c:v>
                </c:pt>
                <c:pt idx="111">
                  <c:v>75</c:v>
                </c:pt>
                <c:pt idx="112">
                  <c:v>66</c:v>
                </c:pt>
                <c:pt idx="113">
                  <c:v>57</c:v>
                </c:pt>
                <c:pt idx="114">
                  <c:v>51</c:v>
                </c:pt>
                <c:pt idx="115">
                  <c:v>45</c:v>
                </c:pt>
                <c:pt idx="116">
                  <c:v>41</c:v>
                </c:pt>
                <c:pt idx="117">
                  <c:v>37</c:v>
                </c:pt>
                <c:pt idx="118">
                  <c:v>34</c:v>
                </c:pt>
                <c:pt idx="119">
                  <c:v>31</c:v>
                </c:pt>
                <c:pt idx="120">
                  <c:v>29</c:v>
                </c:pt>
                <c:pt idx="121">
                  <c:v>27</c:v>
                </c:pt>
                <c:pt idx="122">
                  <c:v>25</c:v>
                </c:pt>
                <c:pt idx="123">
                  <c:v>23</c:v>
                </c:pt>
                <c:pt idx="124">
                  <c:v>21.5</c:v>
                </c:pt>
                <c:pt idx="125">
                  <c:v>20</c:v>
                </c:pt>
                <c:pt idx="126">
                  <c:v>19</c:v>
                </c:pt>
                <c:pt idx="127">
                  <c:v>18</c:v>
                </c:pt>
                <c:pt idx="128">
                  <c:v>17</c:v>
                </c:pt>
                <c:pt idx="129">
                  <c:v>16</c:v>
                </c:pt>
                <c:pt idx="130">
                  <c:v>15</c:v>
                </c:pt>
                <c:pt idx="131">
                  <c:v>14</c:v>
                </c:pt>
                <c:pt idx="132">
                  <c:v>13.5</c:v>
                </c:pt>
                <c:pt idx="133">
                  <c:v>13</c:v>
                </c:pt>
                <c:pt idx="134">
                  <c:v>12</c:v>
                </c:pt>
                <c:pt idx="135">
                  <c:v>11</c:v>
                </c:pt>
                <c:pt idx="136">
                  <c:v>10.5</c:v>
                </c:pt>
                <c:pt idx="137">
                  <c:v>10</c:v>
                </c:pt>
                <c:pt idx="138">
                  <c:v>9.5</c:v>
                </c:pt>
                <c:pt idx="139">
                  <c:v>9</c:v>
                </c:pt>
                <c:pt idx="140">
                  <c:v>8.5</c:v>
                </c:pt>
                <c:pt idx="141">
                  <c:v>8</c:v>
                </c:pt>
                <c:pt idx="142">
                  <c:v>7.5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6.5</c:v>
                </c:pt>
                <c:pt idx="147">
                  <c:v>6</c:v>
                </c:pt>
                <c:pt idx="148">
                  <c:v>5.5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4.5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3.5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2.5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1.5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0.5</c:v>
                </c:pt>
                <c:pt idx="181" formatCode="0.00E+00">
                  <c:v>9.0799999999999993E-9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2-4B96-BB38-BB65F00A9E64}"/>
            </c:ext>
          </c:extLst>
        </c:ser>
        <c:ser>
          <c:idx val="1"/>
          <c:order val="1"/>
          <c:tx>
            <c:strRef>
              <c:f>花园口以上洪水!$J$1</c:f>
              <c:strCache>
                <c:ptCount val="1"/>
                <c:pt idx="0">
                  <c:v>武陟</c:v>
                </c:pt>
              </c:strCache>
            </c:strRef>
          </c:tx>
          <c:marker>
            <c:symbol val="none"/>
          </c:marker>
          <c:val>
            <c:numRef>
              <c:f>花园口以上洪水!$J$2:$J$746</c:f>
              <c:numCache>
                <c:formatCode>General</c:formatCode>
                <c:ptCount val="74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101.0455</c:v>
                </c:pt>
                <c:pt idx="13">
                  <c:v>102.09099999999999</c:v>
                </c:pt>
                <c:pt idx="14">
                  <c:v>104.0579</c:v>
                </c:pt>
                <c:pt idx="15">
                  <c:v>106.0248</c:v>
                </c:pt>
                <c:pt idx="16">
                  <c:v>108.8338</c:v>
                </c:pt>
                <c:pt idx="17">
                  <c:v>111.64279999999999</c:v>
                </c:pt>
                <c:pt idx="18">
                  <c:v>114.8176</c:v>
                </c:pt>
                <c:pt idx="19">
                  <c:v>117.99250000000001</c:v>
                </c:pt>
                <c:pt idx="20">
                  <c:v>121.81270000000001</c:v>
                </c:pt>
                <c:pt idx="21">
                  <c:v>125.63290000000001</c:v>
                </c:pt>
                <c:pt idx="22">
                  <c:v>128.3569</c:v>
                </c:pt>
                <c:pt idx="23">
                  <c:v>131.08080000000001</c:v>
                </c:pt>
                <c:pt idx="24">
                  <c:v>134.28190000000001</c:v>
                </c:pt>
                <c:pt idx="25">
                  <c:v>137.48320000000001</c:v>
                </c:pt>
                <c:pt idx="26">
                  <c:v>144.9238</c:v>
                </c:pt>
                <c:pt idx="27">
                  <c:v>152.36789999999999</c:v>
                </c:pt>
                <c:pt idx="28">
                  <c:v>169.32079999999999</c:v>
                </c:pt>
                <c:pt idx="29">
                  <c:v>186.34059999999999</c:v>
                </c:pt>
                <c:pt idx="30">
                  <c:v>235.5968</c:v>
                </c:pt>
                <c:pt idx="31">
                  <c:v>285.89710000000002</c:v>
                </c:pt>
                <c:pt idx="32">
                  <c:v>463.63639999999998</c:v>
                </c:pt>
                <c:pt idx="33">
                  <c:v>651.57889999999998</c:v>
                </c:pt>
                <c:pt idx="34">
                  <c:v>1253.2270000000001</c:v>
                </c:pt>
                <c:pt idx="35">
                  <c:v>1908.5550000000001</c:v>
                </c:pt>
                <c:pt idx="36">
                  <c:v>2115.7350000000001</c:v>
                </c:pt>
                <c:pt idx="37">
                  <c:v>2456.5940000000001</c:v>
                </c:pt>
                <c:pt idx="38">
                  <c:v>2362.4989999999998</c:v>
                </c:pt>
                <c:pt idx="39">
                  <c:v>2393.3980000000001</c:v>
                </c:pt>
                <c:pt idx="40">
                  <c:v>2182.1640000000002</c:v>
                </c:pt>
                <c:pt idx="41">
                  <c:v>2052.5940000000001</c:v>
                </c:pt>
                <c:pt idx="42">
                  <c:v>1812.1880000000001</c:v>
                </c:pt>
                <c:pt idx="43">
                  <c:v>1615.829</c:v>
                </c:pt>
                <c:pt idx="44">
                  <c:v>1380.317</c:v>
                </c:pt>
                <c:pt idx="45">
                  <c:v>1165.8699999999999</c:v>
                </c:pt>
                <c:pt idx="46">
                  <c:v>969.05309999999997</c:v>
                </c:pt>
                <c:pt idx="47">
                  <c:v>781.51020000000005</c:v>
                </c:pt>
                <c:pt idx="48">
                  <c:v>650.34770000000003</c:v>
                </c:pt>
                <c:pt idx="49">
                  <c:v>523.02760000000001</c:v>
                </c:pt>
                <c:pt idx="50">
                  <c:v>443.91019999999997</c:v>
                </c:pt>
                <c:pt idx="51">
                  <c:v>366.27330000000001</c:v>
                </c:pt>
                <c:pt idx="52">
                  <c:v>319.6431</c:v>
                </c:pt>
                <c:pt idx="53">
                  <c:v>272.38</c:v>
                </c:pt>
                <c:pt idx="54">
                  <c:v>258.17610000000002</c:v>
                </c:pt>
                <c:pt idx="55">
                  <c:v>229.988</c:v>
                </c:pt>
                <c:pt idx="56">
                  <c:v>294.73390000000001</c:v>
                </c:pt>
                <c:pt idx="57">
                  <c:v>281.34809999999999</c:v>
                </c:pt>
                <c:pt idx="58">
                  <c:v>500.04939999999999</c:v>
                </c:pt>
                <c:pt idx="59">
                  <c:v>522.59839999999997</c:v>
                </c:pt>
                <c:pt idx="60">
                  <c:v>811.85209999999995</c:v>
                </c:pt>
                <c:pt idx="61">
                  <c:v>916.75599999999997</c:v>
                </c:pt>
                <c:pt idx="62">
                  <c:v>1221.182</c:v>
                </c:pt>
                <c:pt idx="63">
                  <c:v>1396.836</c:v>
                </c:pt>
                <c:pt idx="64">
                  <c:v>1783.864</c:v>
                </c:pt>
                <c:pt idx="65">
                  <c:v>2058.0390000000002</c:v>
                </c:pt>
                <c:pt idx="66">
                  <c:v>2630.855</c:v>
                </c:pt>
                <c:pt idx="67">
                  <c:v>3054.1529999999998</c:v>
                </c:pt>
                <c:pt idx="68">
                  <c:v>3401.0320000000002</c:v>
                </c:pt>
                <c:pt idx="69">
                  <c:v>3635.31</c:v>
                </c:pt>
                <c:pt idx="70">
                  <c:v>3618.5419999999999</c:v>
                </c:pt>
                <c:pt idx="71">
                  <c:v>3554.8910000000001</c:v>
                </c:pt>
                <c:pt idx="72">
                  <c:v>3455.1869999999999</c:v>
                </c:pt>
                <c:pt idx="73">
                  <c:v>3325.4319999999998</c:v>
                </c:pt>
                <c:pt idx="74">
                  <c:v>3306.98</c:v>
                </c:pt>
                <c:pt idx="75">
                  <c:v>3243.4630000000002</c:v>
                </c:pt>
                <c:pt idx="76">
                  <c:v>3282.15</c:v>
                </c:pt>
                <c:pt idx="77">
                  <c:v>3308.5990000000002</c:v>
                </c:pt>
                <c:pt idx="78">
                  <c:v>3352.299</c:v>
                </c:pt>
                <c:pt idx="79">
                  <c:v>3386.3980000000001</c:v>
                </c:pt>
                <c:pt idx="80">
                  <c:v>3427.1979999999999</c:v>
                </c:pt>
                <c:pt idx="81">
                  <c:v>3460.68</c:v>
                </c:pt>
                <c:pt idx="82">
                  <c:v>3500.558</c:v>
                </c:pt>
                <c:pt idx="83">
                  <c:v>3534.6060000000002</c:v>
                </c:pt>
                <c:pt idx="84">
                  <c:v>3571.3939999999998</c:v>
                </c:pt>
                <c:pt idx="85">
                  <c:v>3602.4609999999998</c:v>
                </c:pt>
                <c:pt idx="86">
                  <c:v>3623.8150000000001</c:v>
                </c:pt>
                <c:pt idx="87">
                  <c:v>3635.7310000000002</c:v>
                </c:pt>
                <c:pt idx="88">
                  <c:v>3631.8890000000001</c:v>
                </c:pt>
                <c:pt idx="89">
                  <c:v>3605.7629999999999</c:v>
                </c:pt>
                <c:pt idx="90">
                  <c:v>3579.9749999999999</c:v>
                </c:pt>
                <c:pt idx="91">
                  <c:v>3524.8220000000001</c:v>
                </c:pt>
                <c:pt idx="92">
                  <c:v>3498.63</c:v>
                </c:pt>
                <c:pt idx="93">
                  <c:v>3451.8670000000002</c:v>
                </c:pt>
                <c:pt idx="94">
                  <c:v>3504.6149999999998</c:v>
                </c:pt>
                <c:pt idx="95">
                  <c:v>3516.1170000000002</c:v>
                </c:pt>
                <c:pt idx="96">
                  <c:v>3666.2</c:v>
                </c:pt>
                <c:pt idx="97">
                  <c:v>3765.116</c:v>
                </c:pt>
                <c:pt idx="98">
                  <c:v>4000</c:v>
                </c:pt>
                <c:pt idx="99">
                  <c:v>4000</c:v>
                </c:pt>
                <c:pt idx="100">
                  <c:v>4000</c:v>
                </c:pt>
                <c:pt idx="101">
                  <c:v>4000</c:v>
                </c:pt>
                <c:pt idx="102">
                  <c:v>4000</c:v>
                </c:pt>
                <c:pt idx="103">
                  <c:v>4000</c:v>
                </c:pt>
                <c:pt idx="104">
                  <c:v>4000</c:v>
                </c:pt>
                <c:pt idx="105">
                  <c:v>3828.25</c:v>
                </c:pt>
                <c:pt idx="106">
                  <c:v>3755.837</c:v>
                </c:pt>
                <c:pt idx="107">
                  <c:v>3655.97</c:v>
                </c:pt>
                <c:pt idx="108">
                  <c:v>3614.24</c:v>
                </c:pt>
                <c:pt idx="109">
                  <c:v>3584.8690000000001</c:v>
                </c:pt>
                <c:pt idx="110">
                  <c:v>3470.1619999999998</c:v>
                </c:pt>
                <c:pt idx="111">
                  <c:v>3469.431</c:v>
                </c:pt>
                <c:pt idx="112">
                  <c:v>3194.3220000000001</c:v>
                </c:pt>
                <c:pt idx="113">
                  <c:v>3169.7260000000001</c:v>
                </c:pt>
                <c:pt idx="114">
                  <c:v>2895.105</c:v>
                </c:pt>
                <c:pt idx="115">
                  <c:v>2848.6329999999998</c:v>
                </c:pt>
                <c:pt idx="116">
                  <c:v>2653.076</c:v>
                </c:pt>
                <c:pt idx="117">
                  <c:v>2604.9630000000002</c:v>
                </c:pt>
                <c:pt idx="118">
                  <c:v>2485.3989999999999</c:v>
                </c:pt>
                <c:pt idx="119">
                  <c:v>2444.9009999999998</c:v>
                </c:pt>
                <c:pt idx="120">
                  <c:v>2370.96</c:v>
                </c:pt>
                <c:pt idx="121">
                  <c:v>2334.6959999999999</c:v>
                </c:pt>
                <c:pt idx="122">
                  <c:v>2282.9670000000001</c:v>
                </c:pt>
                <c:pt idx="123">
                  <c:v>2247.7849999999999</c:v>
                </c:pt>
                <c:pt idx="124">
                  <c:v>2200.1819999999998</c:v>
                </c:pt>
                <c:pt idx="125">
                  <c:v>2159.4229999999998</c:v>
                </c:pt>
                <c:pt idx="126">
                  <c:v>2107.7939999999999</c:v>
                </c:pt>
                <c:pt idx="127">
                  <c:v>2058.87</c:v>
                </c:pt>
                <c:pt idx="128">
                  <c:v>1999.8209999999999</c:v>
                </c:pt>
                <c:pt idx="129">
                  <c:v>1941.8019999999999</c:v>
                </c:pt>
                <c:pt idx="130">
                  <c:v>1878.614</c:v>
                </c:pt>
                <c:pt idx="131">
                  <c:v>1815.807</c:v>
                </c:pt>
                <c:pt idx="132">
                  <c:v>1751.845</c:v>
                </c:pt>
                <c:pt idx="133">
                  <c:v>1688.02</c:v>
                </c:pt>
                <c:pt idx="134">
                  <c:v>1624.0920000000001</c:v>
                </c:pt>
                <c:pt idx="135">
                  <c:v>1560.212</c:v>
                </c:pt>
                <c:pt idx="136">
                  <c:v>1495.3309999999999</c:v>
                </c:pt>
                <c:pt idx="137">
                  <c:v>1430.4680000000001</c:v>
                </c:pt>
                <c:pt idx="138">
                  <c:v>1364.9570000000001</c:v>
                </c:pt>
                <c:pt idx="139">
                  <c:v>1299.451</c:v>
                </c:pt>
                <c:pt idx="140">
                  <c:v>1234.453</c:v>
                </c:pt>
                <c:pt idx="141">
                  <c:v>1169.4580000000001</c:v>
                </c:pt>
                <c:pt idx="142">
                  <c:v>1106.2329999999999</c:v>
                </c:pt>
                <c:pt idx="143">
                  <c:v>1043.01</c:v>
                </c:pt>
                <c:pt idx="144">
                  <c:v>984.55730000000005</c:v>
                </c:pt>
                <c:pt idx="145">
                  <c:v>926.10609999999997</c:v>
                </c:pt>
                <c:pt idx="146">
                  <c:v>872.1617</c:v>
                </c:pt>
                <c:pt idx="147">
                  <c:v>818.25810000000001</c:v>
                </c:pt>
                <c:pt idx="148">
                  <c:v>769.9846</c:v>
                </c:pt>
                <c:pt idx="149">
                  <c:v>722.18970000000002</c:v>
                </c:pt>
                <c:pt idx="150">
                  <c:v>680.37339999999995</c:v>
                </c:pt>
                <c:pt idx="151">
                  <c:v>641.1934</c:v>
                </c:pt>
                <c:pt idx="152">
                  <c:v>607.85299999999995</c:v>
                </c:pt>
                <c:pt idx="153">
                  <c:v>581.12450000000001</c:v>
                </c:pt>
                <c:pt idx="154">
                  <c:v>558.87120000000004</c:v>
                </c:pt>
                <c:pt idx="155">
                  <c:v>542.80700000000002</c:v>
                </c:pt>
                <c:pt idx="156">
                  <c:v>530.9393</c:v>
                </c:pt>
                <c:pt idx="157">
                  <c:v>523.11670000000004</c:v>
                </c:pt>
                <c:pt idx="158">
                  <c:v>516.53909999999996</c:v>
                </c:pt>
                <c:pt idx="159">
                  <c:v>512.14380000000006</c:v>
                </c:pt>
                <c:pt idx="160">
                  <c:v>509.435</c:v>
                </c:pt>
                <c:pt idx="161">
                  <c:v>507.77010000000001</c:v>
                </c:pt>
                <c:pt idx="162">
                  <c:v>506.33249999999998</c:v>
                </c:pt>
                <c:pt idx="163">
                  <c:v>505.3544</c:v>
                </c:pt>
                <c:pt idx="164">
                  <c:v>504.77800000000002</c:v>
                </c:pt>
                <c:pt idx="165">
                  <c:v>504.392</c:v>
                </c:pt>
                <c:pt idx="166">
                  <c:v>503.36759999999998</c:v>
                </c:pt>
                <c:pt idx="167">
                  <c:v>502.41860000000003</c:v>
                </c:pt>
                <c:pt idx="168">
                  <c:v>502.25850000000003</c:v>
                </c:pt>
                <c:pt idx="169">
                  <c:v>502.12720000000002</c:v>
                </c:pt>
                <c:pt idx="170">
                  <c:v>502.07780000000002</c:v>
                </c:pt>
                <c:pt idx="171">
                  <c:v>502.03899999999999</c:v>
                </c:pt>
                <c:pt idx="172">
                  <c:v>501.97809999999998</c:v>
                </c:pt>
                <c:pt idx="173">
                  <c:v>501.92099999999999</c:v>
                </c:pt>
                <c:pt idx="174">
                  <c:v>501.58580000000001</c:v>
                </c:pt>
                <c:pt idx="175">
                  <c:v>501.25189999999998</c:v>
                </c:pt>
                <c:pt idx="176">
                  <c:v>501.16019999999997</c:v>
                </c:pt>
                <c:pt idx="177">
                  <c:v>501.06889999999999</c:v>
                </c:pt>
                <c:pt idx="178">
                  <c:v>501.04379999999998</c:v>
                </c:pt>
                <c:pt idx="179">
                  <c:v>501.0188</c:v>
                </c:pt>
                <c:pt idx="180">
                  <c:v>501.012</c:v>
                </c:pt>
                <c:pt idx="181">
                  <c:v>501.00510000000003</c:v>
                </c:pt>
                <c:pt idx="182">
                  <c:v>501.00330000000002</c:v>
                </c:pt>
                <c:pt idx="183">
                  <c:v>501.00139999999999</c:v>
                </c:pt>
                <c:pt idx="184">
                  <c:v>500.9554</c:v>
                </c:pt>
                <c:pt idx="185">
                  <c:v>500.90940000000001</c:v>
                </c:pt>
                <c:pt idx="186">
                  <c:v>500.5788</c:v>
                </c:pt>
                <c:pt idx="187">
                  <c:v>500.2482</c:v>
                </c:pt>
                <c:pt idx="188">
                  <c:v>500.15800000000002</c:v>
                </c:pt>
                <c:pt idx="189">
                  <c:v>500.0677</c:v>
                </c:pt>
                <c:pt idx="190">
                  <c:v>500.04309999999998</c:v>
                </c:pt>
                <c:pt idx="191">
                  <c:v>500.01850000000002</c:v>
                </c:pt>
                <c:pt idx="192">
                  <c:v>500.01170000000002</c:v>
                </c:pt>
                <c:pt idx="193">
                  <c:v>500.005</c:v>
                </c:pt>
                <c:pt idx="194">
                  <c:v>500.00319999999999</c:v>
                </c:pt>
                <c:pt idx="195">
                  <c:v>500.00139999999999</c:v>
                </c:pt>
                <c:pt idx="196">
                  <c:v>500.0009</c:v>
                </c:pt>
                <c:pt idx="197">
                  <c:v>500.00040000000001</c:v>
                </c:pt>
                <c:pt idx="198">
                  <c:v>500.00020000000001</c:v>
                </c:pt>
                <c:pt idx="199">
                  <c:v>500.00009999999997</c:v>
                </c:pt>
                <c:pt idx="200">
                  <c:v>500.00009999999997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500</c:v>
                </c:pt>
                <c:pt idx="208">
                  <c:v>500</c:v>
                </c:pt>
                <c:pt idx="209">
                  <c:v>500</c:v>
                </c:pt>
                <c:pt idx="210">
                  <c:v>500</c:v>
                </c:pt>
                <c:pt idx="211">
                  <c:v>500</c:v>
                </c:pt>
                <c:pt idx="212">
                  <c:v>500</c:v>
                </c:pt>
                <c:pt idx="213">
                  <c:v>500</c:v>
                </c:pt>
                <c:pt idx="214">
                  <c:v>500</c:v>
                </c:pt>
                <c:pt idx="215">
                  <c:v>500</c:v>
                </c:pt>
                <c:pt idx="216">
                  <c:v>500</c:v>
                </c:pt>
                <c:pt idx="217">
                  <c:v>500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</c:v>
                </c:pt>
                <c:pt idx="222">
                  <c:v>500</c:v>
                </c:pt>
                <c:pt idx="223">
                  <c:v>500</c:v>
                </c:pt>
                <c:pt idx="224">
                  <c:v>500</c:v>
                </c:pt>
                <c:pt idx="225">
                  <c:v>500</c:v>
                </c:pt>
                <c:pt idx="226">
                  <c:v>500</c:v>
                </c:pt>
                <c:pt idx="227">
                  <c:v>500</c:v>
                </c:pt>
                <c:pt idx="228">
                  <c:v>500</c:v>
                </c:pt>
                <c:pt idx="229">
                  <c:v>500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499.99869999999999</c:v>
                </c:pt>
                <c:pt idx="234">
                  <c:v>499.97199999999998</c:v>
                </c:pt>
                <c:pt idx="235">
                  <c:v>499.93209999999999</c:v>
                </c:pt>
                <c:pt idx="236">
                  <c:v>499.12029999999999</c:v>
                </c:pt>
                <c:pt idx="237">
                  <c:v>498.65300000000002</c:v>
                </c:pt>
                <c:pt idx="238">
                  <c:v>489.14920000000001</c:v>
                </c:pt>
                <c:pt idx="239">
                  <c:v>486.57490000000001</c:v>
                </c:pt>
                <c:pt idx="240">
                  <c:v>434.22699999999998</c:v>
                </c:pt>
                <c:pt idx="241">
                  <c:v>427.7704</c:v>
                </c:pt>
                <c:pt idx="242">
                  <c:v>296.47770000000003</c:v>
                </c:pt>
                <c:pt idx="243">
                  <c:v>290.43389999999999</c:v>
                </c:pt>
                <c:pt idx="244">
                  <c:v>167.53829999999999</c:v>
                </c:pt>
                <c:pt idx="245">
                  <c:v>163.58799999999999</c:v>
                </c:pt>
                <c:pt idx="246">
                  <c:v>83.263869999999997</c:v>
                </c:pt>
                <c:pt idx="247">
                  <c:v>81.132729999999995</c:v>
                </c:pt>
                <c:pt idx="248">
                  <c:v>37.799349999999997</c:v>
                </c:pt>
                <c:pt idx="249">
                  <c:v>36.78004</c:v>
                </c:pt>
                <c:pt idx="250">
                  <c:v>16.054040000000001</c:v>
                </c:pt>
                <c:pt idx="251">
                  <c:v>15.605270000000001</c:v>
                </c:pt>
                <c:pt idx="252">
                  <c:v>6.4804040000000001</c:v>
                </c:pt>
                <c:pt idx="253">
                  <c:v>6.2944449999999996</c:v>
                </c:pt>
                <c:pt idx="254">
                  <c:v>2.513325</c:v>
                </c:pt>
                <c:pt idx="255">
                  <c:v>2.4397540000000002</c:v>
                </c:pt>
                <c:pt idx="256">
                  <c:v>0.943824</c:v>
                </c:pt>
                <c:pt idx="257">
                  <c:v>0.91576100000000005</c:v>
                </c:pt>
                <c:pt idx="258">
                  <c:v>0.34515400000000002</c:v>
                </c:pt>
                <c:pt idx="259">
                  <c:v>0.33476099999999998</c:v>
                </c:pt>
                <c:pt idx="260">
                  <c:v>0.12345100000000001</c:v>
                </c:pt>
                <c:pt idx="261">
                  <c:v>0.119695</c:v>
                </c:pt>
                <c:pt idx="262">
                  <c:v>4.3331000000000001E-2</c:v>
                </c:pt>
                <c:pt idx="263">
                  <c:v>4.2000999999999997E-2</c:v>
                </c:pt>
                <c:pt idx="264">
                  <c:v>1.4964999999999999E-2</c:v>
                </c:pt>
                <c:pt idx="265">
                  <c:v>1.4501999999999999E-2</c:v>
                </c:pt>
                <c:pt idx="266">
                  <c:v>5.0959999999999998E-3</c:v>
                </c:pt>
                <c:pt idx="267">
                  <c:v>4.9379999999999997E-3</c:v>
                </c:pt>
                <c:pt idx="268">
                  <c:v>1.714E-3</c:v>
                </c:pt>
                <c:pt idx="269">
                  <c:v>1.6609999999999999E-3</c:v>
                </c:pt>
                <c:pt idx="270">
                  <c:v>5.6999999999999998E-4</c:v>
                </c:pt>
                <c:pt idx="271">
                  <c:v>5.5199999999999997E-4</c:v>
                </c:pt>
                <c:pt idx="272">
                  <c:v>1.8799999999999999E-4</c:v>
                </c:pt>
                <c:pt idx="273">
                  <c:v>1.8200000000000001E-4</c:v>
                </c:pt>
                <c:pt idx="274" formatCode="0.00E+00">
                  <c:v>6.1400000000000002E-5</c:v>
                </c:pt>
                <c:pt idx="275" formatCode="0.00E+00">
                  <c:v>5.9500000000000003E-5</c:v>
                </c:pt>
                <c:pt idx="276" formatCode="0.00E+00">
                  <c:v>1.9899999999999999E-5</c:v>
                </c:pt>
                <c:pt idx="277" formatCode="0.00E+00">
                  <c:v>1.9300000000000002E-5</c:v>
                </c:pt>
                <c:pt idx="278" formatCode="0.00E+00">
                  <c:v>6.4099999999999996E-6</c:v>
                </c:pt>
                <c:pt idx="279" formatCode="0.00E+00">
                  <c:v>6.1999999999999999E-6</c:v>
                </c:pt>
                <c:pt idx="280" formatCode="0.00E+00">
                  <c:v>2.0499999999999999E-6</c:v>
                </c:pt>
                <c:pt idx="281" formatCode="0.00E+00">
                  <c:v>1.9800000000000001E-6</c:v>
                </c:pt>
                <c:pt idx="282" formatCode="0.00E+00">
                  <c:v>6.5199999999999996E-7</c:v>
                </c:pt>
                <c:pt idx="283" formatCode="0.00E+00">
                  <c:v>6.3099999999999997E-7</c:v>
                </c:pt>
                <c:pt idx="284" formatCode="0.00E+00">
                  <c:v>2.0599999999999999E-7</c:v>
                </c:pt>
                <c:pt idx="285" formatCode="0.00E+00">
                  <c:v>1.99E-7</c:v>
                </c:pt>
                <c:pt idx="286" formatCode="0.00E+00">
                  <c:v>6.4799999999999998E-8</c:v>
                </c:pt>
                <c:pt idx="287" formatCode="0.00E+00">
                  <c:v>6.2800000000000006E-8</c:v>
                </c:pt>
                <c:pt idx="288" formatCode="0.00E+00">
                  <c:v>2.03E-8</c:v>
                </c:pt>
                <c:pt idx="289" formatCode="0.00E+00">
                  <c:v>1.9700000000000001E-8</c:v>
                </c:pt>
                <c:pt idx="290" formatCode="0.00E+00">
                  <c:v>6.34E-9</c:v>
                </c:pt>
                <c:pt idx="291" formatCode="0.00E+00">
                  <c:v>6.1300000000000001E-9</c:v>
                </c:pt>
                <c:pt idx="292" formatCode="0.00E+00">
                  <c:v>1.97E-9</c:v>
                </c:pt>
                <c:pt idx="293" formatCode="0.00E+00">
                  <c:v>1.9099999999999998E-9</c:v>
                </c:pt>
                <c:pt idx="294" formatCode="0.00E+00">
                  <c:v>6.0899999999999996E-10</c:v>
                </c:pt>
                <c:pt idx="295" formatCode="0.00E+00">
                  <c:v>5.9000000000000003E-10</c:v>
                </c:pt>
                <c:pt idx="296" formatCode="0.00E+00">
                  <c:v>1.88E-10</c:v>
                </c:pt>
                <c:pt idx="297" formatCode="0.00E+00">
                  <c:v>1.8199999999999999E-10</c:v>
                </c:pt>
                <c:pt idx="298" formatCode="0.00E+00">
                  <c:v>5.7799999999999997E-11</c:v>
                </c:pt>
                <c:pt idx="299" formatCode="0.00E+00">
                  <c:v>5.6E-11</c:v>
                </c:pt>
                <c:pt idx="300" formatCode="0.00E+00">
                  <c:v>1.7700000000000001E-11</c:v>
                </c:pt>
                <c:pt idx="301" formatCode="0.00E+00">
                  <c:v>1.7199999999999999E-11</c:v>
                </c:pt>
                <c:pt idx="302" formatCode="0.00E+00">
                  <c:v>5.4199999999999999E-12</c:v>
                </c:pt>
                <c:pt idx="303" formatCode="0.00E+00">
                  <c:v>5.2499999999999996E-12</c:v>
                </c:pt>
                <c:pt idx="304" formatCode="0.00E+00">
                  <c:v>1.65E-12</c:v>
                </c:pt>
                <c:pt idx="305" formatCode="0.00E+00">
                  <c:v>1.6E-12</c:v>
                </c:pt>
                <c:pt idx="306" formatCode="0.00E+00">
                  <c:v>5.0299999999999998E-13</c:v>
                </c:pt>
                <c:pt idx="307" formatCode="0.00E+00">
                  <c:v>4.8700000000000005E-13</c:v>
                </c:pt>
                <c:pt idx="308" formatCode="0.00E+00">
                  <c:v>1.53E-13</c:v>
                </c:pt>
                <c:pt idx="309" formatCode="0.00E+00">
                  <c:v>1.48E-13</c:v>
                </c:pt>
                <c:pt idx="310" formatCode="0.00E+00">
                  <c:v>4.6200000000000001E-14</c:v>
                </c:pt>
                <c:pt idx="311" formatCode="0.00E+00">
                  <c:v>4.4700000000000001E-14</c:v>
                </c:pt>
                <c:pt idx="312" formatCode="0.00E+00">
                  <c:v>1.4E-14</c:v>
                </c:pt>
                <c:pt idx="313" formatCode="0.00E+00">
                  <c:v>1.3499999999999999E-14</c:v>
                </c:pt>
                <c:pt idx="314" formatCode="0.00E+00">
                  <c:v>4.2100000000000002E-15</c:v>
                </c:pt>
                <c:pt idx="315" formatCode="0.00E+00">
                  <c:v>4.08E-15</c:v>
                </c:pt>
                <c:pt idx="316" formatCode="0.00E+00">
                  <c:v>1.2699999999999999E-15</c:v>
                </c:pt>
                <c:pt idx="317" formatCode="0.00E+00">
                  <c:v>1.2300000000000001E-15</c:v>
                </c:pt>
                <c:pt idx="318" formatCode="0.00E+00">
                  <c:v>3.8099999999999998E-16</c:v>
                </c:pt>
                <c:pt idx="319" formatCode="0.00E+00">
                  <c:v>3.6899999999999998E-16</c:v>
                </c:pt>
                <c:pt idx="320" formatCode="0.00E+00">
                  <c:v>1.14E-16</c:v>
                </c:pt>
                <c:pt idx="321" formatCode="0.00E+00">
                  <c:v>1.11E-16</c:v>
                </c:pt>
                <c:pt idx="322" formatCode="0.00E+00">
                  <c:v>3.42E-17</c:v>
                </c:pt>
                <c:pt idx="323" formatCode="0.00E+00">
                  <c:v>3.3099999999999998E-17</c:v>
                </c:pt>
                <c:pt idx="324" formatCode="0.00E+00">
                  <c:v>1.02E-17</c:v>
                </c:pt>
                <c:pt idx="325" formatCode="0.00E+00">
                  <c:v>9.8999999999999997E-18</c:v>
                </c:pt>
                <c:pt idx="326" formatCode="0.00E+00">
                  <c:v>3.0599999999999999E-18</c:v>
                </c:pt>
                <c:pt idx="327" formatCode="0.00E+00">
                  <c:v>2.96E-18</c:v>
                </c:pt>
                <c:pt idx="328" formatCode="0.00E+00">
                  <c:v>9.1100000000000001E-19</c:v>
                </c:pt>
                <c:pt idx="329" formatCode="0.00E+00">
                  <c:v>8.8099999999999997E-19</c:v>
                </c:pt>
                <c:pt idx="330" formatCode="0.00E+00">
                  <c:v>2.7099999999999999E-19</c:v>
                </c:pt>
                <c:pt idx="331" formatCode="0.00E+00">
                  <c:v>2.6199999999999998E-19</c:v>
                </c:pt>
                <c:pt idx="332" formatCode="0.00E+00">
                  <c:v>8.0699999999999995E-20</c:v>
                </c:pt>
                <c:pt idx="333" formatCode="0.00E+00">
                  <c:v>7.8000000000000001E-20</c:v>
                </c:pt>
                <c:pt idx="334" formatCode="0.00E+00">
                  <c:v>2.3999999999999999E-20</c:v>
                </c:pt>
                <c:pt idx="335" formatCode="0.00E+00">
                  <c:v>2.32E-20</c:v>
                </c:pt>
                <c:pt idx="336" formatCode="0.00E+00">
                  <c:v>7.1100000000000001E-21</c:v>
                </c:pt>
                <c:pt idx="337" formatCode="0.00E+00">
                  <c:v>6.87E-21</c:v>
                </c:pt>
                <c:pt idx="338" formatCode="0.00E+00">
                  <c:v>2.11E-21</c:v>
                </c:pt>
                <c:pt idx="339" formatCode="0.00E+00">
                  <c:v>2.0400000000000001E-21</c:v>
                </c:pt>
                <c:pt idx="340" formatCode="0.00E+00">
                  <c:v>6.2300000000000003E-22</c:v>
                </c:pt>
                <c:pt idx="341" formatCode="0.00E+00">
                  <c:v>6.0299999999999998E-22</c:v>
                </c:pt>
                <c:pt idx="342" formatCode="0.00E+00">
                  <c:v>1.8400000000000001E-22</c:v>
                </c:pt>
                <c:pt idx="343" formatCode="0.00E+00">
                  <c:v>1.78E-22</c:v>
                </c:pt>
                <c:pt idx="344" formatCode="0.00E+00">
                  <c:v>5.4399999999999999E-23</c:v>
                </c:pt>
                <c:pt idx="345" formatCode="0.00E+00">
                  <c:v>5.2600000000000002E-23</c:v>
                </c:pt>
                <c:pt idx="346" formatCode="0.00E+00">
                  <c:v>1.6099999999999999E-23</c:v>
                </c:pt>
                <c:pt idx="347" formatCode="0.00E+00">
                  <c:v>1.5499999999999999E-23</c:v>
                </c:pt>
                <c:pt idx="348" formatCode="0.00E+00">
                  <c:v>4.7300000000000002E-24</c:v>
                </c:pt>
                <c:pt idx="349" formatCode="0.00E+00">
                  <c:v>4.5800000000000003E-24</c:v>
                </c:pt>
                <c:pt idx="350" formatCode="0.00E+00">
                  <c:v>1.3899999999999999E-24</c:v>
                </c:pt>
                <c:pt idx="351" formatCode="0.00E+00">
                  <c:v>1.35E-24</c:v>
                </c:pt>
                <c:pt idx="352" formatCode="0.00E+00">
                  <c:v>4.0999999999999999E-25</c:v>
                </c:pt>
                <c:pt idx="353" formatCode="0.00E+00">
                  <c:v>3.9699999999999998E-25</c:v>
                </c:pt>
                <c:pt idx="354" formatCode="0.00E+00">
                  <c:v>1.21E-25</c:v>
                </c:pt>
                <c:pt idx="355" formatCode="0.00E+00">
                  <c:v>1.1699999999999999E-25</c:v>
                </c:pt>
                <c:pt idx="356" formatCode="0.00E+00">
                  <c:v>3.5399999999999997E-26</c:v>
                </c:pt>
                <c:pt idx="357" formatCode="0.00E+00">
                  <c:v>3.4200000000000001E-26</c:v>
                </c:pt>
                <c:pt idx="358" formatCode="0.00E+00">
                  <c:v>1.0400000000000001E-26</c:v>
                </c:pt>
                <c:pt idx="359" formatCode="0.00E+00">
                  <c:v>1E-26</c:v>
                </c:pt>
                <c:pt idx="360" formatCode="0.00E+00">
                  <c:v>3.05E-27</c:v>
                </c:pt>
                <c:pt idx="361" formatCode="0.00E+00">
                  <c:v>2.9499999999999999E-27</c:v>
                </c:pt>
                <c:pt idx="362" formatCode="0.00E+00">
                  <c:v>8.9300000000000007E-28</c:v>
                </c:pt>
                <c:pt idx="363" formatCode="0.00E+00">
                  <c:v>8.6400000000000007E-28</c:v>
                </c:pt>
                <c:pt idx="364" formatCode="0.00E+00">
                  <c:v>2.6199999999999999E-28</c:v>
                </c:pt>
                <c:pt idx="365" formatCode="0.00E+00">
                  <c:v>2.5300000000000002E-28</c:v>
                </c:pt>
                <c:pt idx="366" formatCode="0.00E+00">
                  <c:v>7.6600000000000001E-29</c:v>
                </c:pt>
                <c:pt idx="367" formatCode="0.00E+00">
                  <c:v>7.3999999999999995E-29</c:v>
                </c:pt>
                <c:pt idx="368" formatCode="0.00E+00">
                  <c:v>2.2399999999999999E-29</c:v>
                </c:pt>
                <c:pt idx="369" formatCode="0.00E+00">
                  <c:v>2.1699999999999999E-29</c:v>
                </c:pt>
                <c:pt idx="370" formatCode="0.00E+00">
                  <c:v>6.5400000000000003E-30</c:v>
                </c:pt>
                <c:pt idx="371" formatCode="0.00E+00">
                  <c:v>6.33E-30</c:v>
                </c:pt>
                <c:pt idx="372" formatCode="0.00E+00">
                  <c:v>1.9100000000000001E-30</c:v>
                </c:pt>
                <c:pt idx="373" formatCode="0.00E+00">
                  <c:v>1.8500000000000002E-30</c:v>
                </c:pt>
                <c:pt idx="374" formatCode="0.00E+00">
                  <c:v>5.5800000000000001E-31</c:v>
                </c:pt>
                <c:pt idx="375" formatCode="0.00E+00">
                  <c:v>5.39E-31</c:v>
                </c:pt>
                <c:pt idx="376" formatCode="0.00E+00">
                  <c:v>1.6300000000000001E-31</c:v>
                </c:pt>
                <c:pt idx="377" formatCode="0.00E+00">
                  <c:v>1.5699999999999999E-31</c:v>
                </c:pt>
                <c:pt idx="378" formatCode="0.00E+00">
                  <c:v>4.75E-32</c:v>
                </c:pt>
                <c:pt idx="379" formatCode="0.00E+00">
                  <c:v>4.5899999999999997E-32</c:v>
                </c:pt>
                <c:pt idx="380" formatCode="0.00E+00">
                  <c:v>1.38E-32</c:v>
                </c:pt>
                <c:pt idx="381" formatCode="0.00E+00">
                  <c:v>1.3400000000000001E-32</c:v>
                </c:pt>
                <c:pt idx="382" formatCode="0.00E+00">
                  <c:v>4.0300000000000002E-33</c:v>
                </c:pt>
                <c:pt idx="383" formatCode="0.00E+00">
                  <c:v>3.8899999999999998E-33</c:v>
                </c:pt>
                <c:pt idx="384" formatCode="0.00E+00">
                  <c:v>1.1700000000000001E-33</c:v>
                </c:pt>
                <c:pt idx="385" formatCode="0.00E+00">
                  <c:v>1.13E-33</c:v>
                </c:pt>
                <c:pt idx="386" formatCode="0.00E+00">
                  <c:v>3.4099999999999999E-34</c:v>
                </c:pt>
                <c:pt idx="387" formatCode="0.00E+00">
                  <c:v>3.2999999999999998E-34</c:v>
                </c:pt>
                <c:pt idx="388" formatCode="0.00E+00">
                  <c:v>9.9199999999999995E-35</c:v>
                </c:pt>
                <c:pt idx="389" formatCode="0.00E+00">
                  <c:v>9.5900000000000003E-35</c:v>
                </c:pt>
                <c:pt idx="390" formatCode="0.00E+00">
                  <c:v>2.8800000000000003E-35</c:v>
                </c:pt>
                <c:pt idx="391" formatCode="0.00E+00">
                  <c:v>2.7900000000000003E-35</c:v>
                </c:pt>
                <c:pt idx="392" formatCode="0.00E+00">
                  <c:v>8.3700000000000005E-36</c:v>
                </c:pt>
                <c:pt idx="393" formatCode="0.00E+00">
                  <c:v>8.0899999999999995E-36</c:v>
                </c:pt>
                <c:pt idx="394" formatCode="0.00E+00">
                  <c:v>2.4300000000000001E-36</c:v>
                </c:pt>
                <c:pt idx="395" formatCode="0.00E+00">
                  <c:v>2.3500000000000001E-36</c:v>
                </c:pt>
                <c:pt idx="396" formatCode="0.00E+00">
                  <c:v>7.0599999999999998E-37</c:v>
                </c:pt>
                <c:pt idx="397" formatCode="0.00E+00">
                  <c:v>6.8199999999999999E-37</c:v>
                </c:pt>
                <c:pt idx="398" formatCode="0.00E+00">
                  <c:v>2.0499999999999999E-37</c:v>
                </c:pt>
                <c:pt idx="399" formatCode="0.00E+00">
                  <c:v>1.9800000000000001E-37</c:v>
                </c:pt>
                <c:pt idx="400" formatCode="0.00E+00">
                  <c:v>5.9300000000000004E-38</c:v>
                </c:pt>
                <c:pt idx="401" formatCode="0.00E+00">
                  <c:v>5.7399999999999997E-38</c:v>
                </c:pt>
                <c:pt idx="402" formatCode="0.00E+00">
                  <c:v>1.72E-38</c:v>
                </c:pt>
                <c:pt idx="403" formatCode="0.00E+00">
                  <c:v>1.6600000000000001E-38</c:v>
                </c:pt>
                <c:pt idx="404" formatCode="0.00E+00">
                  <c:v>4.9800000000000003E-39</c:v>
                </c:pt>
                <c:pt idx="405" formatCode="0.00E+00">
                  <c:v>4.8199999999999998E-39</c:v>
                </c:pt>
                <c:pt idx="406" formatCode="0.00E+00">
                  <c:v>1.44E-39</c:v>
                </c:pt>
                <c:pt idx="407" formatCode="0.00E+00">
                  <c:v>1.4000000000000001E-39</c:v>
                </c:pt>
                <c:pt idx="408" formatCode="0.00E+00">
                  <c:v>4.1799999999999997E-40</c:v>
                </c:pt>
                <c:pt idx="409" formatCode="0.00E+00">
                  <c:v>4.0400000000000002E-40</c:v>
                </c:pt>
                <c:pt idx="410" formatCode="0.00E+00">
                  <c:v>1.2100000000000001E-40</c:v>
                </c:pt>
                <c:pt idx="411" formatCode="0.00E+00">
                  <c:v>1.17E-40</c:v>
                </c:pt>
                <c:pt idx="412" formatCode="0.00E+00">
                  <c:v>3.5E-41</c:v>
                </c:pt>
                <c:pt idx="413" formatCode="0.00E+00">
                  <c:v>3.3800000000000002E-41</c:v>
                </c:pt>
                <c:pt idx="414" formatCode="0.00E+00">
                  <c:v>1.0099999999999999E-41</c:v>
                </c:pt>
                <c:pt idx="415" formatCode="0.00E+00">
                  <c:v>9.7799999999999997E-42</c:v>
                </c:pt>
                <c:pt idx="416" formatCode="0.00E+00">
                  <c:v>2.92E-42</c:v>
                </c:pt>
                <c:pt idx="417" formatCode="0.00E+00">
                  <c:v>2.8299999999999999E-42</c:v>
                </c:pt>
                <c:pt idx="418" formatCode="0.00E+00">
                  <c:v>8.4600000000000001E-43</c:v>
                </c:pt>
                <c:pt idx="419" formatCode="0.00E+00">
                  <c:v>8.1699999999999997E-43</c:v>
                </c:pt>
                <c:pt idx="420" formatCode="0.00E+00">
                  <c:v>2.4499999999999999E-43</c:v>
                </c:pt>
                <c:pt idx="421" formatCode="0.00E+00">
                  <c:v>2.35E-43</c:v>
                </c:pt>
                <c:pt idx="422" formatCode="0.00E+00">
                  <c:v>7.0099999999999999E-44</c:v>
                </c:pt>
                <c:pt idx="423" formatCode="0.00E+00">
                  <c:v>6.7300000000000002E-44</c:v>
                </c:pt>
                <c:pt idx="424" formatCode="0.00E+00">
                  <c:v>1.9599999999999999E-44</c:v>
                </c:pt>
                <c:pt idx="425" formatCode="0.00E+00">
                  <c:v>1.9599999999999999E-44</c:v>
                </c:pt>
                <c:pt idx="426" formatCode="0.00E+00">
                  <c:v>5.6100000000000003E-45</c:v>
                </c:pt>
                <c:pt idx="427" formatCode="0.00E+00">
                  <c:v>5.6100000000000003E-45</c:v>
                </c:pt>
                <c:pt idx="428" formatCode="0.00E+00">
                  <c:v>1.4000000000000001E-45</c:v>
                </c:pt>
                <c:pt idx="429" formatCode="0.00E+00">
                  <c:v>1.4000000000000001E-45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2-4B96-BB38-BB65F00A9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07136"/>
        <c:axId val="210113600"/>
      </c:lineChart>
      <c:catAx>
        <c:axId val="210907136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13600"/>
        <c:crosses val="autoZero"/>
        <c:auto val="1"/>
        <c:lblAlgn val="ctr"/>
        <c:lblOffset val="100"/>
        <c:noMultiLvlLbl val="0"/>
      </c:catAx>
      <c:valAx>
        <c:axId val="210113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907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2</xdr:row>
      <xdr:rowOff>280987</xdr:rowOff>
    </xdr:from>
    <xdr:to>
      <xdr:col>16</xdr:col>
      <xdr:colOff>314325</xdr:colOff>
      <xdr:row>13</xdr:row>
      <xdr:rowOff>147637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10</xdr:row>
      <xdr:rowOff>14287</xdr:rowOff>
    </xdr:from>
    <xdr:to>
      <xdr:col>14</xdr:col>
      <xdr:colOff>209550</xdr:colOff>
      <xdr:row>26</xdr:row>
      <xdr:rowOff>14287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10</xdr:row>
      <xdr:rowOff>14287</xdr:rowOff>
    </xdr:from>
    <xdr:to>
      <xdr:col>14</xdr:col>
      <xdr:colOff>209550</xdr:colOff>
      <xdr:row>26</xdr:row>
      <xdr:rowOff>14287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293370</xdr:colOff>
      <xdr:row>10</xdr:row>
      <xdr:rowOff>105727</xdr:rowOff>
    </xdr:from>
    <xdr:to>
      <xdr:col>16</xdr:col>
      <xdr:colOff>533400</xdr:colOff>
      <xdr:row>26</xdr:row>
      <xdr:rowOff>105727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4</xdr:row>
      <xdr:rowOff>4762</xdr:rowOff>
    </xdr:from>
    <xdr:to>
      <xdr:col>19</xdr:col>
      <xdr:colOff>152400</xdr:colOff>
      <xdr:row>20</xdr:row>
      <xdr:rowOff>4762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609600</xdr:colOff>
      <xdr:row>22</xdr:row>
      <xdr:rowOff>119062</xdr:rowOff>
    </xdr:from>
    <xdr:to>
      <xdr:col>19</xdr:col>
      <xdr:colOff>381000</xdr:colOff>
      <xdr:row>38</xdr:row>
      <xdr:rowOff>119062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workbookViewId="0">
      <selection activeCell="E3" sqref="E3"/>
    </sheetView>
  </sheetViews>
  <sheetFormatPr defaultRowHeight="13.5"/>
  <cols>
    <col min="2" max="2" width="27.75" customWidth="1"/>
    <col min="3" max="3" width="14.375" customWidth="1"/>
    <col min="4" max="4" width="26.75" customWidth="1"/>
    <col min="5" max="5" width="16" customWidth="1"/>
  </cols>
  <sheetData>
    <row r="1" spans="1:5" ht="77.25" customHeight="1">
      <c r="A1" s="1" t="s">
        <v>0</v>
      </c>
      <c r="B1" s="1" t="s">
        <v>1</v>
      </c>
      <c r="C1" s="1" t="s">
        <v>37</v>
      </c>
      <c r="D1" s="1" t="s">
        <v>38</v>
      </c>
    </row>
    <row r="2" spans="1:5" ht="16.5" customHeight="1">
      <c r="A2" s="54" t="s">
        <v>2</v>
      </c>
      <c r="B2" s="2" t="s">
        <v>3</v>
      </c>
      <c r="C2" s="2">
        <f>三门峡!I2</f>
        <v>1420</v>
      </c>
      <c r="D2" s="2">
        <v>1420</v>
      </c>
    </row>
    <row r="3" spans="1:5" ht="16.5">
      <c r="A3" s="54"/>
      <c r="B3" s="3" t="s">
        <v>4</v>
      </c>
      <c r="C3" s="8">
        <f>三门峡!I3</f>
        <v>1420</v>
      </c>
      <c r="D3" s="8">
        <v>1420</v>
      </c>
    </row>
    <row r="4" spans="1:5" ht="16.5">
      <c r="A4" s="54"/>
      <c r="B4" s="2" t="s">
        <v>5</v>
      </c>
      <c r="C4" s="9">
        <f>三门峡!I4</f>
        <v>0</v>
      </c>
      <c r="D4" s="9">
        <v>0</v>
      </c>
    </row>
    <row r="5" spans="1:5" ht="16.5">
      <c r="A5" s="54"/>
      <c r="B5" s="2" t="s">
        <v>6</v>
      </c>
      <c r="C5" s="9">
        <f>三门峡!I5</f>
        <v>295</v>
      </c>
      <c r="D5" s="9">
        <v>295.22857056465506</v>
      </c>
    </row>
    <row r="6" spans="1:5" ht="16.5">
      <c r="A6" s="54"/>
      <c r="B6" s="2" t="s">
        <v>7</v>
      </c>
      <c r="C6" s="4">
        <f>三门峡!I6</f>
        <v>3</v>
      </c>
      <c r="D6" s="4">
        <v>3.4571411293101567E-2</v>
      </c>
    </row>
    <row r="7" spans="1:5" ht="16.5" customHeight="1">
      <c r="A7" s="54" t="s">
        <v>8</v>
      </c>
      <c r="B7" s="5" t="s">
        <v>3</v>
      </c>
      <c r="C7" s="5" t="e">
        <f>小浪底!#REF!</f>
        <v>#REF!</v>
      </c>
      <c r="D7" s="5">
        <v>6693.9999971522484</v>
      </c>
      <c r="E7" s="31" t="e">
        <f>C7-D7</f>
        <v>#REF!</v>
      </c>
    </row>
    <row r="8" spans="1:5" ht="16.5">
      <c r="A8" s="54"/>
      <c r="B8" s="5" t="s">
        <v>4</v>
      </c>
      <c r="C8" s="5" t="e">
        <f>小浪底!#REF!</f>
        <v>#REF!</v>
      </c>
      <c r="D8" s="5">
        <v>4500</v>
      </c>
      <c r="E8" s="31" t="e">
        <f t="shared" ref="E8:E35" si="0">C8-D8</f>
        <v>#REF!</v>
      </c>
    </row>
    <row r="9" spans="1:5" ht="16.5">
      <c r="A9" s="54"/>
      <c r="B9" s="2" t="s">
        <v>5</v>
      </c>
      <c r="C9" s="4" t="e">
        <f>小浪底!#REF!</f>
        <v>#REF!</v>
      </c>
      <c r="D9" s="4">
        <v>11.379578146772566</v>
      </c>
      <c r="E9" s="34" t="e">
        <f t="shared" si="0"/>
        <v>#REF!</v>
      </c>
    </row>
    <row r="10" spans="1:5" ht="16.5">
      <c r="A10" s="54"/>
      <c r="B10" s="2" t="s">
        <v>6</v>
      </c>
      <c r="C10" s="4" t="e">
        <f>小浪底!#REF!</f>
        <v>#REF!</v>
      </c>
      <c r="D10" s="4">
        <v>257.50411051711473</v>
      </c>
      <c r="E10" s="34" t="e">
        <f t="shared" si="0"/>
        <v>#REF!</v>
      </c>
    </row>
    <row r="11" spans="1:5" ht="16.5">
      <c r="A11" s="54"/>
      <c r="B11" s="2" t="s">
        <v>7</v>
      </c>
      <c r="C11" s="4" t="e">
        <f>小浪底!#REF!</f>
        <v>#REF!</v>
      </c>
      <c r="D11" s="4">
        <v>50.553590980769826</v>
      </c>
      <c r="E11" s="34" t="e">
        <f t="shared" si="0"/>
        <v>#REF!</v>
      </c>
    </row>
    <row r="12" spans="1:5" ht="16.5">
      <c r="A12" s="54" t="s">
        <v>9</v>
      </c>
      <c r="B12" s="2" t="s">
        <v>3</v>
      </c>
      <c r="C12" s="32">
        <f>陆浑!I2</f>
        <v>9129</v>
      </c>
      <c r="D12" s="32">
        <v>9128.9999935249798</v>
      </c>
      <c r="E12" s="31">
        <f t="shared" si="0"/>
        <v>6.4750202000141144E-6</v>
      </c>
    </row>
    <row r="13" spans="1:5" ht="16.5">
      <c r="A13" s="54"/>
      <c r="B13" s="5" t="s">
        <v>4</v>
      </c>
      <c r="C13" s="5">
        <f>陆浑!I3</f>
        <v>3241.7979999999998</v>
      </c>
      <c r="D13" s="5">
        <v>3242.6026318527533</v>
      </c>
      <c r="E13" s="31">
        <f t="shared" si="0"/>
        <v>-0.80463185275357318</v>
      </c>
    </row>
    <row r="14" spans="1:5" ht="16.5">
      <c r="A14" s="54"/>
      <c r="B14" s="2" t="s">
        <v>5</v>
      </c>
      <c r="C14" s="4">
        <f>陆浑!I4</f>
        <v>282.95789999999994</v>
      </c>
      <c r="D14" s="4">
        <v>2.5168661898153237</v>
      </c>
      <c r="E14" s="34">
        <f t="shared" si="0"/>
        <v>280.44103381018459</v>
      </c>
    </row>
    <row r="15" spans="1:5" ht="16.5">
      <c r="A15" s="54"/>
      <c r="B15" s="2" t="s">
        <v>6</v>
      </c>
      <c r="C15" s="4">
        <f>陆浑!I5</f>
        <v>323.0102</v>
      </c>
      <c r="D15" s="4">
        <v>323.01289272486883</v>
      </c>
      <c r="E15" s="34">
        <f t="shared" si="0"/>
        <v>-2.692724868836649E-3</v>
      </c>
    </row>
    <row r="16" spans="1:5" ht="16.5">
      <c r="A16" s="54"/>
      <c r="B16" s="2" t="s">
        <v>7</v>
      </c>
      <c r="C16" s="4">
        <f>陆浑!I6</f>
        <v>760.96259999999995</v>
      </c>
      <c r="D16" s="4">
        <v>7.610866189815324</v>
      </c>
      <c r="E16" s="31">
        <f t="shared" si="0"/>
        <v>753.35173381018467</v>
      </c>
    </row>
    <row r="17" spans="1:5" ht="16.5">
      <c r="A17" s="54" t="s">
        <v>10</v>
      </c>
      <c r="B17" s="2" t="s">
        <v>3</v>
      </c>
      <c r="C17" s="13">
        <f>故县!I2</f>
        <v>955</v>
      </c>
      <c r="D17" s="13">
        <v>954.99999987147748</v>
      </c>
      <c r="E17" s="31">
        <f t="shared" si="0"/>
        <v>1.2852251529693604E-7</v>
      </c>
    </row>
    <row r="18" spans="1:5" ht="16.5">
      <c r="A18" s="54"/>
      <c r="B18" s="2" t="s">
        <v>4</v>
      </c>
      <c r="C18" s="13">
        <f>故县!I3</f>
        <v>509</v>
      </c>
      <c r="D18" s="13">
        <v>90</v>
      </c>
      <c r="E18" s="31">
        <f t="shared" si="0"/>
        <v>419</v>
      </c>
    </row>
    <row r="19" spans="1:5" ht="16.5">
      <c r="A19" s="54"/>
      <c r="B19" s="2" t="s">
        <v>5</v>
      </c>
      <c r="C19" s="4">
        <f>故县!I4</f>
        <v>87.316400000000044</v>
      </c>
      <c r="D19" s="4">
        <v>1.7828820000695762</v>
      </c>
      <c r="E19" s="34">
        <f t="shared" si="0"/>
        <v>85.533517999930467</v>
      </c>
    </row>
    <row r="20" spans="1:5" ht="16.5">
      <c r="A20" s="54"/>
      <c r="B20" s="2" t="s">
        <v>6</v>
      </c>
      <c r="C20" s="4">
        <f>故县!I5</f>
        <v>529.75369999999998</v>
      </c>
      <c r="D20" s="4">
        <v>535.58016935511921</v>
      </c>
      <c r="E20" s="34">
        <f t="shared" si="0"/>
        <v>-5.8264693551192295</v>
      </c>
    </row>
    <row r="21" spans="1:5" ht="16.5">
      <c r="A21" s="54"/>
      <c r="B21" s="2" t="s">
        <v>7</v>
      </c>
      <c r="C21" s="4">
        <f>故县!I6</f>
        <v>576.18150000000003</v>
      </c>
      <c r="D21" s="4">
        <v>6.9838820000695758</v>
      </c>
      <c r="E21" s="34">
        <f t="shared" si="0"/>
        <v>569.19761799993046</v>
      </c>
    </row>
    <row r="22" spans="1:5" ht="16.5" customHeight="1">
      <c r="A22" s="54" t="s">
        <v>11</v>
      </c>
      <c r="B22" s="2" t="s">
        <v>3</v>
      </c>
      <c r="C22" s="13">
        <f>河口村!J2</f>
        <v>4502</v>
      </c>
      <c r="D22" s="13">
        <v>4501.9999982366571</v>
      </c>
      <c r="E22" s="31">
        <f t="shared" si="0"/>
        <v>1.7633428797125816E-6</v>
      </c>
    </row>
    <row r="23" spans="1:5" ht="16.5">
      <c r="A23" s="54"/>
      <c r="B23" s="2" t="s">
        <v>4</v>
      </c>
      <c r="C23" s="13">
        <f>河口村!J3</f>
        <v>3472.9609999999998</v>
      </c>
      <c r="D23" s="13">
        <v>3607.7933899919526</v>
      </c>
      <c r="E23" s="31">
        <f t="shared" si="0"/>
        <v>-134.83238999195282</v>
      </c>
    </row>
    <row r="24" spans="1:5" ht="16.5">
      <c r="A24" s="54"/>
      <c r="B24" s="2" t="s">
        <v>5</v>
      </c>
      <c r="C24" s="9">
        <f>河口村!J4</f>
        <v>148.59582</v>
      </c>
      <c r="D24" s="9">
        <v>2.2741296882628905</v>
      </c>
      <c r="E24" s="34">
        <f t="shared" si="0"/>
        <v>146.32169031173711</v>
      </c>
    </row>
    <row r="25" spans="1:5" ht="16.5">
      <c r="A25" s="54"/>
      <c r="B25" s="2" t="s">
        <v>6</v>
      </c>
      <c r="C25" s="9">
        <f>河口村!J5</f>
        <v>270.57029999999997</v>
      </c>
      <c r="D25" s="9">
        <v>284.98652051504882</v>
      </c>
      <c r="E25" s="34">
        <f t="shared" si="0"/>
        <v>-14.416220515048849</v>
      </c>
    </row>
    <row r="26" spans="1:5" ht="16.5">
      <c r="A26" s="54"/>
      <c r="B26" s="2" t="s">
        <v>7</v>
      </c>
      <c r="C26" s="9">
        <f>河口村!J6</f>
        <v>216.19970000000001</v>
      </c>
      <c r="D26" s="9">
        <v>3.0546296882628905</v>
      </c>
      <c r="E26" s="34">
        <f t="shared" si="0"/>
        <v>213.14507031173713</v>
      </c>
    </row>
    <row r="27" spans="1:5" ht="16.5">
      <c r="A27" s="2" t="s">
        <v>12</v>
      </c>
      <c r="B27" s="2" t="s">
        <v>13</v>
      </c>
      <c r="C27" s="33">
        <f>花园口以上洪水!M1</f>
        <v>5964.9440000000004</v>
      </c>
      <c r="D27" s="33">
        <v>5964.9439355133718</v>
      </c>
      <c r="E27" s="31">
        <f t="shared" si="0"/>
        <v>6.4486628616577946E-5</v>
      </c>
    </row>
    <row r="28" spans="1:5" ht="16.5">
      <c r="A28" s="2" t="s">
        <v>14</v>
      </c>
      <c r="B28" s="2" t="s">
        <v>13</v>
      </c>
      <c r="C28" s="33">
        <f>花园口以上洪水!N1</f>
        <v>6762.1980000000003</v>
      </c>
      <c r="D28" s="33">
        <v>6466.2677182526204</v>
      </c>
      <c r="E28" s="31">
        <f t="shared" si="0"/>
        <v>295.93028174737992</v>
      </c>
    </row>
    <row r="29" spans="1:5" ht="16.5">
      <c r="A29" s="2" t="s">
        <v>15</v>
      </c>
      <c r="B29" s="2" t="s">
        <v>13</v>
      </c>
      <c r="C29" s="15">
        <v>9000</v>
      </c>
      <c r="D29" s="15">
        <v>9000</v>
      </c>
      <c r="E29" s="31">
        <f t="shared" si="0"/>
        <v>0</v>
      </c>
    </row>
    <row r="30" spans="1:5" ht="16.5">
      <c r="A30" s="2" t="s">
        <v>16</v>
      </c>
      <c r="B30" s="2" t="s">
        <v>13</v>
      </c>
      <c r="C30" s="21">
        <v>4000</v>
      </c>
      <c r="D30" s="21">
        <v>4000</v>
      </c>
      <c r="E30" s="31">
        <f t="shared" si="0"/>
        <v>0</v>
      </c>
    </row>
    <row r="31" spans="1:5" ht="16.5">
      <c r="A31" s="52" t="s">
        <v>17</v>
      </c>
      <c r="B31" s="2" t="s">
        <v>13</v>
      </c>
      <c r="C31" s="33">
        <f>花园口以上洪水!R1</f>
        <v>14519.35</v>
      </c>
      <c r="D31" s="33">
        <v>13985.131036131843</v>
      </c>
      <c r="E31" s="31">
        <f t="shared" si="0"/>
        <v>534.21896386815752</v>
      </c>
    </row>
    <row r="32" spans="1:5" ht="16.5">
      <c r="A32" s="55"/>
      <c r="B32" s="2" t="s">
        <v>18</v>
      </c>
      <c r="C32" s="4">
        <f>花园口以上洪水!M3</f>
        <v>12.372765119999995</v>
      </c>
      <c r="D32" s="4">
        <v>7.2899035345548393</v>
      </c>
      <c r="E32" s="34">
        <f t="shared" si="0"/>
        <v>5.0828615854451558</v>
      </c>
    </row>
    <row r="33" spans="1:5" ht="16.5">
      <c r="A33" s="52" t="s">
        <v>19</v>
      </c>
      <c r="B33" s="5" t="s">
        <v>13</v>
      </c>
      <c r="C33" s="5" t="e">
        <f>下游!#REF!</f>
        <v>#REF!</v>
      </c>
      <c r="D33" s="5">
        <v>10849.641361951893</v>
      </c>
      <c r="E33" s="31" t="e">
        <f t="shared" si="0"/>
        <v>#REF!</v>
      </c>
    </row>
    <row r="34" spans="1:5" ht="16.5">
      <c r="A34" s="53"/>
      <c r="B34" s="2" t="s">
        <v>18</v>
      </c>
      <c r="C34" s="4" t="e">
        <f>下游!#REF!</f>
        <v>#REF!</v>
      </c>
      <c r="D34" s="4">
        <v>0.44264657889457276</v>
      </c>
      <c r="E34" s="34" t="e">
        <f t="shared" si="0"/>
        <v>#REF!</v>
      </c>
    </row>
    <row r="35" spans="1:5" ht="16.5">
      <c r="A35" s="2" t="s">
        <v>35</v>
      </c>
      <c r="B35" s="2" t="s">
        <v>13</v>
      </c>
      <c r="C35" s="20">
        <v>10000</v>
      </c>
      <c r="D35" s="20">
        <v>10000</v>
      </c>
      <c r="E35" s="31">
        <f t="shared" si="0"/>
        <v>0</v>
      </c>
    </row>
  </sheetData>
  <mergeCells count="7">
    <mergeCell ref="A33:A34"/>
    <mergeCell ref="A2:A6"/>
    <mergeCell ref="A7:A11"/>
    <mergeCell ref="A12:A16"/>
    <mergeCell ref="A17:A21"/>
    <mergeCell ref="A22:A26"/>
    <mergeCell ref="A31:A3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4"/>
  <sheetViews>
    <sheetView tabSelected="1" workbookViewId="0">
      <selection activeCell="I13" sqref="I13"/>
    </sheetView>
  </sheetViews>
  <sheetFormatPr defaultRowHeight="13.5"/>
  <cols>
    <col min="1" max="1" width="18.875" style="14" customWidth="1"/>
  </cols>
  <sheetData>
    <row r="1" spans="1:9">
      <c r="A1" s="18" t="s">
        <v>30</v>
      </c>
      <c r="B1" s="25" t="s">
        <v>20</v>
      </c>
      <c r="C1" s="25" t="s">
        <v>21</v>
      </c>
      <c r="D1" s="25" t="s">
        <v>22</v>
      </c>
      <c r="E1" s="25" t="s">
        <v>23</v>
      </c>
      <c r="F1" s="25" t="s">
        <v>24</v>
      </c>
    </row>
    <row r="2" spans="1:9" ht="33">
      <c r="A2" s="42">
        <v>46233.708333333336</v>
      </c>
      <c r="B2" s="41" t="s">
        <v>25</v>
      </c>
      <c r="C2" s="11">
        <v>1420</v>
      </c>
      <c r="D2" s="11">
        <v>1420</v>
      </c>
      <c r="E2" s="11">
        <v>295</v>
      </c>
      <c r="F2" s="11">
        <v>3</v>
      </c>
      <c r="H2" s="2" t="s">
        <v>3</v>
      </c>
      <c r="I2">
        <f>MAX(C:C)</f>
        <v>1420</v>
      </c>
    </row>
    <row r="3" spans="1:9" ht="33">
      <c r="A3" s="42">
        <v>46233.75</v>
      </c>
      <c r="B3" s="41" t="s">
        <v>25</v>
      </c>
      <c r="C3" s="11">
        <v>1420</v>
      </c>
      <c r="D3" s="11">
        <v>1420</v>
      </c>
      <c r="E3" s="11">
        <v>295</v>
      </c>
      <c r="F3" s="11">
        <v>3</v>
      </c>
      <c r="H3" s="3" t="s">
        <v>4</v>
      </c>
      <c r="I3">
        <f>MAX(D:D)</f>
        <v>1420</v>
      </c>
    </row>
    <row r="4" spans="1:9" ht="33">
      <c r="A4" s="42">
        <v>46233.791666666664</v>
      </c>
      <c r="B4" s="41" t="s">
        <v>25</v>
      </c>
      <c r="C4" s="11">
        <v>1420</v>
      </c>
      <c r="D4" s="11">
        <v>1420</v>
      </c>
      <c r="E4" s="11">
        <v>295</v>
      </c>
      <c r="F4" s="11">
        <v>3</v>
      </c>
      <c r="H4" s="2" t="s">
        <v>5</v>
      </c>
      <c r="I4">
        <f>I6-F2</f>
        <v>0</v>
      </c>
    </row>
    <row r="5" spans="1:9" ht="33">
      <c r="A5" s="42">
        <v>46233.833333333336</v>
      </c>
      <c r="B5" s="41" t="s">
        <v>25</v>
      </c>
      <c r="C5" s="11">
        <v>1420</v>
      </c>
      <c r="D5" s="11">
        <v>1420</v>
      </c>
      <c r="E5" s="11">
        <v>295</v>
      </c>
      <c r="F5" s="11">
        <v>3</v>
      </c>
      <c r="H5" s="2" t="s">
        <v>6</v>
      </c>
      <c r="I5">
        <f>MAX(E:E)</f>
        <v>295</v>
      </c>
    </row>
    <row r="6" spans="1:9" ht="33">
      <c r="A6" s="42">
        <v>46233.875</v>
      </c>
      <c r="B6" s="41" t="s">
        <v>25</v>
      </c>
      <c r="C6" s="11">
        <v>1420</v>
      </c>
      <c r="D6" s="11">
        <v>1420</v>
      </c>
      <c r="E6" s="11">
        <v>295</v>
      </c>
      <c r="F6" s="11">
        <v>3</v>
      </c>
      <c r="H6" s="2" t="s">
        <v>7</v>
      </c>
      <c r="I6">
        <f>MAX(F:F)</f>
        <v>3</v>
      </c>
    </row>
    <row r="7" spans="1:9">
      <c r="A7" s="42">
        <v>46233.916666666664</v>
      </c>
      <c r="B7" s="41" t="s">
        <v>25</v>
      </c>
      <c r="C7" s="11">
        <v>1420</v>
      </c>
      <c r="D7" s="11">
        <v>1420</v>
      </c>
      <c r="E7" s="11">
        <v>295</v>
      </c>
      <c r="F7" s="11">
        <v>3</v>
      </c>
    </row>
    <row r="8" spans="1:9">
      <c r="A8" s="42">
        <v>46233.958333333336</v>
      </c>
      <c r="B8" s="41" t="s">
        <v>25</v>
      </c>
      <c r="C8" s="11">
        <v>1420</v>
      </c>
      <c r="D8" s="11">
        <v>1420</v>
      </c>
      <c r="E8" s="11">
        <v>295</v>
      </c>
      <c r="F8" s="11">
        <v>3</v>
      </c>
    </row>
    <row r="9" spans="1:9">
      <c r="A9" s="42">
        <v>46234</v>
      </c>
      <c r="B9" s="41" t="s">
        <v>25</v>
      </c>
      <c r="C9" s="11">
        <v>1420</v>
      </c>
      <c r="D9" s="11">
        <v>1420</v>
      </c>
      <c r="E9" s="11">
        <v>295</v>
      </c>
      <c r="F9" s="11">
        <v>3</v>
      </c>
    </row>
    <row r="10" spans="1:9">
      <c r="A10" s="42">
        <v>46234.041666666664</v>
      </c>
      <c r="B10" s="41" t="s">
        <v>25</v>
      </c>
      <c r="C10" s="11">
        <v>1420</v>
      </c>
      <c r="D10" s="11">
        <v>1420</v>
      </c>
      <c r="E10" s="11">
        <v>295</v>
      </c>
      <c r="F10" s="11">
        <v>3</v>
      </c>
    </row>
    <row r="11" spans="1:9">
      <c r="A11" s="42">
        <v>46234.083333333336</v>
      </c>
      <c r="B11" s="41" t="s">
        <v>25</v>
      </c>
      <c r="C11" s="11">
        <v>1420</v>
      </c>
      <c r="D11" s="11">
        <v>1420</v>
      </c>
      <c r="E11" s="11">
        <v>295</v>
      </c>
      <c r="F11" s="11">
        <v>3</v>
      </c>
    </row>
    <row r="12" spans="1:9">
      <c r="A12" s="42">
        <v>46234.125</v>
      </c>
      <c r="B12" s="41" t="s">
        <v>25</v>
      </c>
      <c r="C12" s="11">
        <v>1420</v>
      </c>
      <c r="D12" s="11">
        <v>1420</v>
      </c>
      <c r="E12" s="11">
        <v>295</v>
      </c>
      <c r="F12" s="11">
        <v>3</v>
      </c>
    </row>
    <row r="13" spans="1:9">
      <c r="A13" s="42">
        <v>46234.166666666664</v>
      </c>
      <c r="B13" s="41" t="s">
        <v>25</v>
      </c>
      <c r="C13" s="11">
        <v>1420</v>
      </c>
      <c r="D13" s="11">
        <v>1420</v>
      </c>
      <c r="E13" s="11">
        <v>295</v>
      </c>
      <c r="F13" s="11">
        <v>3</v>
      </c>
    </row>
    <row r="14" spans="1:9">
      <c r="A14" s="42">
        <v>46234.208333333336</v>
      </c>
      <c r="B14" s="41" t="s">
        <v>25</v>
      </c>
      <c r="C14" s="11">
        <v>1420</v>
      </c>
      <c r="D14" s="11">
        <v>1420</v>
      </c>
      <c r="E14" s="11">
        <v>295</v>
      </c>
      <c r="F14" s="11">
        <v>3</v>
      </c>
    </row>
    <row r="15" spans="1:9">
      <c r="A15" s="42">
        <v>46234.25</v>
      </c>
      <c r="B15" s="41" t="s">
        <v>25</v>
      </c>
      <c r="C15" s="11">
        <v>1420</v>
      </c>
      <c r="D15" s="11">
        <v>1420</v>
      </c>
      <c r="E15" s="11">
        <v>295</v>
      </c>
      <c r="F15" s="11">
        <v>3</v>
      </c>
    </row>
    <row r="16" spans="1:9">
      <c r="A16" s="42">
        <v>46234.291666666664</v>
      </c>
      <c r="B16" s="41" t="s">
        <v>25</v>
      </c>
      <c r="C16" s="11">
        <v>1420</v>
      </c>
      <c r="D16" s="11">
        <v>1420</v>
      </c>
      <c r="E16" s="11">
        <v>295</v>
      </c>
      <c r="F16" s="11">
        <v>3</v>
      </c>
    </row>
    <row r="17" spans="1:6">
      <c r="A17" s="42">
        <v>46234.333333333336</v>
      </c>
      <c r="B17" s="41" t="s">
        <v>25</v>
      </c>
      <c r="C17" s="11">
        <v>1420</v>
      </c>
      <c r="D17" s="11">
        <v>1420</v>
      </c>
      <c r="E17" s="11">
        <v>295</v>
      </c>
      <c r="F17" s="11">
        <v>3</v>
      </c>
    </row>
    <row r="18" spans="1:6">
      <c r="A18" s="42">
        <v>46234.375</v>
      </c>
      <c r="B18" s="41" t="s">
        <v>25</v>
      </c>
      <c r="C18" s="11">
        <v>1420</v>
      </c>
      <c r="D18" s="11">
        <v>1420</v>
      </c>
      <c r="E18" s="11">
        <v>295</v>
      </c>
      <c r="F18" s="11">
        <v>3</v>
      </c>
    </row>
    <row r="19" spans="1:6">
      <c r="A19" s="42">
        <v>46234.416666666664</v>
      </c>
      <c r="B19" s="41" t="s">
        <v>25</v>
      </c>
      <c r="C19" s="11">
        <v>1420</v>
      </c>
      <c r="D19" s="11">
        <v>1420</v>
      </c>
      <c r="E19" s="11">
        <v>295</v>
      </c>
      <c r="F19" s="11">
        <v>3</v>
      </c>
    </row>
    <row r="20" spans="1:6">
      <c r="A20" s="42">
        <v>46234.458333333336</v>
      </c>
      <c r="B20" s="41" t="s">
        <v>25</v>
      </c>
      <c r="C20" s="11">
        <v>1420</v>
      </c>
      <c r="D20" s="11">
        <v>1420</v>
      </c>
      <c r="E20" s="11">
        <v>295</v>
      </c>
      <c r="F20" s="11">
        <v>3</v>
      </c>
    </row>
    <row r="21" spans="1:6">
      <c r="A21" s="42">
        <v>46234.5</v>
      </c>
      <c r="B21" s="41" t="s">
        <v>25</v>
      </c>
      <c r="C21" s="11">
        <v>1420</v>
      </c>
      <c r="D21" s="11">
        <v>1420</v>
      </c>
      <c r="E21" s="11">
        <v>295</v>
      </c>
      <c r="F21" s="11">
        <v>3</v>
      </c>
    </row>
    <row r="22" spans="1:6">
      <c r="A22" s="42">
        <v>46234.541666666664</v>
      </c>
      <c r="B22" s="41" t="s">
        <v>25</v>
      </c>
      <c r="C22" s="11">
        <v>1420</v>
      </c>
      <c r="D22" s="11">
        <v>1420</v>
      </c>
      <c r="E22" s="11">
        <v>295</v>
      </c>
      <c r="F22" s="11">
        <v>3</v>
      </c>
    </row>
    <row r="23" spans="1:6">
      <c r="A23" s="42">
        <v>46234.583333333336</v>
      </c>
      <c r="B23" s="41" t="s">
        <v>25</v>
      </c>
      <c r="C23" s="11">
        <v>1420</v>
      </c>
      <c r="D23" s="11">
        <v>1420</v>
      </c>
      <c r="E23" s="11">
        <v>295</v>
      </c>
      <c r="F23" s="11">
        <v>3</v>
      </c>
    </row>
    <row r="24" spans="1:6">
      <c r="A24" s="42">
        <v>46234.625</v>
      </c>
      <c r="B24" s="41" t="s">
        <v>25</v>
      </c>
      <c r="C24" s="11">
        <v>1420</v>
      </c>
      <c r="D24" s="11">
        <v>1420</v>
      </c>
      <c r="E24" s="11">
        <v>295</v>
      </c>
      <c r="F24" s="11">
        <v>3</v>
      </c>
    </row>
    <row r="25" spans="1:6">
      <c r="A25" s="42">
        <v>46234.666666666664</v>
      </c>
      <c r="B25" s="41" t="s">
        <v>25</v>
      </c>
      <c r="C25" s="11">
        <v>1420</v>
      </c>
      <c r="D25" s="11">
        <v>1420</v>
      </c>
      <c r="E25" s="11">
        <v>295</v>
      </c>
      <c r="F25" s="11">
        <v>3</v>
      </c>
    </row>
    <row r="26" spans="1:6">
      <c r="A26" s="42">
        <v>46234.708333333336</v>
      </c>
      <c r="B26" s="41" t="s">
        <v>25</v>
      </c>
      <c r="C26" s="11">
        <v>1420</v>
      </c>
      <c r="D26" s="11">
        <v>1420</v>
      </c>
      <c r="E26" s="11">
        <v>295</v>
      </c>
      <c r="F26" s="11">
        <v>3</v>
      </c>
    </row>
    <row r="27" spans="1:6">
      <c r="A27" s="42">
        <v>46234.75</v>
      </c>
      <c r="B27" s="41" t="s">
        <v>25</v>
      </c>
      <c r="C27" s="11">
        <v>1420</v>
      </c>
      <c r="D27" s="11">
        <v>1420</v>
      </c>
      <c r="E27" s="11">
        <v>295</v>
      </c>
      <c r="F27" s="11">
        <v>3</v>
      </c>
    </row>
    <row r="28" spans="1:6">
      <c r="A28" s="42">
        <v>46234.791666666664</v>
      </c>
      <c r="B28" s="41" t="s">
        <v>25</v>
      </c>
      <c r="C28" s="11">
        <v>1420</v>
      </c>
      <c r="D28" s="11">
        <v>1420</v>
      </c>
      <c r="E28" s="11">
        <v>295</v>
      </c>
      <c r="F28" s="11">
        <v>3</v>
      </c>
    </row>
    <row r="29" spans="1:6">
      <c r="A29" s="42">
        <v>46234.833333333336</v>
      </c>
      <c r="B29" s="41" t="s">
        <v>25</v>
      </c>
      <c r="C29" s="11">
        <v>1420</v>
      </c>
      <c r="D29" s="11">
        <v>1420</v>
      </c>
      <c r="E29" s="11">
        <v>295</v>
      </c>
      <c r="F29" s="11">
        <v>3</v>
      </c>
    </row>
    <row r="30" spans="1:6">
      <c r="A30" s="42">
        <v>46234.875</v>
      </c>
      <c r="B30" s="41" t="s">
        <v>25</v>
      </c>
      <c r="C30" s="11">
        <v>1420</v>
      </c>
      <c r="D30" s="11">
        <v>1420</v>
      </c>
      <c r="E30" s="11">
        <v>295</v>
      </c>
      <c r="F30" s="11">
        <v>3</v>
      </c>
    </row>
    <row r="31" spans="1:6">
      <c r="A31" s="42">
        <v>46234.916666666664</v>
      </c>
      <c r="B31" s="41" t="s">
        <v>25</v>
      </c>
      <c r="C31" s="11">
        <v>1420</v>
      </c>
      <c r="D31" s="11">
        <v>1420</v>
      </c>
      <c r="E31" s="11">
        <v>295</v>
      </c>
      <c r="F31" s="11">
        <v>3</v>
      </c>
    </row>
    <row r="32" spans="1:6">
      <c r="A32" s="42">
        <v>46234.958333333336</v>
      </c>
      <c r="B32" s="41" t="s">
        <v>25</v>
      </c>
      <c r="C32" s="11">
        <v>1420</v>
      </c>
      <c r="D32" s="11">
        <v>1420</v>
      </c>
      <c r="E32" s="11">
        <v>295</v>
      </c>
      <c r="F32" s="11">
        <v>3</v>
      </c>
    </row>
    <row r="33" spans="1:6">
      <c r="A33" s="42">
        <v>46235</v>
      </c>
      <c r="B33" s="41" t="s">
        <v>25</v>
      </c>
      <c r="C33" s="11">
        <v>1420</v>
      </c>
      <c r="D33" s="11">
        <v>1420</v>
      </c>
      <c r="E33" s="11">
        <v>295</v>
      </c>
      <c r="F33" s="11">
        <v>3</v>
      </c>
    </row>
    <row r="34" spans="1:6">
      <c r="A34" s="42">
        <v>46235.041666666664</v>
      </c>
      <c r="B34" s="41" t="s">
        <v>25</v>
      </c>
      <c r="C34" s="11">
        <v>1420</v>
      </c>
      <c r="D34" s="11">
        <v>1420</v>
      </c>
      <c r="E34" s="11">
        <v>295</v>
      </c>
      <c r="F34" s="11">
        <v>3</v>
      </c>
    </row>
    <row r="35" spans="1:6">
      <c r="A35" s="42">
        <v>46235.083333333336</v>
      </c>
      <c r="B35" s="41" t="s">
        <v>25</v>
      </c>
      <c r="C35" s="11">
        <v>1420</v>
      </c>
      <c r="D35" s="11">
        <v>1420</v>
      </c>
      <c r="E35" s="11">
        <v>295</v>
      </c>
      <c r="F35" s="11">
        <v>3</v>
      </c>
    </row>
    <row r="36" spans="1:6">
      <c r="A36" s="42">
        <v>46235.125</v>
      </c>
      <c r="B36" s="41" t="s">
        <v>25</v>
      </c>
      <c r="C36" s="11">
        <v>1420</v>
      </c>
      <c r="D36" s="11">
        <v>1420</v>
      </c>
      <c r="E36" s="11">
        <v>295</v>
      </c>
      <c r="F36" s="11">
        <v>3</v>
      </c>
    </row>
    <row r="37" spans="1:6">
      <c r="A37" s="42">
        <v>46235.166666666664</v>
      </c>
      <c r="B37" s="41" t="s">
        <v>25</v>
      </c>
      <c r="C37" s="11">
        <v>1420</v>
      </c>
      <c r="D37" s="11">
        <v>1420</v>
      </c>
      <c r="E37" s="11">
        <v>295</v>
      </c>
      <c r="F37" s="11">
        <v>3</v>
      </c>
    </row>
    <row r="38" spans="1:6">
      <c r="A38" s="42">
        <v>46235.208333333336</v>
      </c>
      <c r="B38" s="41" t="s">
        <v>25</v>
      </c>
      <c r="C38" s="11">
        <v>1420</v>
      </c>
      <c r="D38" s="11">
        <v>1420</v>
      </c>
      <c r="E38" s="11">
        <v>295</v>
      </c>
      <c r="F38" s="11">
        <v>3</v>
      </c>
    </row>
    <row r="39" spans="1:6">
      <c r="A39" s="42">
        <v>46235.25</v>
      </c>
      <c r="B39" s="41" t="s">
        <v>25</v>
      </c>
      <c r="C39" s="11">
        <v>1420</v>
      </c>
      <c r="D39" s="11">
        <v>1420</v>
      </c>
      <c r="E39" s="11">
        <v>295</v>
      </c>
      <c r="F39" s="11">
        <v>3</v>
      </c>
    </row>
    <row r="40" spans="1:6">
      <c r="A40" s="42">
        <v>46235.291666666664</v>
      </c>
      <c r="B40" s="41" t="s">
        <v>25</v>
      </c>
      <c r="C40" s="11">
        <v>1420</v>
      </c>
      <c r="D40" s="11">
        <v>1420</v>
      </c>
      <c r="E40" s="11">
        <v>295</v>
      </c>
      <c r="F40" s="11">
        <v>3</v>
      </c>
    </row>
    <row r="41" spans="1:6">
      <c r="A41" s="42">
        <v>46235.333333333336</v>
      </c>
      <c r="B41" s="41" t="s">
        <v>25</v>
      </c>
      <c r="C41" s="11">
        <v>1420</v>
      </c>
      <c r="D41" s="11">
        <v>1420</v>
      </c>
      <c r="E41" s="11">
        <v>295</v>
      </c>
      <c r="F41" s="11">
        <v>3</v>
      </c>
    </row>
    <row r="42" spans="1:6">
      <c r="A42" s="42">
        <v>46235.375</v>
      </c>
      <c r="B42" s="41" t="s">
        <v>25</v>
      </c>
      <c r="C42" s="11">
        <v>1420</v>
      </c>
      <c r="D42" s="11">
        <v>1420</v>
      </c>
      <c r="E42" s="11">
        <v>295</v>
      </c>
      <c r="F42" s="11">
        <v>3</v>
      </c>
    </row>
    <row r="43" spans="1:6">
      <c r="A43" s="42">
        <v>46235.416666666664</v>
      </c>
      <c r="B43" s="41" t="s">
        <v>25</v>
      </c>
      <c r="C43" s="11">
        <v>1420</v>
      </c>
      <c r="D43" s="11">
        <v>1420</v>
      </c>
      <c r="E43" s="11">
        <v>295</v>
      </c>
      <c r="F43" s="11">
        <v>3</v>
      </c>
    </row>
    <row r="44" spans="1:6">
      <c r="A44" s="42">
        <v>46235.458333333336</v>
      </c>
      <c r="B44" s="41" t="s">
        <v>25</v>
      </c>
      <c r="C44" s="11">
        <v>1420</v>
      </c>
      <c r="D44" s="11">
        <v>1420</v>
      </c>
      <c r="E44" s="11">
        <v>295</v>
      </c>
      <c r="F44" s="11">
        <v>3</v>
      </c>
    </row>
    <row r="45" spans="1:6">
      <c r="A45" s="42">
        <v>46235.5</v>
      </c>
      <c r="B45" s="41" t="s">
        <v>25</v>
      </c>
      <c r="C45" s="11">
        <v>1420</v>
      </c>
      <c r="D45" s="11">
        <v>1420</v>
      </c>
      <c r="E45" s="11">
        <v>295</v>
      </c>
      <c r="F45" s="11">
        <v>3</v>
      </c>
    </row>
    <row r="46" spans="1:6">
      <c r="A46" s="42">
        <v>46235.541666666664</v>
      </c>
      <c r="B46" s="41" t="s">
        <v>25</v>
      </c>
      <c r="C46" s="11">
        <v>1420</v>
      </c>
      <c r="D46" s="11">
        <v>1420</v>
      </c>
      <c r="E46" s="11">
        <v>295</v>
      </c>
      <c r="F46" s="11">
        <v>3</v>
      </c>
    </row>
    <row r="47" spans="1:6">
      <c r="A47" s="42">
        <v>46235.583333333336</v>
      </c>
      <c r="B47" s="41" t="s">
        <v>25</v>
      </c>
      <c r="C47" s="11">
        <v>1420</v>
      </c>
      <c r="D47" s="11">
        <v>1420</v>
      </c>
      <c r="E47" s="11">
        <v>295</v>
      </c>
      <c r="F47" s="11">
        <v>3</v>
      </c>
    </row>
    <row r="48" spans="1:6">
      <c r="A48" s="42">
        <v>46235.625</v>
      </c>
      <c r="B48" s="41" t="s">
        <v>25</v>
      </c>
      <c r="C48" s="11">
        <v>1420</v>
      </c>
      <c r="D48" s="11">
        <v>1420</v>
      </c>
      <c r="E48" s="11">
        <v>295</v>
      </c>
      <c r="F48" s="11">
        <v>3</v>
      </c>
    </row>
    <row r="49" spans="1:6">
      <c r="A49" s="42">
        <v>46235.666666666664</v>
      </c>
      <c r="B49" s="41" t="s">
        <v>25</v>
      </c>
      <c r="C49" s="11">
        <v>1420</v>
      </c>
      <c r="D49" s="11">
        <v>1420</v>
      </c>
      <c r="E49" s="11">
        <v>295</v>
      </c>
      <c r="F49" s="11">
        <v>3</v>
      </c>
    </row>
    <row r="50" spans="1:6">
      <c r="A50" s="42">
        <v>46235.708333333336</v>
      </c>
      <c r="B50" s="41" t="s">
        <v>25</v>
      </c>
      <c r="C50" s="11">
        <v>1420</v>
      </c>
      <c r="D50" s="11">
        <v>1420</v>
      </c>
      <c r="E50" s="11">
        <v>295</v>
      </c>
      <c r="F50" s="11">
        <v>3</v>
      </c>
    </row>
    <row r="51" spans="1:6">
      <c r="A51" s="42">
        <v>46235.75</v>
      </c>
      <c r="B51" s="41" t="s">
        <v>25</v>
      </c>
      <c r="C51" s="11">
        <v>1420</v>
      </c>
      <c r="D51" s="11">
        <v>1420</v>
      </c>
      <c r="E51" s="11">
        <v>295</v>
      </c>
      <c r="F51" s="11">
        <v>3</v>
      </c>
    </row>
    <row r="52" spans="1:6">
      <c r="A52" s="42">
        <v>46235.791666666664</v>
      </c>
      <c r="B52" s="41" t="s">
        <v>25</v>
      </c>
      <c r="C52" s="11">
        <v>1420</v>
      </c>
      <c r="D52" s="11">
        <v>1420</v>
      </c>
      <c r="E52" s="11">
        <v>295</v>
      </c>
      <c r="F52" s="11">
        <v>3</v>
      </c>
    </row>
    <row r="53" spans="1:6">
      <c r="A53" s="42">
        <v>46235.833333333336</v>
      </c>
      <c r="B53" s="41" t="s">
        <v>25</v>
      </c>
      <c r="C53" s="11">
        <v>1420</v>
      </c>
      <c r="D53" s="11">
        <v>1420</v>
      </c>
      <c r="E53" s="11">
        <v>295</v>
      </c>
      <c r="F53" s="11">
        <v>3</v>
      </c>
    </row>
    <row r="54" spans="1:6">
      <c r="A54" s="42">
        <v>46235.875</v>
      </c>
      <c r="B54" s="41" t="s">
        <v>25</v>
      </c>
      <c r="C54" s="11">
        <v>1420</v>
      </c>
      <c r="D54" s="11">
        <v>1420</v>
      </c>
      <c r="E54" s="11">
        <v>295</v>
      </c>
      <c r="F54" s="11">
        <v>3</v>
      </c>
    </row>
    <row r="55" spans="1:6">
      <c r="A55" s="42">
        <v>46235.916666666664</v>
      </c>
      <c r="B55" s="41" t="s">
        <v>25</v>
      </c>
      <c r="C55" s="11">
        <v>1420</v>
      </c>
      <c r="D55" s="11">
        <v>1420</v>
      </c>
      <c r="E55" s="11">
        <v>295</v>
      </c>
      <c r="F55" s="11">
        <v>3</v>
      </c>
    </row>
    <row r="56" spans="1:6">
      <c r="A56" s="42">
        <v>46235.958333333336</v>
      </c>
      <c r="B56" s="41" t="s">
        <v>25</v>
      </c>
      <c r="C56" s="11">
        <v>1420</v>
      </c>
      <c r="D56" s="11">
        <v>1420</v>
      </c>
      <c r="E56" s="11">
        <v>295</v>
      </c>
      <c r="F56" s="11">
        <v>3</v>
      </c>
    </row>
    <row r="57" spans="1:6">
      <c r="A57" s="42">
        <v>46236</v>
      </c>
      <c r="B57" s="41" t="s">
        <v>25</v>
      </c>
      <c r="C57" s="11">
        <v>1420</v>
      </c>
      <c r="D57" s="11">
        <v>1420</v>
      </c>
      <c r="E57" s="11">
        <v>295</v>
      </c>
      <c r="F57" s="11">
        <v>3</v>
      </c>
    </row>
    <row r="58" spans="1:6">
      <c r="A58" s="42">
        <v>46236.041666666664</v>
      </c>
      <c r="B58" s="41" t="s">
        <v>25</v>
      </c>
      <c r="C58" s="11">
        <v>1420</v>
      </c>
      <c r="D58" s="11">
        <v>1420</v>
      </c>
      <c r="E58" s="11">
        <v>295</v>
      </c>
      <c r="F58" s="11">
        <v>3</v>
      </c>
    </row>
    <row r="59" spans="1:6">
      <c r="A59" s="42">
        <v>46236.083333333336</v>
      </c>
      <c r="B59" s="41" t="s">
        <v>25</v>
      </c>
      <c r="C59" s="11">
        <v>1420</v>
      </c>
      <c r="D59" s="11">
        <v>1420</v>
      </c>
      <c r="E59" s="11">
        <v>295</v>
      </c>
      <c r="F59" s="11">
        <v>3</v>
      </c>
    </row>
    <row r="60" spans="1:6">
      <c r="A60" s="42">
        <v>46236.125</v>
      </c>
      <c r="B60" s="41" t="s">
        <v>25</v>
      </c>
      <c r="C60" s="11">
        <v>1420</v>
      </c>
      <c r="D60" s="11">
        <v>1420</v>
      </c>
      <c r="E60" s="11">
        <v>295</v>
      </c>
      <c r="F60" s="11">
        <v>3</v>
      </c>
    </row>
    <row r="61" spans="1:6">
      <c r="A61" s="42">
        <v>46236.166666666664</v>
      </c>
      <c r="B61" s="41" t="s">
        <v>25</v>
      </c>
      <c r="C61" s="11">
        <v>1420</v>
      </c>
      <c r="D61" s="11">
        <v>1420</v>
      </c>
      <c r="E61" s="11">
        <v>295</v>
      </c>
      <c r="F61" s="11">
        <v>3</v>
      </c>
    </row>
    <row r="62" spans="1:6">
      <c r="A62" s="42">
        <v>46236.208333333336</v>
      </c>
      <c r="B62" s="41" t="s">
        <v>25</v>
      </c>
      <c r="C62" s="11">
        <v>1420</v>
      </c>
      <c r="D62" s="11">
        <v>1420</v>
      </c>
      <c r="E62" s="11">
        <v>295</v>
      </c>
      <c r="F62" s="11">
        <v>3</v>
      </c>
    </row>
    <row r="63" spans="1:6">
      <c r="A63" s="42">
        <v>46236.25</v>
      </c>
      <c r="B63" s="41" t="s">
        <v>25</v>
      </c>
      <c r="C63" s="11">
        <v>1420</v>
      </c>
      <c r="D63" s="11">
        <v>1420</v>
      </c>
      <c r="E63" s="11">
        <v>295</v>
      </c>
      <c r="F63" s="11">
        <v>3</v>
      </c>
    </row>
    <row r="64" spans="1:6">
      <c r="A64" s="42">
        <v>46236.291666666664</v>
      </c>
      <c r="B64" s="41" t="s">
        <v>25</v>
      </c>
      <c r="C64" s="11">
        <v>1420</v>
      </c>
      <c r="D64" s="11">
        <v>1420</v>
      </c>
      <c r="E64" s="11">
        <v>295</v>
      </c>
      <c r="F64" s="11">
        <v>3</v>
      </c>
    </row>
    <row r="65" spans="1:6">
      <c r="A65" s="42">
        <v>46236.333333333336</v>
      </c>
      <c r="B65" s="41" t="s">
        <v>25</v>
      </c>
      <c r="C65" s="11">
        <v>1420</v>
      </c>
      <c r="D65" s="11">
        <v>1420</v>
      </c>
      <c r="E65" s="11">
        <v>295</v>
      </c>
      <c r="F65" s="11">
        <v>3</v>
      </c>
    </row>
    <row r="66" spans="1:6">
      <c r="A66" s="42">
        <v>46236.375</v>
      </c>
      <c r="B66" s="41" t="s">
        <v>25</v>
      </c>
      <c r="C66" s="11">
        <v>1420</v>
      </c>
      <c r="D66" s="11">
        <v>1420</v>
      </c>
      <c r="E66" s="11">
        <v>295</v>
      </c>
      <c r="F66" s="11">
        <v>3</v>
      </c>
    </row>
    <row r="67" spans="1:6">
      <c r="A67" s="42">
        <v>46236.416666666664</v>
      </c>
      <c r="B67" s="41" t="s">
        <v>25</v>
      </c>
      <c r="C67" s="11">
        <v>1420</v>
      </c>
      <c r="D67" s="11">
        <v>1420</v>
      </c>
      <c r="E67" s="11">
        <v>295</v>
      </c>
      <c r="F67" s="11">
        <v>3</v>
      </c>
    </row>
    <row r="68" spans="1:6">
      <c r="A68" s="42">
        <v>46236.458333333336</v>
      </c>
      <c r="B68" s="41" t="s">
        <v>25</v>
      </c>
      <c r="C68" s="11">
        <v>1420</v>
      </c>
      <c r="D68" s="11">
        <v>1420</v>
      </c>
      <c r="E68" s="11">
        <v>295</v>
      </c>
      <c r="F68" s="11">
        <v>3</v>
      </c>
    </row>
    <row r="69" spans="1:6">
      <c r="A69" s="42">
        <v>46236.5</v>
      </c>
      <c r="B69" s="41" t="s">
        <v>25</v>
      </c>
      <c r="C69" s="11">
        <v>1420</v>
      </c>
      <c r="D69" s="11">
        <v>1420</v>
      </c>
      <c r="E69" s="11">
        <v>295</v>
      </c>
      <c r="F69" s="11">
        <v>3</v>
      </c>
    </row>
    <row r="70" spans="1:6">
      <c r="A70" s="42">
        <v>46236.541666666664</v>
      </c>
      <c r="B70" s="41" t="s">
        <v>25</v>
      </c>
      <c r="C70" s="11">
        <v>1420</v>
      </c>
      <c r="D70" s="11">
        <v>1420</v>
      </c>
      <c r="E70" s="11">
        <v>295</v>
      </c>
      <c r="F70" s="11">
        <v>3</v>
      </c>
    </row>
    <row r="71" spans="1:6">
      <c r="A71" s="42">
        <v>46236.583333333336</v>
      </c>
      <c r="B71" s="41" t="s">
        <v>25</v>
      </c>
      <c r="C71" s="11">
        <v>1420</v>
      </c>
      <c r="D71" s="11">
        <v>1420</v>
      </c>
      <c r="E71" s="11">
        <v>295</v>
      </c>
      <c r="F71" s="11">
        <v>3</v>
      </c>
    </row>
    <row r="72" spans="1:6">
      <c r="A72" s="42">
        <v>46236.625</v>
      </c>
      <c r="B72" s="41" t="s">
        <v>25</v>
      </c>
      <c r="C72" s="11">
        <v>1420</v>
      </c>
      <c r="D72" s="11">
        <v>1420</v>
      </c>
      <c r="E72" s="11">
        <v>295</v>
      </c>
      <c r="F72" s="11">
        <v>3</v>
      </c>
    </row>
    <row r="73" spans="1:6">
      <c r="A73" s="42">
        <v>46236.666666666664</v>
      </c>
      <c r="B73" s="41" t="s">
        <v>25</v>
      </c>
      <c r="C73" s="11">
        <v>1420</v>
      </c>
      <c r="D73" s="11">
        <v>1420</v>
      </c>
      <c r="E73" s="11">
        <v>295</v>
      </c>
      <c r="F73" s="11">
        <v>3</v>
      </c>
    </row>
    <row r="74" spans="1:6">
      <c r="A74" s="42">
        <v>46236.708333333336</v>
      </c>
      <c r="B74" s="41" t="s">
        <v>25</v>
      </c>
      <c r="C74" s="11">
        <v>1420</v>
      </c>
      <c r="D74" s="11">
        <v>1420</v>
      </c>
      <c r="E74" s="11">
        <v>295</v>
      </c>
      <c r="F74" s="11">
        <v>3</v>
      </c>
    </row>
    <row r="75" spans="1:6">
      <c r="A75" s="42">
        <v>46236.75</v>
      </c>
      <c r="B75" s="41" t="s">
        <v>25</v>
      </c>
      <c r="C75" s="11">
        <v>1420</v>
      </c>
      <c r="D75" s="11">
        <v>1420</v>
      </c>
      <c r="E75" s="11">
        <v>295</v>
      </c>
      <c r="F75" s="11">
        <v>3</v>
      </c>
    </row>
    <row r="76" spans="1:6">
      <c r="A76" s="42">
        <v>46236.791666666664</v>
      </c>
      <c r="B76" s="41" t="s">
        <v>25</v>
      </c>
      <c r="C76" s="11">
        <v>1420</v>
      </c>
      <c r="D76" s="11">
        <v>1420</v>
      </c>
      <c r="E76" s="11">
        <v>295</v>
      </c>
      <c r="F76" s="11">
        <v>3</v>
      </c>
    </row>
    <row r="77" spans="1:6">
      <c r="A77" s="42">
        <v>46236.833333333336</v>
      </c>
      <c r="B77" s="41" t="s">
        <v>25</v>
      </c>
      <c r="C77" s="11">
        <v>1420</v>
      </c>
      <c r="D77" s="11">
        <v>1420</v>
      </c>
      <c r="E77" s="11">
        <v>295</v>
      </c>
      <c r="F77" s="11">
        <v>3</v>
      </c>
    </row>
    <row r="78" spans="1:6">
      <c r="A78" s="42">
        <v>46236.875</v>
      </c>
      <c r="B78" s="41" t="s">
        <v>25</v>
      </c>
      <c r="C78" s="11">
        <v>1420</v>
      </c>
      <c r="D78" s="11">
        <v>1420</v>
      </c>
      <c r="E78" s="11">
        <v>295</v>
      </c>
      <c r="F78" s="11">
        <v>3</v>
      </c>
    </row>
    <row r="79" spans="1:6">
      <c r="A79" s="42">
        <v>46236.916666666664</v>
      </c>
      <c r="B79" s="41" t="s">
        <v>25</v>
      </c>
      <c r="C79" s="11">
        <v>1420</v>
      </c>
      <c r="D79" s="11">
        <v>1420</v>
      </c>
      <c r="E79" s="11">
        <v>295</v>
      </c>
      <c r="F79" s="11">
        <v>3</v>
      </c>
    </row>
    <row r="80" spans="1:6">
      <c r="A80" s="42">
        <v>46236.958333333336</v>
      </c>
      <c r="B80" s="41" t="s">
        <v>25</v>
      </c>
      <c r="C80" s="11">
        <v>1420</v>
      </c>
      <c r="D80" s="11">
        <v>1420</v>
      </c>
      <c r="E80" s="11">
        <v>295</v>
      </c>
      <c r="F80" s="11">
        <v>3</v>
      </c>
    </row>
    <row r="81" spans="1:6">
      <c r="A81" s="42">
        <v>46237</v>
      </c>
      <c r="B81" s="41" t="s">
        <v>25</v>
      </c>
      <c r="C81" s="11">
        <v>1420</v>
      </c>
      <c r="D81" s="11">
        <v>1420</v>
      </c>
      <c r="E81" s="11">
        <v>295</v>
      </c>
      <c r="F81" s="11">
        <v>3</v>
      </c>
    </row>
    <row r="82" spans="1:6">
      <c r="A82" s="42">
        <v>46237.041666666664</v>
      </c>
      <c r="B82" s="41" t="s">
        <v>25</v>
      </c>
      <c r="C82" s="11">
        <v>1420</v>
      </c>
      <c r="D82" s="11">
        <v>1420</v>
      </c>
      <c r="E82" s="11">
        <v>295</v>
      </c>
      <c r="F82" s="11">
        <v>3</v>
      </c>
    </row>
    <row r="83" spans="1:6">
      <c r="A83" s="42">
        <v>46237.083333333336</v>
      </c>
      <c r="B83" s="41" t="s">
        <v>25</v>
      </c>
      <c r="C83" s="11">
        <v>1420</v>
      </c>
      <c r="D83" s="11">
        <v>1420</v>
      </c>
      <c r="E83" s="11">
        <v>295</v>
      </c>
      <c r="F83" s="11">
        <v>3</v>
      </c>
    </row>
    <row r="84" spans="1:6">
      <c r="A84" s="42">
        <v>46237.125</v>
      </c>
      <c r="B84" s="41" t="s">
        <v>25</v>
      </c>
      <c r="C84" s="11">
        <v>1420</v>
      </c>
      <c r="D84" s="11">
        <v>1420</v>
      </c>
      <c r="E84" s="11">
        <v>295</v>
      </c>
      <c r="F84" s="11">
        <v>3</v>
      </c>
    </row>
    <row r="85" spans="1:6">
      <c r="A85" s="42">
        <v>46237.166666666664</v>
      </c>
      <c r="B85" s="41" t="s">
        <v>25</v>
      </c>
      <c r="C85" s="11">
        <v>1420</v>
      </c>
      <c r="D85" s="11">
        <v>1420</v>
      </c>
      <c r="E85" s="11">
        <v>295</v>
      </c>
      <c r="F85" s="11">
        <v>3</v>
      </c>
    </row>
    <row r="86" spans="1:6">
      <c r="A86" s="42">
        <v>46237.208333333336</v>
      </c>
      <c r="B86" s="41" t="s">
        <v>25</v>
      </c>
      <c r="C86" s="11">
        <v>1420</v>
      </c>
      <c r="D86" s="11">
        <v>1420</v>
      </c>
      <c r="E86" s="11">
        <v>295</v>
      </c>
      <c r="F86" s="11">
        <v>3</v>
      </c>
    </row>
    <row r="87" spans="1:6">
      <c r="A87" s="42">
        <v>46237.25</v>
      </c>
      <c r="B87" s="41" t="s">
        <v>25</v>
      </c>
      <c r="C87" s="11">
        <v>1420</v>
      </c>
      <c r="D87" s="11">
        <v>1420</v>
      </c>
      <c r="E87" s="11">
        <v>295</v>
      </c>
      <c r="F87" s="11">
        <v>3</v>
      </c>
    </row>
    <row r="88" spans="1:6">
      <c r="A88" s="42">
        <v>46237.291666666664</v>
      </c>
      <c r="B88" s="41" t="s">
        <v>25</v>
      </c>
      <c r="C88" s="11">
        <v>1420</v>
      </c>
      <c r="D88" s="11">
        <v>1420</v>
      </c>
      <c r="E88" s="11">
        <v>295</v>
      </c>
      <c r="F88" s="11">
        <v>3</v>
      </c>
    </row>
    <row r="89" spans="1:6">
      <c r="A89" s="42">
        <v>46237.333333333336</v>
      </c>
      <c r="B89" s="41" t="s">
        <v>25</v>
      </c>
      <c r="C89" s="11">
        <v>1420</v>
      </c>
      <c r="D89" s="11">
        <v>1420</v>
      </c>
      <c r="E89" s="11">
        <v>295</v>
      </c>
      <c r="F89" s="11">
        <v>3</v>
      </c>
    </row>
    <row r="90" spans="1:6">
      <c r="A90" s="42">
        <v>46237.375</v>
      </c>
      <c r="B90" s="41" t="s">
        <v>25</v>
      </c>
      <c r="C90" s="11">
        <v>1420</v>
      </c>
      <c r="D90" s="11">
        <v>1420</v>
      </c>
      <c r="E90" s="11">
        <v>295</v>
      </c>
      <c r="F90" s="11">
        <v>3</v>
      </c>
    </row>
    <row r="91" spans="1:6">
      <c r="A91" s="42">
        <v>46237.416666666664</v>
      </c>
      <c r="B91" s="41" t="s">
        <v>25</v>
      </c>
      <c r="C91" s="11">
        <v>1420</v>
      </c>
      <c r="D91" s="11">
        <v>1420</v>
      </c>
      <c r="E91" s="11">
        <v>295</v>
      </c>
      <c r="F91" s="11">
        <v>3</v>
      </c>
    </row>
    <row r="92" spans="1:6">
      <c r="A92" s="42">
        <v>46237.458333333336</v>
      </c>
      <c r="B92" s="41" t="s">
        <v>25</v>
      </c>
      <c r="C92" s="11">
        <v>1420</v>
      </c>
      <c r="D92" s="11">
        <v>1420</v>
      </c>
      <c r="E92" s="11">
        <v>295</v>
      </c>
      <c r="F92" s="11">
        <v>3</v>
      </c>
    </row>
    <row r="93" spans="1:6">
      <c r="A93" s="42">
        <v>46237.5</v>
      </c>
      <c r="B93" s="41" t="s">
        <v>25</v>
      </c>
      <c r="C93" s="11">
        <v>1420</v>
      </c>
      <c r="D93" s="11">
        <v>1420</v>
      </c>
      <c r="E93" s="11">
        <v>295</v>
      </c>
      <c r="F93" s="11">
        <v>3</v>
      </c>
    </row>
    <row r="94" spans="1:6">
      <c r="A94" s="42">
        <v>46237.541666666664</v>
      </c>
      <c r="B94" s="41" t="s">
        <v>25</v>
      </c>
      <c r="C94" s="11">
        <v>1420</v>
      </c>
      <c r="D94" s="11">
        <v>1420</v>
      </c>
      <c r="E94" s="11">
        <v>295</v>
      </c>
      <c r="F94" s="11">
        <v>3</v>
      </c>
    </row>
    <row r="95" spans="1:6">
      <c r="A95" s="42">
        <v>46237.583333333336</v>
      </c>
      <c r="B95" s="41" t="s">
        <v>25</v>
      </c>
      <c r="C95" s="11">
        <v>1420</v>
      </c>
      <c r="D95" s="11">
        <v>1420</v>
      </c>
      <c r="E95" s="11">
        <v>295</v>
      </c>
      <c r="F95" s="11">
        <v>3</v>
      </c>
    </row>
    <row r="96" spans="1:6">
      <c r="A96" s="42">
        <v>46237.625</v>
      </c>
      <c r="B96" s="41" t="s">
        <v>25</v>
      </c>
      <c r="C96" s="11">
        <v>1420</v>
      </c>
      <c r="D96" s="11">
        <v>1420</v>
      </c>
      <c r="E96" s="11">
        <v>295</v>
      </c>
      <c r="F96" s="11">
        <v>3</v>
      </c>
    </row>
    <row r="97" spans="1:6">
      <c r="A97" s="42">
        <v>46237.666666666664</v>
      </c>
      <c r="B97" s="41" t="s">
        <v>25</v>
      </c>
      <c r="C97" s="11">
        <v>1420</v>
      </c>
      <c r="D97" s="11">
        <v>1420</v>
      </c>
      <c r="E97" s="11">
        <v>295</v>
      </c>
      <c r="F97" s="11">
        <v>3</v>
      </c>
    </row>
    <row r="98" spans="1:6">
      <c r="A98" s="42">
        <v>46237.708333333336</v>
      </c>
      <c r="B98" s="41" t="s">
        <v>25</v>
      </c>
      <c r="C98" s="11">
        <v>1420</v>
      </c>
      <c r="D98" s="11">
        <v>1420</v>
      </c>
      <c r="E98" s="11">
        <v>295</v>
      </c>
      <c r="F98" s="11">
        <v>3</v>
      </c>
    </row>
    <row r="99" spans="1:6">
      <c r="A99" s="42">
        <v>46237.75</v>
      </c>
      <c r="B99" s="41" t="s">
        <v>25</v>
      </c>
      <c r="C99" s="11">
        <v>1420</v>
      </c>
      <c r="D99" s="11">
        <v>1420</v>
      </c>
      <c r="E99" s="11">
        <v>295</v>
      </c>
      <c r="F99" s="11">
        <v>3</v>
      </c>
    </row>
    <row r="100" spans="1:6">
      <c r="A100" s="42">
        <v>46237.791666666664</v>
      </c>
      <c r="B100" s="41" t="s">
        <v>25</v>
      </c>
      <c r="C100" s="11">
        <v>1420</v>
      </c>
      <c r="D100" s="11">
        <v>1420</v>
      </c>
      <c r="E100" s="11">
        <v>295</v>
      </c>
      <c r="F100" s="11">
        <v>3</v>
      </c>
    </row>
    <row r="101" spans="1:6">
      <c r="A101" s="42">
        <v>46237.833333333336</v>
      </c>
      <c r="B101" s="41" t="s">
        <v>25</v>
      </c>
      <c r="C101" s="11">
        <v>1420</v>
      </c>
      <c r="D101" s="11">
        <v>1420</v>
      </c>
      <c r="E101" s="11">
        <v>295</v>
      </c>
      <c r="F101" s="11">
        <v>3</v>
      </c>
    </row>
    <row r="102" spans="1:6">
      <c r="A102" s="42">
        <v>46237.875</v>
      </c>
      <c r="B102" s="41" t="s">
        <v>25</v>
      </c>
      <c r="C102" s="11">
        <v>1420</v>
      </c>
      <c r="D102" s="11">
        <v>1420</v>
      </c>
      <c r="E102" s="11">
        <v>295</v>
      </c>
      <c r="F102" s="11">
        <v>3</v>
      </c>
    </row>
    <row r="103" spans="1:6">
      <c r="A103" s="42">
        <v>46237.916666666664</v>
      </c>
      <c r="B103" s="41" t="s">
        <v>25</v>
      </c>
      <c r="C103" s="11">
        <v>1420</v>
      </c>
      <c r="D103" s="11">
        <v>1420</v>
      </c>
      <c r="E103" s="11">
        <v>295</v>
      </c>
      <c r="F103" s="11">
        <v>3</v>
      </c>
    </row>
    <row r="104" spans="1:6">
      <c r="A104" s="42">
        <v>46237.958333333336</v>
      </c>
      <c r="B104" s="41" t="s">
        <v>25</v>
      </c>
      <c r="C104" s="11">
        <v>1420</v>
      </c>
      <c r="D104" s="11">
        <v>1420</v>
      </c>
      <c r="E104" s="11">
        <v>295</v>
      </c>
      <c r="F104" s="11">
        <v>3</v>
      </c>
    </row>
    <row r="105" spans="1:6">
      <c r="A105" s="42">
        <v>46238</v>
      </c>
      <c r="B105" s="41" t="s">
        <v>25</v>
      </c>
      <c r="C105" s="11">
        <v>1420</v>
      </c>
      <c r="D105" s="11">
        <v>1420</v>
      </c>
      <c r="E105" s="11">
        <v>295</v>
      </c>
      <c r="F105" s="11">
        <v>3</v>
      </c>
    </row>
    <row r="106" spans="1:6">
      <c r="A106" s="42">
        <v>46238.041666666664</v>
      </c>
      <c r="B106" s="41" t="s">
        <v>25</v>
      </c>
      <c r="C106" s="11">
        <v>1420</v>
      </c>
      <c r="D106" s="11">
        <v>1420</v>
      </c>
      <c r="E106" s="11">
        <v>295</v>
      </c>
      <c r="F106" s="11">
        <v>3</v>
      </c>
    </row>
    <row r="107" spans="1:6">
      <c r="A107" s="42">
        <v>46238.083333333336</v>
      </c>
      <c r="B107" s="41" t="s">
        <v>25</v>
      </c>
      <c r="C107" s="11">
        <v>1420</v>
      </c>
      <c r="D107" s="11">
        <v>1420</v>
      </c>
      <c r="E107" s="11">
        <v>295</v>
      </c>
      <c r="F107" s="11">
        <v>3</v>
      </c>
    </row>
    <row r="108" spans="1:6">
      <c r="A108" s="42">
        <v>46238.125</v>
      </c>
      <c r="B108" s="41" t="s">
        <v>25</v>
      </c>
      <c r="C108" s="11">
        <v>1420</v>
      </c>
      <c r="D108" s="11">
        <v>1420</v>
      </c>
      <c r="E108" s="11">
        <v>295</v>
      </c>
      <c r="F108" s="11">
        <v>3</v>
      </c>
    </row>
    <row r="109" spans="1:6">
      <c r="A109" s="42">
        <v>46238.166666666664</v>
      </c>
      <c r="B109" s="41" t="s">
        <v>25</v>
      </c>
      <c r="C109" s="11">
        <v>1420</v>
      </c>
      <c r="D109" s="11">
        <v>1420</v>
      </c>
      <c r="E109" s="11">
        <v>295</v>
      </c>
      <c r="F109" s="11">
        <v>3</v>
      </c>
    </row>
    <row r="110" spans="1:6">
      <c r="A110" s="42">
        <v>46238.208333333336</v>
      </c>
      <c r="B110" s="41" t="s">
        <v>25</v>
      </c>
      <c r="C110" s="11">
        <v>1420</v>
      </c>
      <c r="D110" s="11">
        <v>1420</v>
      </c>
      <c r="E110" s="11">
        <v>295</v>
      </c>
      <c r="F110" s="11">
        <v>3</v>
      </c>
    </row>
    <row r="111" spans="1:6">
      <c r="A111" s="42">
        <v>46238.25</v>
      </c>
      <c r="B111" s="41" t="s">
        <v>25</v>
      </c>
      <c r="C111" s="11">
        <v>1420</v>
      </c>
      <c r="D111" s="11">
        <v>1420</v>
      </c>
      <c r="E111" s="11">
        <v>295</v>
      </c>
      <c r="F111" s="11">
        <v>3</v>
      </c>
    </row>
    <row r="112" spans="1:6">
      <c r="A112" s="42">
        <v>46238.291666666664</v>
      </c>
      <c r="B112" s="41" t="s">
        <v>25</v>
      </c>
      <c r="C112" s="11">
        <v>1420</v>
      </c>
      <c r="D112" s="11">
        <v>1420</v>
      </c>
      <c r="E112" s="11">
        <v>295</v>
      </c>
      <c r="F112" s="11">
        <v>3</v>
      </c>
    </row>
    <row r="113" spans="1:6">
      <c r="A113" s="42">
        <v>46238.333333333336</v>
      </c>
      <c r="B113" s="41" t="s">
        <v>25</v>
      </c>
      <c r="C113" s="11">
        <v>1420</v>
      </c>
      <c r="D113" s="11">
        <v>1420</v>
      </c>
      <c r="E113" s="11">
        <v>295</v>
      </c>
      <c r="F113" s="11">
        <v>3</v>
      </c>
    </row>
    <row r="114" spans="1:6">
      <c r="A114" s="42">
        <v>46238.375</v>
      </c>
      <c r="B114" s="41" t="s">
        <v>25</v>
      </c>
      <c r="C114" s="11">
        <v>1420</v>
      </c>
      <c r="D114" s="11">
        <v>1420</v>
      </c>
      <c r="E114" s="11">
        <v>295</v>
      </c>
      <c r="F114" s="11">
        <v>3</v>
      </c>
    </row>
    <row r="115" spans="1:6">
      <c r="A115" s="42">
        <v>46238.416666666664</v>
      </c>
      <c r="B115" s="41" t="s">
        <v>25</v>
      </c>
      <c r="C115" s="11">
        <v>1420</v>
      </c>
      <c r="D115" s="11">
        <v>1420</v>
      </c>
      <c r="E115" s="11">
        <v>295</v>
      </c>
      <c r="F115" s="11">
        <v>3</v>
      </c>
    </row>
    <row r="116" spans="1:6">
      <c r="A116" s="42">
        <v>46238.458333333336</v>
      </c>
      <c r="B116" s="41" t="s">
        <v>25</v>
      </c>
      <c r="C116" s="11">
        <v>1420</v>
      </c>
      <c r="D116" s="11">
        <v>1420</v>
      </c>
      <c r="E116" s="11">
        <v>295</v>
      </c>
      <c r="F116" s="11">
        <v>3</v>
      </c>
    </row>
    <row r="117" spans="1:6">
      <c r="A117" s="42">
        <v>46238.5</v>
      </c>
      <c r="B117" s="41" t="s">
        <v>25</v>
      </c>
      <c r="C117" s="11">
        <v>1420</v>
      </c>
      <c r="D117" s="11">
        <v>1420</v>
      </c>
      <c r="E117" s="11">
        <v>295</v>
      </c>
      <c r="F117" s="11">
        <v>3</v>
      </c>
    </row>
    <row r="118" spans="1:6">
      <c r="A118" s="42">
        <v>46238.541666666664</v>
      </c>
      <c r="B118" s="41" t="s">
        <v>25</v>
      </c>
      <c r="C118" s="11">
        <v>1420</v>
      </c>
      <c r="D118" s="11">
        <v>1420</v>
      </c>
      <c r="E118" s="11">
        <v>295</v>
      </c>
      <c r="F118" s="11">
        <v>3</v>
      </c>
    </row>
    <row r="119" spans="1:6">
      <c r="A119" s="42">
        <v>46238.583333333336</v>
      </c>
      <c r="B119" s="41" t="s">
        <v>25</v>
      </c>
      <c r="C119" s="11">
        <v>1420</v>
      </c>
      <c r="D119" s="11">
        <v>1420</v>
      </c>
      <c r="E119" s="11">
        <v>295</v>
      </c>
      <c r="F119" s="11">
        <v>3</v>
      </c>
    </row>
    <row r="120" spans="1:6">
      <c r="A120" s="42">
        <v>46238.625</v>
      </c>
      <c r="B120" s="41" t="s">
        <v>25</v>
      </c>
      <c r="C120" s="11">
        <v>1420</v>
      </c>
      <c r="D120" s="11">
        <v>1420</v>
      </c>
      <c r="E120" s="11">
        <v>295</v>
      </c>
      <c r="F120" s="11">
        <v>3</v>
      </c>
    </row>
    <row r="121" spans="1:6">
      <c r="A121" s="42">
        <v>46238.666666666664</v>
      </c>
      <c r="B121" s="41" t="s">
        <v>25</v>
      </c>
      <c r="C121" s="11">
        <v>1420</v>
      </c>
      <c r="D121" s="11">
        <v>1420</v>
      </c>
      <c r="E121" s="11">
        <v>295</v>
      </c>
      <c r="F121" s="11">
        <v>3</v>
      </c>
    </row>
    <row r="122" spans="1:6">
      <c r="A122" s="42">
        <v>46238.708333333336</v>
      </c>
      <c r="B122" s="41" t="s">
        <v>25</v>
      </c>
      <c r="C122" s="11">
        <v>1420</v>
      </c>
      <c r="D122" s="11">
        <v>1420</v>
      </c>
      <c r="E122" s="11">
        <v>295</v>
      </c>
      <c r="F122" s="11">
        <v>3</v>
      </c>
    </row>
    <row r="123" spans="1:6">
      <c r="A123" s="42">
        <v>46238.75</v>
      </c>
      <c r="B123" s="41" t="s">
        <v>25</v>
      </c>
      <c r="C123" s="11">
        <v>1420</v>
      </c>
      <c r="D123" s="11">
        <v>1420</v>
      </c>
      <c r="E123" s="11">
        <v>295</v>
      </c>
      <c r="F123" s="11">
        <v>3</v>
      </c>
    </row>
    <row r="124" spans="1:6">
      <c r="A124" s="42">
        <v>46238.791666666664</v>
      </c>
      <c r="B124" s="41" t="s">
        <v>25</v>
      </c>
      <c r="C124" s="11">
        <v>1420</v>
      </c>
      <c r="D124" s="11">
        <v>1420</v>
      </c>
      <c r="E124" s="11">
        <v>295</v>
      </c>
      <c r="F124" s="11">
        <v>3</v>
      </c>
    </row>
    <row r="125" spans="1:6">
      <c r="A125" s="42">
        <v>46238.833333333336</v>
      </c>
      <c r="B125" s="41" t="s">
        <v>25</v>
      </c>
      <c r="C125" s="11">
        <v>1420</v>
      </c>
      <c r="D125" s="11">
        <v>1420</v>
      </c>
      <c r="E125" s="11">
        <v>295</v>
      </c>
      <c r="F125" s="11">
        <v>3</v>
      </c>
    </row>
    <row r="126" spans="1:6">
      <c r="A126" s="42">
        <v>46238.875</v>
      </c>
      <c r="B126" s="41" t="s">
        <v>25</v>
      </c>
      <c r="C126" s="11">
        <v>1420</v>
      </c>
      <c r="D126" s="11">
        <v>1420</v>
      </c>
      <c r="E126" s="11">
        <v>295</v>
      </c>
      <c r="F126" s="11">
        <v>3</v>
      </c>
    </row>
    <row r="127" spans="1:6">
      <c r="A127" s="42">
        <v>46238.916666666664</v>
      </c>
      <c r="B127" s="41" t="s">
        <v>25</v>
      </c>
      <c r="C127" s="11">
        <v>1420</v>
      </c>
      <c r="D127" s="11">
        <v>1420</v>
      </c>
      <c r="E127" s="11">
        <v>295</v>
      </c>
      <c r="F127" s="11">
        <v>3</v>
      </c>
    </row>
    <row r="128" spans="1:6">
      <c r="A128" s="42">
        <v>46238.958333333336</v>
      </c>
      <c r="B128" s="41" t="s">
        <v>25</v>
      </c>
      <c r="C128" s="11">
        <v>1420</v>
      </c>
      <c r="D128" s="11">
        <v>1420</v>
      </c>
      <c r="E128" s="11">
        <v>295</v>
      </c>
      <c r="F128" s="11">
        <v>3</v>
      </c>
    </row>
    <row r="129" spans="1:6">
      <c r="A129" s="42">
        <v>46239</v>
      </c>
      <c r="B129" s="41" t="s">
        <v>25</v>
      </c>
      <c r="C129" s="11">
        <v>1420</v>
      </c>
      <c r="D129" s="11">
        <v>1420</v>
      </c>
      <c r="E129" s="11">
        <v>295</v>
      </c>
      <c r="F129" s="11">
        <v>3</v>
      </c>
    </row>
    <row r="130" spans="1:6">
      <c r="A130" s="42">
        <v>46239.041666666664</v>
      </c>
      <c r="B130" s="41" t="s">
        <v>25</v>
      </c>
      <c r="C130" s="11">
        <v>1420</v>
      </c>
      <c r="D130" s="11">
        <v>1420</v>
      </c>
      <c r="E130" s="11">
        <v>295</v>
      </c>
      <c r="F130" s="11">
        <v>3</v>
      </c>
    </row>
    <row r="131" spans="1:6">
      <c r="A131" s="42">
        <v>46239.083333333336</v>
      </c>
      <c r="B131" s="41" t="s">
        <v>25</v>
      </c>
      <c r="C131" s="11">
        <v>1420</v>
      </c>
      <c r="D131" s="11">
        <v>1420</v>
      </c>
      <c r="E131" s="11">
        <v>295</v>
      </c>
      <c r="F131" s="11">
        <v>3</v>
      </c>
    </row>
    <row r="132" spans="1:6">
      <c r="A132" s="42">
        <v>46239.125</v>
      </c>
      <c r="B132" s="41" t="s">
        <v>25</v>
      </c>
      <c r="C132" s="11">
        <v>1420</v>
      </c>
      <c r="D132" s="11">
        <v>1420</v>
      </c>
      <c r="E132" s="11">
        <v>295</v>
      </c>
      <c r="F132" s="11">
        <v>3</v>
      </c>
    </row>
    <row r="133" spans="1:6">
      <c r="A133" s="42">
        <v>46239.166666666664</v>
      </c>
      <c r="B133" s="41" t="s">
        <v>25</v>
      </c>
      <c r="C133" s="11">
        <v>1420</v>
      </c>
      <c r="D133" s="11">
        <v>1420</v>
      </c>
      <c r="E133" s="11">
        <v>295</v>
      </c>
      <c r="F133" s="11">
        <v>3</v>
      </c>
    </row>
    <row r="134" spans="1:6">
      <c r="A134" s="42">
        <v>46239.208333333336</v>
      </c>
      <c r="B134" s="41" t="s">
        <v>25</v>
      </c>
      <c r="C134" s="11">
        <v>1420</v>
      </c>
      <c r="D134" s="11">
        <v>1420</v>
      </c>
      <c r="E134" s="11">
        <v>295</v>
      </c>
      <c r="F134" s="11">
        <v>3</v>
      </c>
    </row>
    <row r="135" spans="1:6">
      <c r="A135" s="42">
        <v>46239.25</v>
      </c>
      <c r="B135" s="41" t="s">
        <v>25</v>
      </c>
      <c r="C135" s="11">
        <v>1420</v>
      </c>
      <c r="D135" s="11">
        <v>1420</v>
      </c>
      <c r="E135" s="11">
        <v>295</v>
      </c>
      <c r="F135" s="11">
        <v>3</v>
      </c>
    </row>
    <row r="136" spans="1:6">
      <c r="A136" s="42">
        <v>46239.291666666664</v>
      </c>
      <c r="B136" s="41" t="s">
        <v>25</v>
      </c>
      <c r="C136" s="11">
        <v>1420</v>
      </c>
      <c r="D136" s="11">
        <v>1420</v>
      </c>
      <c r="E136" s="11">
        <v>295</v>
      </c>
      <c r="F136" s="11">
        <v>3</v>
      </c>
    </row>
    <row r="137" spans="1:6">
      <c r="A137" s="42">
        <v>46239.333333333336</v>
      </c>
      <c r="B137" s="41" t="s">
        <v>25</v>
      </c>
      <c r="C137" s="11">
        <v>1420</v>
      </c>
      <c r="D137" s="11">
        <v>1420</v>
      </c>
      <c r="E137" s="11">
        <v>295</v>
      </c>
      <c r="F137" s="11">
        <v>3</v>
      </c>
    </row>
    <row r="138" spans="1:6">
      <c r="A138" s="42">
        <v>46239.375</v>
      </c>
      <c r="B138" s="41" t="s">
        <v>25</v>
      </c>
      <c r="C138" s="11">
        <v>1420</v>
      </c>
      <c r="D138" s="11">
        <v>1420</v>
      </c>
      <c r="E138" s="11">
        <v>295</v>
      </c>
      <c r="F138" s="11">
        <v>3</v>
      </c>
    </row>
    <row r="139" spans="1:6">
      <c r="A139" s="42">
        <v>46239.416666666664</v>
      </c>
      <c r="B139" s="41" t="s">
        <v>25</v>
      </c>
      <c r="C139" s="11">
        <v>1420</v>
      </c>
      <c r="D139" s="11">
        <v>1420</v>
      </c>
      <c r="E139" s="11">
        <v>295</v>
      </c>
      <c r="F139" s="11">
        <v>3</v>
      </c>
    </row>
    <row r="140" spans="1:6">
      <c r="A140" s="42">
        <v>46239.458333333336</v>
      </c>
      <c r="B140" s="41" t="s">
        <v>25</v>
      </c>
      <c r="C140" s="11">
        <v>1420</v>
      </c>
      <c r="D140" s="11">
        <v>1420</v>
      </c>
      <c r="E140" s="11">
        <v>295</v>
      </c>
      <c r="F140" s="11">
        <v>3</v>
      </c>
    </row>
    <row r="141" spans="1:6">
      <c r="A141" s="42">
        <v>46239.5</v>
      </c>
      <c r="B141" s="41" t="s">
        <v>25</v>
      </c>
      <c r="C141" s="11">
        <v>1420</v>
      </c>
      <c r="D141" s="11">
        <v>1420</v>
      </c>
      <c r="E141" s="11">
        <v>295</v>
      </c>
      <c r="F141" s="11">
        <v>3</v>
      </c>
    </row>
    <row r="142" spans="1:6">
      <c r="A142" s="42">
        <v>46239.541666666664</v>
      </c>
      <c r="B142" s="41" t="s">
        <v>25</v>
      </c>
      <c r="C142" s="11">
        <v>1420</v>
      </c>
      <c r="D142" s="11">
        <v>1420</v>
      </c>
      <c r="E142" s="11">
        <v>295</v>
      </c>
      <c r="F142" s="11">
        <v>3</v>
      </c>
    </row>
    <row r="143" spans="1:6">
      <c r="A143" s="42">
        <v>46239.583333333336</v>
      </c>
      <c r="B143" s="41" t="s">
        <v>25</v>
      </c>
      <c r="C143" s="11">
        <v>1420</v>
      </c>
      <c r="D143" s="11">
        <v>1420</v>
      </c>
      <c r="E143" s="11">
        <v>295</v>
      </c>
      <c r="F143" s="11">
        <v>3</v>
      </c>
    </row>
    <row r="144" spans="1:6">
      <c r="A144" s="42">
        <v>46239.625</v>
      </c>
      <c r="B144" s="41" t="s">
        <v>25</v>
      </c>
      <c r="C144" s="11">
        <v>1420</v>
      </c>
      <c r="D144" s="11">
        <v>1420</v>
      </c>
      <c r="E144" s="11">
        <v>295</v>
      </c>
      <c r="F144" s="11">
        <v>3</v>
      </c>
    </row>
    <row r="145" spans="1:6">
      <c r="A145" s="42">
        <v>46239.666666666664</v>
      </c>
      <c r="B145" s="41" t="s">
        <v>25</v>
      </c>
      <c r="C145" s="11">
        <v>1420</v>
      </c>
      <c r="D145" s="11">
        <v>1420</v>
      </c>
      <c r="E145" s="11">
        <v>295</v>
      </c>
      <c r="F145" s="11">
        <v>3</v>
      </c>
    </row>
    <row r="146" spans="1:6">
      <c r="A146" s="42">
        <v>46239.708333333336</v>
      </c>
      <c r="B146" s="41" t="s">
        <v>25</v>
      </c>
      <c r="C146" s="11">
        <v>1420</v>
      </c>
      <c r="D146" s="11">
        <v>1420</v>
      </c>
      <c r="E146" s="11">
        <v>295</v>
      </c>
      <c r="F146" s="11">
        <v>3</v>
      </c>
    </row>
    <row r="147" spans="1:6">
      <c r="A147" s="42">
        <v>46239.75</v>
      </c>
      <c r="B147" s="41" t="s">
        <v>25</v>
      </c>
      <c r="C147" s="11">
        <v>1420</v>
      </c>
      <c r="D147" s="11">
        <v>1420</v>
      </c>
      <c r="E147" s="11">
        <v>295</v>
      </c>
      <c r="F147" s="11">
        <v>3</v>
      </c>
    </row>
    <row r="148" spans="1:6">
      <c r="A148" s="42">
        <v>46239.791666666664</v>
      </c>
      <c r="B148" s="41" t="s">
        <v>25</v>
      </c>
      <c r="C148" s="11">
        <v>1420</v>
      </c>
      <c r="D148" s="11">
        <v>1420</v>
      </c>
      <c r="E148" s="11">
        <v>295</v>
      </c>
      <c r="F148" s="11">
        <v>3</v>
      </c>
    </row>
    <row r="149" spans="1:6">
      <c r="A149" s="42">
        <v>46239.833333333336</v>
      </c>
      <c r="B149" s="41" t="s">
        <v>25</v>
      </c>
      <c r="C149" s="11">
        <v>1420</v>
      </c>
      <c r="D149" s="11">
        <v>1420</v>
      </c>
      <c r="E149" s="11">
        <v>295</v>
      </c>
      <c r="F149" s="11">
        <v>3</v>
      </c>
    </row>
    <row r="150" spans="1:6">
      <c r="A150" s="42">
        <v>46239.875</v>
      </c>
      <c r="B150" s="41" t="s">
        <v>25</v>
      </c>
      <c r="C150" s="11">
        <v>1420</v>
      </c>
      <c r="D150" s="11">
        <v>1420</v>
      </c>
      <c r="E150" s="11">
        <v>295</v>
      </c>
      <c r="F150" s="11">
        <v>3</v>
      </c>
    </row>
    <row r="151" spans="1:6">
      <c r="A151" s="42">
        <v>46239.916666666664</v>
      </c>
      <c r="B151" s="41" t="s">
        <v>25</v>
      </c>
      <c r="C151" s="11">
        <v>1420</v>
      </c>
      <c r="D151" s="11">
        <v>1420</v>
      </c>
      <c r="E151" s="11">
        <v>295</v>
      </c>
      <c r="F151" s="11">
        <v>3</v>
      </c>
    </row>
    <row r="152" spans="1:6">
      <c r="A152" s="42">
        <v>46239.958333333336</v>
      </c>
      <c r="B152" s="41" t="s">
        <v>25</v>
      </c>
      <c r="C152" s="11">
        <v>1420</v>
      </c>
      <c r="D152" s="11">
        <v>1420</v>
      </c>
      <c r="E152" s="11">
        <v>295</v>
      </c>
      <c r="F152" s="11">
        <v>3</v>
      </c>
    </row>
    <row r="153" spans="1:6">
      <c r="A153" s="42">
        <v>46240</v>
      </c>
      <c r="B153" s="41" t="s">
        <v>25</v>
      </c>
      <c r="C153" s="11">
        <v>1420</v>
      </c>
      <c r="D153" s="11">
        <v>1420</v>
      </c>
      <c r="E153" s="11">
        <v>295</v>
      </c>
      <c r="F153" s="11">
        <v>3</v>
      </c>
    </row>
    <row r="154" spans="1:6">
      <c r="A154" s="42">
        <v>46240.041666666664</v>
      </c>
      <c r="B154" s="41" t="s">
        <v>25</v>
      </c>
      <c r="C154" s="11">
        <v>1420</v>
      </c>
      <c r="D154" s="11">
        <v>1420</v>
      </c>
      <c r="E154" s="11">
        <v>295</v>
      </c>
      <c r="F154" s="11">
        <v>3</v>
      </c>
    </row>
    <row r="155" spans="1:6">
      <c r="A155" s="42">
        <v>46240.083333333336</v>
      </c>
      <c r="B155" s="41" t="s">
        <v>25</v>
      </c>
      <c r="C155" s="11">
        <v>1420</v>
      </c>
      <c r="D155" s="11">
        <v>1420</v>
      </c>
      <c r="E155" s="11">
        <v>295</v>
      </c>
      <c r="F155" s="11">
        <v>3</v>
      </c>
    </row>
    <row r="156" spans="1:6">
      <c r="A156" s="42">
        <v>46240.125</v>
      </c>
      <c r="B156" s="41" t="s">
        <v>25</v>
      </c>
      <c r="C156" s="11">
        <v>1420</v>
      </c>
      <c r="D156" s="11">
        <v>1420</v>
      </c>
      <c r="E156" s="11">
        <v>295</v>
      </c>
      <c r="F156" s="11">
        <v>3</v>
      </c>
    </row>
    <row r="157" spans="1:6">
      <c r="A157" s="42">
        <v>46240.166666666664</v>
      </c>
      <c r="B157" s="41" t="s">
        <v>25</v>
      </c>
      <c r="C157" s="11">
        <v>1420</v>
      </c>
      <c r="D157" s="11">
        <v>1420</v>
      </c>
      <c r="E157" s="11">
        <v>295</v>
      </c>
      <c r="F157" s="11">
        <v>3</v>
      </c>
    </row>
    <row r="158" spans="1:6">
      <c r="A158" s="42">
        <v>46240.208333333336</v>
      </c>
      <c r="B158" s="41" t="s">
        <v>25</v>
      </c>
      <c r="C158" s="11">
        <v>1420</v>
      </c>
      <c r="D158" s="11">
        <v>1420</v>
      </c>
      <c r="E158" s="11">
        <v>295</v>
      </c>
      <c r="F158" s="11">
        <v>3</v>
      </c>
    </row>
    <row r="159" spans="1:6">
      <c r="A159" s="42">
        <v>46240.25</v>
      </c>
      <c r="B159" s="41" t="s">
        <v>25</v>
      </c>
      <c r="C159" s="11">
        <v>1420</v>
      </c>
      <c r="D159" s="11">
        <v>1420</v>
      </c>
      <c r="E159" s="11">
        <v>295</v>
      </c>
      <c r="F159" s="11">
        <v>3</v>
      </c>
    </row>
    <row r="160" spans="1:6">
      <c r="A160" s="42">
        <v>46240.291666666664</v>
      </c>
      <c r="B160" s="41" t="s">
        <v>25</v>
      </c>
      <c r="C160" s="11">
        <v>1420</v>
      </c>
      <c r="D160" s="11">
        <v>1420</v>
      </c>
      <c r="E160" s="11">
        <v>295</v>
      </c>
      <c r="F160" s="11">
        <v>3</v>
      </c>
    </row>
    <row r="161" spans="1:6">
      <c r="A161" s="42">
        <v>46240.333333333336</v>
      </c>
      <c r="B161" s="41" t="s">
        <v>25</v>
      </c>
      <c r="C161" s="11">
        <v>1420</v>
      </c>
      <c r="D161" s="11">
        <v>1420</v>
      </c>
      <c r="E161" s="11">
        <v>295</v>
      </c>
      <c r="F161" s="11">
        <v>3</v>
      </c>
    </row>
    <row r="162" spans="1:6">
      <c r="A162" s="42">
        <v>46240.375</v>
      </c>
      <c r="B162" s="41" t="s">
        <v>25</v>
      </c>
      <c r="C162" s="11">
        <v>1420</v>
      </c>
      <c r="D162" s="11">
        <v>1420</v>
      </c>
      <c r="E162" s="11">
        <v>295</v>
      </c>
      <c r="F162" s="11">
        <v>3</v>
      </c>
    </row>
    <row r="163" spans="1:6">
      <c r="A163" s="42">
        <v>46240.416666666664</v>
      </c>
      <c r="B163" s="41" t="s">
        <v>25</v>
      </c>
      <c r="C163" s="11">
        <v>1420</v>
      </c>
      <c r="D163" s="11">
        <v>1420</v>
      </c>
      <c r="E163" s="11">
        <v>295</v>
      </c>
      <c r="F163" s="11">
        <v>3</v>
      </c>
    </row>
    <row r="164" spans="1:6">
      <c r="A164" s="42">
        <v>46240.458333333336</v>
      </c>
      <c r="B164" s="41" t="s">
        <v>25</v>
      </c>
      <c r="C164" s="11">
        <v>1420</v>
      </c>
      <c r="D164" s="11">
        <v>1420</v>
      </c>
      <c r="E164" s="11">
        <v>295</v>
      </c>
      <c r="F164" s="11">
        <v>3</v>
      </c>
    </row>
    <row r="165" spans="1:6">
      <c r="A165" s="42">
        <v>46240.5</v>
      </c>
      <c r="B165" s="41" t="s">
        <v>25</v>
      </c>
      <c r="C165" s="11">
        <v>1420</v>
      </c>
      <c r="D165" s="11">
        <v>1420</v>
      </c>
      <c r="E165" s="11">
        <v>295</v>
      </c>
      <c r="F165" s="11">
        <v>3</v>
      </c>
    </row>
    <row r="166" spans="1:6">
      <c r="A166" s="42">
        <v>46240.541666666664</v>
      </c>
      <c r="B166" s="41" t="s">
        <v>25</v>
      </c>
      <c r="C166" s="11">
        <v>1420</v>
      </c>
      <c r="D166" s="11">
        <v>1420</v>
      </c>
      <c r="E166" s="11">
        <v>295</v>
      </c>
      <c r="F166" s="11">
        <v>3</v>
      </c>
    </row>
    <row r="167" spans="1:6">
      <c r="A167" s="42">
        <v>46240.583333333336</v>
      </c>
      <c r="B167" s="41" t="s">
        <v>25</v>
      </c>
      <c r="C167" s="11">
        <v>1420</v>
      </c>
      <c r="D167" s="11">
        <v>1420</v>
      </c>
      <c r="E167" s="11">
        <v>295</v>
      </c>
      <c r="F167" s="11">
        <v>3</v>
      </c>
    </row>
    <row r="168" spans="1:6">
      <c r="A168" s="42">
        <v>46240.625</v>
      </c>
      <c r="B168" s="41" t="s">
        <v>25</v>
      </c>
      <c r="C168" s="11">
        <v>1420</v>
      </c>
      <c r="D168" s="11">
        <v>1420</v>
      </c>
      <c r="E168" s="11">
        <v>295</v>
      </c>
      <c r="F168" s="11">
        <v>3</v>
      </c>
    </row>
    <row r="169" spans="1:6">
      <c r="A169" s="42">
        <v>46240.666666666664</v>
      </c>
      <c r="B169" s="41" t="s">
        <v>25</v>
      </c>
      <c r="C169" s="11">
        <v>1420</v>
      </c>
      <c r="D169" s="11">
        <v>1420</v>
      </c>
      <c r="E169" s="11">
        <v>295</v>
      </c>
      <c r="F169" s="11">
        <v>3</v>
      </c>
    </row>
    <row r="170" spans="1:6">
      <c r="A170" s="42">
        <v>46240.708333333336</v>
      </c>
      <c r="B170" s="41" t="s">
        <v>25</v>
      </c>
      <c r="C170" s="11">
        <v>1420</v>
      </c>
      <c r="D170" s="11">
        <v>1420</v>
      </c>
      <c r="E170" s="11">
        <v>295</v>
      </c>
      <c r="F170" s="11">
        <v>3</v>
      </c>
    </row>
    <row r="171" spans="1:6">
      <c r="A171" s="42">
        <v>46240.75</v>
      </c>
      <c r="B171" s="41" t="s">
        <v>25</v>
      </c>
      <c r="C171" s="11">
        <v>1420</v>
      </c>
      <c r="D171" s="11">
        <v>1420</v>
      </c>
      <c r="E171" s="11">
        <v>295</v>
      </c>
      <c r="F171" s="11">
        <v>3</v>
      </c>
    </row>
    <row r="172" spans="1:6">
      <c r="A172" s="42">
        <v>46240.791666666664</v>
      </c>
      <c r="B172" s="41" t="s">
        <v>25</v>
      </c>
      <c r="C172" s="11">
        <v>1420</v>
      </c>
      <c r="D172" s="11">
        <v>1420</v>
      </c>
      <c r="E172" s="11">
        <v>295</v>
      </c>
      <c r="F172" s="11">
        <v>3</v>
      </c>
    </row>
    <row r="173" spans="1:6">
      <c r="A173" s="42">
        <v>46240.833333333336</v>
      </c>
      <c r="B173" s="41" t="s">
        <v>25</v>
      </c>
      <c r="C173" s="11">
        <v>1420</v>
      </c>
      <c r="D173" s="11">
        <v>1420</v>
      </c>
      <c r="E173" s="11">
        <v>295</v>
      </c>
      <c r="F173" s="11">
        <v>3</v>
      </c>
    </row>
    <row r="174" spans="1:6">
      <c r="A174" s="42">
        <v>46240.875</v>
      </c>
      <c r="B174" s="41" t="s">
        <v>25</v>
      </c>
      <c r="C174" s="11">
        <v>1420</v>
      </c>
      <c r="D174" s="11">
        <v>1420</v>
      </c>
      <c r="E174" s="11">
        <v>295</v>
      </c>
      <c r="F174" s="11">
        <v>3</v>
      </c>
    </row>
    <row r="175" spans="1:6">
      <c r="A175" s="42">
        <v>46240.916666666664</v>
      </c>
      <c r="B175" s="41" t="s">
        <v>25</v>
      </c>
      <c r="C175" s="11">
        <v>1420</v>
      </c>
      <c r="D175" s="11">
        <v>1420</v>
      </c>
      <c r="E175" s="11">
        <v>295</v>
      </c>
      <c r="F175" s="11">
        <v>3</v>
      </c>
    </row>
    <row r="176" spans="1:6">
      <c r="A176" s="42">
        <v>46240.958333333336</v>
      </c>
      <c r="B176" s="41" t="s">
        <v>25</v>
      </c>
      <c r="C176" s="11">
        <v>1420</v>
      </c>
      <c r="D176" s="11">
        <v>1420</v>
      </c>
      <c r="E176" s="11">
        <v>295</v>
      </c>
      <c r="F176" s="11">
        <v>3</v>
      </c>
    </row>
    <row r="177" spans="1:6">
      <c r="A177" s="42">
        <v>46241</v>
      </c>
      <c r="B177" s="41" t="s">
        <v>25</v>
      </c>
      <c r="C177" s="11">
        <v>1420</v>
      </c>
      <c r="D177" s="11">
        <v>1420</v>
      </c>
      <c r="E177" s="11">
        <v>295</v>
      </c>
      <c r="F177" s="11">
        <v>3</v>
      </c>
    </row>
    <row r="178" spans="1:6">
      <c r="A178" s="42">
        <v>46241.041666666664</v>
      </c>
      <c r="B178" s="41" t="s">
        <v>25</v>
      </c>
      <c r="C178" s="11">
        <v>1420</v>
      </c>
      <c r="D178" s="11">
        <v>1420</v>
      </c>
      <c r="E178" s="11">
        <v>295</v>
      </c>
      <c r="F178" s="11">
        <v>3</v>
      </c>
    </row>
    <row r="179" spans="1:6">
      <c r="A179" s="42">
        <v>46241.083333333336</v>
      </c>
      <c r="B179" s="41" t="s">
        <v>25</v>
      </c>
      <c r="C179" s="11">
        <v>1420</v>
      </c>
      <c r="D179" s="11">
        <v>1420</v>
      </c>
      <c r="E179" s="11">
        <v>295</v>
      </c>
      <c r="F179" s="11">
        <v>3</v>
      </c>
    </row>
    <row r="180" spans="1:6">
      <c r="A180" s="42">
        <v>46241.125</v>
      </c>
      <c r="B180" s="41" t="s">
        <v>25</v>
      </c>
      <c r="C180" s="11">
        <v>1420</v>
      </c>
      <c r="D180" s="11">
        <v>1420</v>
      </c>
      <c r="E180" s="11">
        <v>295</v>
      </c>
      <c r="F180" s="11">
        <v>3</v>
      </c>
    </row>
    <row r="181" spans="1:6">
      <c r="A181" s="42">
        <v>46241.166666666664</v>
      </c>
      <c r="B181" s="41" t="s">
        <v>25</v>
      </c>
      <c r="C181" s="11">
        <v>1420</v>
      </c>
      <c r="D181" s="11">
        <v>1420</v>
      </c>
      <c r="E181" s="11">
        <v>295</v>
      </c>
      <c r="F181" s="11">
        <v>3</v>
      </c>
    </row>
    <row r="182" spans="1:6">
      <c r="A182" s="42">
        <v>46241.208333333336</v>
      </c>
      <c r="B182" s="41" t="s">
        <v>25</v>
      </c>
      <c r="C182" s="11">
        <v>1420</v>
      </c>
      <c r="D182" s="11">
        <v>1420</v>
      </c>
      <c r="E182" s="11">
        <v>295</v>
      </c>
      <c r="F182" s="11">
        <v>3</v>
      </c>
    </row>
    <row r="183" spans="1:6">
      <c r="A183" s="42">
        <v>46241.25</v>
      </c>
      <c r="B183" s="41" t="s">
        <v>25</v>
      </c>
      <c r="C183" s="11">
        <v>1420</v>
      </c>
      <c r="D183" s="11">
        <v>1420</v>
      </c>
      <c r="E183" s="11">
        <v>295</v>
      </c>
      <c r="F183" s="11">
        <v>3</v>
      </c>
    </row>
    <row r="184" spans="1:6">
      <c r="A184" s="42">
        <v>46241.291666666664</v>
      </c>
      <c r="B184" s="41" t="s">
        <v>25</v>
      </c>
      <c r="C184" s="11">
        <v>1420</v>
      </c>
      <c r="D184" s="11">
        <v>1420</v>
      </c>
      <c r="E184" s="11">
        <v>295</v>
      </c>
      <c r="F184" s="11">
        <v>3</v>
      </c>
    </row>
    <row r="185" spans="1:6">
      <c r="A185" s="42">
        <v>46241.333333333336</v>
      </c>
      <c r="B185" s="41" t="s">
        <v>25</v>
      </c>
      <c r="C185" s="11">
        <v>1420</v>
      </c>
      <c r="D185" s="11">
        <v>1420</v>
      </c>
      <c r="E185" s="11">
        <v>295</v>
      </c>
      <c r="F185" s="11">
        <v>3</v>
      </c>
    </row>
    <row r="186" spans="1:6">
      <c r="A186" s="42">
        <v>46241.375</v>
      </c>
      <c r="B186" s="41" t="s">
        <v>25</v>
      </c>
      <c r="C186" s="11">
        <v>1420</v>
      </c>
      <c r="D186" s="11">
        <v>1420</v>
      </c>
      <c r="E186" s="11">
        <v>295</v>
      </c>
      <c r="F186" s="11">
        <v>3</v>
      </c>
    </row>
    <row r="187" spans="1:6">
      <c r="A187" s="42">
        <v>46241.416666666664</v>
      </c>
      <c r="B187" s="41" t="s">
        <v>25</v>
      </c>
      <c r="C187" s="11">
        <v>1420</v>
      </c>
      <c r="D187" s="11">
        <v>1420</v>
      </c>
      <c r="E187" s="11">
        <v>295</v>
      </c>
      <c r="F187" s="11">
        <v>3</v>
      </c>
    </row>
    <row r="188" spans="1:6">
      <c r="A188" s="42">
        <v>46241.458333333336</v>
      </c>
      <c r="B188" s="41" t="s">
        <v>25</v>
      </c>
      <c r="C188" s="11">
        <v>1420</v>
      </c>
      <c r="D188" s="11">
        <v>1420</v>
      </c>
      <c r="E188" s="11">
        <v>295</v>
      </c>
      <c r="F188" s="11">
        <v>3</v>
      </c>
    </row>
    <row r="189" spans="1:6">
      <c r="A189" s="42">
        <v>46241.5</v>
      </c>
      <c r="B189" s="41" t="s">
        <v>25</v>
      </c>
      <c r="C189" s="11">
        <v>1420</v>
      </c>
      <c r="D189" s="11">
        <v>1420</v>
      </c>
      <c r="E189" s="11">
        <v>295</v>
      </c>
      <c r="F189" s="11">
        <v>3</v>
      </c>
    </row>
    <row r="190" spans="1:6">
      <c r="A190" s="42">
        <v>46241.541666666664</v>
      </c>
      <c r="B190" s="41" t="s">
        <v>25</v>
      </c>
      <c r="C190" s="11">
        <v>1420</v>
      </c>
      <c r="D190" s="11">
        <v>1420</v>
      </c>
      <c r="E190" s="11">
        <v>295</v>
      </c>
      <c r="F190" s="11">
        <v>3</v>
      </c>
    </row>
    <row r="191" spans="1:6">
      <c r="A191" s="42">
        <v>46241.583333333336</v>
      </c>
      <c r="B191" s="41" t="s">
        <v>25</v>
      </c>
      <c r="C191" s="11">
        <v>1420</v>
      </c>
      <c r="D191" s="11">
        <v>1420</v>
      </c>
      <c r="E191" s="11">
        <v>295</v>
      </c>
      <c r="F191" s="11">
        <v>3</v>
      </c>
    </row>
    <row r="192" spans="1:6">
      <c r="A192" s="42">
        <v>46241.625</v>
      </c>
      <c r="B192" s="41" t="s">
        <v>25</v>
      </c>
      <c r="C192" s="11">
        <v>1420</v>
      </c>
      <c r="D192" s="11">
        <v>1420</v>
      </c>
      <c r="E192" s="11">
        <v>295</v>
      </c>
      <c r="F192" s="11">
        <v>3</v>
      </c>
    </row>
    <row r="193" spans="1:6">
      <c r="A193" s="42">
        <v>46241.666666666664</v>
      </c>
      <c r="B193" s="41" t="s">
        <v>25</v>
      </c>
      <c r="C193" s="11">
        <v>1420</v>
      </c>
      <c r="D193" s="11">
        <v>1420</v>
      </c>
      <c r="E193" s="11">
        <v>295</v>
      </c>
      <c r="F193" s="11">
        <v>3</v>
      </c>
    </row>
    <row r="194" spans="1:6">
      <c r="A194" s="42">
        <v>46241.708333333336</v>
      </c>
      <c r="B194" s="41" t="s">
        <v>25</v>
      </c>
      <c r="C194" s="11">
        <v>1420</v>
      </c>
      <c r="D194" s="11">
        <v>1420</v>
      </c>
      <c r="E194" s="11">
        <v>295</v>
      </c>
      <c r="F194" s="11">
        <v>3</v>
      </c>
    </row>
    <row r="195" spans="1:6">
      <c r="A195" s="42">
        <v>46241.75</v>
      </c>
      <c r="B195" s="41" t="s">
        <v>25</v>
      </c>
      <c r="C195" s="11">
        <v>1420</v>
      </c>
      <c r="D195" s="11">
        <v>1420</v>
      </c>
      <c r="E195" s="11">
        <v>295</v>
      </c>
      <c r="F195" s="11">
        <v>3</v>
      </c>
    </row>
    <row r="196" spans="1:6">
      <c r="A196" s="42">
        <v>46241.791666666664</v>
      </c>
      <c r="B196" s="41" t="s">
        <v>25</v>
      </c>
      <c r="C196" s="11">
        <v>1420</v>
      </c>
      <c r="D196" s="11">
        <v>1420</v>
      </c>
      <c r="E196" s="11">
        <v>295</v>
      </c>
      <c r="F196" s="11">
        <v>3</v>
      </c>
    </row>
    <row r="197" spans="1:6">
      <c r="A197" s="42">
        <v>46241.833333333336</v>
      </c>
      <c r="B197" s="41" t="s">
        <v>25</v>
      </c>
      <c r="C197" s="11">
        <v>1420</v>
      </c>
      <c r="D197" s="11">
        <v>1420</v>
      </c>
      <c r="E197" s="11">
        <v>295</v>
      </c>
      <c r="F197" s="11">
        <v>3</v>
      </c>
    </row>
    <row r="198" spans="1:6">
      <c r="A198" s="42">
        <v>46241.875</v>
      </c>
      <c r="B198" s="41" t="s">
        <v>25</v>
      </c>
      <c r="C198" s="11">
        <v>1420</v>
      </c>
      <c r="D198" s="11">
        <v>1420</v>
      </c>
      <c r="E198" s="11">
        <v>295</v>
      </c>
      <c r="F198" s="11">
        <v>3</v>
      </c>
    </row>
    <row r="199" spans="1:6">
      <c r="A199" s="42">
        <v>46241.916666666664</v>
      </c>
      <c r="B199" s="41" t="s">
        <v>25</v>
      </c>
      <c r="C199" s="11">
        <v>1420</v>
      </c>
      <c r="D199" s="11">
        <v>1420</v>
      </c>
      <c r="E199" s="11">
        <v>295</v>
      </c>
      <c r="F199" s="11">
        <v>3</v>
      </c>
    </row>
    <row r="200" spans="1:6">
      <c r="A200" s="42">
        <v>46241.958333333336</v>
      </c>
      <c r="B200" s="41" t="s">
        <v>25</v>
      </c>
      <c r="C200" s="11">
        <v>1420</v>
      </c>
      <c r="D200" s="11">
        <v>1420</v>
      </c>
      <c r="E200" s="11">
        <v>295</v>
      </c>
      <c r="F200" s="11">
        <v>3</v>
      </c>
    </row>
    <row r="201" spans="1:6">
      <c r="A201" s="42">
        <v>46242</v>
      </c>
      <c r="B201" s="41" t="s">
        <v>25</v>
      </c>
      <c r="C201" s="11">
        <v>1420</v>
      </c>
      <c r="D201" s="11">
        <v>1420</v>
      </c>
      <c r="E201" s="11">
        <v>295</v>
      </c>
      <c r="F201" s="11">
        <v>3</v>
      </c>
    </row>
    <row r="202" spans="1:6">
      <c r="A202" s="42">
        <v>46242.041666666664</v>
      </c>
      <c r="B202" s="41" t="s">
        <v>25</v>
      </c>
      <c r="C202" s="11">
        <v>1420</v>
      </c>
      <c r="D202" s="11">
        <v>1420</v>
      </c>
      <c r="E202" s="11">
        <v>295</v>
      </c>
      <c r="F202" s="11">
        <v>3</v>
      </c>
    </row>
    <row r="203" spans="1:6">
      <c r="A203" s="42">
        <v>46242.083333333336</v>
      </c>
      <c r="B203" s="41" t="s">
        <v>25</v>
      </c>
      <c r="C203" s="11">
        <v>1420</v>
      </c>
      <c r="D203" s="11">
        <v>1420</v>
      </c>
      <c r="E203" s="11">
        <v>295</v>
      </c>
      <c r="F203" s="11">
        <v>3</v>
      </c>
    </row>
    <row r="204" spans="1:6">
      <c r="A204" s="42">
        <v>46242.125</v>
      </c>
      <c r="B204" s="41" t="s">
        <v>25</v>
      </c>
      <c r="C204" s="11">
        <v>1420</v>
      </c>
      <c r="D204" s="11">
        <v>1420</v>
      </c>
      <c r="E204" s="11">
        <v>295</v>
      </c>
      <c r="F204" s="11">
        <v>3</v>
      </c>
    </row>
    <row r="205" spans="1:6">
      <c r="A205" s="42">
        <v>46242.166666666664</v>
      </c>
      <c r="B205" s="41" t="s">
        <v>25</v>
      </c>
      <c r="C205" s="11">
        <v>1420</v>
      </c>
      <c r="D205" s="11">
        <v>1420</v>
      </c>
      <c r="E205" s="11">
        <v>295</v>
      </c>
      <c r="F205" s="11">
        <v>3</v>
      </c>
    </row>
    <row r="206" spans="1:6">
      <c r="A206" s="42">
        <v>46242.208333333336</v>
      </c>
      <c r="B206" s="41" t="s">
        <v>25</v>
      </c>
      <c r="C206" s="11">
        <v>1420</v>
      </c>
      <c r="D206" s="11">
        <v>1420</v>
      </c>
      <c r="E206" s="11">
        <v>295</v>
      </c>
      <c r="F206" s="11">
        <v>3</v>
      </c>
    </row>
    <row r="207" spans="1:6">
      <c r="A207" s="42">
        <v>46242.25</v>
      </c>
      <c r="B207" s="41" t="s">
        <v>25</v>
      </c>
      <c r="C207" s="11">
        <v>1420</v>
      </c>
      <c r="D207" s="11">
        <v>1420</v>
      </c>
      <c r="E207" s="11">
        <v>295</v>
      </c>
      <c r="F207" s="11">
        <v>3</v>
      </c>
    </row>
    <row r="208" spans="1:6">
      <c r="A208" s="42">
        <v>46242.291666666664</v>
      </c>
      <c r="B208" s="41" t="s">
        <v>25</v>
      </c>
      <c r="C208" s="11">
        <v>1420</v>
      </c>
      <c r="D208" s="11">
        <v>1420</v>
      </c>
      <c r="E208" s="11">
        <v>295</v>
      </c>
      <c r="F208" s="11">
        <v>3</v>
      </c>
    </row>
    <row r="209" spans="1:6">
      <c r="A209" s="42">
        <v>46242.333333333336</v>
      </c>
      <c r="B209" s="41" t="s">
        <v>25</v>
      </c>
      <c r="C209" s="11">
        <v>1420</v>
      </c>
      <c r="D209" s="11">
        <v>1420</v>
      </c>
      <c r="E209" s="11">
        <v>295</v>
      </c>
      <c r="F209" s="11">
        <v>3</v>
      </c>
    </row>
    <row r="210" spans="1:6">
      <c r="A210" s="42">
        <v>46242.375</v>
      </c>
      <c r="B210" s="41" t="s">
        <v>25</v>
      </c>
      <c r="C210" s="11">
        <v>1420</v>
      </c>
      <c r="D210" s="11">
        <v>1420</v>
      </c>
      <c r="E210" s="11">
        <v>295</v>
      </c>
      <c r="F210" s="11">
        <v>3</v>
      </c>
    </row>
    <row r="211" spans="1:6">
      <c r="A211" s="42">
        <v>46242.416666666664</v>
      </c>
      <c r="B211" s="41" t="s">
        <v>25</v>
      </c>
      <c r="C211" s="11">
        <v>1420</v>
      </c>
      <c r="D211" s="11">
        <v>1420</v>
      </c>
      <c r="E211" s="11">
        <v>295</v>
      </c>
      <c r="F211" s="11">
        <v>3</v>
      </c>
    </row>
    <row r="212" spans="1:6">
      <c r="A212" s="42">
        <v>46242.458333333336</v>
      </c>
      <c r="B212" s="41" t="s">
        <v>25</v>
      </c>
      <c r="C212" s="11">
        <v>1420</v>
      </c>
      <c r="D212" s="11">
        <v>1420</v>
      </c>
      <c r="E212" s="11">
        <v>295</v>
      </c>
      <c r="F212" s="11">
        <v>3</v>
      </c>
    </row>
    <row r="213" spans="1:6">
      <c r="A213" s="42">
        <v>46242.5</v>
      </c>
      <c r="B213" s="41" t="s">
        <v>25</v>
      </c>
      <c r="C213" s="11">
        <v>1420</v>
      </c>
      <c r="D213" s="11">
        <v>1420</v>
      </c>
      <c r="E213" s="11">
        <v>295</v>
      </c>
      <c r="F213" s="11">
        <v>3</v>
      </c>
    </row>
    <row r="214" spans="1:6">
      <c r="A214" s="42">
        <v>46242.541666666664</v>
      </c>
      <c r="B214" s="41" t="s">
        <v>25</v>
      </c>
      <c r="C214" s="11">
        <v>1420</v>
      </c>
      <c r="D214" s="11">
        <v>1420</v>
      </c>
      <c r="E214" s="11">
        <v>295</v>
      </c>
      <c r="F214" s="11">
        <v>3</v>
      </c>
    </row>
    <row r="215" spans="1:6">
      <c r="A215" s="42">
        <v>46242.583333333336</v>
      </c>
      <c r="B215" s="41" t="s">
        <v>25</v>
      </c>
      <c r="C215" s="11">
        <v>1420</v>
      </c>
      <c r="D215" s="11">
        <v>1420</v>
      </c>
      <c r="E215" s="11">
        <v>295</v>
      </c>
      <c r="F215" s="11">
        <v>3</v>
      </c>
    </row>
    <row r="216" spans="1:6">
      <c r="A216" s="42">
        <v>46242.625</v>
      </c>
      <c r="B216" s="41" t="s">
        <v>25</v>
      </c>
      <c r="C216" s="11">
        <v>1420</v>
      </c>
      <c r="D216" s="11">
        <v>1420</v>
      </c>
      <c r="E216" s="11">
        <v>295</v>
      </c>
      <c r="F216" s="11">
        <v>3</v>
      </c>
    </row>
    <row r="217" spans="1:6">
      <c r="A217" s="42">
        <v>46242.666666666664</v>
      </c>
      <c r="B217" s="41" t="s">
        <v>25</v>
      </c>
      <c r="C217" s="11">
        <v>1420</v>
      </c>
      <c r="D217" s="11">
        <v>1420</v>
      </c>
      <c r="E217" s="11">
        <v>295</v>
      </c>
      <c r="F217" s="11">
        <v>3</v>
      </c>
    </row>
    <row r="218" spans="1:6">
      <c r="A218" s="42">
        <v>46242.708333333336</v>
      </c>
      <c r="B218" s="41" t="s">
        <v>25</v>
      </c>
      <c r="C218" s="11">
        <v>1420</v>
      </c>
      <c r="D218" s="11">
        <v>1420</v>
      </c>
      <c r="E218" s="11">
        <v>295</v>
      </c>
      <c r="F218" s="11">
        <v>3</v>
      </c>
    </row>
    <row r="219" spans="1:6">
      <c r="A219" s="42">
        <v>46242.75</v>
      </c>
      <c r="B219" s="41" t="s">
        <v>25</v>
      </c>
      <c r="C219" s="11">
        <v>1420</v>
      </c>
      <c r="D219" s="11">
        <v>1420</v>
      </c>
      <c r="E219" s="11">
        <v>295</v>
      </c>
      <c r="F219" s="11">
        <v>3</v>
      </c>
    </row>
    <row r="220" spans="1:6">
      <c r="A220" s="42">
        <v>46242.791666666664</v>
      </c>
      <c r="B220" s="41" t="s">
        <v>25</v>
      </c>
      <c r="C220" s="11">
        <v>1420</v>
      </c>
      <c r="D220" s="11">
        <v>1420</v>
      </c>
      <c r="E220" s="11">
        <v>295</v>
      </c>
      <c r="F220" s="11">
        <v>3</v>
      </c>
    </row>
    <row r="221" spans="1:6">
      <c r="A221" s="42">
        <v>46242.833333333336</v>
      </c>
      <c r="B221" s="41" t="s">
        <v>25</v>
      </c>
      <c r="C221" s="11">
        <v>1420</v>
      </c>
      <c r="D221" s="11">
        <v>1420</v>
      </c>
      <c r="E221" s="11">
        <v>295</v>
      </c>
      <c r="F221" s="11">
        <v>3</v>
      </c>
    </row>
    <row r="222" spans="1:6">
      <c r="A222" s="42">
        <v>46242.875</v>
      </c>
      <c r="B222" s="41" t="s">
        <v>25</v>
      </c>
      <c r="C222" s="11">
        <v>1420</v>
      </c>
      <c r="D222" s="11">
        <v>1420</v>
      </c>
      <c r="E222" s="11">
        <v>295</v>
      </c>
      <c r="F222" s="11">
        <v>3</v>
      </c>
    </row>
    <row r="223" spans="1:6">
      <c r="A223" s="42">
        <v>46242.916666666664</v>
      </c>
      <c r="B223" s="41" t="s">
        <v>25</v>
      </c>
      <c r="C223" s="11">
        <v>1420</v>
      </c>
      <c r="D223" s="11">
        <v>1420</v>
      </c>
      <c r="E223" s="11">
        <v>295</v>
      </c>
      <c r="F223" s="11">
        <v>3</v>
      </c>
    </row>
    <row r="224" spans="1:6">
      <c r="A224" s="42">
        <v>46242.958333333336</v>
      </c>
      <c r="B224" s="41" t="s">
        <v>25</v>
      </c>
      <c r="C224" s="11">
        <v>1420</v>
      </c>
      <c r="D224" s="11">
        <v>1420</v>
      </c>
      <c r="E224" s="11">
        <v>295</v>
      </c>
      <c r="F224" s="11">
        <v>3</v>
      </c>
    </row>
    <row r="225" spans="1:6">
      <c r="A225" s="42">
        <v>46243</v>
      </c>
      <c r="B225" s="41" t="s">
        <v>25</v>
      </c>
      <c r="C225" s="11">
        <v>1420</v>
      </c>
      <c r="D225" s="11">
        <v>1420</v>
      </c>
      <c r="E225" s="11">
        <v>295</v>
      </c>
      <c r="F225" s="11">
        <v>3</v>
      </c>
    </row>
    <row r="226" spans="1:6">
      <c r="A226" s="42">
        <v>46243.041666666664</v>
      </c>
      <c r="B226" s="41" t="s">
        <v>25</v>
      </c>
      <c r="C226" s="11">
        <v>1420</v>
      </c>
      <c r="D226" s="11">
        <v>1420</v>
      </c>
      <c r="E226" s="11">
        <v>295</v>
      </c>
      <c r="F226" s="11">
        <v>3</v>
      </c>
    </row>
    <row r="227" spans="1:6">
      <c r="A227" s="42">
        <v>46243.083333333336</v>
      </c>
      <c r="B227" s="41" t="s">
        <v>25</v>
      </c>
      <c r="C227" s="11">
        <v>1420</v>
      </c>
      <c r="D227" s="11">
        <v>1420</v>
      </c>
      <c r="E227" s="11">
        <v>295</v>
      </c>
      <c r="F227" s="11">
        <v>3</v>
      </c>
    </row>
    <row r="228" spans="1:6">
      <c r="A228" s="42">
        <v>46243.125</v>
      </c>
      <c r="B228" s="41" t="s">
        <v>25</v>
      </c>
      <c r="C228" s="11">
        <v>1420</v>
      </c>
      <c r="D228" s="11">
        <v>1420</v>
      </c>
      <c r="E228" s="11">
        <v>295</v>
      </c>
      <c r="F228" s="11">
        <v>3</v>
      </c>
    </row>
    <row r="229" spans="1:6">
      <c r="A229" s="42">
        <v>46243.166666666664</v>
      </c>
      <c r="B229" s="41" t="s">
        <v>25</v>
      </c>
      <c r="C229" s="11">
        <v>1420</v>
      </c>
      <c r="D229" s="11">
        <v>1420</v>
      </c>
      <c r="E229" s="11">
        <v>295</v>
      </c>
      <c r="F229" s="11">
        <v>3</v>
      </c>
    </row>
    <row r="230" spans="1:6">
      <c r="A230" s="42">
        <v>46243.208333333336</v>
      </c>
      <c r="B230" s="41" t="s">
        <v>25</v>
      </c>
      <c r="C230" s="11">
        <v>1420</v>
      </c>
      <c r="D230" s="11">
        <v>1420</v>
      </c>
      <c r="E230" s="11">
        <v>295</v>
      </c>
      <c r="F230" s="11">
        <v>3</v>
      </c>
    </row>
    <row r="231" spans="1:6">
      <c r="A231" s="42">
        <v>46243.25</v>
      </c>
      <c r="B231" s="41" t="s">
        <v>25</v>
      </c>
      <c r="C231" s="11">
        <v>1420</v>
      </c>
      <c r="D231" s="11">
        <v>1420</v>
      </c>
      <c r="E231" s="11">
        <v>295</v>
      </c>
      <c r="F231" s="11">
        <v>3</v>
      </c>
    </row>
    <row r="232" spans="1:6">
      <c r="A232" s="42">
        <v>46243.291666666664</v>
      </c>
      <c r="B232" s="41" t="s">
        <v>25</v>
      </c>
      <c r="C232" s="11">
        <v>1420</v>
      </c>
      <c r="D232" s="11">
        <v>1420</v>
      </c>
      <c r="E232" s="11">
        <v>295</v>
      </c>
      <c r="F232" s="11">
        <v>3</v>
      </c>
    </row>
    <row r="233" spans="1:6">
      <c r="A233" s="42">
        <v>46243.333333333336</v>
      </c>
      <c r="B233" s="41" t="s">
        <v>25</v>
      </c>
      <c r="C233" s="11">
        <v>1420</v>
      </c>
      <c r="D233" s="11">
        <v>1420</v>
      </c>
      <c r="E233" s="11">
        <v>295</v>
      </c>
      <c r="F233" s="11">
        <v>3</v>
      </c>
    </row>
    <row r="234" spans="1:6">
      <c r="A234" s="42">
        <v>46243.375</v>
      </c>
      <c r="B234" s="41" t="s">
        <v>25</v>
      </c>
      <c r="C234" s="11">
        <v>1420</v>
      </c>
      <c r="D234" s="11">
        <v>1420</v>
      </c>
      <c r="E234" s="11">
        <v>295</v>
      </c>
      <c r="F234" s="11">
        <v>3</v>
      </c>
    </row>
    <row r="235" spans="1:6">
      <c r="A235" s="42">
        <v>46243.416666666664</v>
      </c>
      <c r="B235" s="41" t="s">
        <v>25</v>
      </c>
      <c r="C235" s="11">
        <v>1420</v>
      </c>
      <c r="D235" s="11">
        <v>1420</v>
      </c>
      <c r="E235" s="11">
        <v>295</v>
      </c>
      <c r="F235" s="11">
        <v>3</v>
      </c>
    </row>
    <row r="236" spans="1:6">
      <c r="A236" s="42">
        <v>46243.458333333336</v>
      </c>
      <c r="B236" s="41" t="s">
        <v>25</v>
      </c>
      <c r="C236" s="11">
        <v>1420</v>
      </c>
      <c r="D236" s="11">
        <v>1420</v>
      </c>
      <c r="E236" s="11">
        <v>295</v>
      </c>
      <c r="F236" s="11">
        <v>3</v>
      </c>
    </row>
    <row r="237" spans="1:6">
      <c r="A237" s="42">
        <v>46243.5</v>
      </c>
      <c r="B237" s="41" t="s">
        <v>25</v>
      </c>
      <c r="C237" s="11">
        <v>1420</v>
      </c>
      <c r="D237" s="11">
        <v>1420</v>
      </c>
      <c r="E237" s="11">
        <v>295</v>
      </c>
      <c r="F237" s="11">
        <v>3</v>
      </c>
    </row>
    <row r="238" spans="1:6">
      <c r="A238" s="42">
        <v>46243.541666666664</v>
      </c>
      <c r="B238" s="41" t="s">
        <v>25</v>
      </c>
      <c r="C238" s="11">
        <v>1420</v>
      </c>
      <c r="D238" s="11">
        <v>1420</v>
      </c>
      <c r="E238" s="11">
        <v>295</v>
      </c>
      <c r="F238" s="11">
        <v>3</v>
      </c>
    </row>
    <row r="239" spans="1:6">
      <c r="A239" s="42">
        <v>46243.583333333336</v>
      </c>
      <c r="B239" s="41" t="s">
        <v>25</v>
      </c>
      <c r="C239" s="11">
        <v>1420</v>
      </c>
      <c r="D239" s="11">
        <v>1420</v>
      </c>
      <c r="E239" s="11">
        <v>295</v>
      </c>
      <c r="F239" s="11">
        <v>3</v>
      </c>
    </row>
    <row r="240" spans="1:6">
      <c r="A240" s="42">
        <v>46243.625</v>
      </c>
      <c r="B240" s="41" t="s">
        <v>25</v>
      </c>
      <c r="C240" s="11">
        <v>1420</v>
      </c>
      <c r="D240" s="11">
        <v>1420</v>
      </c>
      <c r="E240" s="11">
        <v>295</v>
      </c>
      <c r="F240" s="11">
        <v>3</v>
      </c>
    </row>
    <row r="241" spans="1:6">
      <c r="A241" s="42">
        <v>46243.666666666664</v>
      </c>
      <c r="B241" s="41" t="s">
        <v>25</v>
      </c>
      <c r="C241" s="11">
        <v>1420</v>
      </c>
      <c r="D241" s="11">
        <v>1420</v>
      </c>
      <c r="E241" s="11">
        <v>295</v>
      </c>
      <c r="F241" s="11">
        <v>3</v>
      </c>
    </row>
    <row r="242" spans="1:6">
      <c r="A242" s="42">
        <v>46243.708333333336</v>
      </c>
      <c r="B242" s="41" t="s">
        <v>25</v>
      </c>
      <c r="C242" s="11">
        <v>1420</v>
      </c>
      <c r="D242" s="11">
        <v>1420</v>
      </c>
      <c r="E242" s="11">
        <v>295</v>
      </c>
      <c r="F242" s="11">
        <v>3</v>
      </c>
    </row>
    <row r="243" spans="1:6">
      <c r="A243" s="42">
        <v>46243.75</v>
      </c>
      <c r="B243" s="41" t="s">
        <v>25</v>
      </c>
      <c r="C243" s="11">
        <v>1420</v>
      </c>
      <c r="D243" s="11">
        <v>1420</v>
      </c>
      <c r="E243" s="11">
        <v>295</v>
      </c>
      <c r="F243" s="11">
        <v>3</v>
      </c>
    </row>
    <row r="244" spans="1:6">
      <c r="A244" s="42">
        <v>46243.791666666664</v>
      </c>
      <c r="B244" s="41" t="s">
        <v>25</v>
      </c>
      <c r="C244" s="11">
        <v>1420</v>
      </c>
      <c r="D244" s="11">
        <v>1420</v>
      </c>
      <c r="E244" s="11">
        <v>295</v>
      </c>
      <c r="F244" s="11">
        <v>3</v>
      </c>
    </row>
    <row r="245" spans="1:6">
      <c r="A245" s="42">
        <v>46243.833333333336</v>
      </c>
      <c r="B245" s="41" t="s">
        <v>25</v>
      </c>
      <c r="C245" s="11">
        <v>1420</v>
      </c>
      <c r="D245" s="11">
        <v>1420</v>
      </c>
      <c r="E245" s="11">
        <v>295</v>
      </c>
      <c r="F245" s="11">
        <v>3</v>
      </c>
    </row>
    <row r="246" spans="1:6">
      <c r="A246" s="42">
        <v>46243.875</v>
      </c>
      <c r="B246" s="41" t="s">
        <v>25</v>
      </c>
      <c r="C246" s="11">
        <v>1420</v>
      </c>
      <c r="D246" s="11">
        <v>1420</v>
      </c>
      <c r="E246" s="11">
        <v>295</v>
      </c>
      <c r="F246" s="11">
        <v>3</v>
      </c>
    </row>
    <row r="247" spans="1:6">
      <c r="A247" s="42">
        <v>46243.916666666664</v>
      </c>
      <c r="B247" s="41" t="s">
        <v>25</v>
      </c>
      <c r="C247" s="11">
        <v>1420</v>
      </c>
      <c r="D247" s="11">
        <v>1420</v>
      </c>
      <c r="E247" s="11">
        <v>295</v>
      </c>
      <c r="F247" s="11">
        <v>3</v>
      </c>
    </row>
    <row r="248" spans="1:6">
      <c r="A248" s="42">
        <v>46243.958333333336</v>
      </c>
      <c r="B248" s="41" t="s">
        <v>25</v>
      </c>
      <c r="C248" s="11">
        <v>1420</v>
      </c>
      <c r="D248" s="11">
        <v>1420</v>
      </c>
      <c r="E248" s="11">
        <v>295</v>
      </c>
      <c r="F248" s="11">
        <v>3</v>
      </c>
    </row>
    <row r="249" spans="1:6">
      <c r="A249" s="42">
        <v>46244</v>
      </c>
      <c r="B249" s="41" t="s">
        <v>25</v>
      </c>
      <c r="C249" s="11">
        <v>1420</v>
      </c>
      <c r="D249" s="11">
        <v>1420</v>
      </c>
      <c r="E249" s="11">
        <v>295</v>
      </c>
      <c r="F249" s="11">
        <v>3</v>
      </c>
    </row>
    <row r="250" spans="1:6">
      <c r="A250" s="42">
        <v>46244.041666666664</v>
      </c>
      <c r="B250" s="41" t="s">
        <v>25</v>
      </c>
      <c r="C250" s="11">
        <v>1420</v>
      </c>
      <c r="D250" s="11">
        <v>1420</v>
      </c>
      <c r="E250" s="11">
        <v>295</v>
      </c>
      <c r="F250" s="11">
        <v>3</v>
      </c>
    </row>
    <row r="251" spans="1:6">
      <c r="A251" s="42">
        <v>46244.083333333336</v>
      </c>
      <c r="B251" s="41" t="s">
        <v>25</v>
      </c>
      <c r="C251" s="11">
        <v>1420</v>
      </c>
      <c r="D251" s="11">
        <v>1420</v>
      </c>
      <c r="E251" s="11">
        <v>295</v>
      </c>
      <c r="F251" s="11">
        <v>3</v>
      </c>
    </row>
    <row r="252" spans="1:6">
      <c r="A252" s="42">
        <v>46244.125</v>
      </c>
      <c r="B252" s="41" t="s">
        <v>25</v>
      </c>
      <c r="C252" s="11">
        <v>1420</v>
      </c>
      <c r="D252" s="11">
        <v>1420</v>
      </c>
      <c r="E252" s="11">
        <v>295</v>
      </c>
      <c r="F252" s="11">
        <v>3</v>
      </c>
    </row>
    <row r="253" spans="1:6">
      <c r="A253" s="42">
        <v>46244.166666666664</v>
      </c>
      <c r="B253" s="41" t="s">
        <v>25</v>
      </c>
      <c r="C253" s="11">
        <v>1420</v>
      </c>
      <c r="D253" s="11">
        <v>1420</v>
      </c>
      <c r="E253" s="11">
        <v>295</v>
      </c>
      <c r="F253" s="11">
        <v>3</v>
      </c>
    </row>
    <row r="254" spans="1:6">
      <c r="A254" s="42">
        <v>46244.208333333336</v>
      </c>
      <c r="B254" s="41" t="s">
        <v>25</v>
      </c>
      <c r="C254" s="11">
        <v>1420</v>
      </c>
      <c r="D254" s="11">
        <v>1420</v>
      </c>
      <c r="E254" s="11">
        <v>295</v>
      </c>
      <c r="F254" s="11">
        <v>3</v>
      </c>
    </row>
    <row r="255" spans="1:6">
      <c r="A255" s="42">
        <v>46244.25</v>
      </c>
      <c r="B255" s="41" t="s">
        <v>25</v>
      </c>
      <c r="C255" s="11">
        <v>1420</v>
      </c>
      <c r="D255" s="11">
        <v>1420</v>
      </c>
      <c r="E255" s="11">
        <v>295</v>
      </c>
      <c r="F255" s="11">
        <v>3</v>
      </c>
    </row>
    <row r="256" spans="1:6">
      <c r="A256" s="42">
        <v>46244.291666666664</v>
      </c>
      <c r="B256" s="41" t="s">
        <v>25</v>
      </c>
      <c r="C256" s="11">
        <v>1420</v>
      </c>
      <c r="D256" s="11">
        <v>1420</v>
      </c>
      <c r="E256" s="11">
        <v>295</v>
      </c>
      <c r="F256" s="11">
        <v>3</v>
      </c>
    </row>
    <row r="257" spans="1:6">
      <c r="A257" s="42">
        <v>46244.333333333336</v>
      </c>
      <c r="B257" s="41" t="s">
        <v>25</v>
      </c>
      <c r="C257" s="11">
        <v>1420</v>
      </c>
      <c r="D257" s="11">
        <v>1420</v>
      </c>
      <c r="E257" s="11">
        <v>295</v>
      </c>
      <c r="F257" s="11">
        <v>3</v>
      </c>
    </row>
    <row r="258" spans="1:6">
      <c r="A258" s="42">
        <v>46244.375</v>
      </c>
      <c r="B258" s="41" t="s">
        <v>25</v>
      </c>
      <c r="C258" s="11">
        <v>1420</v>
      </c>
      <c r="D258" s="11">
        <v>1420</v>
      </c>
      <c r="E258" s="11">
        <v>295</v>
      </c>
      <c r="F258" s="11">
        <v>3</v>
      </c>
    </row>
    <row r="259" spans="1:6">
      <c r="A259" s="42">
        <v>46244.416666666664</v>
      </c>
      <c r="B259" s="41" t="s">
        <v>25</v>
      </c>
      <c r="C259" s="11">
        <v>1420</v>
      </c>
      <c r="D259" s="11">
        <v>1420</v>
      </c>
      <c r="E259" s="11">
        <v>295</v>
      </c>
      <c r="F259" s="11">
        <v>3</v>
      </c>
    </row>
    <row r="260" spans="1:6">
      <c r="A260" s="42">
        <v>46244.458333333336</v>
      </c>
      <c r="B260" s="41" t="s">
        <v>25</v>
      </c>
      <c r="C260" s="11">
        <v>1420</v>
      </c>
      <c r="D260" s="11">
        <v>1420</v>
      </c>
      <c r="E260" s="11">
        <v>295</v>
      </c>
      <c r="F260" s="11">
        <v>3</v>
      </c>
    </row>
    <row r="261" spans="1:6">
      <c r="A261" s="42">
        <v>46244.5</v>
      </c>
      <c r="B261" s="41" t="s">
        <v>25</v>
      </c>
      <c r="C261" s="11">
        <v>1420</v>
      </c>
      <c r="D261" s="11">
        <v>1420</v>
      </c>
      <c r="E261" s="11">
        <v>295</v>
      </c>
      <c r="F261" s="11">
        <v>3</v>
      </c>
    </row>
    <row r="262" spans="1:6">
      <c r="A262" s="42">
        <v>46244.541666666664</v>
      </c>
      <c r="B262" s="41" t="s">
        <v>25</v>
      </c>
      <c r="C262" s="11">
        <v>1420</v>
      </c>
      <c r="D262" s="11">
        <v>1420</v>
      </c>
      <c r="E262" s="11">
        <v>295</v>
      </c>
      <c r="F262" s="11">
        <v>3</v>
      </c>
    </row>
    <row r="263" spans="1:6">
      <c r="A263" s="42">
        <v>46244.583333333336</v>
      </c>
      <c r="B263" s="41" t="s">
        <v>25</v>
      </c>
      <c r="C263" s="11">
        <v>1420</v>
      </c>
      <c r="D263" s="11">
        <v>1420</v>
      </c>
      <c r="E263" s="11">
        <v>295</v>
      </c>
      <c r="F263" s="11">
        <v>3</v>
      </c>
    </row>
    <row r="264" spans="1:6">
      <c r="A264" s="42">
        <v>46244.625</v>
      </c>
      <c r="B264" s="41" t="s">
        <v>25</v>
      </c>
      <c r="C264" s="11">
        <v>1420</v>
      </c>
      <c r="D264" s="11">
        <v>1420</v>
      </c>
      <c r="E264" s="11">
        <v>295</v>
      </c>
      <c r="F264" s="11">
        <v>3</v>
      </c>
    </row>
    <row r="265" spans="1:6">
      <c r="A265" s="42">
        <v>46244.666666666664</v>
      </c>
      <c r="B265" s="41" t="s">
        <v>25</v>
      </c>
      <c r="C265" s="11">
        <v>1420</v>
      </c>
      <c r="D265" s="11">
        <v>1420</v>
      </c>
      <c r="E265" s="11">
        <v>295</v>
      </c>
      <c r="F265" s="11">
        <v>3</v>
      </c>
    </row>
    <row r="266" spans="1:6">
      <c r="A266" s="42">
        <v>46244.708333333336</v>
      </c>
      <c r="B266" s="41" t="s">
        <v>25</v>
      </c>
      <c r="C266" s="11">
        <v>1420</v>
      </c>
      <c r="D266" s="11">
        <v>1420</v>
      </c>
      <c r="E266" s="11">
        <v>295</v>
      </c>
      <c r="F266" s="11">
        <v>3</v>
      </c>
    </row>
    <row r="267" spans="1:6">
      <c r="A267" s="42">
        <v>46244.75</v>
      </c>
      <c r="B267" s="41" t="s">
        <v>25</v>
      </c>
      <c r="C267" s="11">
        <v>1420</v>
      </c>
      <c r="D267" s="11">
        <v>1420</v>
      </c>
      <c r="E267" s="11">
        <v>295</v>
      </c>
      <c r="F267" s="11">
        <v>3</v>
      </c>
    </row>
    <row r="268" spans="1:6">
      <c r="A268" s="42">
        <v>46244.791666666664</v>
      </c>
      <c r="B268" s="41" t="s">
        <v>25</v>
      </c>
      <c r="C268" s="11">
        <v>1420</v>
      </c>
      <c r="D268" s="11">
        <v>1420</v>
      </c>
      <c r="E268" s="11">
        <v>295</v>
      </c>
      <c r="F268" s="11">
        <v>3</v>
      </c>
    </row>
    <row r="269" spans="1:6">
      <c r="A269" s="42">
        <v>46244.833333333336</v>
      </c>
      <c r="B269" s="41" t="s">
        <v>25</v>
      </c>
      <c r="C269" s="11">
        <v>1420</v>
      </c>
      <c r="D269" s="11">
        <v>1420</v>
      </c>
      <c r="E269" s="11">
        <v>295</v>
      </c>
      <c r="F269" s="11">
        <v>3</v>
      </c>
    </row>
    <row r="270" spans="1:6">
      <c r="A270" s="42">
        <v>46244.875</v>
      </c>
      <c r="B270" s="41" t="s">
        <v>25</v>
      </c>
      <c r="C270" s="11">
        <v>1420</v>
      </c>
      <c r="D270" s="11">
        <v>1420</v>
      </c>
      <c r="E270" s="11">
        <v>295</v>
      </c>
      <c r="F270" s="11">
        <v>3</v>
      </c>
    </row>
    <row r="271" spans="1:6">
      <c r="A271" s="42">
        <v>46244.916666666664</v>
      </c>
      <c r="B271" s="41" t="s">
        <v>25</v>
      </c>
      <c r="C271" s="11">
        <v>1420</v>
      </c>
      <c r="D271" s="11">
        <v>1420</v>
      </c>
      <c r="E271" s="11">
        <v>295</v>
      </c>
      <c r="F271" s="11">
        <v>3</v>
      </c>
    </row>
    <row r="272" spans="1:6">
      <c r="A272" s="42">
        <v>46244.958333333336</v>
      </c>
      <c r="B272" s="41" t="s">
        <v>25</v>
      </c>
      <c r="C272" s="11">
        <v>1420</v>
      </c>
      <c r="D272" s="11">
        <v>1420</v>
      </c>
      <c r="E272" s="11">
        <v>295</v>
      </c>
      <c r="F272" s="11">
        <v>3</v>
      </c>
    </row>
    <row r="273" spans="1:6">
      <c r="A273" s="42">
        <v>46245</v>
      </c>
      <c r="B273" s="41" t="s">
        <v>25</v>
      </c>
      <c r="C273" s="11">
        <v>1420</v>
      </c>
      <c r="D273" s="11">
        <v>1420</v>
      </c>
      <c r="E273" s="11">
        <v>295</v>
      </c>
      <c r="F273" s="11">
        <v>3</v>
      </c>
    </row>
    <row r="274" spans="1:6">
      <c r="A274" s="42">
        <v>46245.041666666664</v>
      </c>
      <c r="B274" s="41" t="s">
        <v>25</v>
      </c>
      <c r="C274" s="11">
        <v>1420</v>
      </c>
      <c r="D274" s="11">
        <v>1420</v>
      </c>
      <c r="E274" s="11">
        <v>295</v>
      </c>
      <c r="F274" s="11">
        <v>3</v>
      </c>
    </row>
    <row r="275" spans="1:6">
      <c r="A275" s="42">
        <v>46245.083333333336</v>
      </c>
      <c r="B275" s="41" t="s">
        <v>25</v>
      </c>
      <c r="C275" s="11">
        <v>1420</v>
      </c>
      <c r="D275" s="11">
        <v>1420</v>
      </c>
      <c r="E275" s="11">
        <v>295</v>
      </c>
      <c r="F275" s="11">
        <v>3</v>
      </c>
    </row>
    <row r="276" spans="1:6">
      <c r="A276" s="42">
        <v>46245.125</v>
      </c>
      <c r="B276" s="41" t="s">
        <v>25</v>
      </c>
      <c r="C276" s="11">
        <v>1420</v>
      </c>
      <c r="D276" s="11">
        <v>1420</v>
      </c>
      <c r="E276" s="11">
        <v>295</v>
      </c>
      <c r="F276" s="11">
        <v>3</v>
      </c>
    </row>
    <row r="277" spans="1:6">
      <c r="A277" s="42">
        <v>46245.166666666664</v>
      </c>
      <c r="B277" s="41" t="s">
        <v>25</v>
      </c>
      <c r="C277" s="11">
        <v>1420</v>
      </c>
      <c r="D277" s="11">
        <v>1420</v>
      </c>
      <c r="E277" s="11">
        <v>295</v>
      </c>
      <c r="F277" s="11">
        <v>3</v>
      </c>
    </row>
    <row r="278" spans="1:6">
      <c r="A278" s="42">
        <v>46245.208333333336</v>
      </c>
      <c r="B278" s="41" t="s">
        <v>25</v>
      </c>
      <c r="C278" s="11">
        <v>1420</v>
      </c>
      <c r="D278" s="11">
        <v>1420</v>
      </c>
      <c r="E278" s="11">
        <v>295</v>
      </c>
      <c r="F278" s="11">
        <v>3</v>
      </c>
    </row>
    <row r="279" spans="1:6">
      <c r="A279" s="42">
        <v>46245.25</v>
      </c>
      <c r="B279" s="41" t="s">
        <v>25</v>
      </c>
      <c r="C279" s="11">
        <v>1420</v>
      </c>
      <c r="D279" s="11">
        <v>1420</v>
      </c>
      <c r="E279" s="11">
        <v>295</v>
      </c>
      <c r="F279" s="11">
        <v>3</v>
      </c>
    </row>
    <row r="280" spans="1:6">
      <c r="A280" s="42">
        <v>46245.291666666664</v>
      </c>
      <c r="B280" s="41" t="s">
        <v>25</v>
      </c>
      <c r="C280" s="11">
        <v>1420</v>
      </c>
      <c r="D280" s="11">
        <v>1420</v>
      </c>
      <c r="E280" s="11">
        <v>295</v>
      </c>
      <c r="F280" s="11">
        <v>3</v>
      </c>
    </row>
    <row r="281" spans="1:6">
      <c r="A281" s="42">
        <v>46245.333333333336</v>
      </c>
      <c r="B281" s="41" t="s">
        <v>25</v>
      </c>
      <c r="C281" s="11">
        <v>1420</v>
      </c>
      <c r="D281" s="11">
        <v>1420</v>
      </c>
      <c r="E281" s="11">
        <v>295</v>
      </c>
      <c r="F281" s="11">
        <v>3</v>
      </c>
    </row>
    <row r="282" spans="1:6">
      <c r="A282" s="42">
        <v>46245.375</v>
      </c>
      <c r="B282" s="41" t="s">
        <v>25</v>
      </c>
      <c r="C282" s="11">
        <v>1420</v>
      </c>
      <c r="D282" s="11">
        <v>1420</v>
      </c>
      <c r="E282" s="11">
        <v>295</v>
      </c>
      <c r="F282" s="11">
        <v>3</v>
      </c>
    </row>
    <row r="283" spans="1:6">
      <c r="A283" s="42">
        <v>46245.416666666664</v>
      </c>
      <c r="B283" s="41" t="s">
        <v>25</v>
      </c>
      <c r="C283" s="11">
        <v>1420</v>
      </c>
      <c r="D283" s="11">
        <v>1420</v>
      </c>
      <c r="E283" s="11">
        <v>295</v>
      </c>
      <c r="F283" s="11">
        <v>3</v>
      </c>
    </row>
    <row r="284" spans="1:6">
      <c r="A284" s="42">
        <v>46245.458333333336</v>
      </c>
      <c r="B284" s="41" t="s">
        <v>25</v>
      </c>
      <c r="C284" s="11">
        <v>1420</v>
      </c>
      <c r="D284" s="11">
        <v>1420</v>
      </c>
      <c r="E284" s="11">
        <v>295</v>
      </c>
      <c r="F284" s="11">
        <v>3</v>
      </c>
    </row>
    <row r="285" spans="1:6">
      <c r="A285" s="42">
        <v>46245.5</v>
      </c>
      <c r="B285" s="41" t="s">
        <v>25</v>
      </c>
      <c r="C285" s="11">
        <v>1420</v>
      </c>
      <c r="D285" s="11">
        <v>1420</v>
      </c>
      <c r="E285" s="11">
        <v>295</v>
      </c>
      <c r="F285" s="11">
        <v>3</v>
      </c>
    </row>
    <row r="286" spans="1:6">
      <c r="A286" s="42">
        <v>46245.541666666664</v>
      </c>
      <c r="B286" s="41" t="s">
        <v>25</v>
      </c>
      <c r="C286" s="11">
        <v>1420</v>
      </c>
      <c r="D286" s="11">
        <v>1420</v>
      </c>
      <c r="E286" s="11">
        <v>295</v>
      </c>
      <c r="F286" s="11">
        <v>3</v>
      </c>
    </row>
    <row r="287" spans="1:6">
      <c r="A287" s="42">
        <v>46245.583333333336</v>
      </c>
      <c r="B287" s="41" t="s">
        <v>25</v>
      </c>
      <c r="C287" s="11">
        <v>1420</v>
      </c>
      <c r="D287" s="11">
        <v>1420</v>
      </c>
      <c r="E287" s="11">
        <v>295</v>
      </c>
      <c r="F287" s="11">
        <v>3</v>
      </c>
    </row>
    <row r="288" spans="1:6">
      <c r="A288" s="42">
        <v>46245.625</v>
      </c>
      <c r="B288" s="41" t="s">
        <v>25</v>
      </c>
      <c r="C288" s="11">
        <v>1420</v>
      </c>
      <c r="D288" s="11">
        <v>1420</v>
      </c>
      <c r="E288" s="11">
        <v>295</v>
      </c>
      <c r="F288" s="11">
        <v>3</v>
      </c>
    </row>
    <row r="289" spans="1:6">
      <c r="A289" s="42">
        <v>46245.666666666664</v>
      </c>
      <c r="B289" s="41" t="s">
        <v>25</v>
      </c>
      <c r="C289" s="11">
        <v>1420</v>
      </c>
      <c r="D289" s="11">
        <v>1420</v>
      </c>
      <c r="E289" s="11">
        <v>295</v>
      </c>
      <c r="F289" s="11">
        <v>3</v>
      </c>
    </row>
    <row r="290" spans="1:6">
      <c r="A290" s="42">
        <v>46245.708333333336</v>
      </c>
      <c r="B290" s="41" t="s">
        <v>25</v>
      </c>
      <c r="C290" s="11">
        <v>1420</v>
      </c>
      <c r="D290" s="11">
        <v>1420</v>
      </c>
      <c r="E290" s="11">
        <v>295</v>
      </c>
      <c r="F290" s="11">
        <v>3</v>
      </c>
    </row>
    <row r="291" spans="1:6">
      <c r="A291" s="42">
        <v>46245.75</v>
      </c>
      <c r="B291" s="41" t="s">
        <v>25</v>
      </c>
      <c r="C291" s="11">
        <v>1420</v>
      </c>
      <c r="D291" s="11">
        <v>1420</v>
      </c>
      <c r="E291" s="11">
        <v>295</v>
      </c>
      <c r="F291" s="11">
        <v>3</v>
      </c>
    </row>
    <row r="292" spans="1:6">
      <c r="A292" s="42">
        <v>46245.791666666664</v>
      </c>
      <c r="B292" s="41" t="s">
        <v>25</v>
      </c>
      <c r="C292" s="11">
        <v>1420</v>
      </c>
      <c r="D292" s="11">
        <v>1420</v>
      </c>
      <c r="E292" s="11">
        <v>295</v>
      </c>
      <c r="F292" s="11">
        <v>3</v>
      </c>
    </row>
    <row r="293" spans="1:6">
      <c r="A293" s="42">
        <v>46245.833333333336</v>
      </c>
      <c r="B293" s="41" t="s">
        <v>25</v>
      </c>
      <c r="C293" s="11">
        <v>1420</v>
      </c>
      <c r="D293" s="11">
        <v>1420</v>
      </c>
      <c r="E293" s="11">
        <v>295</v>
      </c>
      <c r="F293" s="11">
        <v>3</v>
      </c>
    </row>
    <row r="294" spans="1:6">
      <c r="A294" s="42">
        <v>46245.875</v>
      </c>
      <c r="B294" s="41" t="s">
        <v>25</v>
      </c>
      <c r="C294" s="11">
        <v>1420</v>
      </c>
      <c r="D294" s="11">
        <v>1420</v>
      </c>
      <c r="E294" s="11">
        <v>295</v>
      </c>
      <c r="F294" s="11">
        <v>3</v>
      </c>
    </row>
    <row r="295" spans="1:6">
      <c r="A295" s="42">
        <v>46245.916666666664</v>
      </c>
      <c r="B295" s="41" t="s">
        <v>25</v>
      </c>
      <c r="C295" s="11">
        <v>1420</v>
      </c>
      <c r="D295" s="11">
        <v>1420</v>
      </c>
      <c r="E295" s="11">
        <v>295</v>
      </c>
      <c r="F295" s="11">
        <v>3</v>
      </c>
    </row>
    <row r="296" spans="1:6">
      <c r="A296" s="42">
        <v>46245.958333333336</v>
      </c>
      <c r="B296" s="41" t="s">
        <v>25</v>
      </c>
      <c r="C296" s="11">
        <v>1420</v>
      </c>
      <c r="D296" s="11">
        <v>1420</v>
      </c>
      <c r="E296" s="11">
        <v>295</v>
      </c>
      <c r="F296" s="11">
        <v>3</v>
      </c>
    </row>
    <row r="297" spans="1:6">
      <c r="A297" s="42">
        <v>46246</v>
      </c>
      <c r="B297" s="41" t="s">
        <v>25</v>
      </c>
      <c r="C297" s="11">
        <v>1420</v>
      </c>
      <c r="D297" s="11">
        <v>1420</v>
      </c>
      <c r="E297" s="11">
        <v>295</v>
      </c>
      <c r="F297" s="11">
        <v>3</v>
      </c>
    </row>
    <row r="298" spans="1:6">
      <c r="A298" s="42">
        <v>46246.041666666664</v>
      </c>
      <c r="B298" s="41" t="s">
        <v>25</v>
      </c>
      <c r="C298" s="11">
        <v>1420</v>
      </c>
      <c r="D298" s="11">
        <v>1420</v>
      </c>
      <c r="E298" s="11">
        <v>295</v>
      </c>
      <c r="F298" s="11">
        <v>3</v>
      </c>
    </row>
    <row r="299" spans="1:6">
      <c r="A299" s="42">
        <v>46246.083333333336</v>
      </c>
      <c r="B299" s="41" t="s">
        <v>25</v>
      </c>
      <c r="C299" s="11">
        <v>1420</v>
      </c>
      <c r="D299" s="11">
        <v>1420</v>
      </c>
      <c r="E299" s="11">
        <v>295</v>
      </c>
      <c r="F299" s="11">
        <v>3</v>
      </c>
    </row>
    <row r="300" spans="1:6">
      <c r="A300" s="42">
        <v>46246.125</v>
      </c>
      <c r="B300" s="41" t="s">
        <v>25</v>
      </c>
      <c r="C300" s="11">
        <v>1420</v>
      </c>
      <c r="D300" s="11">
        <v>1420</v>
      </c>
      <c r="E300" s="11">
        <v>295</v>
      </c>
      <c r="F300" s="11">
        <v>3</v>
      </c>
    </row>
    <row r="301" spans="1:6">
      <c r="A301" s="42">
        <v>46246.166666666664</v>
      </c>
      <c r="B301" s="41" t="s">
        <v>25</v>
      </c>
      <c r="C301" s="11">
        <v>1420</v>
      </c>
      <c r="D301" s="11">
        <v>1420</v>
      </c>
      <c r="E301" s="11">
        <v>295</v>
      </c>
      <c r="F301" s="11">
        <v>3</v>
      </c>
    </row>
    <row r="302" spans="1:6">
      <c r="A302" s="42">
        <v>46246.208333333336</v>
      </c>
      <c r="B302" s="41" t="s">
        <v>25</v>
      </c>
      <c r="C302" s="11">
        <v>1420</v>
      </c>
      <c r="D302" s="11">
        <v>1420</v>
      </c>
      <c r="E302" s="11">
        <v>295</v>
      </c>
      <c r="F302" s="11">
        <v>3</v>
      </c>
    </row>
    <row r="303" spans="1:6">
      <c r="A303" s="42">
        <v>46246.25</v>
      </c>
      <c r="B303" s="41" t="s">
        <v>25</v>
      </c>
      <c r="C303" s="11">
        <v>1420</v>
      </c>
      <c r="D303" s="11">
        <v>1420</v>
      </c>
      <c r="E303" s="11">
        <v>295</v>
      </c>
      <c r="F303" s="11">
        <v>3</v>
      </c>
    </row>
    <row r="304" spans="1:6">
      <c r="A304" s="42">
        <v>46246.291666666664</v>
      </c>
      <c r="B304" s="41" t="s">
        <v>25</v>
      </c>
      <c r="C304" s="11">
        <v>1420</v>
      </c>
      <c r="D304" s="11">
        <v>1420</v>
      </c>
      <c r="E304" s="11">
        <v>295</v>
      </c>
      <c r="F304" s="11">
        <v>3</v>
      </c>
    </row>
    <row r="305" spans="1:6">
      <c r="A305" s="42">
        <v>46246.333333333336</v>
      </c>
      <c r="B305" s="41" t="s">
        <v>25</v>
      </c>
      <c r="C305" s="11">
        <v>1420</v>
      </c>
      <c r="D305" s="11">
        <v>1420</v>
      </c>
      <c r="E305" s="11">
        <v>295</v>
      </c>
      <c r="F305" s="11">
        <v>3</v>
      </c>
    </row>
    <row r="306" spans="1:6">
      <c r="A306" s="42">
        <v>46246.375</v>
      </c>
      <c r="B306" s="41" t="s">
        <v>25</v>
      </c>
      <c r="C306" s="11">
        <v>1420</v>
      </c>
      <c r="D306" s="11">
        <v>1420</v>
      </c>
      <c r="E306" s="11">
        <v>295</v>
      </c>
      <c r="F306" s="11">
        <v>3</v>
      </c>
    </row>
    <row r="307" spans="1:6">
      <c r="A307" s="42">
        <v>46246.416666666664</v>
      </c>
      <c r="B307" s="41" t="s">
        <v>25</v>
      </c>
      <c r="C307" s="11">
        <v>1420</v>
      </c>
      <c r="D307" s="11">
        <v>1420</v>
      </c>
      <c r="E307" s="11">
        <v>295</v>
      </c>
      <c r="F307" s="11">
        <v>3</v>
      </c>
    </row>
    <row r="308" spans="1:6">
      <c r="A308" s="42">
        <v>46246.458333333336</v>
      </c>
      <c r="B308" s="41" t="s">
        <v>25</v>
      </c>
      <c r="C308" s="11">
        <v>1420</v>
      </c>
      <c r="D308" s="11">
        <v>1420</v>
      </c>
      <c r="E308" s="11">
        <v>295</v>
      </c>
      <c r="F308" s="11">
        <v>3</v>
      </c>
    </row>
    <row r="309" spans="1:6">
      <c r="A309" s="42">
        <v>46246.5</v>
      </c>
      <c r="B309" s="41" t="s">
        <v>25</v>
      </c>
      <c r="C309" s="11">
        <v>1420</v>
      </c>
      <c r="D309" s="11">
        <v>1420</v>
      </c>
      <c r="E309" s="11">
        <v>295</v>
      </c>
      <c r="F309" s="11">
        <v>3</v>
      </c>
    </row>
    <row r="310" spans="1:6">
      <c r="A310" s="42">
        <v>46246.541666666664</v>
      </c>
      <c r="B310" s="41" t="s">
        <v>25</v>
      </c>
      <c r="C310" s="11">
        <v>1420</v>
      </c>
      <c r="D310" s="11">
        <v>1420</v>
      </c>
      <c r="E310" s="11">
        <v>295</v>
      </c>
      <c r="F310" s="11">
        <v>3</v>
      </c>
    </row>
    <row r="311" spans="1:6">
      <c r="A311" s="42">
        <v>46246.583333333336</v>
      </c>
      <c r="B311" s="41" t="s">
        <v>25</v>
      </c>
      <c r="C311" s="11">
        <v>1420</v>
      </c>
      <c r="D311" s="11">
        <v>1420</v>
      </c>
      <c r="E311" s="11">
        <v>295</v>
      </c>
      <c r="F311" s="11">
        <v>3</v>
      </c>
    </row>
    <row r="312" spans="1:6">
      <c r="A312" s="42">
        <v>46246.625</v>
      </c>
      <c r="B312" s="41" t="s">
        <v>25</v>
      </c>
      <c r="C312" s="11">
        <v>1420</v>
      </c>
      <c r="D312" s="11">
        <v>1420</v>
      </c>
      <c r="E312" s="11">
        <v>295</v>
      </c>
      <c r="F312" s="11">
        <v>3</v>
      </c>
    </row>
    <row r="313" spans="1:6">
      <c r="A313" s="42">
        <v>46246.666666666664</v>
      </c>
      <c r="B313" s="41" t="s">
        <v>25</v>
      </c>
      <c r="C313" s="11">
        <v>1420</v>
      </c>
      <c r="D313" s="11">
        <v>1420</v>
      </c>
      <c r="E313" s="11">
        <v>295</v>
      </c>
      <c r="F313" s="11">
        <v>3</v>
      </c>
    </row>
    <row r="314" spans="1:6">
      <c r="A314" s="42">
        <v>46246.708333333336</v>
      </c>
      <c r="B314" s="41" t="s">
        <v>25</v>
      </c>
      <c r="C314" s="11">
        <v>1420</v>
      </c>
      <c r="D314" s="11">
        <v>1420</v>
      </c>
      <c r="E314" s="11">
        <v>295</v>
      </c>
      <c r="F314" s="11">
        <v>3</v>
      </c>
    </row>
    <row r="315" spans="1:6">
      <c r="A315" s="42">
        <v>46246.75</v>
      </c>
      <c r="B315" s="41" t="s">
        <v>25</v>
      </c>
      <c r="C315" s="11">
        <v>1420</v>
      </c>
      <c r="D315" s="11">
        <v>1420</v>
      </c>
      <c r="E315" s="11">
        <v>295</v>
      </c>
      <c r="F315" s="11">
        <v>3</v>
      </c>
    </row>
    <row r="316" spans="1:6">
      <c r="A316" s="42">
        <v>46246.791666666664</v>
      </c>
      <c r="B316" s="41" t="s">
        <v>25</v>
      </c>
      <c r="C316" s="11">
        <v>1420</v>
      </c>
      <c r="D316" s="11">
        <v>1420</v>
      </c>
      <c r="E316" s="11">
        <v>295</v>
      </c>
      <c r="F316" s="11">
        <v>3</v>
      </c>
    </row>
    <row r="317" spans="1:6">
      <c r="A317" s="42">
        <v>46246.833333333336</v>
      </c>
      <c r="B317" s="41" t="s">
        <v>25</v>
      </c>
      <c r="C317" s="11">
        <v>1420</v>
      </c>
      <c r="D317" s="11">
        <v>1420</v>
      </c>
      <c r="E317" s="11">
        <v>295</v>
      </c>
      <c r="F317" s="11">
        <v>3</v>
      </c>
    </row>
    <row r="318" spans="1:6">
      <c r="A318" s="42">
        <v>46246.875</v>
      </c>
      <c r="B318" s="41" t="s">
        <v>25</v>
      </c>
      <c r="C318" s="11">
        <v>1420</v>
      </c>
      <c r="D318" s="11">
        <v>1420</v>
      </c>
      <c r="E318" s="11">
        <v>295</v>
      </c>
      <c r="F318" s="11">
        <v>3</v>
      </c>
    </row>
    <row r="319" spans="1:6">
      <c r="A319" s="42">
        <v>46246.916666666664</v>
      </c>
      <c r="B319" s="41" t="s">
        <v>25</v>
      </c>
      <c r="C319" s="11">
        <v>1420</v>
      </c>
      <c r="D319" s="11">
        <v>1420</v>
      </c>
      <c r="E319" s="11">
        <v>295</v>
      </c>
      <c r="F319" s="11">
        <v>3</v>
      </c>
    </row>
    <row r="320" spans="1:6">
      <c r="A320" s="42">
        <v>46246.958333333336</v>
      </c>
      <c r="B320" s="41" t="s">
        <v>25</v>
      </c>
      <c r="C320" s="11">
        <v>1420</v>
      </c>
      <c r="D320" s="11">
        <v>1420</v>
      </c>
      <c r="E320" s="11">
        <v>295</v>
      </c>
      <c r="F320" s="11">
        <v>3</v>
      </c>
    </row>
    <row r="321" spans="1:6">
      <c r="A321" s="42">
        <v>46247</v>
      </c>
      <c r="B321" s="41" t="s">
        <v>25</v>
      </c>
      <c r="C321" s="11">
        <v>1420</v>
      </c>
      <c r="D321" s="11">
        <v>1420</v>
      </c>
      <c r="E321" s="11">
        <v>295</v>
      </c>
      <c r="F321" s="11">
        <v>3</v>
      </c>
    </row>
    <row r="322" spans="1:6">
      <c r="A322" s="42">
        <v>46247.041666666664</v>
      </c>
      <c r="B322" s="41" t="s">
        <v>25</v>
      </c>
      <c r="C322" s="11">
        <v>1420</v>
      </c>
      <c r="D322" s="11">
        <v>1420</v>
      </c>
      <c r="E322" s="11">
        <v>295</v>
      </c>
      <c r="F322" s="11">
        <v>3</v>
      </c>
    </row>
    <row r="323" spans="1:6">
      <c r="A323" s="42">
        <v>46247.083333333336</v>
      </c>
      <c r="B323" s="41" t="s">
        <v>25</v>
      </c>
      <c r="C323" s="11">
        <v>1420</v>
      </c>
      <c r="D323" s="11">
        <v>1420</v>
      </c>
      <c r="E323" s="11">
        <v>295</v>
      </c>
      <c r="F323" s="11">
        <v>3</v>
      </c>
    </row>
    <row r="324" spans="1:6">
      <c r="A324" s="42">
        <v>46247.125</v>
      </c>
      <c r="B324" s="41" t="s">
        <v>25</v>
      </c>
      <c r="C324" s="11">
        <v>1420</v>
      </c>
      <c r="D324" s="11">
        <v>1420</v>
      </c>
      <c r="E324" s="11">
        <v>295</v>
      </c>
      <c r="F324" s="11">
        <v>3</v>
      </c>
    </row>
    <row r="325" spans="1:6">
      <c r="A325" s="42">
        <v>46247.166666666664</v>
      </c>
      <c r="B325" s="41" t="s">
        <v>25</v>
      </c>
      <c r="C325" s="11">
        <v>1420</v>
      </c>
      <c r="D325" s="11">
        <v>1420</v>
      </c>
      <c r="E325" s="11">
        <v>295</v>
      </c>
      <c r="F325" s="11">
        <v>3</v>
      </c>
    </row>
    <row r="326" spans="1:6">
      <c r="A326" s="42">
        <v>46247.208333333336</v>
      </c>
      <c r="B326" s="41" t="s">
        <v>25</v>
      </c>
      <c r="C326" s="11">
        <v>1420</v>
      </c>
      <c r="D326" s="11">
        <v>1420</v>
      </c>
      <c r="E326" s="11">
        <v>295</v>
      </c>
      <c r="F326" s="11">
        <v>3</v>
      </c>
    </row>
    <row r="327" spans="1:6">
      <c r="A327" s="42">
        <v>46247.25</v>
      </c>
      <c r="B327" s="41" t="s">
        <v>25</v>
      </c>
      <c r="C327" s="11">
        <v>1420</v>
      </c>
      <c r="D327" s="11">
        <v>1420</v>
      </c>
      <c r="E327" s="11">
        <v>295</v>
      </c>
      <c r="F327" s="11">
        <v>3</v>
      </c>
    </row>
    <row r="328" spans="1:6">
      <c r="A328" s="42">
        <v>46247.291666666664</v>
      </c>
      <c r="B328" s="41" t="s">
        <v>25</v>
      </c>
      <c r="C328" s="11">
        <v>1420</v>
      </c>
      <c r="D328" s="11">
        <v>1420</v>
      </c>
      <c r="E328" s="11">
        <v>295</v>
      </c>
      <c r="F328" s="11">
        <v>3</v>
      </c>
    </row>
    <row r="329" spans="1:6">
      <c r="A329" s="42">
        <v>46247.333333333336</v>
      </c>
      <c r="B329" s="41" t="s">
        <v>25</v>
      </c>
      <c r="C329" s="11">
        <v>1420</v>
      </c>
      <c r="D329" s="11">
        <v>1420</v>
      </c>
      <c r="E329" s="11">
        <v>295</v>
      </c>
      <c r="F329" s="11">
        <v>3</v>
      </c>
    </row>
    <row r="330" spans="1:6">
      <c r="A330" s="42">
        <v>46247.375</v>
      </c>
      <c r="B330" s="41" t="s">
        <v>25</v>
      </c>
      <c r="C330" s="11">
        <v>1420</v>
      </c>
      <c r="D330" s="11">
        <v>1420</v>
      </c>
      <c r="E330" s="11">
        <v>295</v>
      </c>
      <c r="F330" s="11">
        <v>3</v>
      </c>
    </row>
    <row r="331" spans="1:6">
      <c r="A331" s="42">
        <v>46247.416666666664</v>
      </c>
      <c r="B331" s="41" t="s">
        <v>25</v>
      </c>
      <c r="C331" s="11">
        <v>1420</v>
      </c>
      <c r="D331" s="11">
        <v>1420</v>
      </c>
      <c r="E331" s="11">
        <v>295</v>
      </c>
      <c r="F331" s="11">
        <v>3</v>
      </c>
    </row>
    <row r="332" spans="1:6">
      <c r="A332" s="42">
        <v>46247.458333333336</v>
      </c>
      <c r="B332" s="41" t="s">
        <v>25</v>
      </c>
      <c r="C332" s="11">
        <v>1420</v>
      </c>
      <c r="D332" s="11">
        <v>1420</v>
      </c>
      <c r="E332" s="11">
        <v>295</v>
      </c>
      <c r="F332" s="11">
        <v>3</v>
      </c>
    </row>
    <row r="333" spans="1:6">
      <c r="A333" s="42">
        <v>46247.5</v>
      </c>
      <c r="B333" s="41" t="s">
        <v>25</v>
      </c>
      <c r="C333" s="11">
        <v>1420</v>
      </c>
      <c r="D333" s="11">
        <v>1420</v>
      </c>
      <c r="E333" s="11">
        <v>295</v>
      </c>
      <c r="F333" s="11">
        <v>3</v>
      </c>
    </row>
    <row r="334" spans="1:6">
      <c r="A334" s="42">
        <v>46247.541666666664</v>
      </c>
      <c r="B334" s="41" t="s">
        <v>25</v>
      </c>
      <c r="C334" s="11">
        <v>1420</v>
      </c>
      <c r="D334" s="11">
        <v>1420</v>
      </c>
      <c r="E334" s="11">
        <v>295</v>
      </c>
      <c r="F334" s="11">
        <v>3</v>
      </c>
    </row>
    <row r="335" spans="1:6">
      <c r="A335" s="42">
        <v>46247.583333333336</v>
      </c>
      <c r="B335" s="41" t="s">
        <v>25</v>
      </c>
      <c r="C335" s="11">
        <v>1420</v>
      </c>
      <c r="D335" s="11">
        <v>1420</v>
      </c>
      <c r="E335" s="11">
        <v>295</v>
      </c>
      <c r="F335" s="11">
        <v>3</v>
      </c>
    </row>
    <row r="336" spans="1:6">
      <c r="A336" s="42">
        <v>46247.625</v>
      </c>
      <c r="B336" s="41" t="s">
        <v>25</v>
      </c>
      <c r="C336" s="11">
        <v>1420</v>
      </c>
      <c r="D336" s="11">
        <v>1420</v>
      </c>
      <c r="E336" s="11">
        <v>295</v>
      </c>
      <c r="F336" s="11">
        <v>3</v>
      </c>
    </row>
    <row r="337" spans="1:6">
      <c r="A337" s="42">
        <v>46247.666666666664</v>
      </c>
      <c r="B337" s="41" t="s">
        <v>25</v>
      </c>
      <c r="C337" s="11">
        <v>1420</v>
      </c>
      <c r="D337" s="11">
        <v>1420</v>
      </c>
      <c r="E337" s="11">
        <v>295</v>
      </c>
      <c r="F337" s="11">
        <v>3</v>
      </c>
    </row>
    <row r="338" spans="1:6">
      <c r="A338" s="42">
        <v>46247.708333333336</v>
      </c>
      <c r="B338" s="41" t="s">
        <v>25</v>
      </c>
      <c r="C338" s="11">
        <v>1420</v>
      </c>
      <c r="D338" s="11">
        <v>1420</v>
      </c>
      <c r="E338" s="11">
        <v>295</v>
      </c>
      <c r="F338" s="11">
        <v>3</v>
      </c>
    </row>
    <row r="339" spans="1:6">
      <c r="A339" s="42">
        <v>46247.75</v>
      </c>
      <c r="B339" s="41" t="s">
        <v>25</v>
      </c>
      <c r="C339" s="11">
        <v>1420</v>
      </c>
      <c r="D339" s="11">
        <v>1420</v>
      </c>
      <c r="E339" s="11">
        <v>295</v>
      </c>
      <c r="F339" s="11">
        <v>3</v>
      </c>
    </row>
    <row r="340" spans="1:6">
      <c r="A340" s="42">
        <v>46247.791666666664</v>
      </c>
      <c r="B340" s="41" t="s">
        <v>25</v>
      </c>
      <c r="C340" s="11">
        <v>1420</v>
      </c>
      <c r="D340" s="11">
        <v>1420</v>
      </c>
      <c r="E340" s="11">
        <v>295</v>
      </c>
      <c r="F340" s="11">
        <v>3</v>
      </c>
    </row>
    <row r="341" spans="1:6">
      <c r="A341" s="42">
        <v>46247.833333333336</v>
      </c>
      <c r="B341" s="41" t="s">
        <v>25</v>
      </c>
      <c r="C341" s="11">
        <v>1420</v>
      </c>
      <c r="D341" s="11">
        <v>1420</v>
      </c>
      <c r="E341" s="11">
        <v>295</v>
      </c>
      <c r="F341" s="11">
        <v>3</v>
      </c>
    </row>
    <row r="342" spans="1:6">
      <c r="A342" s="42">
        <v>46247.875</v>
      </c>
      <c r="B342" s="41" t="s">
        <v>25</v>
      </c>
      <c r="C342" s="11">
        <v>1420</v>
      </c>
      <c r="D342" s="11">
        <v>1420</v>
      </c>
      <c r="E342" s="11">
        <v>295</v>
      </c>
      <c r="F342" s="11">
        <v>3</v>
      </c>
    </row>
    <row r="343" spans="1:6">
      <c r="A343" s="42">
        <v>46247.916666666664</v>
      </c>
      <c r="B343" s="41" t="s">
        <v>25</v>
      </c>
      <c r="C343" s="11">
        <v>1420</v>
      </c>
      <c r="D343" s="11">
        <v>1420</v>
      </c>
      <c r="E343" s="11">
        <v>295</v>
      </c>
      <c r="F343" s="11">
        <v>3</v>
      </c>
    </row>
    <row r="344" spans="1:6">
      <c r="A344" s="42">
        <v>46247.958333333336</v>
      </c>
      <c r="B344" s="41" t="s">
        <v>25</v>
      </c>
      <c r="C344" s="11">
        <v>1420</v>
      </c>
      <c r="D344" s="11">
        <v>1420</v>
      </c>
      <c r="E344" s="11">
        <v>295</v>
      </c>
      <c r="F344" s="11">
        <v>3</v>
      </c>
    </row>
    <row r="345" spans="1:6">
      <c r="A345" s="42">
        <v>46248</v>
      </c>
      <c r="B345" s="41" t="s">
        <v>25</v>
      </c>
      <c r="C345" s="11">
        <v>1420</v>
      </c>
      <c r="D345" s="11">
        <v>1420</v>
      </c>
      <c r="E345" s="11">
        <v>295</v>
      </c>
      <c r="F345" s="11">
        <v>3</v>
      </c>
    </row>
    <row r="346" spans="1:6">
      <c r="A346" s="42">
        <v>46248.041666666664</v>
      </c>
      <c r="B346" s="41" t="s">
        <v>25</v>
      </c>
      <c r="C346" s="11">
        <v>1420</v>
      </c>
      <c r="D346" s="11">
        <v>1420</v>
      </c>
      <c r="E346" s="11">
        <v>295</v>
      </c>
      <c r="F346" s="11">
        <v>3</v>
      </c>
    </row>
    <row r="347" spans="1:6">
      <c r="A347" s="42">
        <v>46248.083333333336</v>
      </c>
      <c r="B347" s="41" t="s">
        <v>25</v>
      </c>
      <c r="C347" s="11">
        <v>1420</v>
      </c>
      <c r="D347" s="11">
        <v>1420</v>
      </c>
      <c r="E347" s="11">
        <v>295</v>
      </c>
      <c r="F347" s="11">
        <v>3</v>
      </c>
    </row>
    <row r="348" spans="1:6">
      <c r="A348" s="42">
        <v>46248.125</v>
      </c>
      <c r="B348" s="41" t="s">
        <v>25</v>
      </c>
      <c r="C348" s="11">
        <v>1420</v>
      </c>
      <c r="D348" s="11">
        <v>1420</v>
      </c>
      <c r="E348" s="11">
        <v>295</v>
      </c>
      <c r="F348" s="11">
        <v>3</v>
      </c>
    </row>
    <row r="349" spans="1:6">
      <c r="A349" s="42">
        <v>46248.166666666664</v>
      </c>
      <c r="B349" s="41" t="s">
        <v>25</v>
      </c>
      <c r="C349" s="11">
        <v>1420</v>
      </c>
      <c r="D349" s="11">
        <v>1420</v>
      </c>
      <c r="E349" s="11">
        <v>295</v>
      </c>
      <c r="F349" s="11">
        <v>3</v>
      </c>
    </row>
    <row r="350" spans="1:6">
      <c r="A350" s="42">
        <v>46248.208333333336</v>
      </c>
      <c r="B350" s="41" t="s">
        <v>25</v>
      </c>
      <c r="C350" s="11">
        <v>1420</v>
      </c>
      <c r="D350" s="11">
        <v>1420</v>
      </c>
      <c r="E350" s="11">
        <v>295</v>
      </c>
      <c r="F350" s="11">
        <v>3</v>
      </c>
    </row>
    <row r="351" spans="1:6">
      <c r="A351" s="42">
        <v>46248.25</v>
      </c>
      <c r="B351" s="41" t="s">
        <v>25</v>
      </c>
      <c r="C351" s="11">
        <v>1420</v>
      </c>
      <c r="D351" s="11">
        <v>1420</v>
      </c>
      <c r="E351" s="11">
        <v>295</v>
      </c>
      <c r="F351" s="11">
        <v>3</v>
      </c>
    </row>
    <row r="352" spans="1:6">
      <c r="A352" s="42">
        <v>46248.291666666664</v>
      </c>
      <c r="B352" s="41" t="s">
        <v>25</v>
      </c>
      <c r="C352" s="11">
        <v>1420</v>
      </c>
      <c r="D352" s="11">
        <v>1420</v>
      </c>
      <c r="E352" s="11">
        <v>295</v>
      </c>
      <c r="F352" s="11">
        <v>3</v>
      </c>
    </row>
    <row r="353" spans="1:6">
      <c r="A353" s="42">
        <v>46248.333333333336</v>
      </c>
      <c r="B353" s="41" t="s">
        <v>25</v>
      </c>
      <c r="C353" s="11">
        <v>1420</v>
      </c>
      <c r="D353" s="11">
        <v>1420</v>
      </c>
      <c r="E353" s="11">
        <v>295</v>
      </c>
      <c r="F353" s="11">
        <v>3</v>
      </c>
    </row>
    <row r="354" spans="1:6">
      <c r="A354" s="42">
        <v>46248.375</v>
      </c>
      <c r="B354" s="41" t="s">
        <v>25</v>
      </c>
      <c r="C354" s="11">
        <v>1420</v>
      </c>
      <c r="D354" s="11">
        <v>1420</v>
      </c>
      <c r="E354" s="11">
        <v>295</v>
      </c>
      <c r="F354" s="11">
        <v>3</v>
      </c>
    </row>
    <row r="355" spans="1:6">
      <c r="A355" s="42">
        <v>46248.416666666664</v>
      </c>
      <c r="B355" s="41" t="s">
        <v>25</v>
      </c>
      <c r="C355" s="11">
        <v>1420</v>
      </c>
      <c r="D355" s="11">
        <v>1420</v>
      </c>
      <c r="E355" s="11">
        <v>295</v>
      </c>
      <c r="F355" s="11">
        <v>3</v>
      </c>
    </row>
    <row r="356" spans="1:6">
      <c r="A356" s="42">
        <v>46248.458333333336</v>
      </c>
      <c r="B356" s="41" t="s">
        <v>25</v>
      </c>
      <c r="C356" s="11">
        <v>1420</v>
      </c>
      <c r="D356" s="11">
        <v>1420</v>
      </c>
      <c r="E356" s="11">
        <v>295</v>
      </c>
      <c r="F356" s="11">
        <v>3</v>
      </c>
    </row>
    <row r="357" spans="1:6">
      <c r="A357" s="42">
        <v>46248.5</v>
      </c>
      <c r="B357" s="41" t="s">
        <v>25</v>
      </c>
      <c r="C357" s="11">
        <v>1420</v>
      </c>
      <c r="D357" s="11">
        <v>1420</v>
      </c>
      <c r="E357" s="11">
        <v>295</v>
      </c>
      <c r="F357" s="11">
        <v>3</v>
      </c>
    </row>
    <row r="358" spans="1:6">
      <c r="A358" s="42">
        <v>46248.541666666664</v>
      </c>
      <c r="B358" s="41" t="s">
        <v>25</v>
      </c>
      <c r="C358" s="11">
        <v>1420</v>
      </c>
      <c r="D358" s="11">
        <v>1420</v>
      </c>
      <c r="E358" s="11">
        <v>295</v>
      </c>
      <c r="F358" s="11">
        <v>3</v>
      </c>
    </row>
    <row r="359" spans="1:6">
      <c r="A359" s="42">
        <v>46248.583333333336</v>
      </c>
      <c r="B359" s="41" t="s">
        <v>25</v>
      </c>
      <c r="C359" s="11">
        <v>1420</v>
      </c>
      <c r="D359" s="11">
        <v>1420</v>
      </c>
      <c r="E359" s="11">
        <v>295</v>
      </c>
      <c r="F359" s="11">
        <v>3</v>
      </c>
    </row>
    <row r="360" spans="1:6">
      <c r="A360" s="42">
        <v>46248.625</v>
      </c>
      <c r="B360" s="41" t="s">
        <v>25</v>
      </c>
      <c r="C360" s="11">
        <v>1420</v>
      </c>
      <c r="D360" s="11">
        <v>1420</v>
      </c>
      <c r="E360" s="11">
        <v>295</v>
      </c>
      <c r="F360" s="11">
        <v>3</v>
      </c>
    </row>
    <row r="361" spans="1:6">
      <c r="A361" s="42">
        <v>46248.666666666664</v>
      </c>
      <c r="B361" s="41" t="s">
        <v>25</v>
      </c>
      <c r="C361" s="11">
        <v>1420</v>
      </c>
      <c r="D361" s="11">
        <v>1420</v>
      </c>
      <c r="E361" s="11">
        <v>295</v>
      </c>
      <c r="F361" s="11">
        <v>3</v>
      </c>
    </row>
    <row r="362" spans="1:6">
      <c r="A362" s="42">
        <v>46248.708333333336</v>
      </c>
      <c r="B362" s="41" t="s">
        <v>25</v>
      </c>
      <c r="C362" s="11">
        <v>1420</v>
      </c>
      <c r="D362" s="11">
        <v>1420</v>
      </c>
      <c r="E362" s="11">
        <v>295</v>
      </c>
      <c r="F362" s="11">
        <v>3</v>
      </c>
    </row>
    <row r="363" spans="1:6">
      <c r="A363" s="42">
        <v>46248.75</v>
      </c>
      <c r="B363" s="41" t="s">
        <v>25</v>
      </c>
      <c r="C363" s="11">
        <v>1420</v>
      </c>
      <c r="D363" s="11">
        <v>1420</v>
      </c>
      <c r="E363" s="11">
        <v>295</v>
      </c>
      <c r="F363" s="11">
        <v>3</v>
      </c>
    </row>
    <row r="364" spans="1:6">
      <c r="A364" s="42">
        <v>46248.791666666664</v>
      </c>
      <c r="B364" s="41" t="s">
        <v>25</v>
      </c>
      <c r="C364" s="11">
        <v>1420</v>
      </c>
      <c r="D364" s="11">
        <v>1420</v>
      </c>
      <c r="E364" s="11">
        <v>295</v>
      </c>
      <c r="F364" s="11">
        <v>3</v>
      </c>
    </row>
    <row r="365" spans="1:6">
      <c r="A365" s="42">
        <v>46248.833333333336</v>
      </c>
      <c r="B365" s="41" t="s">
        <v>25</v>
      </c>
      <c r="C365" s="11">
        <v>1420</v>
      </c>
      <c r="D365" s="11">
        <v>1420</v>
      </c>
      <c r="E365" s="11">
        <v>295</v>
      </c>
      <c r="F365" s="11">
        <v>3</v>
      </c>
    </row>
    <row r="366" spans="1:6">
      <c r="A366" s="42">
        <v>46248.875</v>
      </c>
      <c r="B366" s="41" t="s">
        <v>25</v>
      </c>
      <c r="C366" s="11">
        <v>1420</v>
      </c>
      <c r="D366" s="11">
        <v>1420</v>
      </c>
      <c r="E366" s="11">
        <v>295</v>
      </c>
      <c r="F366" s="11">
        <v>3</v>
      </c>
    </row>
    <row r="367" spans="1:6">
      <c r="A367" s="42">
        <v>46248.916666666664</v>
      </c>
      <c r="B367" s="41" t="s">
        <v>25</v>
      </c>
      <c r="C367" s="11">
        <v>1420</v>
      </c>
      <c r="D367" s="11">
        <v>1420</v>
      </c>
      <c r="E367" s="11">
        <v>295</v>
      </c>
      <c r="F367" s="11">
        <v>3</v>
      </c>
    </row>
    <row r="368" spans="1:6">
      <c r="A368" s="42">
        <v>46248.958333333336</v>
      </c>
      <c r="B368" s="41" t="s">
        <v>25</v>
      </c>
      <c r="C368" s="11">
        <v>1420</v>
      </c>
      <c r="D368" s="11">
        <v>1420</v>
      </c>
      <c r="E368" s="11">
        <v>295</v>
      </c>
      <c r="F368" s="11">
        <v>3</v>
      </c>
    </row>
    <row r="369" spans="1:6">
      <c r="A369" s="42">
        <v>46249</v>
      </c>
      <c r="B369" s="41" t="s">
        <v>25</v>
      </c>
      <c r="C369" s="11">
        <v>1420</v>
      </c>
      <c r="D369" s="11">
        <v>1420</v>
      </c>
      <c r="E369" s="11">
        <v>295</v>
      </c>
      <c r="F369" s="11">
        <v>3</v>
      </c>
    </row>
    <row r="370" spans="1:6">
      <c r="A370" s="42">
        <v>46249.041666666664</v>
      </c>
      <c r="B370" s="41" t="s">
        <v>25</v>
      </c>
      <c r="C370" s="11">
        <v>1420</v>
      </c>
      <c r="D370" s="11">
        <v>1420</v>
      </c>
      <c r="E370" s="11">
        <v>295</v>
      </c>
      <c r="F370" s="11">
        <v>3</v>
      </c>
    </row>
    <row r="371" spans="1:6">
      <c r="A371" s="42">
        <v>46249.083333333336</v>
      </c>
      <c r="B371" s="41" t="s">
        <v>25</v>
      </c>
      <c r="C371" s="11">
        <v>1420</v>
      </c>
      <c r="D371" s="11">
        <v>1420</v>
      </c>
      <c r="E371" s="11">
        <v>295</v>
      </c>
      <c r="F371" s="11">
        <v>3</v>
      </c>
    </row>
    <row r="372" spans="1:6">
      <c r="A372" s="42">
        <v>46249.125</v>
      </c>
      <c r="B372" s="41" t="s">
        <v>25</v>
      </c>
      <c r="C372" s="11">
        <v>1420</v>
      </c>
      <c r="D372" s="11">
        <v>1420</v>
      </c>
      <c r="E372" s="11">
        <v>295</v>
      </c>
      <c r="F372" s="11">
        <v>3</v>
      </c>
    </row>
    <row r="373" spans="1:6">
      <c r="A373" s="42">
        <v>46249.166666666664</v>
      </c>
      <c r="B373" s="41" t="s">
        <v>25</v>
      </c>
      <c r="C373" s="11">
        <v>1420</v>
      </c>
      <c r="D373" s="11">
        <v>1420</v>
      </c>
      <c r="E373" s="11">
        <v>295</v>
      </c>
      <c r="F373" s="11">
        <v>3</v>
      </c>
    </row>
    <row r="374" spans="1:6">
      <c r="A374" s="42">
        <v>46249.208333333336</v>
      </c>
      <c r="B374" s="41" t="s">
        <v>25</v>
      </c>
      <c r="C374" s="11">
        <v>1420</v>
      </c>
      <c r="D374" s="11">
        <v>1420</v>
      </c>
      <c r="E374" s="11">
        <v>295</v>
      </c>
      <c r="F374" s="11">
        <v>3</v>
      </c>
    </row>
    <row r="375" spans="1:6">
      <c r="A375" s="42">
        <v>46249.25</v>
      </c>
      <c r="B375" s="41" t="s">
        <v>25</v>
      </c>
      <c r="C375" s="11">
        <v>1420</v>
      </c>
      <c r="D375" s="11">
        <v>1420</v>
      </c>
      <c r="E375" s="11">
        <v>295</v>
      </c>
      <c r="F375" s="11">
        <v>3</v>
      </c>
    </row>
    <row r="376" spans="1:6">
      <c r="A376" s="42">
        <v>46249.291666666664</v>
      </c>
      <c r="B376" s="41" t="s">
        <v>25</v>
      </c>
      <c r="C376" s="11">
        <v>1420</v>
      </c>
      <c r="D376" s="11">
        <v>1420</v>
      </c>
      <c r="E376" s="11">
        <v>295</v>
      </c>
      <c r="F376" s="11">
        <v>3</v>
      </c>
    </row>
    <row r="377" spans="1:6">
      <c r="A377" s="42">
        <v>46249.333333333336</v>
      </c>
      <c r="B377" s="41" t="s">
        <v>25</v>
      </c>
      <c r="C377" s="11">
        <v>1420</v>
      </c>
      <c r="D377" s="11">
        <v>1420</v>
      </c>
      <c r="E377" s="11">
        <v>295</v>
      </c>
      <c r="F377" s="11">
        <v>3</v>
      </c>
    </row>
    <row r="378" spans="1:6">
      <c r="A378" s="42">
        <v>46249.375</v>
      </c>
      <c r="B378" s="41" t="s">
        <v>25</v>
      </c>
      <c r="C378" s="11">
        <v>1420</v>
      </c>
      <c r="D378" s="11">
        <v>1420</v>
      </c>
      <c r="E378" s="11">
        <v>295</v>
      </c>
      <c r="F378" s="11">
        <v>3</v>
      </c>
    </row>
    <row r="379" spans="1:6">
      <c r="A379" s="42">
        <v>46249.416666666664</v>
      </c>
      <c r="B379" s="41" t="s">
        <v>25</v>
      </c>
      <c r="C379" s="11">
        <v>1420</v>
      </c>
      <c r="D379" s="11">
        <v>1420</v>
      </c>
      <c r="E379" s="11">
        <v>295</v>
      </c>
      <c r="F379" s="11">
        <v>3</v>
      </c>
    </row>
    <row r="380" spans="1:6">
      <c r="A380" s="42">
        <v>46249.458333333336</v>
      </c>
      <c r="B380" s="41" t="s">
        <v>25</v>
      </c>
      <c r="C380" s="11">
        <v>1420</v>
      </c>
      <c r="D380" s="11">
        <v>1420</v>
      </c>
      <c r="E380" s="11">
        <v>295</v>
      </c>
      <c r="F380" s="11">
        <v>3</v>
      </c>
    </row>
    <row r="381" spans="1:6">
      <c r="A381" s="42">
        <v>46249.5</v>
      </c>
      <c r="B381" s="41" t="s">
        <v>25</v>
      </c>
      <c r="C381" s="11">
        <v>1420</v>
      </c>
      <c r="D381" s="11">
        <v>1420</v>
      </c>
      <c r="E381" s="11">
        <v>295</v>
      </c>
      <c r="F381" s="11">
        <v>3</v>
      </c>
    </row>
    <row r="382" spans="1:6">
      <c r="A382" s="42">
        <v>46249.541666666664</v>
      </c>
      <c r="B382" s="41" t="s">
        <v>25</v>
      </c>
      <c r="C382" s="11">
        <v>1420</v>
      </c>
      <c r="D382" s="11">
        <v>1420</v>
      </c>
      <c r="E382" s="11">
        <v>295</v>
      </c>
      <c r="F382" s="11">
        <v>3</v>
      </c>
    </row>
    <row r="383" spans="1:6">
      <c r="A383" s="42">
        <v>46249.583333333336</v>
      </c>
      <c r="B383" s="41" t="s">
        <v>25</v>
      </c>
      <c r="C383" s="11">
        <v>1420</v>
      </c>
      <c r="D383" s="11">
        <v>1420</v>
      </c>
      <c r="E383" s="11">
        <v>295</v>
      </c>
      <c r="F383" s="11">
        <v>3</v>
      </c>
    </row>
    <row r="384" spans="1:6">
      <c r="A384" s="42">
        <v>46249.625</v>
      </c>
      <c r="B384" s="41" t="s">
        <v>25</v>
      </c>
      <c r="C384" s="11">
        <v>1420</v>
      </c>
      <c r="D384" s="11">
        <v>1420</v>
      </c>
      <c r="E384" s="11">
        <v>295</v>
      </c>
      <c r="F384" s="11">
        <v>3</v>
      </c>
    </row>
    <row r="385" spans="1:6">
      <c r="A385" s="42">
        <v>46249.666666666664</v>
      </c>
      <c r="B385" s="41" t="s">
        <v>25</v>
      </c>
      <c r="C385" s="11">
        <v>1420</v>
      </c>
      <c r="D385" s="11">
        <v>1420</v>
      </c>
      <c r="E385" s="11">
        <v>295</v>
      </c>
      <c r="F385" s="11">
        <v>3</v>
      </c>
    </row>
    <row r="386" spans="1:6">
      <c r="A386" s="42">
        <v>46249.708333333336</v>
      </c>
      <c r="B386" s="41" t="s">
        <v>25</v>
      </c>
      <c r="C386" s="11">
        <v>1420</v>
      </c>
      <c r="D386" s="11">
        <v>1420</v>
      </c>
      <c r="E386" s="11">
        <v>295</v>
      </c>
      <c r="F386" s="11">
        <v>3</v>
      </c>
    </row>
    <row r="387" spans="1:6">
      <c r="A387" s="42">
        <v>46249.75</v>
      </c>
      <c r="B387" s="41" t="s">
        <v>25</v>
      </c>
      <c r="C387" s="11">
        <v>1420</v>
      </c>
      <c r="D387" s="11">
        <v>1420</v>
      </c>
      <c r="E387" s="11">
        <v>295</v>
      </c>
      <c r="F387" s="11">
        <v>3</v>
      </c>
    </row>
    <row r="388" spans="1:6">
      <c r="A388" s="42">
        <v>46249.791666666664</v>
      </c>
      <c r="B388" s="41" t="s">
        <v>25</v>
      </c>
      <c r="C388" s="11">
        <v>1420</v>
      </c>
      <c r="D388" s="11">
        <v>1420</v>
      </c>
      <c r="E388" s="11">
        <v>295</v>
      </c>
      <c r="F388" s="11">
        <v>3</v>
      </c>
    </row>
    <row r="389" spans="1:6">
      <c r="A389" s="42">
        <v>46249.833333333336</v>
      </c>
      <c r="B389" s="41" t="s">
        <v>25</v>
      </c>
      <c r="C389" s="11">
        <v>1420</v>
      </c>
      <c r="D389" s="11">
        <v>1420</v>
      </c>
      <c r="E389" s="11">
        <v>295</v>
      </c>
      <c r="F389" s="11">
        <v>3</v>
      </c>
    </row>
    <row r="390" spans="1:6">
      <c r="A390" s="42">
        <v>46249.875</v>
      </c>
      <c r="B390" s="41" t="s">
        <v>25</v>
      </c>
      <c r="C390" s="11">
        <v>1420</v>
      </c>
      <c r="D390" s="11">
        <v>1420</v>
      </c>
      <c r="E390" s="11">
        <v>295</v>
      </c>
      <c r="F390" s="11">
        <v>3</v>
      </c>
    </row>
    <row r="391" spans="1:6">
      <c r="A391" s="42">
        <v>46249.916666666664</v>
      </c>
      <c r="B391" s="41" t="s">
        <v>25</v>
      </c>
      <c r="C391" s="11">
        <v>1420</v>
      </c>
      <c r="D391" s="11">
        <v>1420</v>
      </c>
      <c r="E391" s="11">
        <v>295</v>
      </c>
      <c r="F391" s="11">
        <v>3</v>
      </c>
    </row>
    <row r="392" spans="1:6">
      <c r="A392" s="42">
        <v>46249.958333333336</v>
      </c>
      <c r="B392" s="41" t="s">
        <v>25</v>
      </c>
      <c r="C392" s="11">
        <v>1420</v>
      </c>
      <c r="D392" s="11">
        <v>1420</v>
      </c>
      <c r="E392" s="11">
        <v>295</v>
      </c>
      <c r="F392" s="11">
        <v>3</v>
      </c>
    </row>
    <row r="393" spans="1:6">
      <c r="A393" s="42">
        <v>46250</v>
      </c>
      <c r="B393" s="41" t="s">
        <v>25</v>
      </c>
      <c r="C393" s="11">
        <v>1420</v>
      </c>
      <c r="D393" s="11">
        <v>1420</v>
      </c>
      <c r="E393" s="11">
        <v>295</v>
      </c>
      <c r="F393" s="11">
        <v>3</v>
      </c>
    </row>
    <row r="394" spans="1:6">
      <c r="A394" s="42">
        <v>46250.041666666664</v>
      </c>
      <c r="B394" s="41" t="s">
        <v>25</v>
      </c>
      <c r="C394" s="11">
        <v>1420</v>
      </c>
      <c r="D394" s="11">
        <v>1420</v>
      </c>
      <c r="E394" s="11">
        <v>295</v>
      </c>
      <c r="F394" s="11">
        <v>3</v>
      </c>
    </row>
    <row r="395" spans="1:6">
      <c r="A395" s="42">
        <v>46250.083333333336</v>
      </c>
      <c r="B395" s="41" t="s">
        <v>25</v>
      </c>
      <c r="C395" s="11">
        <v>1420</v>
      </c>
      <c r="D395" s="11">
        <v>1420</v>
      </c>
      <c r="E395" s="11">
        <v>295</v>
      </c>
      <c r="F395" s="11">
        <v>3</v>
      </c>
    </row>
    <row r="396" spans="1:6">
      <c r="A396" s="42">
        <v>46250.125</v>
      </c>
      <c r="B396" s="41" t="s">
        <v>25</v>
      </c>
      <c r="C396" s="11">
        <v>1420</v>
      </c>
      <c r="D396" s="11">
        <v>1420</v>
      </c>
      <c r="E396" s="11">
        <v>295</v>
      </c>
      <c r="F396" s="11">
        <v>3</v>
      </c>
    </row>
    <row r="397" spans="1:6">
      <c r="A397" s="42">
        <v>46250.166666666664</v>
      </c>
      <c r="B397" s="41" t="s">
        <v>25</v>
      </c>
      <c r="C397" s="11">
        <v>1420</v>
      </c>
      <c r="D397" s="11">
        <v>1420</v>
      </c>
      <c r="E397" s="11">
        <v>295</v>
      </c>
      <c r="F397" s="11">
        <v>3</v>
      </c>
    </row>
    <row r="398" spans="1:6">
      <c r="A398" s="42">
        <v>46250.208333333336</v>
      </c>
      <c r="B398" s="41" t="s">
        <v>25</v>
      </c>
      <c r="C398" s="11">
        <v>1420</v>
      </c>
      <c r="D398" s="11">
        <v>1420</v>
      </c>
      <c r="E398" s="11">
        <v>295</v>
      </c>
      <c r="F398" s="11">
        <v>3</v>
      </c>
    </row>
    <row r="399" spans="1:6">
      <c r="A399" s="42">
        <v>46250.25</v>
      </c>
      <c r="B399" s="41" t="s">
        <v>25</v>
      </c>
      <c r="C399" s="11">
        <v>1420</v>
      </c>
      <c r="D399" s="11">
        <v>1420</v>
      </c>
      <c r="E399" s="11">
        <v>295</v>
      </c>
      <c r="F399" s="11">
        <v>3</v>
      </c>
    </row>
    <row r="400" spans="1:6">
      <c r="A400" s="42">
        <v>46250.291666666664</v>
      </c>
      <c r="B400" s="41" t="s">
        <v>25</v>
      </c>
      <c r="C400" s="11">
        <v>1420</v>
      </c>
      <c r="D400" s="11">
        <v>1420</v>
      </c>
      <c r="E400" s="11">
        <v>295</v>
      </c>
      <c r="F400" s="11">
        <v>3</v>
      </c>
    </row>
    <row r="401" spans="1:6">
      <c r="A401" s="42">
        <v>46250.333333333336</v>
      </c>
      <c r="B401" s="41" t="s">
        <v>25</v>
      </c>
      <c r="C401" s="11">
        <v>1420</v>
      </c>
      <c r="D401" s="11">
        <v>1420</v>
      </c>
      <c r="E401" s="11">
        <v>295</v>
      </c>
      <c r="F401" s="11">
        <v>3</v>
      </c>
    </row>
    <row r="402" spans="1:6">
      <c r="A402" s="42">
        <v>46250.375</v>
      </c>
      <c r="B402" s="41" t="s">
        <v>25</v>
      </c>
      <c r="C402" s="11">
        <v>1420</v>
      </c>
      <c r="D402" s="11">
        <v>1420</v>
      </c>
      <c r="E402" s="11">
        <v>295</v>
      </c>
      <c r="F402" s="11">
        <v>3</v>
      </c>
    </row>
    <row r="403" spans="1:6">
      <c r="A403" s="42">
        <v>46250.416666666664</v>
      </c>
      <c r="B403" s="41" t="s">
        <v>25</v>
      </c>
      <c r="C403" s="11">
        <v>1420</v>
      </c>
      <c r="D403" s="11">
        <v>1420</v>
      </c>
      <c r="E403" s="11">
        <v>295</v>
      </c>
      <c r="F403" s="11">
        <v>3</v>
      </c>
    </row>
    <row r="404" spans="1:6">
      <c r="A404" s="42">
        <v>46250.458333333336</v>
      </c>
      <c r="B404" s="41" t="s">
        <v>25</v>
      </c>
      <c r="C404" s="11">
        <v>1420</v>
      </c>
      <c r="D404" s="11">
        <v>1420</v>
      </c>
      <c r="E404" s="11">
        <v>295</v>
      </c>
      <c r="F404" s="11">
        <v>3</v>
      </c>
    </row>
    <row r="405" spans="1:6">
      <c r="A405" s="42">
        <v>46250.5</v>
      </c>
      <c r="B405" s="41" t="s">
        <v>25</v>
      </c>
      <c r="C405" s="11">
        <v>1420</v>
      </c>
      <c r="D405" s="11">
        <v>1420</v>
      </c>
      <c r="E405" s="11">
        <v>295</v>
      </c>
      <c r="F405" s="11">
        <v>3</v>
      </c>
    </row>
    <row r="406" spans="1:6">
      <c r="A406" s="42">
        <v>46250.541666666664</v>
      </c>
      <c r="B406" s="41" t="s">
        <v>25</v>
      </c>
      <c r="C406" s="11">
        <v>1420</v>
      </c>
      <c r="D406" s="11">
        <v>1420</v>
      </c>
      <c r="E406" s="11">
        <v>295</v>
      </c>
      <c r="F406" s="11">
        <v>3</v>
      </c>
    </row>
    <row r="407" spans="1:6">
      <c r="A407" s="42">
        <v>46250.583333333336</v>
      </c>
      <c r="B407" s="41" t="s">
        <v>25</v>
      </c>
      <c r="C407" s="11">
        <v>1420</v>
      </c>
      <c r="D407" s="11">
        <v>1420</v>
      </c>
      <c r="E407" s="11">
        <v>295</v>
      </c>
      <c r="F407" s="11">
        <v>3</v>
      </c>
    </row>
    <row r="408" spans="1:6">
      <c r="A408" s="42">
        <v>46250.625</v>
      </c>
      <c r="B408" s="41" t="s">
        <v>25</v>
      </c>
      <c r="C408" s="11">
        <v>1420</v>
      </c>
      <c r="D408" s="11">
        <v>1420</v>
      </c>
      <c r="E408" s="11">
        <v>295</v>
      </c>
      <c r="F408" s="11">
        <v>3</v>
      </c>
    </row>
    <row r="409" spans="1:6">
      <c r="A409" s="42">
        <v>46250.666666666664</v>
      </c>
      <c r="B409" s="41" t="s">
        <v>25</v>
      </c>
      <c r="C409" s="11">
        <v>1420</v>
      </c>
      <c r="D409" s="11">
        <v>1420</v>
      </c>
      <c r="E409" s="11">
        <v>295</v>
      </c>
      <c r="F409" s="11">
        <v>3</v>
      </c>
    </row>
    <row r="410" spans="1:6">
      <c r="A410" s="42">
        <v>46250.708333333336</v>
      </c>
      <c r="B410" s="41" t="s">
        <v>25</v>
      </c>
      <c r="C410" s="11">
        <v>1420</v>
      </c>
      <c r="D410" s="11">
        <v>1420</v>
      </c>
      <c r="E410" s="11">
        <v>295</v>
      </c>
      <c r="F410" s="11">
        <v>3</v>
      </c>
    </row>
    <row r="411" spans="1:6">
      <c r="A411" s="42">
        <v>46250.75</v>
      </c>
      <c r="B411" s="41" t="s">
        <v>25</v>
      </c>
      <c r="C411" s="11">
        <v>1420</v>
      </c>
      <c r="D411" s="11">
        <v>1420</v>
      </c>
      <c r="E411" s="11">
        <v>295</v>
      </c>
      <c r="F411" s="11">
        <v>3</v>
      </c>
    </row>
    <row r="412" spans="1:6">
      <c r="A412" s="42">
        <v>46250.791666666664</v>
      </c>
      <c r="B412" s="41" t="s">
        <v>25</v>
      </c>
      <c r="C412" s="11">
        <v>1420</v>
      </c>
      <c r="D412" s="11">
        <v>1420</v>
      </c>
      <c r="E412" s="11">
        <v>295</v>
      </c>
      <c r="F412" s="11">
        <v>3</v>
      </c>
    </row>
    <row r="413" spans="1:6">
      <c r="A413" s="42">
        <v>46250.833333333336</v>
      </c>
      <c r="B413" s="41" t="s">
        <v>25</v>
      </c>
      <c r="C413" s="11">
        <v>1420</v>
      </c>
      <c r="D413" s="11">
        <v>1420</v>
      </c>
      <c r="E413" s="11">
        <v>295</v>
      </c>
      <c r="F413" s="11">
        <v>3</v>
      </c>
    </row>
    <row r="414" spans="1:6">
      <c r="A414" s="42">
        <v>46250.875</v>
      </c>
      <c r="B414" s="41" t="s">
        <v>25</v>
      </c>
      <c r="C414" s="11">
        <v>1420</v>
      </c>
      <c r="D414" s="11">
        <v>1420</v>
      </c>
      <c r="E414" s="11">
        <v>295</v>
      </c>
      <c r="F414" s="11">
        <v>3</v>
      </c>
    </row>
    <row r="415" spans="1:6">
      <c r="A415" s="42">
        <v>46250.916666666664</v>
      </c>
      <c r="B415" s="41" t="s">
        <v>25</v>
      </c>
      <c r="C415" s="11">
        <v>1420</v>
      </c>
      <c r="D415" s="11">
        <v>1420</v>
      </c>
      <c r="E415" s="11">
        <v>295</v>
      </c>
      <c r="F415" s="11">
        <v>3</v>
      </c>
    </row>
    <row r="416" spans="1:6">
      <c r="A416" s="42">
        <v>46250.958333333336</v>
      </c>
      <c r="B416" s="41" t="s">
        <v>25</v>
      </c>
      <c r="C416" s="11">
        <v>1420</v>
      </c>
      <c r="D416" s="11">
        <v>1420</v>
      </c>
      <c r="E416" s="11">
        <v>295</v>
      </c>
      <c r="F416" s="11">
        <v>3</v>
      </c>
    </row>
    <row r="417" spans="1:6">
      <c r="A417" s="42">
        <v>46251</v>
      </c>
      <c r="B417" s="41" t="s">
        <v>25</v>
      </c>
      <c r="C417" s="11">
        <v>1420</v>
      </c>
      <c r="D417" s="11">
        <v>1420</v>
      </c>
      <c r="E417" s="11">
        <v>295</v>
      </c>
      <c r="F417" s="11">
        <v>3</v>
      </c>
    </row>
    <row r="418" spans="1:6">
      <c r="A418" s="42">
        <v>46251.041666666664</v>
      </c>
      <c r="B418" s="41" t="s">
        <v>25</v>
      </c>
      <c r="C418" s="11">
        <v>1420</v>
      </c>
      <c r="D418" s="11">
        <v>1420</v>
      </c>
      <c r="E418" s="11">
        <v>295</v>
      </c>
      <c r="F418" s="11">
        <v>3</v>
      </c>
    </row>
    <row r="419" spans="1:6">
      <c r="A419" s="42">
        <v>46251.083333333336</v>
      </c>
      <c r="B419" s="41" t="s">
        <v>25</v>
      </c>
      <c r="C419" s="11">
        <v>1420</v>
      </c>
      <c r="D419" s="11">
        <v>1420</v>
      </c>
      <c r="E419" s="11">
        <v>295</v>
      </c>
      <c r="F419" s="11">
        <v>3</v>
      </c>
    </row>
    <row r="420" spans="1:6">
      <c r="A420" s="42">
        <v>46251.125</v>
      </c>
      <c r="B420" s="41" t="s">
        <v>25</v>
      </c>
      <c r="C420" s="11">
        <v>1420</v>
      </c>
      <c r="D420" s="11">
        <v>1420</v>
      </c>
      <c r="E420" s="11">
        <v>295</v>
      </c>
      <c r="F420" s="11">
        <v>3</v>
      </c>
    </row>
    <row r="421" spans="1:6">
      <c r="A421" s="42">
        <v>46251.166666666664</v>
      </c>
      <c r="B421" s="41" t="s">
        <v>25</v>
      </c>
      <c r="C421" s="11">
        <v>1420</v>
      </c>
      <c r="D421" s="11">
        <v>1420</v>
      </c>
      <c r="E421" s="11">
        <v>295</v>
      </c>
      <c r="F421" s="11">
        <v>3</v>
      </c>
    </row>
    <row r="422" spans="1:6">
      <c r="A422" s="42">
        <v>46251.208333333336</v>
      </c>
      <c r="B422" s="41" t="s">
        <v>25</v>
      </c>
      <c r="C422" s="11">
        <v>1420</v>
      </c>
      <c r="D422" s="11">
        <v>1420</v>
      </c>
      <c r="E422" s="11">
        <v>295</v>
      </c>
      <c r="F422" s="11">
        <v>3</v>
      </c>
    </row>
    <row r="423" spans="1:6">
      <c r="A423" s="42">
        <v>46251.25</v>
      </c>
      <c r="B423" s="41" t="s">
        <v>25</v>
      </c>
      <c r="C423" s="11">
        <v>1420</v>
      </c>
      <c r="D423" s="11">
        <v>1420</v>
      </c>
      <c r="E423" s="11">
        <v>295</v>
      </c>
      <c r="F423" s="11">
        <v>3</v>
      </c>
    </row>
    <row r="424" spans="1:6">
      <c r="A424" s="42">
        <v>46251.291666666664</v>
      </c>
      <c r="B424" s="41" t="s">
        <v>25</v>
      </c>
      <c r="C424" s="11">
        <v>1420</v>
      </c>
      <c r="D424" s="11">
        <v>1420</v>
      </c>
      <c r="E424" s="11">
        <v>295</v>
      </c>
      <c r="F424" s="11">
        <v>3</v>
      </c>
    </row>
    <row r="425" spans="1:6">
      <c r="A425" s="42">
        <v>46251.333333333336</v>
      </c>
      <c r="B425" s="41" t="s">
        <v>25</v>
      </c>
      <c r="C425" s="11">
        <v>1420</v>
      </c>
      <c r="D425" s="11">
        <v>1420</v>
      </c>
      <c r="E425" s="11">
        <v>295</v>
      </c>
      <c r="F425" s="11">
        <v>3</v>
      </c>
    </row>
    <row r="426" spans="1:6">
      <c r="A426" s="42">
        <v>46251.375</v>
      </c>
      <c r="B426" s="41" t="s">
        <v>25</v>
      </c>
      <c r="C426" s="11">
        <v>1420</v>
      </c>
      <c r="D426" s="11">
        <v>1420</v>
      </c>
      <c r="E426" s="11">
        <v>295</v>
      </c>
      <c r="F426" s="11">
        <v>3</v>
      </c>
    </row>
    <row r="427" spans="1:6">
      <c r="A427" s="42">
        <v>46251.416666666664</v>
      </c>
      <c r="B427" s="41" t="s">
        <v>25</v>
      </c>
      <c r="C427" s="11">
        <v>1420</v>
      </c>
      <c r="D427" s="11">
        <v>1420</v>
      </c>
      <c r="E427" s="11">
        <v>295</v>
      </c>
      <c r="F427" s="11">
        <v>3</v>
      </c>
    </row>
    <row r="428" spans="1:6">
      <c r="A428" s="42">
        <v>46251.458333333336</v>
      </c>
      <c r="B428" s="41" t="s">
        <v>25</v>
      </c>
      <c r="C428" s="11">
        <v>1420</v>
      </c>
      <c r="D428" s="11">
        <v>1420</v>
      </c>
      <c r="E428" s="11">
        <v>295</v>
      </c>
      <c r="F428" s="11">
        <v>3</v>
      </c>
    </row>
    <row r="429" spans="1:6">
      <c r="A429" s="42">
        <v>46251.5</v>
      </c>
      <c r="B429" s="41" t="s">
        <v>25</v>
      </c>
      <c r="C429" s="11">
        <v>1420</v>
      </c>
      <c r="D429" s="11">
        <v>1420</v>
      </c>
      <c r="E429" s="11">
        <v>295</v>
      </c>
      <c r="F429" s="11">
        <v>3</v>
      </c>
    </row>
    <row r="430" spans="1:6">
      <c r="A430" s="42">
        <v>46251.541666666664</v>
      </c>
      <c r="B430" s="41" t="s">
        <v>25</v>
      </c>
      <c r="C430" s="11">
        <v>1420</v>
      </c>
      <c r="D430" s="11">
        <v>1420</v>
      </c>
      <c r="E430" s="11">
        <v>295</v>
      </c>
      <c r="F430" s="11">
        <v>3</v>
      </c>
    </row>
    <row r="431" spans="1:6">
      <c r="A431" s="42">
        <v>46251.583333333336</v>
      </c>
      <c r="B431" s="41" t="s">
        <v>25</v>
      </c>
      <c r="C431" s="11">
        <v>1420</v>
      </c>
      <c r="D431" s="11">
        <v>1420</v>
      </c>
      <c r="E431" s="11">
        <v>295</v>
      </c>
      <c r="F431" s="11">
        <v>3</v>
      </c>
    </row>
    <row r="432" spans="1:6">
      <c r="A432" s="42">
        <v>46251.625</v>
      </c>
      <c r="B432" s="41" t="s">
        <v>25</v>
      </c>
      <c r="C432" s="11">
        <v>1420</v>
      </c>
      <c r="D432" s="11">
        <v>1420</v>
      </c>
      <c r="E432" s="11">
        <v>295</v>
      </c>
      <c r="F432" s="11">
        <v>3</v>
      </c>
    </row>
    <row r="433" spans="1:6">
      <c r="A433" s="42">
        <v>46251.666666666664</v>
      </c>
      <c r="B433" s="41" t="s">
        <v>25</v>
      </c>
      <c r="C433" s="11">
        <v>1420</v>
      </c>
      <c r="D433" s="11">
        <v>1420</v>
      </c>
      <c r="E433" s="11">
        <v>295</v>
      </c>
      <c r="F433" s="11">
        <v>3</v>
      </c>
    </row>
    <row r="434" spans="1:6">
      <c r="A434" s="42">
        <v>46251.708333333336</v>
      </c>
      <c r="B434" s="41" t="s">
        <v>25</v>
      </c>
      <c r="C434" s="11">
        <v>1420</v>
      </c>
      <c r="D434" s="11">
        <v>1420</v>
      </c>
      <c r="E434" s="11">
        <v>295</v>
      </c>
      <c r="F434" s="11">
        <v>3</v>
      </c>
    </row>
    <row r="435" spans="1:6">
      <c r="A435" s="42">
        <v>46251.75</v>
      </c>
      <c r="B435" s="41" t="s">
        <v>25</v>
      </c>
      <c r="C435" s="11">
        <v>1420</v>
      </c>
      <c r="D435" s="11">
        <v>1420</v>
      </c>
      <c r="E435" s="11">
        <v>295</v>
      </c>
      <c r="F435" s="11">
        <v>3</v>
      </c>
    </row>
    <row r="436" spans="1:6">
      <c r="A436" s="42">
        <v>46251.791666666664</v>
      </c>
      <c r="B436" s="41" t="s">
        <v>25</v>
      </c>
      <c r="C436" s="11">
        <v>1420</v>
      </c>
      <c r="D436" s="11">
        <v>1420</v>
      </c>
      <c r="E436" s="11">
        <v>295</v>
      </c>
      <c r="F436" s="11">
        <v>3</v>
      </c>
    </row>
    <row r="437" spans="1:6">
      <c r="A437" s="42">
        <v>46251.833333333336</v>
      </c>
      <c r="B437" s="41" t="s">
        <v>25</v>
      </c>
      <c r="C437" s="11">
        <v>1420</v>
      </c>
      <c r="D437" s="11">
        <v>1420</v>
      </c>
      <c r="E437" s="11">
        <v>295</v>
      </c>
      <c r="F437" s="11">
        <v>3</v>
      </c>
    </row>
    <row r="438" spans="1:6">
      <c r="A438" s="42">
        <v>46251.875</v>
      </c>
      <c r="B438" s="41" t="s">
        <v>25</v>
      </c>
      <c r="C438" s="11">
        <v>1420</v>
      </c>
      <c r="D438" s="11">
        <v>1420</v>
      </c>
      <c r="E438" s="11">
        <v>295</v>
      </c>
      <c r="F438" s="11">
        <v>3</v>
      </c>
    </row>
    <row r="439" spans="1:6">
      <c r="A439" s="42">
        <v>46251.916666666664</v>
      </c>
      <c r="B439" s="41" t="s">
        <v>25</v>
      </c>
      <c r="C439" s="11">
        <v>1420</v>
      </c>
      <c r="D439" s="11">
        <v>1420</v>
      </c>
      <c r="E439" s="11">
        <v>295</v>
      </c>
      <c r="F439" s="11">
        <v>3</v>
      </c>
    </row>
    <row r="440" spans="1:6">
      <c r="A440" s="42">
        <v>46251.958333333336</v>
      </c>
      <c r="B440" s="41" t="s">
        <v>25</v>
      </c>
      <c r="C440" s="11">
        <v>1420</v>
      </c>
      <c r="D440" s="11">
        <v>1420</v>
      </c>
      <c r="E440" s="11">
        <v>295</v>
      </c>
      <c r="F440" s="11">
        <v>3</v>
      </c>
    </row>
    <row r="441" spans="1:6">
      <c r="A441" s="42">
        <v>46252</v>
      </c>
      <c r="B441" s="41" t="s">
        <v>25</v>
      </c>
      <c r="C441" s="11">
        <v>1420</v>
      </c>
      <c r="D441" s="11">
        <v>1420</v>
      </c>
      <c r="E441" s="11">
        <v>295</v>
      </c>
      <c r="F441" s="11">
        <v>3</v>
      </c>
    </row>
    <row r="442" spans="1:6">
      <c r="A442" s="42">
        <v>46252.041666666664</v>
      </c>
      <c r="B442" s="41" t="s">
        <v>25</v>
      </c>
      <c r="C442" s="11">
        <v>1420</v>
      </c>
      <c r="D442" s="11">
        <v>1420</v>
      </c>
      <c r="E442" s="11">
        <v>295</v>
      </c>
      <c r="F442" s="11">
        <v>3</v>
      </c>
    </row>
    <row r="443" spans="1:6">
      <c r="A443" s="42">
        <v>46252.083333333336</v>
      </c>
      <c r="B443" s="41" t="s">
        <v>25</v>
      </c>
      <c r="C443" s="11">
        <v>1420</v>
      </c>
      <c r="D443" s="11">
        <v>1420</v>
      </c>
      <c r="E443" s="11">
        <v>295</v>
      </c>
      <c r="F443" s="11">
        <v>3</v>
      </c>
    </row>
    <row r="444" spans="1:6">
      <c r="A444" s="42">
        <v>46252.125</v>
      </c>
      <c r="B444" s="41" t="s">
        <v>25</v>
      </c>
      <c r="C444" s="11">
        <v>1420</v>
      </c>
      <c r="D444" s="11">
        <v>1420</v>
      </c>
      <c r="E444" s="11">
        <v>295</v>
      </c>
      <c r="F444" s="11">
        <v>3</v>
      </c>
    </row>
    <row r="445" spans="1:6">
      <c r="A445" s="42">
        <v>46252.166666666664</v>
      </c>
      <c r="B445" s="41" t="s">
        <v>25</v>
      </c>
      <c r="C445" s="11">
        <v>1420</v>
      </c>
      <c r="D445" s="11">
        <v>1420</v>
      </c>
      <c r="E445" s="11">
        <v>295</v>
      </c>
      <c r="F445" s="11">
        <v>3</v>
      </c>
    </row>
    <row r="446" spans="1:6">
      <c r="A446" s="42">
        <v>46252.208333333336</v>
      </c>
      <c r="B446" s="41" t="s">
        <v>25</v>
      </c>
      <c r="C446" s="11">
        <v>1420</v>
      </c>
      <c r="D446" s="11">
        <v>1420</v>
      </c>
      <c r="E446" s="11">
        <v>295</v>
      </c>
      <c r="F446" s="11">
        <v>3</v>
      </c>
    </row>
    <row r="447" spans="1:6">
      <c r="A447" s="42">
        <v>46252.25</v>
      </c>
      <c r="B447" s="41" t="s">
        <v>25</v>
      </c>
      <c r="C447" s="11">
        <v>1420</v>
      </c>
      <c r="D447" s="11">
        <v>1420</v>
      </c>
      <c r="E447" s="11">
        <v>295</v>
      </c>
      <c r="F447" s="11">
        <v>3</v>
      </c>
    </row>
    <row r="448" spans="1:6">
      <c r="A448" s="42">
        <v>46252.291666666664</v>
      </c>
      <c r="B448" s="41" t="s">
        <v>25</v>
      </c>
      <c r="C448" s="11">
        <v>1420</v>
      </c>
      <c r="D448" s="11">
        <v>1420</v>
      </c>
      <c r="E448" s="11">
        <v>295</v>
      </c>
      <c r="F448" s="11">
        <v>3</v>
      </c>
    </row>
    <row r="449" spans="1:6">
      <c r="A449" s="42">
        <v>46252.333333333336</v>
      </c>
      <c r="B449" s="41" t="s">
        <v>25</v>
      </c>
      <c r="C449" s="11">
        <v>1420</v>
      </c>
      <c r="D449" s="11">
        <v>1420</v>
      </c>
      <c r="E449" s="11">
        <v>295</v>
      </c>
      <c r="F449" s="11">
        <v>3</v>
      </c>
    </row>
    <row r="450" spans="1:6">
      <c r="A450" s="42">
        <v>46252.375</v>
      </c>
      <c r="B450" s="41" t="s">
        <v>25</v>
      </c>
      <c r="C450" s="11">
        <v>1420</v>
      </c>
      <c r="D450" s="11">
        <v>1420</v>
      </c>
      <c r="E450" s="11">
        <v>295</v>
      </c>
      <c r="F450" s="11">
        <v>3</v>
      </c>
    </row>
    <row r="451" spans="1:6">
      <c r="A451" s="42">
        <v>46252.416666666664</v>
      </c>
      <c r="B451" s="41" t="s">
        <v>25</v>
      </c>
      <c r="C451" s="11">
        <v>1420</v>
      </c>
      <c r="D451" s="11">
        <v>1420</v>
      </c>
      <c r="E451" s="11">
        <v>295</v>
      </c>
      <c r="F451" s="11">
        <v>3</v>
      </c>
    </row>
    <row r="452" spans="1:6">
      <c r="A452" s="42">
        <v>46252.458333333336</v>
      </c>
      <c r="B452" s="41" t="s">
        <v>25</v>
      </c>
      <c r="C452" s="11">
        <v>1420</v>
      </c>
      <c r="D452" s="11">
        <v>1420</v>
      </c>
      <c r="E452" s="11">
        <v>295</v>
      </c>
      <c r="F452" s="11">
        <v>3</v>
      </c>
    </row>
    <row r="453" spans="1:6">
      <c r="A453" s="42">
        <v>46252.5</v>
      </c>
      <c r="B453" s="41" t="s">
        <v>25</v>
      </c>
      <c r="C453" s="11">
        <v>1420</v>
      </c>
      <c r="D453" s="11">
        <v>1420</v>
      </c>
      <c r="E453" s="11">
        <v>295</v>
      </c>
      <c r="F453" s="11">
        <v>3</v>
      </c>
    </row>
    <row r="454" spans="1:6">
      <c r="A454" s="42">
        <v>46252.541666666664</v>
      </c>
      <c r="B454" s="41" t="s">
        <v>25</v>
      </c>
      <c r="C454" s="11">
        <v>1420</v>
      </c>
      <c r="D454" s="11">
        <v>1420</v>
      </c>
      <c r="E454" s="11">
        <v>295</v>
      </c>
      <c r="F454" s="11">
        <v>3</v>
      </c>
    </row>
    <row r="455" spans="1:6">
      <c r="A455" s="42">
        <v>46252.583333333336</v>
      </c>
      <c r="B455" s="41" t="s">
        <v>25</v>
      </c>
      <c r="C455" s="11">
        <v>1420</v>
      </c>
      <c r="D455" s="11">
        <v>1420</v>
      </c>
      <c r="E455" s="11">
        <v>295</v>
      </c>
      <c r="F455" s="11">
        <v>3</v>
      </c>
    </row>
    <row r="456" spans="1:6">
      <c r="A456" s="42">
        <v>46252.625</v>
      </c>
      <c r="B456" s="41" t="s">
        <v>25</v>
      </c>
      <c r="C456" s="11">
        <v>1420</v>
      </c>
      <c r="D456" s="11">
        <v>1420</v>
      </c>
      <c r="E456" s="11">
        <v>295</v>
      </c>
      <c r="F456" s="11">
        <v>3</v>
      </c>
    </row>
    <row r="457" spans="1:6">
      <c r="A457" s="42">
        <v>46252.666666666664</v>
      </c>
      <c r="B457" s="41" t="s">
        <v>25</v>
      </c>
      <c r="C457" s="11">
        <v>1420</v>
      </c>
      <c r="D457" s="11">
        <v>1420</v>
      </c>
      <c r="E457" s="11">
        <v>295</v>
      </c>
      <c r="F457" s="11">
        <v>3</v>
      </c>
    </row>
    <row r="458" spans="1:6">
      <c r="A458" s="42">
        <v>46252.708333333336</v>
      </c>
      <c r="B458" s="41" t="s">
        <v>25</v>
      </c>
      <c r="C458" s="11">
        <v>1420</v>
      </c>
      <c r="D458" s="11">
        <v>1420</v>
      </c>
      <c r="E458" s="11">
        <v>295</v>
      </c>
      <c r="F458" s="11">
        <v>3</v>
      </c>
    </row>
    <row r="459" spans="1:6">
      <c r="A459" s="42">
        <v>46252.75</v>
      </c>
      <c r="B459" s="41" t="s">
        <v>25</v>
      </c>
      <c r="C459" s="11">
        <v>1420</v>
      </c>
      <c r="D459" s="11">
        <v>1420</v>
      </c>
      <c r="E459" s="11">
        <v>295</v>
      </c>
      <c r="F459" s="11">
        <v>3</v>
      </c>
    </row>
    <row r="460" spans="1:6">
      <c r="A460" s="42">
        <v>46252.791666666664</v>
      </c>
      <c r="B460" s="41" t="s">
        <v>25</v>
      </c>
      <c r="C460" s="11">
        <v>1420</v>
      </c>
      <c r="D460" s="11">
        <v>1420</v>
      </c>
      <c r="E460" s="11">
        <v>295</v>
      </c>
      <c r="F460" s="11">
        <v>3</v>
      </c>
    </row>
    <row r="461" spans="1:6">
      <c r="A461" s="42">
        <v>46252.833333333336</v>
      </c>
      <c r="B461" s="41" t="s">
        <v>25</v>
      </c>
      <c r="C461" s="11">
        <v>1420</v>
      </c>
      <c r="D461" s="11">
        <v>1420</v>
      </c>
      <c r="E461" s="11">
        <v>295</v>
      </c>
      <c r="F461" s="11">
        <v>3</v>
      </c>
    </row>
    <row r="462" spans="1:6">
      <c r="A462" s="42">
        <v>46252.875</v>
      </c>
      <c r="B462" s="41" t="s">
        <v>25</v>
      </c>
      <c r="C462" s="11">
        <v>1420</v>
      </c>
      <c r="D462" s="11">
        <v>1420</v>
      </c>
      <c r="E462" s="11">
        <v>295</v>
      </c>
      <c r="F462" s="11">
        <v>3</v>
      </c>
    </row>
    <row r="463" spans="1:6">
      <c r="A463" s="42">
        <v>46252.916666666664</v>
      </c>
      <c r="B463" s="41" t="s">
        <v>25</v>
      </c>
      <c r="C463" s="11">
        <v>1420</v>
      </c>
      <c r="D463" s="11">
        <v>1420</v>
      </c>
      <c r="E463" s="11">
        <v>295</v>
      </c>
      <c r="F463" s="11">
        <v>3</v>
      </c>
    </row>
    <row r="464" spans="1:6">
      <c r="A464" s="42">
        <v>46252.958333333336</v>
      </c>
      <c r="B464" s="41" t="s">
        <v>25</v>
      </c>
      <c r="C464" s="11">
        <v>1420</v>
      </c>
      <c r="D464" s="11">
        <v>1420</v>
      </c>
      <c r="E464" s="11">
        <v>295</v>
      </c>
      <c r="F464" s="11">
        <v>3</v>
      </c>
    </row>
    <row r="465" spans="1:6">
      <c r="A465" s="42">
        <v>46253</v>
      </c>
      <c r="B465" s="41" t="s">
        <v>25</v>
      </c>
      <c r="C465" s="11">
        <v>1420</v>
      </c>
      <c r="D465" s="11">
        <v>1420</v>
      </c>
      <c r="E465" s="11">
        <v>295</v>
      </c>
      <c r="F465" s="11">
        <v>3</v>
      </c>
    </row>
    <row r="466" spans="1:6">
      <c r="A466" s="42">
        <v>46253.041666666664</v>
      </c>
      <c r="B466" s="41" t="s">
        <v>25</v>
      </c>
      <c r="C466" s="11">
        <v>1420</v>
      </c>
      <c r="D466" s="11">
        <v>1420</v>
      </c>
      <c r="E466" s="11">
        <v>295</v>
      </c>
      <c r="F466" s="11">
        <v>3</v>
      </c>
    </row>
    <row r="467" spans="1:6">
      <c r="A467" s="42">
        <v>46253.083333333336</v>
      </c>
      <c r="B467" s="41" t="s">
        <v>25</v>
      </c>
      <c r="C467" s="11">
        <v>1420</v>
      </c>
      <c r="D467" s="11">
        <v>1420</v>
      </c>
      <c r="E467" s="11">
        <v>295</v>
      </c>
      <c r="F467" s="11">
        <v>3</v>
      </c>
    </row>
    <row r="468" spans="1:6">
      <c r="A468" s="42">
        <v>46253.125</v>
      </c>
      <c r="B468" s="41" t="s">
        <v>25</v>
      </c>
      <c r="C468" s="11">
        <v>1420</v>
      </c>
      <c r="D468" s="11">
        <v>1420</v>
      </c>
      <c r="E468" s="11">
        <v>295</v>
      </c>
      <c r="F468" s="11">
        <v>3</v>
      </c>
    </row>
    <row r="469" spans="1:6">
      <c r="A469" s="42">
        <v>46253.166666666664</v>
      </c>
      <c r="B469" s="41" t="s">
        <v>25</v>
      </c>
      <c r="C469" s="11">
        <v>1420</v>
      </c>
      <c r="D469" s="11">
        <v>1420</v>
      </c>
      <c r="E469" s="11">
        <v>295</v>
      </c>
      <c r="F469" s="11">
        <v>3</v>
      </c>
    </row>
    <row r="470" spans="1:6">
      <c r="A470" s="42">
        <v>46253.208333333336</v>
      </c>
      <c r="B470" s="41" t="s">
        <v>25</v>
      </c>
      <c r="C470" s="11">
        <v>1420</v>
      </c>
      <c r="D470" s="11">
        <v>1420</v>
      </c>
      <c r="E470" s="11">
        <v>295</v>
      </c>
      <c r="F470" s="11">
        <v>3</v>
      </c>
    </row>
    <row r="471" spans="1:6">
      <c r="A471" s="42">
        <v>46253.25</v>
      </c>
      <c r="B471" s="41" t="s">
        <v>25</v>
      </c>
      <c r="C471" s="11">
        <v>1420</v>
      </c>
      <c r="D471" s="11">
        <v>1420</v>
      </c>
      <c r="E471" s="11">
        <v>295</v>
      </c>
      <c r="F471" s="11">
        <v>3</v>
      </c>
    </row>
    <row r="472" spans="1:6">
      <c r="A472" s="42">
        <v>46253.291666666664</v>
      </c>
      <c r="B472" s="41" t="s">
        <v>25</v>
      </c>
      <c r="C472" s="11">
        <v>1420</v>
      </c>
      <c r="D472" s="11">
        <v>1420</v>
      </c>
      <c r="E472" s="11">
        <v>295</v>
      </c>
      <c r="F472" s="11">
        <v>3</v>
      </c>
    </row>
    <row r="473" spans="1:6">
      <c r="A473" s="42">
        <v>46253.333333333336</v>
      </c>
      <c r="B473" s="41" t="s">
        <v>25</v>
      </c>
      <c r="C473" s="11">
        <v>1420</v>
      </c>
      <c r="D473" s="11">
        <v>1420</v>
      </c>
      <c r="E473" s="11">
        <v>295</v>
      </c>
      <c r="F473" s="11">
        <v>3</v>
      </c>
    </row>
    <row r="474" spans="1:6">
      <c r="A474" s="42">
        <v>46253.375</v>
      </c>
      <c r="B474" s="41" t="s">
        <v>25</v>
      </c>
      <c r="C474" s="11">
        <v>1420</v>
      </c>
      <c r="D474" s="11">
        <v>1420</v>
      </c>
      <c r="E474" s="11">
        <v>295</v>
      </c>
      <c r="F474" s="11">
        <v>3</v>
      </c>
    </row>
    <row r="475" spans="1:6">
      <c r="A475" s="42">
        <v>46253.416666666664</v>
      </c>
      <c r="B475" s="41" t="s">
        <v>25</v>
      </c>
      <c r="C475" s="11">
        <v>1420</v>
      </c>
      <c r="D475" s="11">
        <v>1420</v>
      </c>
      <c r="E475" s="11">
        <v>295</v>
      </c>
      <c r="F475" s="11">
        <v>3</v>
      </c>
    </row>
    <row r="476" spans="1:6">
      <c r="A476" s="42">
        <v>46253.458333333336</v>
      </c>
      <c r="B476" s="41" t="s">
        <v>25</v>
      </c>
      <c r="C476" s="11">
        <v>1420</v>
      </c>
      <c r="D476" s="11">
        <v>1420</v>
      </c>
      <c r="E476" s="11">
        <v>295</v>
      </c>
      <c r="F476" s="11">
        <v>3</v>
      </c>
    </row>
    <row r="477" spans="1:6">
      <c r="A477" s="42">
        <v>46253.5</v>
      </c>
      <c r="B477" s="41" t="s">
        <v>25</v>
      </c>
      <c r="C477" s="11">
        <v>1420</v>
      </c>
      <c r="D477" s="11">
        <v>1420</v>
      </c>
      <c r="E477" s="11">
        <v>295</v>
      </c>
      <c r="F477" s="11">
        <v>3</v>
      </c>
    </row>
    <row r="478" spans="1:6">
      <c r="A478" s="42">
        <v>46253.541666666664</v>
      </c>
      <c r="B478" s="41" t="s">
        <v>25</v>
      </c>
      <c r="C478" s="11">
        <v>1420</v>
      </c>
      <c r="D478" s="11">
        <v>1420</v>
      </c>
      <c r="E478" s="11">
        <v>295</v>
      </c>
      <c r="F478" s="11">
        <v>3</v>
      </c>
    </row>
    <row r="479" spans="1:6">
      <c r="A479" s="42">
        <v>46253.583333333336</v>
      </c>
      <c r="B479" s="41" t="s">
        <v>25</v>
      </c>
      <c r="C479" s="11">
        <v>1420</v>
      </c>
      <c r="D479" s="11">
        <v>1420</v>
      </c>
      <c r="E479" s="11">
        <v>295</v>
      </c>
      <c r="F479" s="11">
        <v>3</v>
      </c>
    </row>
    <row r="480" spans="1:6">
      <c r="A480" s="42">
        <v>46253.625</v>
      </c>
      <c r="B480" s="41" t="s">
        <v>25</v>
      </c>
      <c r="C480" s="11">
        <v>1420</v>
      </c>
      <c r="D480" s="11">
        <v>1420</v>
      </c>
      <c r="E480" s="11">
        <v>295</v>
      </c>
      <c r="F480" s="11">
        <v>3</v>
      </c>
    </row>
    <row r="481" spans="1:6">
      <c r="A481" s="42">
        <v>46253.666666666664</v>
      </c>
      <c r="B481" s="41" t="s">
        <v>25</v>
      </c>
      <c r="C481" s="11">
        <v>1420</v>
      </c>
      <c r="D481" s="11">
        <v>1420</v>
      </c>
      <c r="E481" s="11">
        <v>295</v>
      </c>
      <c r="F481" s="11">
        <v>3</v>
      </c>
    </row>
    <row r="482" spans="1:6">
      <c r="A482" s="42">
        <v>46253.708333333336</v>
      </c>
      <c r="B482" s="41" t="s">
        <v>25</v>
      </c>
      <c r="C482" s="11">
        <v>1420</v>
      </c>
      <c r="D482" s="11">
        <v>1420</v>
      </c>
      <c r="E482" s="11">
        <v>295</v>
      </c>
      <c r="F482" s="11">
        <v>3</v>
      </c>
    </row>
    <row r="483" spans="1:6">
      <c r="A483" s="42">
        <v>46253.75</v>
      </c>
      <c r="B483" s="41" t="s">
        <v>25</v>
      </c>
      <c r="C483" s="11">
        <v>1420</v>
      </c>
      <c r="D483" s="11">
        <v>1420</v>
      </c>
      <c r="E483" s="11">
        <v>295</v>
      </c>
      <c r="F483" s="11">
        <v>3</v>
      </c>
    </row>
    <row r="484" spans="1:6">
      <c r="A484" s="42">
        <v>46253.791666666664</v>
      </c>
      <c r="B484" s="41" t="s">
        <v>25</v>
      </c>
      <c r="C484" s="11">
        <v>1420</v>
      </c>
      <c r="D484" s="11">
        <v>1420</v>
      </c>
      <c r="E484" s="11">
        <v>295</v>
      </c>
      <c r="F484" s="11">
        <v>3</v>
      </c>
    </row>
    <row r="485" spans="1:6">
      <c r="A485" s="42">
        <v>46253.833333333336</v>
      </c>
      <c r="B485" s="41" t="s">
        <v>25</v>
      </c>
      <c r="C485" s="11">
        <v>1420</v>
      </c>
      <c r="D485" s="11">
        <v>1420</v>
      </c>
      <c r="E485" s="11">
        <v>295</v>
      </c>
      <c r="F485" s="11">
        <v>3</v>
      </c>
    </row>
    <row r="486" spans="1:6">
      <c r="A486" s="42">
        <v>46253.875</v>
      </c>
      <c r="B486" s="41" t="s">
        <v>25</v>
      </c>
      <c r="C486" s="11">
        <v>1420</v>
      </c>
      <c r="D486" s="11">
        <v>1420</v>
      </c>
      <c r="E486" s="11">
        <v>295</v>
      </c>
      <c r="F486" s="11">
        <v>3</v>
      </c>
    </row>
    <row r="487" spans="1:6">
      <c r="A487" s="42">
        <v>46253.916666666664</v>
      </c>
      <c r="B487" s="41" t="s">
        <v>25</v>
      </c>
      <c r="C487" s="11">
        <v>1420</v>
      </c>
      <c r="D487" s="11">
        <v>1420</v>
      </c>
      <c r="E487" s="11">
        <v>295</v>
      </c>
      <c r="F487" s="11">
        <v>3</v>
      </c>
    </row>
    <row r="488" spans="1:6">
      <c r="A488" s="42">
        <v>46253.958333333336</v>
      </c>
      <c r="B488" s="41" t="s">
        <v>25</v>
      </c>
      <c r="C488" s="11">
        <v>1420</v>
      </c>
      <c r="D488" s="11">
        <v>1420</v>
      </c>
      <c r="E488" s="11">
        <v>295</v>
      </c>
      <c r="F488" s="11">
        <v>3</v>
      </c>
    </row>
    <row r="489" spans="1:6">
      <c r="A489" s="42">
        <v>46254</v>
      </c>
      <c r="B489" s="41" t="s">
        <v>25</v>
      </c>
      <c r="C489" s="11">
        <v>1420</v>
      </c>
      <c r="D489" s="11">
        <v>1420</v>
      </c>
      <c r="E489" s="11">
        <v>295</v>
      </c>
      <c r="F489" s="11">
        <v>3</v>
      </c>
    </row>
    <row r="490" spans="1:6">
      <c r="A490" s="42">
        <v>46254.041666666664</v>
      </c>
      <c r="B490" s="41" t="s">
        <v>25</v>
      </c>
      <c r="C490" s="11">
        <v>1420</v>
      </c>
      <c r="D490" s="11">
        <v>1420</v>
      </c>
      <c r="E490" s="11">
        <v>295</v>
      </c>
      <c r="F490" s="11">
        <v>3</v>
      </c>
    </row>
    <row r="491" spans="1:6">
      <c r="A491" s="42">
        <v>46254.083333333336</v>
      </c>
      <c r="B491" s="41" t="s">
        <v>25</v>
      </c>
      <c r="C491" s="11">
        <v>1420</v>
      </c>
      <c r="D491" s="11">
        <v>1420</v>
      </c>
      <c r="E491" s="11">
        <v>295</v>
      </c>
      <c r="F491" s="11">
        <v>3</v>
      </c>
    </row>
    <row r="492" spans="1:6">
      <c r="A492" s="42">
        <v>46254.125</v>
      </c>
      <c r="B492" s="41" t="s">
        <v>25</v>
      </c>
      <c r="C492" s="11">
        <v>1420</v>
      </c>
      <c r="D492" s="11">
        <v>1420</v>
      </c>
      <c r="E492" s="11">
        <v>295</v>
      </c>
      <c r="F492" s="11">
        <v>3</v>
      </c>
    </row>
    <row r="493" spans="1:6">
      <c r="A493" s="42">
        <v>46254.166666666664</v>
      </c>
      <c r="B493" s="41" t="s">
        <v>25</v>
      </c>
      <c r="C493" s="11">
        <v>1420</v>
      </c>
      <c r="D493" s="11">
        <v>1420</v>
      </c>
      <c r="E493" s="11">
        <v>295</v>
      </c>
      <c r="F493" s="11">
        <v>3</v>
      </c>
    </row>
    <row r="494" spans="1:6">
      <c r="A494" s="42">
        <v>46254.208333333336</v>
      </c>
      <c r="B494" s="41" t="s">
        <v>25</v>
      </c>
      <c r="C494" s="11">
        <v>1420</v>
      </c>
      <c r="D494" s="11">
        <v>1420</v>
      </c>
      <c r="E494" s="11">
        <v>295</v>
      </c>
      <c r="F494" s="11">
        <v>3</v>
      </c>
    </row>
    <row r="495" spans="1:6">
      <c r="A495" s="42">
        <v>46254.25</v>
      </c>
      <c r="B495" s="41" t="s">
        <v>25</v>
      </c>
      <c r="C495" s="11">
        <v>1420</v>
      </c>
      <c r="D495" s="11">
        <v>1420</v>
      </c>
      <c r="E495" s="11">
        <v>295</v>
      </c>
      <c r="F495" s="11">
        <v>3</v>
      </c>
    </row>
    <row r="496" spans="1:6">
      <c r="A496" s="42">
        <v>46254.291666666664</v>
      </c>
      <c r="B496" s="41" t="s">
        <v>25</v>
      </c>
      <c r="C496" s="11">
        <v>1420</v>
      </c>
      <c r="D496" s="11">
        <v>1420</v>
      </c>
      <c r="E496" s="11">
        <v>295</v>
      </c>
      <c r="F496" s="11">
        <v>3</v>
      </c>
    </row>
    <row r="497" spans="1:6">
      <c r="A497" s="42">
        <v>46254.333333333336</v>
      </c>
      <c r="B497" s="41" t="s">
        <v>25</v>
      </c>
      <c r="C497" s="11">
        <v>1420</v>
      </c>
      <c r="D497" s="11">
        <v>1420</v>
      </c>
      <c r="E497" s="11">
        <v>295</v>
      </c>
      <c r="F497" s="11">
        <v>3</v>
      </c>
    </row>
    <row r="498" spans="1:6">
      <c r="A498" s="42">
        <v>46254.375</v>
      </c>
      <c r="B498" s="41" t="s">
        <v>25</v>
      </c>
      <c r="C498" s="11">
        <v>1420</v>
      </c>
      <c r="D498" s="11">
        <v>1420</v>
      </c>
      <c r="E498" s="11">
        <v>295</v>
      </c>
      <c r="F498" s="11">
        <v>3</v>
      </c>
    </row>
    <row r="499" spans="1:6">
      <c r="A499" s="42">
        <v>46254.416666666664</v>
      </c>
      <c r="B499" s="41" t="s">
        <v>25</v>
      </c>
      <c r="C499" s="11">
        <v>1420</v>
      </c>
      <c r="D499" s="11">
        <v>1420</v>
      </c>
      <c r="E499" s="11">
        <v>295</v>
      </c>
      <c r="F499" s="11">
        <v>3</v>
      </c>
    </row>
    <row r="500" spans="1:6">
      <c r="A500" s="42">
        <v>46254.458333333336</v>
      </c>
      <c r="B500" s="41" t="s">
        <v>25</v>
      </c>
      <c r="C500" s="11">
        <v>1420</v>
      </c>
      <c r="D500" s="11">
        <v>1420</v>
      </c>
      <c r="E500" s="11">
        <v>295</v>
      </c>
      <c r="F500" s="11">
        <v>3</v>
      </c>
    </row>
    <row r="501" spans="1:6">
      <c r="A501" s="42">
        <v>46254.5</v>
      </c>
      <c r="B501" s="41" t="s">
        <v>25</v>
      </c>
      <c r="C501" s="11">
        <v>1420</v>
      </c>
      <c r="D501" s="11">
        <v>1420</v>
      </c>
      <c r="E501" s="11">
        <v>295</v>
      </c>
      <c r="F501" s="11">
        <v>3</v>
      </c>
    </row>
    <row r="502" spans="1:6">
      <c r="A502" s="42">
        <v>46254.541666666664</v>
      </c>
      <c r="B502" s="41" t="s">
        <v>25</v>
      </c>
      <c r="C502" s="11">
        <v>1420</v>
      </c>
      <c r="D502" s="11">
        <v>1420</v>
      </c>
      <c r="E502" s="11">
        <v>295</v>
      </c>
      <c r="F502" s="11">
        <v>3</v>
      </c>
    </row>
    <row r="503" spans="1:6">
      <c r="A503" s="42">
        <v>46254.583333333336</v>
      </c>
      <c r="B503" s="41" t="s">
        <v>25</v>
      </c>
      <c r="C503" s="11">
        <v>1420</v>
      </c>
      <c r="D503" s="11">
        <v>1420</v>
      </c>
      <c r="E503" s="11">
        <v>295</v>
      </c>
      <c r="F503" s="11">
        <v>3</v>
      </c>
    </row>
    <row r="504" spans="1:6">
      <c r="A504" s="42">
        <v>46254.625</v>
      </c>
      <c r="B504" s="41" t="s">
        <v>25</v>
      </c>
      <c r="C504" s="11">
        <v>1420</v>
      </c>
      <c r="D504" s="11">
        <v>1420</v>
      </c>
      <c r="E504" s="11">
        <v>295</v>
      </c>
      <c r="F504" s="11">
        <v>3</v>
      </c>
    </row>
    <row r="505" spans="1:6">
      <c r="A505" s="42">
        <v>46254.666666666664</v>
      </c>
      <c r="B505" s="41" t="s">
        <v>25</v>
      </c>
      <c r="C505" s="11">
        <v>1420</v>
      </c>
      <c r="D505" s="11">
        <v>1420</v>
      </c>
      <c r="E505" s="11">
        <v>295</v>
      </c>
      <c r="F505" s="11">
        <v>3</v>
      </c>
    </row>
    <row r="506" spans="1:6">
      <c r="A506" s="42">
        <v>46254.708333333336</v>
      </c>
      <c r="B506" s="41" t="s">
        <v>25</v>
      </c>
      <c r="C506" s="11">
        <v>1420</v>
      </c>
      <c r="D506" s="11">
        <v>1420</v>
      </c>
      <c r="E506" s="11">
        <v>295</v>
      </c>
      <c r="F506" s="11">
        <v>3</v>
      </c>
    </row>
    <row r="507" spans="1:6">
      <c r="A507" s="42">
        <v>46254.75</v>
      </c>
      <c r="B507" s="41" t="s">
        <v>25</v>
      </c>
      <c r="C507" s="11">
        <v>1420</v>
      </c>
      <c r="D507" s="11">
        <v>1420</v>
      </c>
      <c r="E507" s="11">
        <v>295</v>
      </c>
      <c r="F507" s="11">
        <v>3</v>
      </c>
    </row>
    <row r="508" spans="1:6">
      <c r="A508" s="42">
        <v>46254.791666666664</v>
      </c>
      <c r="B508" s="41" t="s">
        <v>25</v>
      </c>
      <c r="C508" s="11">
        <v>1420</v>
      </c>
      <c r="D508" s="11">
        <v>1420</v>
      </c>
      <c r="E508" s="11">
        <v>295</v>
      </c>
      <c r="F508" s="11">
        <v>3</v>
      </c>
    </row>
    <row r="509" spans="1:6">
      <c r="A509" s="42">
        <v>46254.833333333336</v>
      </c>
      <c r="B509" s="41" t="s">
        <v>25</v>
      </c>
      <c r="C509" s="11">
        <v>1420</v>
      </c>
      <c r="D509" s="11">
        <v>1420</v>
      </c>
      <c r="E509" s="11">
        <v>295</v>
      </c>
      <c r="F509" s="11">
        <v>3</v>
      </c>
    </row>
    <row r="510" spans="1:6">
      <c r="A510" s="42">
        <v>46254.875</v>
      </c>
      <c r="B510" s="41" t="s">
        <v>25</v>
      </c>
      <c r="C510" s="11">
        <v>1420</v>
      </c>
      <c r="D510" s="11">
        <v>1420</v>
      </c>
      <c r="E510" s="11">
        <v>295</v>
      </c>
      <c r="F510" s="11">
        <v>3</v>
      </c>
    </row>
    <row r="511" spans="1:6">
      <c r="A511" s="42">
        <v>46254.916666666664</v>
      </c>
      <c r="B511" s="41" t="s">
        <v>25</v>
      </c>
      <c r="C511" s="11">
        <v>1420</v>
      </c>
      <c r="D511" s="11">
        <v>1420</v>
      </c>
      <c r="E511" s="11">
        <v>295</v>
      </c>
      <c r="F511" s="11">
        <v>3</v>
      </c>
    </row>
    <row r="512" spans="1:6">
      <c r="A512" s="42">
        <v>46254.958333333336</v>
      </c>
      <c r="B512" s="41" t="s">
        <v>25</v>
      </c>
      <c r="C512" s="11">
        <v>1420</v>
      </c>
      <c r="D512" s="11">
        <v>1420</v>
      </c>
      <c r="E512" s="11">
        <v>295</v>
      </c>
      <c r="F512" s="11">
        <v>3</v>
      </c>
    </row>
    <row r="513" spans="1:6">
      <c r="A513" s="42">
        <v>46255</v>
      </c>
      <c r="B513" s="41" t="s">
        <v>25</v>
      </c>
      <c r="C513" s="11">
        <v>1420</v>
      </c>
      <c r="D513" s="11">
        <v>1420</v>
      </c>
      <c r="E513" s="11">
        <v>295</v>
      </c>
      <c r="F513" s="11">
        <v>3</v>
      </c>
    </row>
    <row r="514" spans="1:6">
      <c r="A514" s="42">
        <v>46255.041666666664</v>
      </c>
      <c r="B514" s="41" t="s">
        <v>25</v>
      </c>
      <c r="C514" s="11">
        <v>1420</v>
      </c>
      <c r="D514" s="11">
        <v>1420</v>
      </c>
      <c r="E514" s="11">
        <v>295</v>
      </c>
      <c r="F514" s="11">
        <v>3</v>
      </c>
    </row>
    <row r="515" spans="1:6">
      <c r="A515" s="42">
        <v>46255.083333333336</v>
      </c>
      <c r="B515" s="41" t="s">
        <v>25</v>
      </c>
      <c r="C515" s="11">
        <v>1420</v>
      </c>
      <c r="D515" s="11">
        <v>1420</v>
      </c>
      <c r="E515" s="11">
        <v>295</v>
      </c>
      <c r="F515" s="11">
        <v>3</v>
      </c>
    </row>
    <row r="516" spans="1:6">
      <c r="A516" s="42">
        <v>46255.125</v>
      </c>
      <c r="B516" s="41" t="s">
        <v>25</v>
      </c>
      <c r="C516" s="11">
        <v>1420</v>
      </c>
      <c r="D516" s="11">
        <v>1420</v>
      </c>
      <c r="E516" s="11">
        <v>295</v>
      </c>
      <c r="F516" s="11">
        <v>3</v>
      </c>
    </row>
    <row r="517" spans="1:6">
      <c r="A517" s="42">
        <v>46255.166666666664</v>
      </c>
      <c r="B517" s="41" t="s">
        <v>25</v>
      </c>
      <c r="C517" s="11">
        <v>1420</v>
      </c>
      <c r="D517" s="11">
        <v>1420</v>
      </c>
      <c r="E517" s="11">
        <v>295</v>
      </c>
      <c r="F517" s="11">
        <v>3</v>
      </c>
    </row>
    <row r="518" spans="1:6">
      <c r="A518" s="42">
        <v>46255.208333333336</v>
      </c>
      <c r="B518" s="41" t="s">
        <v>25</v>
      </c>
      <c r="C518" s="11">
        <v>1420</v>
      </c>
      <c r="D518" s="11">
        <v>1420</v>
      </c>
      <c r="E518" s="11">
        <v>295</v>
      </c>
      <c r="F518" s="11">
        <v>3</v>
      </c>
    </row>
    <row r="519" spans="1:6">
      <c r="A519" s="42">
        <v>46255.25</v>
      </c>
      <c r="B519" s="41" t="s">
        <v>25</v>
      </c>
      <c r="C519" s="11">
        <v>1420</v>
      </c>
      <c r="D519" s="11">
        <v>1420</v>
      </c>
      <c r="E519" s="11">
        <v>295</v>
      </c>
      <c r="F519" s="11">
        <v>3</v>
      </c>
    </row>
    <row r="520" spans="1:6">
      <c r="A520" s="42">
        <v>46255.291666666664</v>
      </c>
      <c r="B520" s="41" t="s">
        <v>25</v>
      </c>
      <c r="C520" s="11">
        <v>1420</v>
      </c>
      <c r="D520" s="11">
        <v>1420</v>
      </c>
      <c r="E520" s="11">
        <v>295</v>
      </c>
      <c r="F520" s="11">
        <v>3</v>
      </c>
    </row>
    <row r="521" spans="1:6">
      <c r="A521" s="42">
        <v>46255.333333333336</v>
      </c>
      <c r="B521" s="41" t="s">
        <v>25</v>
      </c>
      <c r="C521" s="11">
        <v>1420</v>
      </c>
      <c r="D521" s="11">
        <v>1420</v>
      </c>
      <c r="E521" s="11">
        <v>295</v>
      </c>
      <c r="F521" s="11">
        <v>3</v>
      </c>
    </row>
    <row r="522" spans="1:6">
      <c r="A522" s="42">
        <v>46255.375</v>
      </c>
      <c r="B522" s="41" t="s">
        <v>25</v>
      </c>
      <c r="C522" s="11">
        <v>1420</v>
      </c>
      <c r="D522" s="11">
        <v>1420</v>
      </c>
      <c r="E522" s="11">
        <v>295</v>
      </c>
      <c r="F522" s="11">
        <v>3</v>
      </c>
    </row>
    <row r="523" spans="1:6">
      <c r="A523" s="42">
        <v>46255.416666666664</v>
      </c>
      <c r="B523" s="41" t="s">
        <v>25</v>
      </c>
      <c r="C523" s="11">
        <v>1420</v>
      </c>
      <c r="D523" s="11">
        <v>1420</v>
      </c>
      <c r="E523" s="11">
        <v>295</v>
      </c>
      <c r="F523" s="11">
        <v>3</v>
      </c>
    </row>
    <row r="524" spans="1:6">
      <c r="A524" s="42">
        <v>46255.458333333336</v>
      </c>
      <c r="B524" s="41" t="s">
        <v>25</v>
      </c>
      <c r="C524" s="11">
        <v>1420</v>
      </c>
      <c r="D524" s="11">
        <v>1420</v>
      </c>
      <c r="E524" s="11">
        <v>295</v>
      </c>
      <c r="F524" s="11">
        <v>3</v>
      </c>
    </row>
    <row r="525" spans="1:6">
      <c r="A525" s="42">
        <v>46255.5</v>
      </c>
      <c r="B525" s="41" t="s">
        <v>25</v>
      </c>
      <c r="C525" s="11">
        <v>1420</v>
      </c>
      <c r="D525" s="11">
        <v>1420</v>
      </c>
      <c r="E525" s="11">
        <v>295</v>
      </c>
      <c r="F525" s="11">
        <v>3</v>
      </c>
    </row>
    <row r="526" spans="1:6">
      <c r="A526" s="42">
        <v>46255.541666666664</v>
      </c>
      <c r="B526" s="41" t="s">
        <v>25</v>
      </c>
      <c r="C526" s="11">
        <v>1420</v>
      </c>
      <c r="D526" s="11">
        <v>1420</v>
      </c>
      <c r="E526" s="11">
        <v>295</v>
      </c>
      <c r="F526" s="11">
        <v>3</v>
      </c>
    </row>
    <row r="527" spans="1:6">
      <c r="A527" s="42">
        <v>46255.583333333336</v>
      </c>
      <c r="B527" s="41" t="s">
        <v>25</v>
      </c>
      <c r="C527" s="11">
        <v>1420</v>
      </c>
      <c r="D527" s="11">
        <v>1420</v>
      </c>
      <c r="E527" s="11">
        <v>295</v>
      </c>
      <c r="F527" s="11">
        <v>3</v>
      </c>
    </row>
    <row r="528" spans="1:6">
      <c r="A528" s="42">
        <v>46255.625</v>
      </c>
      <c r="B528" s="41" t="s">
        <v>25</v>
      </c>
      <c r="C528" s="11">
        <v>1420</v>
      </c>
      <c r="D528" s="11">
        <v>1420</v>
      </c>
      <c r="E528" s="11">
        <v>295</v>
      </c>
      <c r="F528" s="11">
        <v>3</v>
      </c>
    </row>
    <row r="529" spans="1:6">
      <c r="A529" s="42">
        <v>46255.666666666664</v>
      </c>
      <c r="B529" s="41" t="s">
        <v>25</v>
      </c>
      <c r="C529" s="11">
        <v>1420</v>
      </c>
      <c r="D529" s="11">
        <v>1420</v>
      </c>
      <c r="E529" s="11">
        <v>295</v>
      </c>
      <c r="F529" s="11">
        <v>3</v>
      </c>
    </row>
    <row r="530" spans="1:6">
      <c r="A530" s="42">
        <v>46255.708333333336</v>
      </c>
      <c r="B530" s="41" t="s">
        <v>25</v>
      </c>
      <c r="C530" s="11">
        <v>1420</v>
      </c>
      <c r="D530" s="11">
        <v>1420</v>
      </c>
      <c r="E530" s="11">
        <v>295</v>
      </c>
      <c r="F530" s="11">
        <v>3</v>
      </c>
    </row>
    <row r="531" spans="1:6">
      <c r="A531" s="42">
        <v>46255.75</v>
      </c>
      <c r="B531" s="41" t="s">
        <v>25</v>
      </c>
      <c r="C531" s="11">
        <v>1420</v>
      </c>
      <c r="D531" s="11">
        <v>1420</v>
      </c>
      <c r="E531" s="11">
        <v>295</v>
      </c>
      <c r="F531" s="11">
        <v>3</v>
      </c>
    </row>
    <row r="532" spans="1:6">
      <c r="A532" s="42">
        <v>46255.791666666664</v>
      </c>
      <c r="B532" s="41" t="s">
        <v>25</v>
      </c>
      <c r="C532" s="11">
        <v>1420</v>
      </c>
      <c r="D532" s="11">
        <v>1420</v>
      </c>
      <c r="E532" s="11">
        <v>295</v>
      </c>
      <c r="F532" s="11">
        <v>3</v>
      </c>
    </row>
    <row r="533" spans="1:6">
      <c r="A533" s="42">
        <v>46255.833333333336</v>
      </c>
      <c r="B533" s="41" t="s">
        <v>25</v>
      </c>
      <c r="C533" s="11">
        <v>1420</v>
      </c>
      <c r="D533" s="11">
        <v>1420</v>
      </c>
      <c r="E533" s="11">
        <v>295</v>
      </c>
      <c r="F533" s="11">
        <v>3</v>
      </c>
    </row>
    <row r="534" spans="1:6">
      <c r="A534" s="42">
        <v>46255.875</v>
      </c>
      <c r="B534" s="41" t="s">
        <v>25</v>
      </c>
      <c r="C534" s="11">
        <v>1420</v>
      </c>
      <c r="D534" s="11">
        <v>1420</v>
      </c>
      <c r="E534" s="11">
        <v>295</v>
      </c>
      <c r="F534" s="11">
        <v>3</v>
      </c>
    </row>
    <row r="535" spans="1:6">
      <c r="A535" s="42">
        <v>46255.916666666664</v>
      </c>
      <c r="B535" s="41" t="s">
        <v>25</v>
      </c>
      <c r="C535" s="11">
        <v>1420</v>
      </c>
      <c r="D535" s="11">
        <v>1420</v>
      </c>
      <c r="E535" s="11">
        <v>295</v>
      </c>
      <c r="F535" s="11">
        <v>3</v>
      </c>
    </row>
    <row r="536" spans="1:6">
      <c r="A536" s="42">
        <v>46255.958333333336</v>
      </c>
      <c r="B536" s="41" t="s">
        <v>25</v>
      </c>
      <c r="C536" s="11">
        <v>1420</v>
      </c>
      <c r="D536" s="11">
        <v>1420</v>
      </c>
      <c r="E536" s="11">
        <v>295</v>
      </c>
      <c r="F536" s="11">
        <v>3</v>
      </c>
    </row>
    <row r="537" spans="1:6">
      <c r="A537" s="42">
        <v>46256</v>
      </c>
      <c r="B537" s="41" t="s">
        <v>25</v>
      </c>
      <c r="C537" s="11">
        <v>1420</v>
      </c>
      <c r="D537" s="11">
        <v>1420</v>
      </c>
      <c r="E537" s="11">
        <v>295</v>
      </c>
      <c r="F537" s="11">
        <v>3</v>
      </c>
    </row>
    <row r="538" spans="1:6">
      <c r="A538" s="42">
        <v>46256.041666666664</v>
      </c>
      <c r="B538" s="41" t="s">
        <v>25</v>
      </c>
      <c r="C538" s="11">
        <v>1420</v>
      </c>
      <c r="D538" s="11">
        <v>1420</v>
      </c>
      <c r="E538" s="11">
        <v>295</v>
      </c>
      <c r="F538" s="11">
        <v>3</v>
      </c>
    </row>
    <row r="539" spans="1:6">
      <c r="A539" s="42">
        <v>46256.083333333336</v>
      </c>
      <c r="B539" s="41" t="s">
        <v>25</v>
      </c>
      <c r="C539" s="11">
        <v>1420</v>
      </c>
      <c r="D539" s="11">
        <v>1420</v>
      </c>
      <c r="E539" s="11">
        <v>295</v>
      </c>
      <c r="F539" s="11">
        <v>3</v>
      </c>
    </row>
    <row r="540" spans="1:6">
      <c r="A540" s="42">
        <v>46256.125</v>
      </c>
      <c r="B540" s="41" t="s">
        <v>25</v>
      </c>
      <c r="C540" s="11">
        <v>1420</v>
      </c>
      <c r="D540" s="11">
        <v>1420</v>
      </c>
      <c r="E540" s="11">
        <v>295</v>
      </c>
      <c r="F540" s="11">
        <v>3</v>
      </c>
    </row>
    <row r="541" spans="1:6">
      <c r="A541" s="42">
        <v>46256.166666666664</v>
      </c>
      <c r="B541" s="41" t="s">
        <v>25</v>
      </c>
      <c r="C541" s="11">
        <v>1420</v>
      </c>
      <c r="D541" s="11">
        <v>1420</v>
      </c>
      <c r="E541" s="11">
        <v>295</v>
      </c>
      <c r="F541" s="11">
        <v>3</v>
      </c>
    </row>
    <row r="542" spans="1:6">
      <c r="A542" s="42">
        <v>46256.208333333336</v>
      </c>
      <c r="B542" s="41" t="s">
        <v>25</v>
      </c>
      <c r="C542" s="11">
        <v>1420</v>
      </c>
      <c r="D542" s="11">
        <v>1420</v>
      </c>
      <c r="E542" s="11">
        <v>295</v>
      </c>
      <c r="F542" s="11">
        <v>3</v>
      </c>
    </row>
    <row r="543" spans="1:6">
      <c r="A543" s="42">
        <v>46256.25</v>
      </c>
      <c r="B543" s="41" t="s">
        <v>25</v>
      </c>
      <c r="C543" s="11">
        <v>1420</v>
      </c>
      <c r="D543" s="11">
        <v>1420</v>
      </c>
      <c r="E543" s="11">
        <v>295</v>
      </c>
      <c r="F543" s="11">
        <v>3</v>
      </c>
    </row>
    <row r="544" spans="1:6">
      <c r="A544" s="42">
        <v>46256.291666666664</v>
      </c>
      <c r="B544" s="41" t="s">
        <v>25</v>
      </c>
      <c r="C544" s="11">
        <v>1420</v>
      </c>
      <c r="D544" s="11">
        <v>1420</v>
      </c>
      <c r="E544" s="11">
        <v>295</v>
      </c>
      <c r="F544" s="11">
        <v>3</v>
      </c>
    </row>
    <row r="545" spans="1:6">
      <c r="A545" s="42">
        <v>46256.333333333336</v>
      </c>
      <c r="B545" s="41" t="s">
        <v>25</v>
      </c>
      <c r="C545" s="11">
        <v>1420</v>
      </c>
      <c r="D545" s="11">
        <v>1420</v>
      </c>
      <c r="E545" s="11">
        <v>295</v>
      </c>
      <c r="F545" s="11">
        <v>3</v>
      </c>
    </row>
    <row r="546" spans="1:6">
      <c r="A546" s="42">
        <v>46256.375</v>
      </c>
      <c r="B546" s="41" t="s">
        <v>25</v>
      </c>
      <c r="C546" s="11">
        <v>1420</v>
      </c>
      <c r="D546" s="11">
        <v>1420</v>
      </c>
      <c r="E546" s="11">
        <v>295</v>
      </c>
      <c r="F546" s="11">
        <v>3</v>
      </c>
    </row>
    <row r="547" spans="1:6">
      <c r="A547" s="42">
        <v>46256.416666666664</v>
      </c>
      <c r="B547" s="41" t="s">
        <v>25</v>
      </c>
      <c r="C547" s="11">
        <v>1420</v>
      </c>
      <c r="D547" s="11">
        <v>1420</v>
      </c>
      <c r="E547" s="11">
        <v>295</v>
      </c>
      <c r="F547" s="11">
        <v>3</v>
      </c>
    </row>
    <row r="548" spans="1:6">
      <c r="A548" s="42">
        <v>46256.458333333336</v>
      </c>
      <c r="B548" s="41" t="s">
        <v>25</v>
      </c>
      <c r="C548" s="11">
        <v>1420</v>
      </c>
      <c r="D548" s="11">
        <v>1420</v>
      </c>
      <c r="E548" s="11">
        <v>295</v>
      </c>
      <c r="F548" s="11">
        <v>3</v>
      </c>
    </row>
    <row r="549" spans="1:6">
      <c r="A549" s="42">
        <v>46256.5</v>
      </c>
      <c r="B549" s="41" t="s">
        <v>25</v>
      </c>
      <c r="C549" s="11">
        <v>1420</v>
      </c>
      <c r="D549" s="11">
        <v>1420</v>
      </c>
      <c r="E549" s="11">
        <v>295</v>
      </c>
      <c r="F549" s="11">
        <v>3</v>
      </c>
    </row>
    <row r="550" spans="1:6">
      <c r="A550" s="42">
        <v>46256.541666666664</v>
      </c>
      <c r="B550" s="41" t="s">
        <v>25</v>
      </c>
      <c r="C550" s="11">
        <v>1420</v>
      </c>
      <c r="D550" s="11">
        <v>1420</v>
      </c>
      <c r="E550" s="11">
        <v>295</v>
      </c>
      <c r="F550" s="11">
        <v>3</v>
      </c>
    </row>
    <row r="551" spans="1:6">
      <c r="A551" s="42">
        <v>46256.583333333336</v>
      </c>
      <c r="B551" s="41" t="s">
        <v>25</v>
      </c>
      <c r="C551" s="11">
        <v>1420</v>
      </c>
      <c r="D551" s="11">
        <v>1420</v>
      </c>
      <c r="E551" s="11">
        <v>295</v>
      </c>
      <c r="F551" s="11">
        <v>3</v>
      </c>
    </row>
    <row r="552" spans="1:6">
      <c r="A552" s="42">
        <v>46256.625</v>
      </c>
      <c r="B552" s="41" t="s">
        <v>25</v>
      </c>
      <c r="C552" s="11">
        <v>1420</v>
      </c>
      <c r="D552" s="11">
        <v>1420</v>
      </c>
      <c r="E552" s="11">
        <v>295</v>
      </c>
      <c r="F552" s="11">
        <v>3</v>
      </c>
    </row>
    <row r="553" spans="1:6">
      <c r="A553" s="42">
        <v>46256.666666666664</v>
      </c>
      <c r="B553" s="41" t="s">
        <v>25</v>
      </c>
      <c r="C553" s="11">
        <v>1420</v>
      </c>
      <c r="D553" s="11">
        <v>1420</v>
      </c>
      <c r="E553" s="11">
        <v>295</v>
      </c>
      <c r="F553" s="11">
        <v>3</v>
      </c>
    </row>
    <row r="554" spans="1:6">
      <c r="A554" s="42">
        <v>46256.708333333336</v>
      </c>
      <c r="B554" s="41" t="s">
        <v>25</v>
      </c>
      <c r="C554" s="11">
        <v>1420</v>
      </c>
      <c r="D554" s="11">
        <v>1420</v>
      </c>
      <c r="E554" s="11">
        <v>295</v>
      </c>
      <c r="F554" s="11">
        <v>3</v>
      </c>
    </row>
    <row r="555" spans="1:6">
      <c r="A555" s="42">
        <v>46256.75</v>
      </c>
      <c r="B555" s="41" t="s">
        <v>25</v>
      </c>
      <c r="C555" s="11">
        <v>1420</v>
      </c>
      <c r="D555" s="11">
        <v>1420</v>
      </c>
      <c r="E555" s="11">
        <v>295</v>
      </c>
      <c r="F555" s="11">
        <v>3</v>
      </c>
    </row>
    <row r="556" spans="1:6">
      <c r="A556" s="42">
        <v>46256.791666666664</v>
      </c>
      <c r="B556" s="41" t="s">
        <v>25</v>
      </c>
      <c r="C556" s="11">
        <v>1420</v>
      </c>
      <c r="D556" s="11">
        <v>1420</v>
      </c>
      <c r="E556" s="11">
        <v>295</v>
      </c>
      <c r="F556" s="11">
        <v>3</v>
      </c>
    </row>
    <row r="557" spans="1:6">
      <c r="A557" s="42">
        <v>46256.833333333336</v>
      </c>
      <c r="B557" s="41" t="s">
        <v>25</v>
      </c>
      <c r="C557" s="11">
        <v>1420</v>
      </c>
      <c r="D557" s="11">
        <v>1420</v>
      </c>
      <c r="E557" s="11">
        <v>295</v>
      </c>
      <c r="F557" s="11">
        <v>3</v>
      </c>
    </row>
    <row r="558" spans="1:6">
      <c r="A558" s="42">
        <v>46256.875</v>
      </c>
      <c r="B558" s="41" t="s">
        <v>25</v>
      </c>
      <c r="C558" s="11">
        <v>1420</v>
      </c>
      <c r="D558" s="11">
        <v>1420</v>
      </c>
      <c r="E558" s="11">
        <v>295</v>
      </c>
      <c r="F558" s="11">
        <v>3</v>
      </c>
    </row>
    <row r="559" spans="1:6">
      <c r="A559" s="42">
        <v>46256.916666666664</v>
      </c>
      <c r="B559" s="41" t="s">
        <v>25</v>
      </c>
      <c r="C559" s="11">
        <v>1420</v>
      </c>
      <c r="D559" s="11">
        <v>1420</v>
      </c>
      <c r="E559" s="11">
        <v>295</v>
      </c>
      <c r="F559" s="11">
        <v>3</v>
      </c>
    </row>
    <row r="560" spans="1:6">
      <c r="A560" s="42">
        <v>46256.958333333336</v>
      </c>
      <c r="B560" s="41" t="s">
        <v>25</v>
      </c>
      <c r="C560" s="11">
        <v>1420</v>
      </c>
      <c r="D560" s="11">
        <v>1420</v>
      </c>
      <c r="E560" s="11">
        <v>295</v>
      </c>
      <c r="F560" s="11">
        <v>3</v>
      </c>
    </row>
    <row r="561" spans="1:6">
      <c r="A561" s="42">
        <v>46257</v>
      </c>
      <c r="B561" s="41" t="s">
        <v>25</v>
      </c>
      <c r="C561" s="11">
        <v>1420</v>
      </c>
      <c r="D561" s="11">
        <v>1420</v>
      </c>
      <c r="E561" s="11">
        <v>295</v>
      </c>
      <c r="F561" s="11">
        <v>3</v>
      </c>
    </row>
    <row r="562" spans="1:6">
      <c r="A562" s="42">
        <v>46257.041666666664</v>
      </c>
      <c r="B562" s="41" t="s">
        <v>25</v>
      </c>
      <c r="C562" s="11">
        <v>1420</v>
      </c>
      <c r="D562" s="11">
        <v>1420</v>
      </c>
      <c r="E562" s="11">
        <v>295</v>
      </c>
      <c r="F562" s="11">
        <v>3</v>
      </c>
    </row>
    <row r="563" spans="1:6">
      <c r="A563" s="42">
        <v>46257.083333333336</v>
      </c>
      <c r="B563" s="41" t="s">
        <v>25</v>
      </c>
      <c r="C563" s="11">
        <v>1420</v>
      </c>
      <c r="D563" s="11">
        <v>1420</v>
      </c>
      <c r="E563" s="11">
        <v>295</v>
      </c>
      <c r="F563" s="11">
        <v>3</v>
      </c>
    </row>
    <row r="564" spans="1:6">
      <c r="A564" s="42">
        <v>46257.125</v>
      </c>
      <c r="B564" s="41" t="s">
        <v>25</v>
      </c>
      <c r="C564" s="11">
        <v>1420</v>
      </c>
      <c r="D564" s="11">
        <v>1420</v>
      </c>
      <c r="E564" s="11">
        <v>295</v>
      </c>
      <c r="F564" s="11">
        <v>3</v>
      </c>
    </row>
    <row r="565" spans="1:6">
      <c r="A565" s="42">
        <v>46257.166666666664</v>
      </c>
      <c r="B565" s="41" t="s">
        <v>25</v>
      </c>
      <c r="C565" s="11">
        <v>1420</v>
      </c>
      <c r="D565" s="11">
        <v>1420</v>
      </c>
      <c r="E565" s="11">
        <v>295</v>
      </c>
      <c r="F565" s="11">
        <v>3</v>
      </c>
    </row>
    <row r="566" spans="1:6">
      <c r="A566" s="42">
        <v>46257.208333333336</v>
      </c>
      <c r="B566" s="41" t="s">
        <v>25</v>
      </c>
      <c r="C566" s="11">
        <v>1420</v>
      </c>
      <c r="D566" s="11">
        <v>1420</v>
      </c>
      <c r="E566" s="11">
        <v>295</v>
      </c>
      <c r="F566" s="11">
        <v>3</v>
      </c>
    </row>
    <row r="567" spans="1:6">
      <c r="A567" s="42">
        <v>46257.25</v>
      </c>
      <c r="B567" s="41" t="s">
        <v>25</v>
      </c>
      <c r="C567" s="11">
        <v>1420</v>
      </c>
      <c r="D567" s="11">
        <v>1420</v>
      </c>
      <c r="E567" s="11">
        <v>295</v>
      </c>
      <c r="F567" s="11">
        <v>3</v>
      </c>
    </row>
    <row r="568" spans="1:6">
      <c r="A568" s="42">
        <v>46257.291666666664</v>
      </c>
      <c r="B568" s="41" t="s">
        <v>25</v>
      </c>
      <c r="C568" s="11">
        <v>1420</v>
      </c>
      <c r="D568" s="11">
        <v>1420</v>
      </c>
      <c r="E568" s="11">
        <v>295</v>
      </c>
      <c r="F568" s="11">
        <v>3</v>
      </c>
    </row>
    <row r="569" spans="1:6">
      <c r="A569" s="42">
        <v>46257.333333333336</v>
      </c>
      <c r="B569" s="41" t="s">
        <v>25</v>
      </c>
      <c r="C569" s="11">
        <v>1420</v>
      </c>
      <c r="D569" s="11">
        <v>1420</v>
      </c>
      <c r="E569" s="11">
        <v>295</v>
      </c>
      <c r="F569" s="11">
        <v>3</v>
      </c>
    </row>
    <row r="570" spans="1:6">
      <c r="A570" s="42">
        <v>46257.375</v>
      </c>
      <c r="B570" s="41" t="s">
        <v>25</v>
      </c>
      <c r="C570" s="11">
        <v>1420</v>
      </c>
      <c r="D570" s="11">
        <v>1420</v>
      </c>
      <c r="E570" s="11">
        <v>295</v>
      </c>
      <c r="F570" s="11">
        <v>3</v>
      </c>
    </row>
    <row r="571" spans="1:6">
      <c r="A571" s="42">
        <v>46257.416666666664</v>
      </c>
      <c r="B571" s="41" t="s">
        <v>25</v>
      </c>
      <c r="C571" s="11">
        <v>1420</v>
      </c>
      <c r="D571" s="11">
        <v>1420</v>
      </c>
      <c r="E571" s="11">
        <v>295</v>
      </c>
      <c r="F571" s="11">
        <v>3</v>
      </c>
    </row>
    <row r="572" spans="1:6">
      <c r="A572" s="42">
        <v>46257.458333333336</v>
      </c>
      <c r="B572" s="41" t="s">
        <v>25</v>
      </c>
      <c r="C572" s="11">
        <v>1420</v>
      </c>
      <c r="D572" s="11">
        <v>1420</v>
      </c>
      <c r="E572" s="11">
        <v>295</v>
      </c>
      <c r="F572" s="11">
        <v>3</v>
      </c>
    </row>
    <row r="573" spans="1:6">
      <c r="A573" s="42">
        <v>46257.5</v>
      </c>
      <c r="B573" s="41" t="s">
        <v>25</v>
      </c>
      <c r="C573" s="11">
        <v>1420</v>
      </c>
      <c r="D573" s="11">
        <v>1420</v>
      </c>
      <c r="E573" s="11">
        <v>295</v>
      </c>
      <c r="F573" s="11">
        <v>3</v>
      </c>
    </row>
    <row r="574" spans="1:6">
      <c r="A574" s="42">
        <v>46257.541666666664</v>
      </c>
      <c r="B574" s="41" t="s">
        <v>25</v>
      </c>
      <c r="C574" s="11">
        <v>1420</v>
      </c>
      <c r="D574" s="11">
        <v>1420</v>
      </c>
      <c r="E574" s="11">
        <v>295</v>
      </c>
      <c r="F574" s="11">
        <v>3</v>
      </c>
    </row>
    <row r="575" spans="1:6">
      <c r="A575" s="42">
        <v>46257.583333333336</v>
      </c>
      <c r="B575" s="41" t="s">
        <v>25</v>
      </c>
      <c r="C575" s="11">
        <v>1420</v>
      </c>
      <c r="D575" s="11">
        <v>1420</v>
      </c>
      <c r="E575" s="11">
        <v>295</v>
      </c>
      <c r="F575" s="11">
        <v>3</v>
      </c>
    </row>
    <row r="576" spans="1:6">
      <c r="A576" s="42">
        <v>46257.625</v>
      </c>
      <c r="B576" s="41" t="s">
        <v>25</v>
      </c>
      <c r="C576" s="11">
        <v>1420</v>
      </c>
      <c r="D576" s="11">
        <v>1420</v>
      </c>
      <c r="E576" s="11">
        <v>295</v>
      </c>
      <c r="F576" s="11">
        <v>3</v>
      </c>
    </row>
    <row r="577" spans="1:6">
      <c r="A577" s="42">
        <v>46257.666666666664</v>
      </c>
      <c r="B577" s="41" t="s">
        <v>25</v>
      </c>
      <c r="C577" s="11">
        <v>1420</v>
      </c>
      <c r="D577" s="11">
        <v>1420</v>
      </c>
      <c r="E577" s="11">
        <v>295</v>
      </c>
      <c r="F577" s="11">
        <v>3</v>
      </c>
    </row>
    <row r="578" spans="1:6">
      <c r="A578" s="42">
        <v>46257.708333333336</v>
      </c>
      <c r="B578" s="41" t="s">
        <v>25</v>
      </c>
      <c r="C578" s="11">
        <v>1420</v>
      </c>
      <c r="D578" s="11">
        <v>1420</v>
      </c>
      <c r="E578" s="11">
        <v>295</v>
      </c>
      <c r="F578" s="11">
        <v>3</v>
      </c>
    </row>
    <row r="579" spans="1:6">
      <c r="A579" s="42">
        <v>46257.75</v>
      </c>
      <c r="B579" s="41" t="s">
        <v>25</v>
      </c>
      <c r="C579" s="11">
        <v>1420</v>
      </c>
      <c r="D579" s="11">
        <v>1420</v>
      </c>
      <c r="E579" s="11">
        <v>295</v>
      </c>
      <c r="F579" s="11">
        <v>3</v>
      </c>
    </row>
    <row r="580" spans="1:6">
      <c r="A580" s="42">
        <v>46257.791666666664</v>
      </c>
      <c r="B580" s="41" t="s">
        <v>25</v>
      </c>
      <c r="C580" s="11">
        <v>1420</v>
      </c>
      <c r="D580" s="11">
        <v>1420</v>
      </c>
      <c r="E580" s="11">
        <v>295</v>
      </c>
      <c r="F580" s="11">
        <v>3</v>
      </c>
    </row>
    <row r="581" spans="1:6">
      <c r="A581" s="42">
        <v>46257.833333333336</v>
      </c>
      <c r="B581" s="41" t="s">
        <v>25</v>
      </c>
      <c r="C581" s="11">
        <v>1420</v>
      </c>
      <c r="D581" s="11">
        <v>1420</v>
      </c>
      <c r="E581" s="11">
        <v>295</v>
      </c>
      <c r="F581" s="11">
        <v>3</v>
      </c>
    </row>
    <row r="582" spans="1:6">
      <c r="A582" s="42">
        <v>46257.875</v>
      </c>
      <c r="B582" s="41" t="s">
        <v>25</v>
      </c>
      <c r="C582" s="11">
        <v>1420</v>
      </c>
      <c r="D582" s="11">
        <v>1420</v>
      </c>
      <c r="E582" s="11">
        <v>295</v>
      </c>
      <c r="F582" s="11">
        <v>3</v>
      </c>
    </row>
    <row r="583" spans="1:6">
      <c r="A583" s="42">
        <v>46257.916666666664</v>
      </c>
      <c r="B583" s="41" t="s">
        <v>25</v>
      </c>
      <c r="C583" s="11">
        <v>1420</v>
      </c>
      <c r="D583" s="11">
        <v>1420</v>
      </c>
      <c r="E583" s="11">
        <v>295</v>
      </c>
      <c r="F583" s="11">
        <v>3</v>
      </c>
    </row>
    <row r="584" spans="1:6">
      <c r="A584" s="42">
        <v>46257.958333333336</v>
      </c>
      <c r="B584" s="41" t="s">
        <v>25</v>
      </c>
      <c r="C584" s="11">
        <v>1420</v>
      </c>
      <c r="D584" s="11">
        <v>1420</v>
      </c>
      <c r="E584" s="11">
        <v>295</v>
      </c>
      <c r="F584" s="11">
        <v>3</v>
      </c>
    </row>
    <row r="585" spans="1:6">
      <c r="A585" s="42">
        <v>46258</v>
      </c>
      <c r="B585" s="41" t="s">
        <v>25</v>
      </c>
      <c r="C585" s="11">
        <v>1420</v>
      </c>
      <c r="D585" s="11">
        <v>1420</v>
      </c>
      <c r="E585" s="11">
        <v>295</v>
      </c>
      <c r="F585" s="11">
        <v>3</v>
      </c>
    </row>
    <row r="586" spans="1:6">
      <c r="A586" s="42">
        <v>46258.041666666664</v>
      </c>
      <c r="B586" s="41" t="s">
        <v>25</v>
      </c>
      <c r="C586" s="11">
        <v>1420</v>
      </c>
      <c r="D586" s="11">
        <v>1420</v>
      </c>
      <c r="E586" s="11">
        <v>295</v>
      </c>
      <c r="F586" s="11">
        <v>3</v>
      </c>
    </row>
    <row r="587" spans="1:6">
      <c r="A587" s="42">
        <v>46258.083333333336</v>
      </c>
      <c r="B587" s="41" t="s">
        <v>25</v>
      </c>
      <c r="C587" s="11">
        <v>1420</v>
      </c>
      <c r="D587" s="11">
        <v>1420</v>
      </c>
      <c r="E587" s="11">
        <v>295</v>
      </c>
      <c r="F587" s="11">
        <v>3</v>
      </c>
    </row>
    <row r="588" spans="1:6">
      <c r="A588" s="42">
        <v>46258.125</v>
      </c>
      <c r="B588" s="41" t="s">
        <v>25</v>
      </c>
      <c r="C588" s="11">
        <v>1420</v>
      </c>
      <c r="D588" s="11">
        <v>1420</v>
      </c>
      <c r="E588" s="11">
        <v>295</v>
      </c>
      <c r="F588" s="11">
        <v>3</v>
      </c>
    </row>
    <row r="589" spans="1:6">
      <c r="A589" s="42">
        <v>46258.166666666664</v>
      </c>
      <c r="B589" s="41" t="s">
        <v>25</v>
      </c>
      <c r="C589" s="11">
        <v>1420</v>
      </c>
      <c r="D589" s="11">
        <v>1420</v>
      </c>
      <c r="E589" s="11">
        <v>295</v>
      </c>
      <c r="F589" s="11">
        <v>3</v>
      </c>
    </row>
    <row r="590" spans="1:6">
      <c r="A590" s="42">
        <v>46258.208333333336</v>
      </c>
      <c r="B590" s="41" t="s">
        <v>25</v>
      </c>
      <c r="C590" s="11">
        <v>1420</v>
      </c>
      <c r="D590" s="11">
        <v>1420</v>
      </c>
      <c r="E590" s="11">
        <v>295</v>
      </c>
      <c r="F590" s="11">
        <v>3</v>
      </c>
    </row>
    <row r="591" spans="1:6">
      <c r="A591" s="42">
        <v>46258.25</v>
      </c>
      <c r="B591" s="41" t="s">
        <v>25</v>
      </c>
      <c r="C591" s="11">
        <v>1420</v>
      </c>
      <c r="D591" s="11">
        <v>1420</v>
      </c>
      <c r="E591" s="11">
        <v>295</v>
      </c>
      <c r="F591" s="11">
        <v>3</v>
      </c>
    </row>
    <row r="592" spans="1:6">
      <c r="A592" s="42">
        <v>46258.291666666664</v>
      </c>
      <c r="B592" s="41" t="s">
        <v>25</v>
      </c>
      <c r="C592" s="11">
        <v>1420</v>
      </c>
      <c r="D592" s="11">
        <v>1420</v>
      </c>
      <c r="E592" s="11">
        <v>295</v>
      </c>
      <c r="F592" s="11">
        <v>3</v>
      </c>
    </row>
    <row r="593" spans="1:6">
      <c r="A593" s="42">
        <v>46258.333333333336</v>
      </c>
      <c r="B593" s="41" t="s">
        <v>25</v>
      </c>
      <c r="C593" s="11">
        <v>1420</v>
      </c>
      <c r="D593" s="11">
        <v>1420</v>
      </c>
      <c r="E593" s="11">
        <v>295</v>
      </c>
      <c r="F593" s="11">
        <v>3</v>
      </c>
    </row>
    <row r="594" spans="1:6">
      <c r="A594" s="42">
        <v>46258.375</v>
      </c>
      <c r="B594" s="41" t="s">
        <v>25</v>
      </c>
      <c r="C594" s="11">
        <v>1420</v>
      </c>
      <c r="D594" s="11">
        <v>1420</v>
      </c>
      <c r="E594" s="11">
        <v>295</v>
      </c>
      <c r="F594" s="11">
        <v>3</v>
      </c>
    </row>
    <row r="595" spans="1:6">
      <c r="A595" s="42">
        <v>46258.416666666664</v>
      </c>
      <c r="B595" s="41" t="s">
        <v>25</v>
      </c>
      <c r="C595" s="11">
        <v>1420</v>
      </c>
      <c r="D595" s="11">
        <v>1420</v>
      </c>
      <c r="E595" s="11">
        <v>295</v>
      </c>
      <c r="F595" s="11">
        <v>3</v>
      </c>
    </row>
    <row r="596" spans="1:6">
      <c r="A596" s="42">
        <v>46258.458333333336</v>
      </c>
      <c r="B596" s="41" t="s">
        <v>25</v>
      </c>
      <c r="C596" s="11">
        <v>1420</v>
      </c>
      <c r="D596" s="11">
        <v>1420</v>
      </c>
      <c r="E596" s="11">
        <v>295</v>
      </c>
      <c r="F596" s="11">
        <v>3</v>
      </c>
    </row>
    <row r="597" spans="1:6">
      <c r="A597" s="42">
        <v>46258.5</v>
      </c>
      <c r="B597" s="41" t="s">
        <v>25</v>
      </c>
      <c r="C597" s="11">
        <v>1420</v>
      </c>
      <c r="D597" s="11">
        <v>1420</v>
      </c>
      <c r="E597" s="11">
        <v>295</v>
      </c>
      <c r="F597" s="11">
        <v>3</v>
      </c>
    </row>
    <row r="598" spans="1:6">
      <c r="A598" s="42">
        <v>46258.541666666664</v>
      </c>
      <c r="B598" s="41" t="s">
        <v>25</v>
      </c>
      <c r="C598" s="11">
        <v>1420</v>
      </c>
      <c r="D598" s="11">
        <v>1420</v>
      </c>
      <c r="E598" s="11">
        <v>295</v>
      </c>
      <c r="F598" s="11">
        <v>3</v>
      </c>
    </row>
    <row r="599" spans="1:6">
      <c r="A599" s="42">
        <v>46258.583333333336</v>
      </c>
      <c r="B599" s="41" t="s">
        <v>25</v>
      </c>
      <c r="C599" s="11">
        <v>1420</v>
      </c>
      <c r="D599" s="11">
        <v>1420</v>
      </c>
      <c r="E599" s="11">
        <v>295</v>
      </c>
      <c r="F599" s="11">
        <v>3</v>
      </c>
    </row>
    <row r="600" spans="1:6">
      <c r="A600" s="42">
        <v>46258.625</v>
      </c>
      <c r="B600" s="41" t="s">
        <v>25</v>
      </c>
      <c r="C600" s="11">
        <v>1420</v>
      </c>
      <c r="D600" s="11">
        <v>1420</v>
      </c>
      <c r="E600" s="11">
        <v>295</v>
      </c>
      <c r="F600" s="11">
        <v>3</v>
      </c>
    </row>
    <row r="601" spans="1:6">
      <c r="A601" s="42">
        <v>46258.666666666664</v>
      </c>
      <c r="B601" s="41" t="s">
        <v>25</v>
      </c>
      <c r="C601" s="11">
        <v>1420</v>
      </c>
      <c r="D601" s="11">
        <v>1420</v>
      </c>
      <c r="E601" s="11">
        <v>295</v>
      </c>
      <c r="F601" s="11">
        <v>3</v>
      </c>
    </row>
    <row r="602" spans="1:6">
      <c r="A602" s="42">
        <v>46258.708333333336</v>
      </c>
      <c r="B602" s="41" t="s">
        <v>25</v>
      </c>
      <c r="C602" s="11">
        <v>1420</v>
      </c>
      <c r="D602" s="11">
        <v>1420</v>
      </c>
      <c r="E602" s="11">
        <v>295</v>
      </c>
      <c r="F602" s="11">
        <v>3</v>
      </c>
    </row>
    <row r="603" spans="1:6">
      <c r="A603" s="42">
        <v>46258.75</v>
      </c>
      <c r="B603" s="41" t="s">
        <v>25</v>
      </c>
      <c r="C603" s="11">
        <v>1420</v>
      </c>
      <c r="D603" s="11">
        <v>1420</v>
      </c>
      <c r="E603" s="11">
        <v>295</v>
      </c>
      <c r="F603" s="11">
        <v>3</v>
      </c>
    </row>
    <row r="604" spans="1:6">
      <c r="A604" s="42">
        <v>46258.791666666664</v>
      </c>
      <c r="B604" s="41" t="s">
        <v>25</v>
      </c>
      <c r="C604" s="11">
        <v>1420</v>
      </c>
      <c r="D604" s="11">
        <v>1420</v>
      </c>
      <c r="E604" s="11">
        <v>295</v>
      </c>
      <c r="F604" s="11">
        <v>3</v>
      </c>
    </row>
    <row r="605" spans="1:6">
      <c r="A605" s="42">
        <v>46258.833333333336</v>
      </c>
      <c r="B605" s="41" t="s">
        <v>25</v>
      </c>
      <c r="C605" s="11">
        <v>1420</v>
      </c>
      <c r="D605" s="11">
        <v>1420</v>
      </c>
      <c r="E605" s="11">
        <v>295</v>
      </c>
      <c r="F605" s="11">
        <v>3</v>
      </c>
    </row>
    <row r="606" spans="1:6">
      <c r="A606" s="42">
        <v>46258.875</v>
      </c>
      <c r="B606" s="41" t="s">
        <v>25</v>
      </c>
      <c r="C606" s="11">
        <v>1420</v>
      </c>
      <c r="D606" s="11">
        <v>1420</v>
      </c>
      <c r="E606" s="11">
        <v>295</v>
      </c>
      <c r="F606" s="11">
        <v>3</v>
      </c>
    </row>
    <row r="607" spans="1:6">
      <c r="A607" s="42">
        <v>46258.916666666664</v>
      </c>
      <c r="B607" s="41" t="s">
        <v>25</v>
      </c>
      <c r="C607" s="11">
        <v>1420</v>
      </c>
      <c r="D607" s="11">
        <v>1420</v>
      </c>
      <c r="E607" s="11">
        <v>295</v>
      </c>
      <c r="F607" s="11">
        <v>3</v>
      </c>
    </row>
    <row r="608" spans="1:6">
      <c r="A608" s="42">
        <v>46258.958333333336</v>
      </c>
      <c r="B608" s="41" t="s">
        <v>25</v>
      </c>
      <c r="C608" s="11">
        <v>1420</v>
      </c>
      <c r="D608" s="11">
        <v>1420</v>
      </c>
      <c r="E608" s="11">
        <v>295</v>
      </c>
      <c r="F608" s="11">
        <v>3</v>
      </c>
    </row>
    <row r="609" spans="1:6">
      <c r="A609" s="42">
        <v>46259</v>
      </c>
      <c r="B609" s="41" t="s">
        <v>25</v>
      </c>
      <c r="C609" s="11">
        <v>1420</v>
      </c>
      <c r="D609" s="11">
        <v>1420</v>
      </c>
      <c r="E609" s="11">
        <v>295</v>
      </c>
      <c r="F609" s="11">
        <v>3</v>
      </c>
    </row>
    <row r="610" spans="1:6">
      <c r="A610" s="42">
        <v>46259.041666666664</v>
      </c>
      <c r="B610" s="41" t="s">
        <v>25</v>
      </c>
      <c r="C610" s="11">
        <v>1420</v>
      </c>
      <c r="D610" s="11">
        <v>1420</v>
      </c>
      <c r="E610" s="11">
        <v>295</v>
      </c>
      <c r="F610" s="11">
        <v>3</v>
      </c>
    </row>
    <row r="611" spans="1:6">
      <c r="A611" s="42">
        <v>46259.083333333336</v>
      </c>
      <c r="B611" s="41" t="s">
        <v>25</v>
      </c>
      <c r="C611" s="11">
        <v>1420</v>
      </c>
      <c r="D611" s="11">
        <v>1420</v>
      </c>
      <c r="E611" s="11">
        <v>295</v>
      </c>
      <c r="F611" s="11">
        <v>3</v>
      </c>
    </row>
    <row r="612" spans="1:6">
      <c r="A612" s="42">
        <v>46259.125</v>
      </c>
      <c r="B612" s="41" t="s">
        <v>25</v>
      </c>
      <c r="C612" s="11">
        <v>1420</v>
      </c>
      <c r="D612" s="11">
        <v>1420</v>
      </c>
      <c r="E612" s="11">
        <v>295</v>
      </c>
      <c r="F612" s="11">
        <v>3</v>
      </c>
    </row>
    <row r="613" spans="1:6">
      <c r="A613" s="42">
        <v>46259.166666666664</v>
      </c>
      <c r="B613" s="41" t="s">
        <v>25</v>
      </c>
      <c r="C613" s="11">
        <v>1420</v>
      </c>
      <c r="D613" s="11">
        <v>1420</v>
      </c>
      <c r="E613" s="11">
        <v>295</v>
      </c>
      <c r="F613" s="11">
        <v>3</v>
      </c>
    </row>
    <row r="614" spans="1:6">
      <c r="A614" s="42">
        <v>46259.208333333336</v>
      </c>
      <c r="B614" s="41" t="s">
        <v>25</v>
      </c>
      <c r="C614" s="11">
        <v>1420</v>
      </c>
      <c r="D614" s="11">
        <v>1420</v>
      </c>
      <c r="E614" s="11">
        <v>295</v>
      </c>
      <c r="F614" s="11">
        <v>3</v>
      </c>
    </row>
    <row r="615" spans="1:6">
      <c r="A615" s="42">
        <v>46259.25</v>
      </c>
      <c r="B615" s="41" t="s">
        <v>25</v>
      </c>
      <c r="C615" s="11">
        <v>1420</v>
      </c>
      <c r="D615" s="11">
        <v>1420</v>
      </c>
      <c r="E615" s="11">
        <v>295</v>
      </c>
      <c r="F615" s="11">
        <v>3</v>
      </c>
    </row>
    <row r="616" spans="1:6">
      <c r="A616" s="42">
        <v>46259.291666666664</v>
      </c>
      <c r="B616" s="41" t="s">
        <v>25</v>
      </c>
      <c r="C616" s="11">
        <v>1420</v>
      </c>
      <c r="D616" s="11">
        <v>1420</v>
      </c>
      <c r="E616" s="11">
        <v>295</v>
      </c>
      <c r="F616" s="11">
        <v>3</v>
      </c>
    </row>
    <row r="617" spans="1:6">
      <c r="A617" s="42">
        <v>46259.333333333336</v>
      </c>
      <c r="B617" s="41" t="s">
        <v>25</v>
      </c>
      <c r="C617" s="11">
        <v>1420</v>
      </c>
      <c r="D617" s="11">
        <v>1420</v>
      </c>
      <c r="E617" s="11">
        <v>295</v>
      </c>
      <c r="F617" s="11">
        <v>3</v>
      </c>
    </row>
    <row r="618" spans="1:6">
      <c r="A618" s="42">
        <v>46259.375</v>
      </c>
      <c r="B618" s="41" t="s">
        <v>25</v>
      </c>
      <c r="C618" s="11">
        <v>1420</v>
      </c>
      <c r="D618" s="11">
        <v>1420</v>
      </c>
      <c r="E618" s="11">
        <v>295</v>
      </c>
      <c r="F618" s="11">
        <v>3</v>
      </c>
    </row>
    <row r="619" spans="1:6">
      <c r="A619" s="42">
        <v>46259.416666666664</v>
      </c>
      <c r="B619" s="41" t="s">
        <v>25</v>
      </c>
      <c r="C619" s="11">
        <v>1420</v>
      </c>
      <c r="D619" s="11">
        <v>1420</v>
      </c>
      <c r="E619" s="11">
        <v>295</v>
      </c>
      <c r="F619" s="11">
        <v>3</v>
      </c>
    </row>
    <row r="620" spans="1:6">
      <c r="A620" s="42">
        <v>46259.458333333336</v>
      </c>
      <c r="B620" s="41" t="s">
        <v>25</v>
      </c>
      <c r="C620" s="11">
        <v>1420</v>
      </c>
      <c r="D620" s="11">
        <v>1420</v>
      </c>
      <c r="E620" s="11">
        <v>295</v>
      </c>
      <c r="F620" s="11">
        <v>3</v>
      </c>
    </row>
    <row r="621" spans="1:6">
      <c r="A621" s="42">
        <v>46259.5</v>
      </c>
      <c r="B621" s="41" t="s">
        <v>25</v>
      </c>
      <c r="C621" s="11">
        <v>1420</v>
      </c>
      <c r="D621" s="11">
        <v>1420</v>
      </c>
      <c r="E621" s="11">
        <v>295</v>
      </c>
      <c r="F621" s="11">
        <v>3</v>
      </c>
    </row>
    <row r="622" spans="1:6">
      <c r="A622" s="42">
        <v>46259.541666666664</v>
      </c>
      <c r="B622" s="41" t="s">
        <v>25</v>
      </c>
      <c r="C622" s="11">
        <v>1420</v>
      </c>
      <c r="D622" s="11">
        <v>1420</v>
      </c>
      <c r="E622" s="11">
        <v>295</v>
      </c>
      <c r="F622" s="11">
        <v>3</v>
      </c>
    </row>
    <row r="623" spans="1:6">
      <c r="A623" s="42">
        <v>46259.583333333336</v>
      </c>
      <c r="B623" s="41" t="s">
        <v>25</v>
      </c>
      <c r="C623" s="11">
        <v>1420</v>
      </c>
      <c r="D623" s="11">
        <v>1420</v>
      </c>
      <c r="E623" s="11">
        <v>295</v>
      </c>
      <c r="F623" s="11">
        <v>3</v>
      </c>
    </row>
    <row r="624" spans="1:6">
      <c r="A624" s="42">
        <v>46259.625</v>
      </c>
      <c r="B624" s="41" t="s">
        <v>25</v>
      </c>
      <c r="C624" s="11">
        <v>1420</v>
      </c>
      <c r="D624" s="11">
        <v>1420</v>
      </c>
      <c r="E624" s="11">
        <v>295</v>
      </c>
      <c r="F624" s="11">
        <v>3</v>
      </c>
    </row>
    <row r="625" spans="1:6">
      <c r="A625" s="42">
        <v>46259.666666666664</v>
      </c>
      <c r="B625" s="41" t="s">
        <v>25</v>
      </c>
      <c r="C625" s="11">
        <v>1420</v>
      </c>
      <c r="D625" s="11">
        <v>1420</v>
      </c>
      <c r="E625" s="11">
        <v>295</v>
      </c>
      <c r="F625" s="11">
        <v>3</v>
      </c>
    </row>
    <row r="626" spans="1:6">
      <c r="A626" s="42">
        <v>46259.708333333336</v>
      </c>
      <c r="B626" s="41" t="s">
        <v>25</v>
      </c>
      <c r="C626" s="11">
        <v>1420</v>
      </c>
      <c r="D626" s="11">
        <v>1420</v>
      </c>
      <c r="E626" s="11">
        <v>295</v>
      </c>
      <c r="F626" s="11">
        <v>3</v>
      </c>
    </row>
    <row r="627" spans="1:6">
      <c r="A627" s="42">
        <v>46259.75</v>
      </c>
      <c r="B627" s="41" t="s">
        <v>25</v>
      </c>
      <c r="C627" s="11">
        <v>1420</v>
      </c>
      <c r="D627" s="11">
        <v>1420</v>
      </c>
      <c r="E627" s="11">
        <v>295</v>
      </c>
      <c r="F627" s="11">
        <v>3</v>
      </c>
    </row>
    <row r="628" spans="1:6">
      <c r="A628" s="42">
        <v>46259.791666666664</v>
      </c>
      <c r="B628" s="41" t="s">
        <v>25</v>
      </c>
      <c r="C628" s="11">
        <v>1420</v>
      </c>
      <c r="D628" s="11">
        <v>1420</v>
      </c>
      <c r="E628" s="11">
        <v>295</v>
      </c>
      <c r="F628" s="11">
        <v>3</v>
      </c>
    </row>
    <row r="629" spans="1:6">
      <c r="A629" s="42">
        <v>46259.833333333336</v>
      </c>
      <c r="B629" s="41" t="s">
        <v>25</v>
      </c>
      <c r="C629" s="11">
        <v>1420</v>
      </c>
      <c r="D629" s="11">
        <v>1420</v>
      </c>
      <c r="E629" s="11">
        <v>295</v>
      </c>
      <c r="F629" s="11">
        <v>3</v>
      </c>
    </row>
    <row r="630" spans="1:6">
      <c r="A630" s="42">
        <v>46259.875</v>
      </c>
      <c r="B630" s="41" t="s">
        <v>25</v>
      </c>
      <c r="C630" s="11">
        <v>1420</v>
      </c>
      <c r="D630" s="11">
        <v>1420</v>
      </c>
      <c r="E630" s="11">
        <v>295</v>
      </c>
      <c r="F630" s="11">
        <v>3</v>
      </c>
    </row>
    <row r="631" spans="1:6">
      <c r="A631" s="42">
        <v>46259.916666666664</v>
      </c>
      <c r="B631" s="41" t="s">
        <v>25</v>
      </c>
      <c r="C631" s="11">
        <v>1420</v>
      </c>
      <c r="D631" s="11">
        <v>1420</v>
      </c>
      <c r="E631" s="11">
        <v>295</v>
      </c>
      <c r="F631" s="11">
        <v>3</v>
      </c>
    </row>
    <row r="632" spans="1:6">
      <c r="A632" s="42">
        <v>46259.958333333336</v>
      </c>
      <c r="B632" s="41" t="s">
        <v>25</v>
      </c>
      <c r="C632" s="11">
        <v>1420</v>
      </c>
      <c r="D632" s="11">
        <v>1420</v>
      </c>
      <c r="E632" s="11">
        <v>295</v>
      </c>
      <c r="F632" s="11">
        <v>3</v>
      </c>
    </row>
    <row r="633" spans="1:6">
      <c r="A633" s="42">
        <v>46260</v>
      </c>
      <c r="B633" s="41" t="s">
        <v>25</v>
      </c>
      <c r="C633" s="11">
        <v>1420</v>
      </c>
      <c r="D633" s="11">
        <v>1420</v>
      </c>
      <c r="E633" s="11">
        <v>295</v>
      </c>
      <c r="F633" s="11">
        <v>3</v>
      </c>
    </row>
    <row r="634" spans="1:6">
      <c r="A634" s="42">
        <v>46260.041666666664</v>
      </c>
      <c r="B634" s="41" t="s">
        <v>25</v>
      </c>
      <c r="C634" s="11">
        <v>1420</v>
      </c>
      <c r="D634" s="11">
        <v>1420</v>
      </c>
      <c r="E634" s="11">
        <v>295</v>
      </c>
      <c r="F634" s="11">
        <v>3</v>
      </c>
    </row>
    <row r="635" spans="1:6">
      <c r="A635" s="42">
        <v>46260.083333333336</v>
      </c>
      <c r="B635" s="41" t="s">
        <v>25</v>
      </c>
      <c r="C635" s="11">
        <v>1420</v>
      </c>
      <c r="D635" s="11">
        <v>1420</v>
      </c>
      <c r="E635" s="11">
        <v>295</v>
      </c>
      <c r="F635" s="11">
        <v>3</v>
      </c>
    </row>
    <row r="636" spans="1:6">
      <c r="A636" s="42">
        <v>46260.125</v>
      </c>
      <c r="B636" s="41" t="s">
        <v>25</v>
      </c>
      <c r="C636" s="11">
        <v>1420</v>
      </c>
      <c r="D636" s="11">
        <v>1420</v>
      </c>
      <c r="E636" s="11">
        <v>295</v>
      </c>
      <c r="F636" s="11">
        <v>3</v>
      </c>
    </row>
    <row r="637" spans="1:6">
      <c r="A637" s="42">
        <v>46260.166666666664</v>
      </c>
      <c r="B637" s="41" t="s">
        <v>25</v>
      </c>
      <c r="C637" s="11">
        <v>1420</v>
      </c>
      <c r="D637" s="11">
        <v>1420</v>
      </c>
      <c r="E637" s="11">
        <v>295</v>
      </c>
      <c r="F637" s="11">
        <v>3</v>
      </c>
    </row>
    <row r="638" spans="1:6">
      <c r="A638" s="42">
        <v>46260.208333333336</v>
      </c>
      <c r="B638" s="41" t="s">
        <v>25</v>
      </c>
      <c r="C638" s="11">
        <v>1420</v>
      </c>
      <c r="D638" s="11">
        <v>1420</v>
      </c>
      <c r="E638" s="11">
        <v>295</v>
      </c>
      <c r="F638" s="11">
        <v>3</v>
      </c>
    </row>
    <row r="639" spans="1:6">
      <c r="A639" s="42">
        <v>46260.25</v>
      </c>
      <c r="B639" s="41" t="s">
        <v>25</v>
      </c>
      <c r="C639" s="11">
        <v>1420</v>
      </c>
      <c r="D639" s="11">
        <v>1420</v>
      </c>
      <c r="E639" s="11">
        <v>295</v>
      </c>
      <c r="F639" s="11">
        <v>3</v>
      </c>
    </row>
    <row r="640" spans="1:6">
      <c r="A640" s="42">
        <v>46260.291666666664</v>
      </c>
      <c r="B640" s="41" t="s">
        <v>25</v>
      </c>
      <c r="C640" s="11">
        <v>1420</v>
      </c>
      <c r="D640" s="11">
        <v>1420</v>
      </c>
      <c r="E640" s="11">
        <v>295</v>
      </c>
      <c r="F640" s="11">
        <v>3</v>
      </c>
    </row>
    <row r="641" spans="1:6">
      <c r="A641" s="42">
        <v>46260.333333333336</v>
      </c>
      <c r="B641" s="41" t="s">
        <v>25</v>
      </c>
      <c r="C641" s="11">
        <v>1420</v>
      </c>
      <c r="D641" s="11">
        <v>1420</v>
      </c>
      <c r="E641" s="11">
        <v>295</v>
      </c>
      <c r="F641" s="11">
        <v>3</v>
      </c>
    </row>
    <row r="642" spans="1:6">
      <c r="A642" s="42">
        <v>46260.375</v>
      </c>
      <c r="B642" s="41" t="s">
        <v>25</v>
      </c>
      <c r="C642" s="11">
        <v>1420</v>
      </c>
      <c r="D642" s="11">
        <v>1420</v>
      </c>
      <c r="E642" s="11">
        <v>295</v>
      </c>
      <c r="F642" s="11">
        <v>3</v>
      </c>
    </row>
    <row r="643" spans="1:6">
      <c r="A643" s="42">
        <v>46260.416666666664</v>
      </c>
      <c r="B643" s="41" t="s">
        <v>25</v>
      </c>
      <c r="C643" s="11">
        <v>1420</v>
      </c>
      <c r="D643" s="11">
        <v>1420</v>
      </c>
      <c r="E643" s="11">
        <v>295</v>
      </c>
      <c r="F643" s="11">
        <v>3</v>
      </c>
    </row>
    <row r="644" spans="1:6">
      <c r="A644" s="19"/>
    </row>
    <row r="645" spans="1:6">
      <c r="A645" s="19"/>
    </row>
    <row r="646" spans="1:6">
      <c r="A646" s="19"/>
    </row>
    <row r="647" spans="1:6">
      <c r="A647" s="19"/>
    </row>
    <row r="648" spans="1:6">
      <c r="A648" s="19"/>
    </row>
    <row r="649" spans="1:6">
      <c r="A649" s="19"/>
    </row>
    <row r="650" spans="1:6">
      <c r="A650" s="19"/>
    </row>
    <row r="651" spans="1:6">
      <c r="A651" s="19"/>
    </row>
    <row r="652" spans="1:6">
      <c r="A652" s="19"/>
    </row>
    <row r="653" spans="1:6">
      <c r="A653" s="19"/>
    </row>
    <row r="654" spans="1:6">
      <c r="A654" s="19"/>
    </row>
    <row r="655" spans="1:6">
      <c r="A655" s="19"/>
    </row>
    <row r="656" spans="1:6">
      <c r="A656" s="19"/>
    </row>
    <row r="657" spans="1:1">
      <c r="A657" s="19"/>
    </row>
    <row r="658" spans="1:1">
      <c r="A658" s="19"/>
    </row>
    <row r="659" spans="1:1">
      <c r="A659" s="19"/>
    </row>
    <row r="660" spans="1:1">
      <c r="A660" s="19"/>
    </row>
    <row r="661" spans="1:1">
      <c r="A661" s="19"/>
    </row>
    <row r="662" spans="1:1">
      <c r="A662" s="19"/>
    </row>
    <row r="663" spans="1:1">
      <c r="A663" s="19"/>
    </row>
    <row r="664" spans="1:1">
      <c r="A664" s="19"/>
    </row>
    <row r="665" spans="1:1">
      <c r="A665" s="19"/>
    </row>
    <row r="666" spans="1:1">
      <c r="A666" s="19"/>
    </row>
    <row r="667" spans="1:1">
      <c r="A667" s="19"/>
    </row>
    <row r="668" spans="1:1">
      <c r="A668" s="19"/>
    </row>
    <row r="669" spans="1:1">
      <c r="A669" s="19"/>
    </row>
    <row r="670" spans="1:1">
      <c r="A670" s="19"/>
    </row>
    <row r="671" spans="1:1">
      <c r="A671" s="19"/>
    </row>
    <row r="672" spans="1:1">
      <c r="A672" s="19"/>
    </row>
    <row r="673" spans="1:1">
      <c r="A673" s="19"/>
    </row>
    <row r="674" spans="1:1">
      <c r="A674" s="19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3"/>
  <sheetViews>
    <sheetView topLeftCell="A7" workbookViewId="0">
      <selection activeCell="H1" sqref="H1:V1048576"/>
    </sheetView>
  </sheetViews>
  <sheetFormatPr defaultRowHeight="13.5"/>
  <cols>
    <col min="1" max="1" width="18.875" style="14" customWidth="1"/>
  </cols>
  <sheetData>
    <row r="1" spans="1:6">
      <c r="A1" s="18" t="s">
        <v>30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</row>
    <row r="2" spans="1:6">
      <c r="A2" s="14">
        <v>46233.708333333336</v>
      </c>
      <c r="B2" t="s">
        <v>26</v>
      </c>
      <c r="C2">
        <v>1420</v>
      </c>
      <c r="D2">
        <v>3794.7890000000002</v>
      </c>
      <c r="E2">
        <v>250.81399999999999</v>
      </c>
      <c r="F2">
        <v>3735.4110000000001</v>
      </c>
    </row>
    <row r="3" spans="1:6">
      <c r="A3" s="14">
        <v>46233.75</v>
      </c>
      <c r="B3" t="s">
        <v>26</v>
      </c>
      <c r="C3">
        <v>1420</v>
      </c>
      <c r="D3">
        <v>3790.5949999999998</v>
      </c>
      <c r="E3">
        <v>250.7681</v>
      </c>
      <c r="F3">
        <v>3726.8690000000001</v>
      </c>
    </row>
    <row r="4" spans="1:6">
      <c r="A4" s="14">
        <v>46233.791666666664</v>
      </c>
      <c r="B4" t="s">
        <v>26</v>
      </c>
      <c r="C4">
        <v>1420</v>
      </c>
      <c r="D4">
        <v>3783.3440000000001</v>
      </c>
      <c r="E4">
        <v>250.72229999999999</v>
      </c>
      <c r="F4">
        <v>3718.348</v>
      </c>
    </row>
    <row r="5" spans="1:6">
      <c r="A5" s="14">
        <v>46233.833333333336</v>
      </c>
      <c r="B5" t="s">
        <v>26</v>
      </c>
      <c r="C5">
        <v>1420</v>
      </c>
      <c r="D5">
        <v>3774.0949999999998</v>
      </c>
      <c r="E5">
        <v>250.67670000000001</v>
      </c>
      <c r="F5">
        <v>3709.857</v>
      </c>
    </row>
    <row r="6" spans="1:6">
      <c r="A6" s="14">
        <v>46233.875</v>
      </c>
      <c r="B6" t="s">
        <v>26</v>
      </c>
      <c r="C6">
        <v>1420</v>
      </c>
      <c r="D6">
        <v>3758.4110000000001</v>
      </c>
      <c r="E6">
        <v>250.63120000000001</v>
      </c>
      <c r="F6">
        <v>3701.41</v>
      </c>
    </row>
    <row r="7" spans="1:6">
      <c r="A7" s="14">
        <v>46233.916666666664</v>
      </c>
      <c r="B7" t="s">
        <v>26</v>
      </c>
      <c r="C7">
        <v>1420</v>
      </c>
      <c r="D7">
        <v>3740.7469999999998</v>
      </c>
      <c r="E7">
        <v>250.58619999999999</v>
      </c>
      <c r="F7">
        <v>3693.0239999999999</v>
      </c>
    </row>
    <row r="8" spans="1:6">
      <c r="A8" s="14">
        <v>46233.958333333336</v>
      </c>
      <c r="B8" t="s">
        <v>26</v>
      </c>
      <c r="C8">
        <v>1420.5</v>
      </c>
      <c r="D8">
        <v>3720.2820000000002</v>
      </c>
      <c r="E8">
        <v>250.54140000000001</v>
      </c>
      <c r="F8">
        <v>3684.7069999999999</v>
      </c>
    </row>
    <row r="9" spans="1:6">
      <c r="A9" s="14">
        <v>46234</v>
      </c>
      <c r="B9" t="s">
        <v>26</v>
      </c>
      <c r="C9">
        <v>1421</v>
      </c>
      <c r="D9">
        <v>3697.9009999999998</v>
      </c>
      <c r="E9">
        <v>250.49709999999999</v>
      </c>
      <c r="F9">
        <v>3676.4690000000001</v>
      </c>
    </row>
    <row r="10" spans="1:6">
      <c r="A10" s="14">
        <v>46234.041666666664</v>
      </c>
      <c r="B10" t="s">
        <v>26</v>
      </c>
      <c r="C10">
        <v>1423</v>
      </c>
      <c r="D10">
        <v>3675.181</v>
      </c>
      <c r="E10">
        <v>250.45330000000001</v>
      </c>
      <c r="F10">
        <v>3668.3159999999998</v>
      </c>
    </row>
    <row r="11" spans="1:6">
      <c r="A11" s="14">
        <v>46234.083333333336</v>
      </c>
      <c r="B11" t="s">
        <v>26</v>
      </c>
      <c r="C11">
        <v>1425</v>
      </c>
      <c r="D11">
        <v>3650.74</v>
      </c>
      <c r="E11">
        <v>250.41</v>
      </c>
      <c r="F11">
        <v>3660.2559999999999</v>
      </c>
    </row>
    <row r="12" spans="1:6">
      <c r="A12" s="14">
        <v>46234.125</v>
      </c>
      <c r="B12" t="s">
        <v>26</v>
      </c>
      <c r="C12">
        <v>1431.5</v>
      </c>
      <c r="D12">
        <v>3625.4839999999999</v>
      </c>
      <c r="E12">
        <v>250.3672</v>
      </c>
      <c r="F12">
        <v>3652.3009999999999</v>
      </c>
    </row>
    <row r="13" spans="1:6">
      <c r="A13" s="14">
        <v>46234.166666666664</v>
      </c>
      <c r="B13" t="s">
        <v>26</v>
      </c>
      <c r="C13">
        <v>1438</v>
      </c>
      <c r="D13">
        <v>3598.9290000000001</v>
      </c>
      <c r="E13">
        <v>250.32509999999999</v>
      </c>
      <c r="F13">
        <v>3644.462</v>
      </c>
    </row>
    <row r="14" spans="1:6">
      <c r="A14" s="14">
        <v>46234.208333333336</v>
      </c>
      <c r="B14" t="s">
        <v>26</v>
      </c>
      <c r="C14">
        <v>1457.5</v>
      </c>
      <c r="D14">
        <v>3569.8879999999999</v>
      </c>
      <c r="E14">
        <v>250.28370000000001</v>
      </c>
      <c r="F14">
        <v>3636.77</v>
      </c>
    </row>
    <row r="15" spans="1:6">
      <c r="A15" s="14">
        <v>46234.25</v>
      </c>
      <c r="B15" t="s">
        <v>26</v>
      </c>
      <c r="C15">
        <v>1477</v>
      </c>
      <c r="D15">
        <v>3540.0039999999999</v>
      </c>
      <c r="E15">
        <v>250.2433</v>
      </c>
      <c r="F15">
        <v>3629.2539999999999</v>
      </c>
    </row>
    <row r="16" spans="1:6">
      <c r="A16" s="14">
        <v>46234.291666666664</v>
      </c>
      <c r="B16" t="s">
        <v>26</v>
      </c>
      <c r="C16">
        <v>1516.5</v>
      </c>
      <c r="D16">
        <v>3504.587</v>
      </c>
      <c r="E16">
        <v>250.20410000000001</v>
      </c>
      <c r="F16">
        <v>3621.962</v>
      </c>
    </row>
    <row r="17" spans="1:6">
      <c r="A17" s="14">
        <v>46234.333333333336</v>
      </c>
      <c r="B17" t="s">
        <v>26</v>
      </c>
      <c r="C17">
        <v>1556</v>
      </c>
      <c r="D17">
        <v>3469.0390000000002</v>
      </c>
      <c r="E17">
        <v>250.16640000000001</v>
      </c>
      <c r="F17">
        <v>3614.94</v>
      </c>
    </row>
    <row r="18" spans="1:6">
      <c r="A18" s="14">
        <v>46234.375</v>
      </c>
      <c r="B18" t="s">
        <v>26</v>
      </c>
      <c r="C18">
        <v>1733</v>
      </c>
      <c r="D18">
        <v>3406.0770000000002</v>
      </c>
      <c r="E18">
        <v>250.13159999999999</v>
      </c>
      <c r="F18">
        <v>3608.4850000000001</v>
      </c>
    </row>
    <row r="19" spans="1:6">
      <c r="A19" s="14">
        <v>46234.416666666664</v>
      </c>
      <c r="B19" t="s">
        <v>26</v>
      </c>
      <c r="C19">
        <v>1910</v>
      </c>
      <c r="D19">
        <v>3345.0729999999999</v>
      </c>
      <c r="E19">
        <v>250.10159999999999</v>
      </c>
      <c r="F19">
        <v>3602.89</v>
      </c>
    </row>
    <row r="20" spans="1:6">
      <c r="A20" s="14">
        <v>46234.458333333336</v>
      </c>
      <c r="B20" t="s">
        <v>26</v>
      </c>
      <c r="C20">
        <v>2180.5</v>
      </c>
      <c r="D20">
        <v>3172.2559999999999</v>
      </c>
      <c r="E20">
        <v>250.07810000000001</v>
      </c>
      <c r="F20">
        <v>3598.5219999999999</v>
      </c>
    </row>
    <row r="21" spans="1:6">
      <c r="A21" s="14">
        <v>46234.5</v>
      </c>
      <c r="B21" t="s">
        <v>26</v>
      </c>
      <c r="C21">
        <v>2451</v>
      </c>
      <c r="D21">
        <v>3009.5569999999998</v>
      </c>
      <c r="E21">
        <v>250.06309999999999</v>
      </c>
      <c r="F21">
        <v>3595.7310000000002</v>
      </c>
    </row>
    <row r="22" spans="1:6">
      <c r="A22" s="14">
        <v>46234.541666666664</v>
      </c>
      <c r="B22" t="s">
        <v>26</v>
      </c>
      <c r="C22">
        <v>2599</v>
      </c>
      <c r="D22">
        <v>2513.0360000000001</v>
      </c>
      <c r="E22">
        <v>250.05850000000001</v>
      </c>
      <c r="F22">
        <v>3594.8809999999999</v>
      </c>
    </row>
    <row r="23" spans="1:6">
      <c r="A23" s="14">
        <v>46234.583333333336</v>
      </c>
      <c r="B23" t="s">
        <v>26</v>
      </c>
      <c r="C23">
        <v>2747</v>
      </c>
      <c r="D23">
        <v>2046.963</v>
      </c>
      <c r="E23">
        <v>250.06610000000001</v>
      </c>
      <c r="F23">
        <v>3596.2959999999998</v>
      </c>
    </row>
    <row r="24" spans="1:6">
      <c r="A24" s="14">
        <v>46234.625</v>
      </c>
      <c r="B24" t="s">
        <v>26</v>
      </c>
      <c r="C24">
        <v>2893</v>
      </c>
      <c r="D24">
        <v>2893</v>
      </c>
      <c r="E24">
        <v>250.09119999999999</v>
      </c>
      <c r="F24">
        <v>3600.9630000000002</v>
      </c>
    </row>
    <row r="25" spans="1:6">
      <c r="A25" s="14">
        <v>46234.666666666664</v>
      </c>
      <c r="B25" t="s">
        <v>26</v>
      </c>
      <c r="C25">
        <v>3039</v>
      </c>
      <c r="D25">
        <v>1000</v>
      </c>
      <c r="E25">
        <v>250.11089999999999</v>
      </c>
      <c r="F25">
        <v>3604.6329999999998</v>
      </c>
    </row>
    <row r="26" spans="1:6">
      <c r="A26" s="14">
        <v>46234.708333333336</v>
      </c>
      <c r="B26" t="s">
        <v>26</v>
      </c>
      <c r="C26">
        <v>3320.5</v>
      </c>
      <c r="D26">
        <v>1000</v>
      </c>
      <c r="E26">
        <v>250.15309999999999</v>
      </c>
      <c r="F26">
        <v>3612.48</v>
      </c>
    </row>
    <row r="27" spans="1:6">
      <c r="A27" s="14">
        <v>46234.75</v>
      </c>
      <c r="B27" t="s">
        <v>26</v>
      </c>
      <c r="C27">
        <v>3602</v>
      </c>
      <c r="D27">
        <v>1000</v>
      </c>
      <c r="E27">
        <v>250.20079999999999</v>
      </c>
      <c r="F27">
        <v>3621.3409999999999</v>
      </c>
    </row>
    <row r="28" spans="1:6">
      <c r="A28" s="14">
        <v>46234.791666666664</v>
      </c>
      <c r="B28" t="s">
        <v>26</v>
      </c>
      <c r="C28">
        <v>4195</v>
      </c>
      <c r="D28">
        <v>1000</v>
      </c>
      <c r="E28">
        <v>250.2569</v>
      </c>
      <c r="F28">
        <v>3631.7759999999998</v>
      </c>
    </row>
    <row r="29" spans="1:6">
      <c r="A29" s="14">
        <v>46234.833333333336</v>
      </c>
      <c r="B29" t="s">
        <v>26</v>
      </c>
      <c r="C29">
        <v>4788</v>
      </c>
      <c r="D29">
        <v>1000</v>
      </c>
      <c r="E29">
        <v>250.3244</v>
      </c>
      <c r="F29">
        <v>3644.3449999999998</v>
      </c>
    </row>
    <row r="30" spans="1:6">
      <c r="A30" s="14">
        <v>46234.875</v>
      </c>
      <c r="B30" t="s">
        <v>26</v>
      </c>
      <c r="C30">
        <v>5017</v>
      </c>
      <c r="D30">
        <v>1000</v>
      </c>
      <c r="E30">
        <v>250.4</v>
      </c>
      <c r="F30">
        <v>3658.3939999999998</v>
      </c>
    </row>
    <row r="31" spans="1:6">
      <c r="A31" s="14">
        <v>46234.916666666664</v>
      </c>
      <c r="B31" t="s">
        <v>26</v>
      </c>
      <c r="C31">
        <v>5246</v>
      </c>
      <c r="D31">
        <v>1000</v>
      </c>
      <c r="E31">
        <v>250.47989999999999</v>
      </c>
      <c r="F31">
        <v>3673.2669999999998</v>
      </c>
    </row>
    <row r="32" spans="1:6">
      <c r="A32" s="14">
        <v>46234.958333333336</v>
      </c>
      <c r="B32" t="s">
        <v>26</v>
      </c>
      <c r="C32">
        <v>5178.5</v>
      </c>
      <c r="D32">
        <v>1000</v>
      </c>
      <c r="E32">
        <v>250.5615</v>
      </c>
      <c r="F32">
        <v>3688.431</v>
      </c>
    </row>
    <row r="33" spans="1:6">
      <c r="A33" s="14">
        <v>46235</v>
      </c>
      <c r="B33" t="s">
        <v>26</v>
      </c>
      <c r="C33">
        <v>5111</v>
      </c>
      <c r="D33">
        <v>1000</v>
      </c>
      <c r="E33">
        <v>250.64169999999999</v>
      </c>
      <c r="F33">
        <v>3703.3530000000001</v>
      </c>
    </row>
    <row r="34" spans="1:6">
      <c r="A34" s="14">
        <v>46235.041666666664</v>
      </c>
      <c r="B34" t="s">
        <v>26</v>
      </c>
      <c r="C34">
        <v>5004</v>
      </c>
      <c r="D34">
        <v>1000</v>
      </c>
      <c r="E34">
        <v>250.72020000000001</v>
      </c>
      <c r="F34">
        <v>3717.9589999999998</v>
      </c>
    </row>
    <row r="35" spans="1:6" s="7" customFormat="1">
      <c r="A35" s="14">
        <v>46235.083333333336</v>
      </c>
      <c r="B35" t="s">
        <v>26</v>
      </c>
      <c r="C35">
        <v>4897</v>
      </c>
      <c r="D35">
        <v>1000</v>
      </c>
      <c r="E35">
        <v>250.79669999999999</v>
      </c>
      <c r="F35">
        <v>3732.181</v>
      </c>
    </row>
    <row r="36" spans="1:6">
      <c r="A36" s="14">
        <v>46235.125</v>
      </c>
      <c r="B36" t="s">
        <v>26</v>
      </c>
      <c r="C36">
        <v>4830.5</v>
      </c>
      <c r="D36">
        <v>1000</v>
      </c>
      <c r="E36">
        <v>250.8715</v>
      </c>
      <c r="F36">
        <v>3746.0909999999999</v>
      </c>
    </row>
    <row r="37" spans="1:6">
      <c r="A37" s="14">
        <v>46235.166666666664</v>
      </c>
      <c r="B37" t="s">
        <v>26</v>
      </c>
      <c r="C37">
        <v>4764</v>
      </c>
      <c r="D37">
        <v>1000</v>
      </c>
      <c r="E37">
        <v>250.94489999999999</v>
      </c>
      <c r="F37">
        <v>3759.761</v>
      </c>
    </row>
    <row r="38" spans="1:6">
      <c r="A38" s="14">
        <v>46235.208333333336</v>
      </c>
      <c r="B38" t="s">
        <v>26</v>
      </c>
      <c r="C38">
        <v>4727</v>
      </c>
      <c r="D38">
        <v>1000</v>
      </c>
      <c r="E38">
        <v>251.0172</v>
      </c>
      <c r="F38">
        <v>3773.2449999999999</v>
      </c>
    </row>
    <row r="39" spans="1:6">
      <c r="A39" s="14">
        <v>46235.25</v>
      </c>
      <c r="B39" t="s">
        <v>26</v>
      </c>
      <c r="C39">
        <v>4690</v>
      </c>
      <c r="D39">
        <v>1000</v>
      </c>
      <c r="E39">
        <v>251.08779999999999</v>
      </c>
      <c r="F39">
        <v>3786.5949999999998</v>
      </c>
    </row>
    <row r="40" spans="1:6">
      <c r="A40" s="14">
        <v>46235.291666666664</v>
      </c>
      <c r="B40" t="s">
        <v>26</v>
      </c>
      <c r="C40">
        <v>4647</v>
      </c>
      <c r="D40">
        <v>1000</v>
      </c>
      <c r="E40">
        <v>251.15770000000001</v>
      </c>
      <c r="F40">
        <v>3799.8020000000001</v>
      </c>
    </row>
    <row r="41" spans="1:6">
      <c r="A41" s="14">
        <v>46235.333333333336</v>
      </c>
      <c r="B41" t="s">
        <v>26</v>
      </c>
      <c r="C41">
        <v>4604</v>
      </c>
      <c r="D41">
        <v>1000</v>
      </c>
      <c r="E41">
        <v>251.22669999999999</v>
      </c>
      <c r="F41">
        <v>3812.8539999999998</v>
      </c>
    </row>
    <row r="42" spans="1:6">
      <c r="A42" s="14">
        <v>46235.375</v>
      </c>
      <c r="B42" t="s">
        <v>26</v>
      </c>
      <c r="C42">
        <v>4536.5</v>
      </c>
      <c r="D42">
        <v>1000</v>
      </c>
      <c r="E42">
        <v>251.29470000000001</v>
      </c>
      <c r="F42">
        <v>3825.7060000000001</v>
      </c>
    </row>
    <row r="43" spans="1:6">
      <c r="A43" s="14">
        <v>46235.416666666664</v>
      </c>
      <c r="B43" t="s">
        <v>26</v>
      </c>
      <c r="C43">
        <v>4469</v>
      </c>
      <c r="D43">
        <v>1386.4280000000001</v>
      </c>
      <c r="E43">
        <v>251.3578</v>
      </c>
      <c r="F43">
        <v>3837.6210000000001</v>
      </c>
    </row>
    <row r="44" spans="1:6">
      <c r="A44" s="14">
        <v>46235.458333333336</v>
      </c>
      <c r="B44" t="s">
        <v>26</v>
      </c>
      <c r="C44">
        <v>4376</v>
      </c>
      <c r="D44">
        <v>2262.4789999999998</v>
      </c>
      <c r="E44">
        <v>251.40729999999999</v>
      </c>
      <c r="F44">
        <v>3846.9740000000002</v>
      </c>
    </row>
    <row r="45" spans="1:6">
      <c r="A45" s="14">
        <v>46235.5</v>
      </c>
      <c r="B45" t="s">
        <v>26</v>
      </c>
      <c r="C45">
        <v>4283</v>
      </c>
      <c r="D45">
        <v>2929.0250000000001</v>
      </c>
      <c r="E45">
        <v>251.44030000000001</v>
      </c>
      <c r="F45">
        <v>3853.2150000000001</v>
      </c>
    </row>
    <row r="46" spans="1:6">
      <c r="A46" s="14">
        <v>46235.541666666664</v>
      </c>
      <c r="B46" t="s">
        <v>26</v>
      </c>
      <c r="C46">
        <v>4177.5</v>
      </c>
      <c r="D46">
        <v>3641.8510000000001</v>
      </c>
      <c r="E46">
        <v>251.45830000000001</v>
      </c>
      <c r="F46">
        <v>3856.616</v>
      </c>
    </row>
    <row r="47" spans="1:6">
      <c r="A47" s="14">
        <v>46235.583333333336</v>
      </c>
      <c r="B47" t="s">
        <v>26</v>
      </c>
      <c r="C47">
        <v>4072</v>
      </c>
      <c r="D47">
        <v>4153.4639999999999</v>
      </c>
      <c r="E47">
        <v>251.46260000000001</v>
      </c>
      <c r="F47">
        <v>3857.4340000000002</v>
      </c>
    </row>
    <row r="48" spans="1:6">
      <c r="A48" s="14">
        <v>46235.625</v>
      </c>
      <c r="B48" t="s">
        <v>26</v>
      </c>
      <c r="C48">
        <v>3973</v>
      </c>
      <c r="D48">
        <v>4678.1040000000003</v>
      </c>
      <c r="E48">
        <v>251.45509999999999</v>
      </c>
      <c r="F48">
        <v>3856.018</v>
      </c>
    </row>
    <row r="49" spans="1:6">
      <c r="A49" s="14">
        <v>46235.666666666664</v>
      </c>
      <c r="B49" t="s">
        <v>26</v>
      </c>
      <c r="C49">
        <v>3874</v>
      </c>
      <c r="D49">
        <v>5017.6869999999999</v>
      </c>
      <c r="E49">
        <v>251.4375</v>
      </c>
      <c r="F49">
        <v>3852.69</v>
      </c>
    </row>
    <row r="50" spans="1:6">
      <c r="A50" s="14">
        <v>46235.708333333336</v>
      </c>
      <c r="B50" t="s">
        <v>26</v>
      </c>
      <c r="C50">
        <v>3792</v>
      </c>
      <c r="D50">
        <v>5324.6059999999998</v>
      </c>
      <c r="E50">
        <v>251.41200000000001</v>
      </c>
      <c r="F50">
        <v>3847.873</v>
      </c>
    </row>
    <row r="51" spans="1:6">
      <c r="A51" s="14">
        <v>46235.75</v>
      </c>
      <c r="B51" t="s">
        <v>26</v>
      </c>
      <c r="C51">
        <v>3710</v>
      </c>
      <c r="D51">
        <v>5501.9650000000001</v>
      </c>
      <c r="E51">
        <v>251.38040000000001</v>
      </c>
      <c r="F51">
        <v>3841.8890000000001</v>
      </c>
    </row>
    <row r="52" spans="1:6">
      <c r="A52" s="14">
        <v>46235.791666666664</v>
      </c>
      <c r="B52" t="s">
        <v>26</v>
      </c>
      <c r="C52">
        <v>3645</v>
      </c>
      <c r="D52">
        <v>5613.7619999999997</v>
      </c>
      <c r="E52">
        <v>251.34450000000001</v>
      </c>
      <c r="F52">
        <v>3835.12</v>
      </c>
    </row>
    <row r="53" spans="1:6">
      <c r="A53" s="14">
        <v>46235.833333333336</v>
      </c>
      <c r="B53" t="s">
        <v>26</v>
      </c>
      <c r="C53">
        <v>3580</v>
      </c>
      <c r="D53">
        <v>5653.848</v>
      </c>
      <c r="E53">
        <v>251.30600000000001</v>
      </c>
      <c r="F53">
        <v>3827.8429999999998</v>
      </c>
    </row>
    <row r="54" spans="1:6">
      <c r="A54" s="14">
        <v>46235.875</v>
      </c>
      <c r="B54" t="s">
        <v>26</v>
      </c>
      <c r="C54">
        <v>3527.5</v>
      </c>
      <c r="D54">
        <v>5523.0039999999999</v>
      </c>
      <c r="E54">
        <v>251.26730000000001</v>
      </c>
      <c r="F54">
        <v>3820.518</v>
      </c>
    </row>
    <row r="55" spans="1:6">
      <c r="A55" s="14">
        <v>46235.916666666664</v>
      </c>
      <c r="B55" t="s">
        <v>26</v>
      </c>
      <c r="C55">
        <v>3475</v>
      </c>
      <c r="D55">
        <v>5408.1589999999997</v>
      </c>
      <c r="E55">
        <v>251.22989999999999</v>
      </c>
      <c r="F55">
        <v>3813.4470000000001</v>
      </c>
    </row>
    <row r="56" spans="1:6">
      <c r="A56" s="14">
        <v>46235.958333333336</v>
      </c>
      <c r="B56" t="s">
        <v>26</v>
      </c>
      <c r="C56">
        <v>3433</v>
      </c>
      <c r="D56">
        <v>5016.4449999999997</v>
      </c>
      <c r="E56">
        <v>251.19640000000001</v>
      </c>
      <c r="F56">
        <v>3807.1170000000002</v>
      </c>
    </row>
    <row r="57" spans="1:6">
      <c r="A57" s="14">
        <v>46236</v>
      </c>
      <c r="B57" t="s">
        <v>26</v>
      </c>
      <c r="C57">
        <v>3391</v>
      </c>
      <c r="D57">
        <v>4758.0940000000001</v>
      </c>
      <c r="E57">
        <v>251.16829999999999</v>
      </c>
      <c r="F57">
        <v>3801.806</v>
      </c>
    </row>
    <row r="58" spans="1:6">
      <c r="A58" s="14">
        <v>46236.041666666664</v>
      </c>
      <c r="B58" t="s">
        <v>26</v>
      </c>
      <c r="C58">
        <v>3353.5</v>
      </c>
      <c r="D58">
        <v>4278.2030000000004</v>
      </c>
      <c r="E58">
        <v>251.1465</v>
      </c>
      <c r="F58">
        <v>3797.68</v>
      </c>
    </row>
    <row r="59" spans="1:6">
      <c r="A59" s="14">
        <v>46236.083333333336</v>
      </c>
      <c r="B59" t="s">
        <v>26</v>
      </c>
      <c r="C59">
        <v>3316</v>
      </c>
      <c r="D59">
        <v>3939.5160000000001</v>
      </c>
      <c r="E59">
        <v>251.1317</v>
      </c>
      <c r="F59">
        <v>3794.8939999999998</v>
      </c>
    </row>
    <row r="60" spans="1:6">
      <c r="A60" s="14">
        <v>46236.125</v>
      </c>
      <c r="B60" t="s">
        <v>26</v>
      </c>
      <c r="C60">
        <v>3430</v>
      </c>
      <c r="D60">
        <v>3369.277</v>
      </c>
      <c r="E60">
        <v>251.12639999999999</v>
      </c>
      <c r="F60">
        <v>3793.8809999999999</v>
      </c>
    </row>
    <row r="61" spans="1:6">
      <c r="A61" s="14">
        <v>46236.166666666664</v>
      </c>
      <c r="B61" t="s">
        <v>26</v>
      </c>
      <c r="C61">
        <v>3544</v>
      </c>
      <c r="D61">
        <v>2904.1260000000002</v>
      </c>
      <c r="E61">
        <v>251.13300000000001</v>
      </c>
      <c r="F61">
        <v>3795.1419999999998</v>
      </c>
    </row>
    <row r="62" spans="1:6">
      <c r="A62" s="14">
        <v>46236.208333333336</v>
      </c>
      <c r="B62" t="s">
        <v>26</v>
      </c>
      <c r="C62">
        <v>4109.5</v>
      </c>
      <c r="D62">
        <v>2398.5500000000002</v>
      </c>
      <c r="E62">
        <v>251.15539999999999</v>
      </c>
      <c r="F62">
        <v>3799.373</v>
      </c>
    </row>
    <row r="63" spans="1:6">
      <c r="A63" s="14">
        <v>46236.25</v>
      </c>
      <c r="B63" t="s">
        <v>26</v>
      </c>
      <c r="C63">
        <v>4675</v>
      </c>
      <c r="D63">
        <v>1948.2380000000001</v>
      </c>
      <c r="E63">
        <v>251.1977</v>
      </c>
      <c r="F63">
        <v>3807.3609999999999</v>
      </c>
    </row>
    <row r="64" spans="1:6">
      <c r="A64" s="14">
        <v>46236.291666666664</v>
      </c>
      <c r="B64" t="s">
        <v>26</v>
      </c>
      <c r="C64">
        <v>5088</v>
      </c>
      <c r="D64">
        <v>1351.9939999999999</v>
      </c>
      <c r="E64">
        <v>251.25919999999999</v>
      </c>
      <c r="F64">
        <v>3818.9940000000001</v>
      </c>
    </row>
    <row r="65" spans="1:6">
      <c r="A65" s="14">
        <v>46236.333333333336</v>
      </c>
      <c r="B65" t="s">
        <v>26</v>
      </c>
      <c r="C65">
        <v>5501</v>
      </c>
      <c r="D65">
        <v>1000</v>
      </c>
      <c r="E65">
        <v>251.33770000000001</v>
      </c>
      <c r="F65">
        <v>3833.8209999999999</v>
      </c>
    </row>
    <row r="66" spans="1:6">
      <c r="A66" s="14">
        <v>46236.375</v>
      </c>
      <c r="B66" t="s">
        <v>26</v>
      </c>
      <c r="C66">
        <v>5627.5</v>
      </c>
      <c r="D66">
        <v>1000</v>
      </c>
      <c r="E66">
        <v>251.4246</v>
      </c>
      <c r="F66">
        <v>3850.252</v>
      </c>
    </row>
    <row r="67" spans="1:6">
      <c r="A67" s="14">
        <v>46236.416666666664</v>
      </c>
      <c r="B67" t="s">
        <v>26</v>
      </c>
      <c r="C67">
        <v>5754</v>
      </c>
      <c r="D67">
        <v>1000</v>
      </c>
      <c r="E67">
        <v>251.51400000000001</v>
      </c>
      <c r="F67">
        <v>3867.1390000000001</v>
      </c>
    </row>
    <row r="68" spans="1:6">
      <c r="A68" s="14">
        <v>46236.458333333336</v>
      </c>
      <c r="B68" t="s">
        <v>26</v>
      </c>
      <c r="C68">
        <v>5950.5</v>
      </c>
      <c r="D68">
        <v>1000</v>
      </c>
      <c r="E68">
        <v>251.60640000000001</v>
      </c>
      <c r="F68">
        <v>3884.607</v>
      </c>
    </row>
    <row r="69" spans="1:6">
      <c r="A69" s="14">
        <v>46236.5</v>
      </c>
      <c r="B69" t="s">
        <v>26</v>
      </c>
      <c r="C69">
        <v>6147</v>
      </c>
      <c r="D69">
        <v>1000</v>
      </c>
      <c r="E69">
        <v>251.70249999999999</v>
      </c>
      <c r="F69">
        <v>3902.7820000000002</v>
      </c>
    </row>
    <row r="70" spans="1:6">
      <c r="A70" s="14">
        <v>46236.541666666664</v>
      </c>
      <c r="B70" t="s">
        <v>26</v>
      </c>
      <c r="C70">
        <v>6090</v>
      </c>
      <c r="D70">
        <v>1000</v>
      </c>
      <c r="E70">
        <v>251.8</v>
      </c>
      <c r="F70">
        <v>3921.2089999999998</v>
      </c>
    </row>
    <row r="71" spans="1:6">
      <c r="A71" s="14">
        <v>46236.583333333336</v>
      </c>
      <c r="B71" t="s">
        <v>26</v>
      </c>
      <c r="C71">
        <v>6033</v>
      </c>
      <c r="D71">
        <v>1000</v>
      </c>
      <c r="E71">
        <v>251.8965</v>
      </c>
      <c r="F71">
        <v>3939.43</v>
      </c>
    </row>
    <row r="72" spans="1:6">
      <c r="A72" s="14">
        <v>46236.625</v>
      </c>
      <c r="B72" t="s">
        <v>26</v>
      </c>
      <c r="C72">
        <v>5893.5</v>
      </c>
      <c r="D72">
        <v>1000</v>
      </c>
      <c r="E72">
        <v>251.99100000000001</v>
      </c>
      <c r="F72">
        <v>3957.2979999999998</v>
      </c>
    </row>
    <row r="73" spans="1:6">
      <c r="A73" s="14">
        <v>46236.666666666664</v>
      </c>
      <c r="B73" t="s">
        <v>26</v>
      </c>
      <c r="C73">
        <v>5754</v>
      </c>
      <c r="D73">
        <v>1000</v>
      </c>
      <c r="E73">
        <v>252.08160000000001</v>
      </c>
      <c r="F73">
        <v>3974.663</v>
      </c>
    </row>
    <row r="74" spans="1:6">
      <c r="A74" s="14">
        <v>46236.708333333336</v>
      </c>
      <c r="B74" t="s">
        <v>26</v>
      </c>
      <c r="C74">
        <v>5660.5</v>
      </c>
      <c r="D74">
        <v>1000</v>
      </c>
      <c r="E74">
        <v>252.16980000000001</v>
      </c>
      <c r="F74">
        <v>3991.6089999999999</v>
      </c>
    </row>
    <row r="75" spans="1:6">
      <c r="A75" s="14">
        <v>46236.75</v>
      </c>
      <c r="B75" t="s">
        <v>26</v>
      </c>
      <c r="C75">
        <v>5567</v>
      </c>
      <c r="D75">
        <v>1000</v>
      </c>
      <c r="E75">
        <v>252.25630000000001</v>
      </c>
      <c r="F75">
        <v>4008.2190000000001</v>
      </c>
    </row>
    <row r="76" spans="1:6" s="7" customFormat="1">
      <c r="A76" s="14">
        <v>46236.791666666664</v>
      </c>
      <c r="B76" t="s">
        <v>26</v>
      </c>
      <c r="C76">
        <v>5504</v>
      </c>
      <c r="D76">
        <v>1000</v>
      </c>
      <c r="E76">
        <v>252.34139999999999</v>
      </c>
      <c r="F76">
        <v>4024.547</v>
      </c>
    </row>
    <row r="77" spans="1:6">
      <c r="A77" s="14">
        <v>46236.833333333336</v>
      </c>
      <c r="B77" t="s">
        <v>26</v>
      </c>
      <c r="C77">
        <v>5441</v>
      </c>
      <c r="D77">
        <v>1000</v>
      </c>
      <c r="E77">
        <v>252.42519999999999</v>
      </c>
      <c r="F77">
        <v>4040.6480000000001</v>
      </c>
    </row>
    <row r="78" spans="1:6">
      <c r="A78" s="14">
        <v>46236.875</v>
      </c>
      <c r="B78" t="s">
        <v>26</v>
      </c>
      <c r="C78">
        <v>5408</v>
      </c>
      <c r="D78">
        <v>1000</v>
      </c>
      <c r="E78">
        <v>252.50819999999999</v>
      </c>
      <c r="F78">
        <v>4056.576</v>
      </c>
    </row>
    <row r="79" spans="1:6">
      <c r="A79" s="14">
        <v>46236.916666666664</v>
      </c>
      <c r="B79" t="s">
        <v>26</v>
      </c>
      <c r="C79">
        <v>5375</v>
      </c>
      <c r="D79">
        <v>1000</v>
      </c>
      <c r="E79">
        <v>252.59049999999999</v>
      </c>
      <c r="F79">
        <v>4072.3850000000002</v>
      </c>
    </row>
    <row r="80" spans="1:6">
      <c r="A80" s="14">
        <v>46236.958333333336</v>
      </c>
      <c r="B80" t="s">
        <v>26</v>
      </c>
      <c r="C80">
        <v>5372.5</v>
      </c>
      <c r="D80">
        <v>1000</v>
      </c>
      <c r="E80">
        <v>252.67259999999999</v>
      </c>
      <c r="F80">
        <v>4088.1309999999999</v>
      </c>
    </row>
    <row r="81" spans="1:6">
      <c r="A81" s="14">
        <v>46237</v>
      </c>
      <c r="B81" t="s">
        <v>26</v>
      </c>
      <c r="C81">
        <v>5370</v>
      </c>
      <c r="D81">
        <v>1000</v>
      </c>
      <c r="E81">
        <v>252.75450000000001</v>
      </c>
      <c r="F81">
        <v>4103.8680000000004</v>
      </c>
    </row>
    <row r="82" spans="1:6">
      <c r="A82" s="14">
        <v>46237.041666666664</v>
      </c>
      <c r="B82" t="s">
        <v>26</v>
      </c>
      <c r="C82">
        <v>5443</v>
      </c>
      <c r="D82">
        <v>1000</v>
      </c>
      <c r="E82">
        <v>252.83709999999999</v>
      </c>
      <c r="F82">
        <v>4119.7309999999998</v>
      </c>
    </row>
    <row r="83" spans="1:6" s="7" customFormat="1">
      <c r="A83" s="14">
        <v>46237.083333333336</v>
      </c>
      <c r="B83" t="s">
        <v>26</v>
      </c>
      <c r="C83">
        <v>5516</v>
      </c>
      <c r="D83">
        <v>1000</v>
      </c>
      <c r="E83">
        <v>252.9211</v>
      </c>
      <c r="F83">
        <v>4135.857</v>
      </c>
    </row>
    <row r="84" spans="1:6">
      <c r="A84" s="14">
        <v>46237.125</v>
      </c>
      <c r="B84" t="s">
        <v>26</v>
      </c>
      <c r="C84">
        <v>5878.5</v>
      </c>
      <c r="D84">
        <v>1000</v>
      </c>
      <c r="E84">
        <v>253.00909999999999</v>
      </c>
      <c r="F84">
        <v>4152.7669999999998</v>
      </c>
    </row>
    <row r="85" spans="1:6">
      <c r="A85" s="14">
        <v>46237.166666666664</v>
      </c>
      <c r="B85" t="s">
        <v>26</v>
      </c>
      <c r="C85">
        <v>6241</v>
      </c>
      <c r="D85">
        <v>1000</v>
      </c>
      <c r="E85">
        <v>253.10249999999999</v>
      </c>
      <c r="F85">
        <v>4170.982</v>
      </c>
    </row>
    <row r="86" spans="1:6">
      <c r="A86" s="14">
        <v>46237.208333333336</v>
      </c>
      <c r="B86" t="s">
        <v>26</v>
      </c>
      <c r="C86">
        <v>6467.5</v>
      </c>
      <c r="D86">
        <v>1000</v>
      </c>
      <c r="E86">
        <v>253.2013</v>
      </c>
      <c r="F86">
        <v>4190.2579999999998</v>
      </c>
    </row>
    <row r="87" spans="1:6">
      <c r="A87" s="14">
        <v>46237.25</v>
      </c>
      <c r="B87" t="s">
        <v>26</v>
      </c>
      <c r="C87">
        <v>6694</v>
      </c>
      <c r="D87">
        <v>1000</v>
      </c>
      <c r="E87">
        <v>253.30439999999999</v>
      </c>
      <c r="F87">
        <v>4210.3490000000002</v>
      </c>
    </row>
    <row r="88" spans="1:6">
      <c r="A88" s="14">
        <v>46237.291666666664</v>
      </c>
      <c r="B88" t="s">
        <v>26</v>
      </c>
      <c r="C88">
        <v>6631.5</v>
      </c>
      <c r="D88">
        <v>1000</v>
      </c>
      <c r="E88">
        <v>253.40889999999999</v>
      </c>
      <c r="F88">
        <v>4230.7340000000004</v>
      </c>
    </row>
    <row r="89" spans="1:6">
      <c r="A89" s="14">
        <v>46237.333333333336</v>
      </c>
      <c r="B89" t="s">
        <v>26</v>
      </c>
      <c r="C89">
        <v>6569</v>
      </c>
      <c r="D89">
        <v>1000</v>
      </c>
      <c r="E89">
        <v>253.51230000000001</v>
      </c>
      <c r="F89">
        <v>4250.8959999999997</v>
      </c>
    </row>
    <row r="90" spans="1:6">
      <c r="A90" s="14">
        <v>46237.375</v>
      </c>
      <c r="B90" t="s">
        <v>26</v>
      </c>
      <c r="C90">
        <v>6319</v>
      </c>
      <c r="D90">
        <v>1000</v>
      </c>
      <c r="E90">
        <v>253.61279999999999</v>
      </c>
      <c r="F90">
        <v>4270.4939999999997</v>
      </c>
    </row>
    <row r="91" spans="1:6">
      <c r="A91" s="14">
        <v>46237.416666666664</v>
      </c>
      <c r="B91" t="s">
        <v>26</v>
      </c>
      <c r="C91">
        <v>6069</v>
      </c>
      <c r="D91">
        <v>1000</v>
      </c>
      <c r="E91">
        <v>253.70869999999999</v>
      </c>
      <c r="F91">
        <v>4289.192</v>
      </c>
    </row>
    <row r="92" spans="1:6">
      <c r="A92" s="14">
        <v>46237.458333333336</v>
      </c>
      <c r="B92" t="s">
        <v>26</v>
      </c>
      <c r="C92">
        <v>5820.5</v>
      </c>
      <c r="D92">
        <v>1000</v>
      </c>
      <c r="E92">
        <v>253.8</v>
      </c>
      <c r="F92">
        <v>4306.9939999999997</v>
      </c>
    </row>
    <row r="93" spans="1:6">
      <c r="A93" s="14">
        <v>46237.5</v>
      </c>
      <c r="B93" t="s">
        <v>26</v>
      </c>
      <c r="C93">
        <v>5572</v>
      </c>
      <c r="D93">
        <v>1000</v>
      </c>
      <c r="E93">
        <v>253.88669999999999</v>
      </c>
      <c r="F93">
        <v>4323.8999999999996</v>
      </c>
    </row>
    <row r="94" spans="1:6">
      <c r="A94" s="14">
        <v>46237.541666666664</v>
      </c>
      <c r="B94" t="s">
        <v>26</v>
      </c>
      <c r="C94">
        <v>5412.5</v>
      </c>
      <c r="D94">
        <v>1000</v>
      </c>
      <c r="E94">
        <v>253.96960000000001</v>
      </c>
      <c r="F94">
        <v>4340.0720000000001</v>
      </c>
    </row>
    <row r="95" spans="1:6">
      <c r="A95" s="14">
        <v>46237.583333333336</v>
      </c>
      <c r="B95" t="s">
        <v>26</v>
      </c>
      <c r="C95">
        <v>5253</v>
      </c>
      <c r="D95">
        <v>1000</v>
      </c>
      <c r="E95">
        <v>254.04859999999999</v>
      </c>
      <c r="F95">
        <v>4355.67</v>
      </c>
    </row>
    <row r="96" spans="1:6">
      <c r="A96" s="14">
        <v>46237.625</v>
      </c>
      <c r="B96" t="s">
        <v>26</v>
      </c>
      <c r="C96">
        <v>5172</v>
      </c>
      <c r="D96">
        <v>1000</v>
      </c>
      <c r="E96">
        <v>254.12479999999999</v>
      </c>
      <c r="F96">
        <v>4370.835</v>
      </c>
    </row>
    <row r="97" spans="1:6">
      <c r="A97" s="14">
        <v>46237.666666666664</v>
      </c>
      <c r="B97" t="s">
        <v>26</v>
      </c>
      <c r="C97">
        <v>5091</v>
      </c>
      <c r="D97">
        <v>1000</v>
      </c>
      <c r="E97">
        <v>254.1995</v>
      </c>
      <c r="F97">
        <v>4385.7079999999996</v>
      </c>
    </row>
    <row r="98" spans="1:6">
      <c r="A98" s="14">
        <v>46237.708333333336</v>
      </c>
      <c r="B98" t="s">
        <v>26</v>
      </c>
      <c r="C98">
        <v>5047</v>
      </c>
      <c r="D98">
        <v>1000</v>
      </c>
      <c r="E98">
        <v>254.2731</v>
      </c>
      <c r="F98">
        <v>4400.357</v>
      </c>
    </row>
    <row r="99" spans="1:6">
      <c r="A99" s="14">
        <v>46237.75</v>
      </c>
      <c r="B99" t="s">
        <v>26</v>
      </c>
      <c r="C99">
        <v>5003</v>
      </c>
      <c r="D99">
        <v>1000</v>
      </c>
      <c r="E99">
        <v>254.346</v>
      </c>
      <c r="F99">
        <v>4414.8469999999998</v>
      </c>
    </row>
    <row r="100" spans="1:6">
      <c r="A100" s="14">
        <v>46237.791666666664</v>
      </c>
      <c r="B100" t="s">
        <v>26</v>
      </c>
      <c r="C100">
        <v>4961</v>
      </c>
      <c r="D100">
        <v>1000</v>
      </c>
      <c r="E100">
        <v>254.41800000000001</v>
      </c>
      <c r="F100">
        <v>4429.1819999999998</v>
      </c>
    </row>
    <row r="101" spans="1:6">
      <c r="A101" s="14">
        <v>46237.833333333336</v>
      </c>
      <c r="B101" t="s">
        <v>26</v>
      </c>
      <c r="C101">
        <v>4919</v>
      </c>
      <c r="D101">
        <v>1000</v>
      </c>
      <c r="E101">
        <v>254.48929999999999</v>
      </c>
      <c r="F101">
        <v>4443.366</v>
      </c>
    </row>
    <row r="102" spans="1:6">
      <c r="A102" s="14">
        <v>46237.875</v>
      </c>
      <c r="B102" t="s">
        <v>26</v>
      </c>
      <c r="C102">
        <v>4857</v>
      </c>
      <c r="D102">
        <v>1000</v>
      </c>
      <c r="E102">
        <v>254.55959999999999</v>
      </c>
      <c r="F102">
        <v>4457.3630000000003</v>
      </c>
    </row>
    <row r="103" spans="1:6">
      <c r="A103" s="14">
        <v>46237.916666666664</v>
      </c>
      <c r="B103" t="s">
        <v>26</v>
      </c>
      <c r="C103">
        <v>4795</v>
      </c>
      <c r="D103">
        <v>1523.3610000000001</v>
      </c>
      <c r="E103">
        <v>254.6241</v>
      </c>
      <c r="F103">
        <v>4470.1940000000004</v>
      </c>
    </row>
    <row r="104" spans="1:6">
      <c r="A104" s="14">
        <v>46237.958333333336</v>
      </c>
      <c r="B104" t="s">
        <v>26</v>
      </c>
      <c r="C104">
        <v>4707</v>
      </c>
      <c r="D104">
        <v>1940.289</v>
      </c>
      <c r="E104">
        <v>254.67869999999999</v>
      </c>
      <c r="F104">
        <v>4481.0630000000001</v>
      </c>
    </row>
    <row r="105" spans="1:6">
      <c r="A105" s="14">
        <v>46238</v>
      </c>
      <c r="B105" t="s">
        <v>26</v>
      </c>
      <c r="C105">
        <v>4619</v>
      </c>
      <c r="D105">
        <v>2379.5659999999998</v>
      </c>
      <c r="E105">
        <v>254.72399999999999</v>
      </c>
      <c r="F105">
        <v>4490.0749999999998</v>
      </c>
    </row>
    <row r="106" spans="1:6">
      <c r="A106" s="14">
        <v>46238.041666666664</v>
      </c>
      <c r="B106" t="s">
        <v>26</v>
      </c>
      <c r="C106">
        <v>4509</v>
      </c>
      <c r="D106">
        <v>2714.826</v>
      </c>
      <c r="E106">
        <v>254.76050000000001</v>
      </c>
      <c r="F106">
        <v>4497.335</v>
      </c>
    </row>
    <row r="107" spans="1:6">
      <c r="A107" s="14">
        <v>46238.083333333336</v>
      </c>
      <c r="B107" t="s">
        <v>26</v>
      </c>
      <c r="C107">
        <v>4399</v>
      </c>
      <c r="D107">
        <v>3051.4119999999998</v>
      </c>
      <c r="E107">
        <v>254.78890000000001</v>
      </c>
      <c r="F107">
        <v>4502.99</v>
      </c>
    </row>
    <row r="108" spans="1:6">
      <c r="A108" s="14">
        <v>46238.125</v>
      </c>
      <c r="B108" t="s">
        <v>26</v>
      </c>
      <c r="C108">
        <v>4278</v>
      </c>
      <c r="D108">
        <v>3359.5419999999999</v>
      </c>
      <c r="E108">
        <v>254.80940000000001</v>
      </c>
      <c r="F108">
        <v>4507.0690000000004</v>
      </c>
    </row>
    <row r="109" spans="1:6">
      <c r="A109" s="14">
        <v>46238.166666666664</v>
      </c>
      <c r="B109" t="s">
        <v>26</v>
      </c>
      <c r="C109">
        <v>4157</v>
      </c>
      <c r="D109">
        <v>3569.8530000000001</v>
      </c>
      <c r="E109">
        <v>254.82300000000001</v>
      </c>
      <c r="F109">
        <v>4509.7790000000005</v>
      </c>
    </row>
    <row r="110" spans="1:6">
      <c r="A110" s="14">
        <v>46238.208333333336</v>
      </c>
      <c r="B110" t="s">
        <v>26</v>
      </c>
      <c r="C110">
        <v>4038.5</v>
      </c>
      <c r="D110">
        <v>4038.5</v>
      </c>
      <c r="E110">
        <v>254.82830000000001</v>
      </c>
      <c r="F110">
        <v>4510.8360000000002</v>
      </c>
    </row>
    <row r="111" spans="1:6">
      <c r="A111" s="14">
        <v>46238.25</v>
      </c>
      <c r="B111" t="s">
        <v>26</v>
      </c>
      <c r="C111">
        <v>3920</v>
      </c>
      <c r="D111">
        <v>4171.6580000000004</v>
      </c>
      <c r="E111">
        <v>254.82599999999999</v>
      </c>
      <c r="F111">
        <v>4510.3829999999998</v>
      </c>
    </row>
    <row r="112" spans="1:6">
      <c r="A112" s="14">
        <v>46238.291666666664</v>
      </c>
      <c r="B112" t="s">
        <v>26</v>
      </c>
      <c r="C112">
        <v>3806.5</v>
      </c>
      <c r="D112">
        <v>4294.4279999999999</v>
      </c>
      <c r="E112">
        <v>254.8194</v>
      </c>
      <c r="F112">
        <v>4509.0519999999997</v>
      </c>
    </row>
    <row r="113" spans="1:6">
      <c r="A113" s="14">
        <v>46238.333333333336</v>
      </c>
      <c r="B113" t="s">
        <v>26</v>
      </c>
      <c r="C113">
        <v>3693</v>
      </c>
      <c r="D113">
        <v>4417.1980000000003</v>
      </c>
      <c r="E113">
        <v>254.80840000000001</v>
      </c>
      <c r="F113">
        <v>4506.87</v>
      </c>
    </row>
    <row r="114" spans="1:6">
      <c r="A114" s="14">
        <v>46238.375</v>
      </c>
      <c r="B114" t="s">
        <v>26</v>
      </c>
      <c r="C114">
        <v>3583.5</v>
      </c>
      <c r="D114">
        <v>4451.5110000000004</v>
      </c>
      <c r="E114">
        <v>254.79400000000001</v>
      </c>
      <c r="F114">
        <v>4504.0039999999999</v>
      </c>
    </row>
    <row r="115" spans="1:6">
      <c r="A115" s="14">
        <v>46238.416666666664</v>
      </c>
      <c r="B115" t="s">
        <v>26</v>
      </c>
      <c r="C115">
        <v>3474</v>
      </c>
      <c r="D115">
        <v>4485.8239999999996</v>
      </c>
      <c r="E115">
        <v>254.77699999999999</v>
      </c>
      <c r="F115">
        <v>4500.62</v>
      </c>
    </row>
    <row r="116" spans="1:6">
      <c r="A116" s="14">
        <v>46238.458333333336</v>
      </c>
      <c r="B116" t="s">
        <v>26</v>
      </c>
      <c r="C116">
        <v>3374.5</v>
      </c>
      <c r="D116">
        <v>4355.04</v>
      </c>
      <c r="E116">
        <v>254.75899999999999</v>
      </c>
      <c r="F116">
        <v>4497.0339999999997</v>
      </c>
    </row>
    <row r="117" spans="1:6">
      <c r="A117" s="14">
        <v>46238.5</v>
      </c>
      <c r="B117" t="s">
        <v>26</v>
      </c>
      <c r="C117">
        <v>3275</v>
      </c>
      <c r="D117">
        <v>4224.2560000000003</v>
      </c>
      <c r="E117">
        <v>254.7415</v>
      </c>
      <c r="F117">
        <v>4493.5600000000004</v>
      </c>
    </row>
    <row r="118" spans="1:6">
      <c r="A118" s="14">
        <v>46238.541666666664</v>
      </c>
      <c r="B118" t="s">
        <v>26</v>
      </c>
      <c r="C118">
        <v>3192.5</v>
      </c>
      <c r="D118">
        <v>3976.694</v>
      </c>
      <c r="E118">
        <v>254.72579999999999</v>
      </c>
      <c r="F118">
        <v>4490.4399999999996</v>
      </c>
    </row>
    <row r="119" spans="1:6">
      <c r="A119" s="14">
        <v>46238.583333333336</v>
      </c>
      <c r="B119" t="s">
        <v>26</v>
      </c>
      <c r="C119">
        <v>3110</v>
      </c>
      <c r="D119">
        <v>3729.1320000000001</v>
      </c>
      <c r="E119">
        <v>254.7131</v>
      </c>
      <c r="F119">
        <v>4487.9139999999998</v>
      </c>
    </row>
    <row r="120" spans="1:6">
      <c r="A120" s="14">
        <v>46238.625</v>
      </c>
      <c r="B120" t="s">
        <v>26</v>
      </c>
      <c r="C120">
        <v>3048.5</v>
      </c>
      <c r="D120">
        <v>3523.498</v>
      </c>
      <c r="E120">
        <v>254.70320000000001</v>
      </c>
      <c r="F120">
        <v>4485.9449999999997</v>
      </c>
    </row>
    <row r="121" spans="1:6">
      <c r="A121" s="14">
        <v>46238.666666666664</v>
      </c>
      <c r="B121" t="s">
        <v>26</v>
      </c>
      <c r="C121">
        <v>2987</v>
      </c>
      <c r="D121">
        <v>3317.8629999999998</v>
      </c>
      <c r="E121">
        <v>254.696</v>
      </c>
      <c r="F121">
        <v>4484.4939999999997</v>
      </c>
    </row>
    <row r="122" spans="1:6">
      <c r="A122" s="14">
        <v>46238.708333333336</v>
      </c>
      <c r="B122" t="s">
        <v>26</v>
      </c>
      <c r="C122">
        <v>2950.5</v>
      </c>
      <c r="D122">
        <v>3198.0120000000002</v>
      </c>
      <c r="E122">
        <v>254.69069999999999</v>
      </c>
      <c r="F122">
        <v>4483.4530000000004</v>
      </c>
    </row>
    <row r="123" spans="1:6">
      <c r="A123" s="14">
        <v>46238.75</v>
      </c>
      <c r="B123" t="s">
        <v>26</v>
      </c>
      <c r="C123">
        <v>2914</v>
      </c>
      <c r="D123">
        <v>3078.1619999999998</v>
      </c>
      <c r="E123">
        <v>254.68700000000001</v>
      </c>
      <c r="F123">
        <v>4482.7120000000004</v>
      </c>
    </row>
    <row r="124" spans="1:6">
      <c r="A124" s="14">
        <v>46238.791666666664</v>
      </c>
      <c r="B124" t="s">
        <v>26</v>
      </c>
      <c r="C124">
        <v>2897.5</v>
      </c>
      <c r="D124">
        <v>3291.44</v>
      </c>
      <c r="E124">
        <v>254.68190000000001</v>
      </c>
      <c r="F124">
        <v>4481.7079999999996</v>
      </c>
    </row>
    <row r="125" spans="1:6">
      <c r="A125" s="14">
        <v>46238.833333333336</v>
      </c>
      <c r="B125" t="s">
        <v>26</v>
      </c>
      <c r="C125">
        <v>2881</v>
      </c>
      <c r="D125">
        <v>3504.7190000000001</v>
      </c>
      <c r="E125">
        <v>254.67269999999999</v>
      </c>
      <c r="F125">
        <v>4479.8760000000002</v>
      </c>
    </row>
    <row r="126" spans="1:6">
      <c r="A126" s="14">
        <v>46238.875</v>
      </c>
      <c r="B126" t="s">
        <v>26</v>
      </c>
      <c r="C126">
        <v>2876.5</v>
      </c>
      <c r="D126">
        <v>3868.9810000000002</v>
      </c>
      <c r="E126">
        <v>254.65809999999999</v>
      </c>
      <c r="F126">
        <v>4476.9669999999996</v>
      </c>
    </row>
    <row r="127" spans="1:6">
      <c r="A127" s="14">
        <v>46238.916666666664</v>
      </c>
      <c r="B127" t="s">
        <v>26</v>
      </c>
      <c r="C127">
        <v>2872</v>
      </c>
      <c r="D127">
        <v>4233.2439999999997</v>
      </c>
      <c r="E127">
        <v>254.63679999999999</v>
      </c>
      <c r="F127">
        <v>4472.7299999999996</v>
      </c>
    </row>
    <row r="128" spans="1:6">
      <c r="A128" s="14">
        <v>46238.958333333336</v>
      </c>
      <c r="B128" t="s">
        <v>26</v>
      </c>
      <c r="C128">
        <v>2870</v>
      </c>
      <c r="D128">
        <v>4651.1549999999997</v>
      </c>
      <c r="E128">
        <v>254.60839999999999</v>
      </c>
      <c r="F128">
        <v>4467.0739999999996</v>
      </c>
    </row>
    <row r="129" spans="1:6">
      <c r="A129" s="14">
        <v>46239</v>
      </c>
      <c r="B129" t="s">
        <v>26</v>
      </c>
      <c r="C129">
        <v>2868</v>
      </c>
      <c r="D129">
        <v>5069.0659999999998</v>
      </c>
      <c r="E129">
        <v>254.57239999999999</v>
      </c>
      <c r="F129">
        <v>4459.9059999999999</v>
      </c>
    </row>
    <row r="130" spans="1:6">
      <c r="A130" s="14">
        <v>46239.041666666664</v>
      </c>
      <c r="B130" t="s">
        <v>26</v>
      </c>
      <c r="C130">
        <v>2860</v>
      </c>
      <c r="D130">
        <v>5442.5789999999997</v>
      </c>
      <c r="E130">
        <v>254.5291</v>
      </c>
      <c r="F130">
        <v>4451.2950000000001</v>
      </c>
    </row>
    <row r="131" spans="1:6">
      <c r="A131" s="14">
        <v>46239.083333333336</v>
      </c>
      <c r="B131" t="s">
        <v>26</v>
      </c>
      <c r="C131">
        <v>2852</v>
      </c>
      <c r="D131">
        <v>5816.0919999999996</v>
      </c>
      <c r="E131">
        <v>254.47900000000001</v>
      </c>
      <c r="F131">
        <v>4441.3119999999999</v>
      </c>
    </row>
    <row r="132" spans="1:6">
      <c r="A132" s="14">
        <v>46239.125</v>
      </c>
      <c r="B132" t="s">
        <v>26</v>
      </c>
      <c r="C132">
        <v>2837</v>
      </c>
      <c r="D132">
        <v>6123.1610000000001</v>
      </c>
      <c r="E132">
        <v>254.42240000000001</v>
      </c>
      <c r="F132">
        <v>4430.0609999999997</v>
      </c>
    </row>
    <row r="133" spans="1:6">
      <c r="A133" s="14">
        <v>46239.166666666664</v>
      </c>
      <c r="B133" t="s">
        <v>26</v>
      </c>
      <c r="C133">
        <v>2822</v>
      </c>
      <c r="D133">
        <v>6430.23</v>
      </c>
      <c r="E133">
        <v>254.36009999999999</v>
      </c>
      <c r="F133">
        <v>4417.6509999999998</v>
      </c>
    </row>
    <row r="134" spans="1:6">
      <c r="A134" s="14">
        <v>46239.208333333336</v>
      </c>
      <c r="B134" t="s">
        <v>26</v>
      </c>
      <c r="C134">
        <v>2801</v>
      </c>
      <c r="D134">
        <v>6669.4430000000002</v>
      </c>
      <c r="E134">
        <v>254.29239999999999</v>
      </c>
      <c r="F134">
        <v>4404.1930000000002</v>
      </c>
    </row>
    <row r="135" spans="1:6">
      <c r="A135" s="14">
        <v>46239.25</v>
      </c>
      <c r="B135" t="s">
        <v>26</v>
      </c>
      <c r="C135">
        <v>2780</v>
      </c>
      <c r="D135">
        <v>6908.6570000000002</v>
      </c>
      <c r="E135">
        <v>254.2201</v>
      </c>
      <c r="F135">
        <v>4389.7979999999998</v>
      </c>
    </row>
    <row r="136" spans="1:6">
      <c r="A136" s="14">
        <v>46239.291666666664</v>
      </c>
      <c r="B136" t="s">
        <v>26</v>
      </c>
      <c r="C136">
        <v>2755.5</v>
      </c>
      <c r="D136">
        <v>7095.5259999999998</v>
      </c>
      <c r="E136">
        <v>254.14349999999999</v>
      </c>
      <c r="F136">
        <v>4374.5550000000003</v>
      </c>
    </row>
    <row r="137" spans="1:6">
      <c r="A137" s="14">
        <v>46239.333333333336</v>
      </c>
      <c r="B137" t="s">
        <v>26</v>
      </c>
      <c r="C137">
        <v>2731</v>
      </c>
      <c r="D137">
        <v>7272.3959999999997</v>
      </c>
      <c r="E137">
        <v>254.06319999999999</v>
      </c>
      <c r="F137">
        <v>4358.5680000000002</v>
      </c>
    </row>
    <row r="138" spans="1:6">
      <c r="A138" s="14">
        <v>46239.375</v>
      </c>
      <c r="B138" t="s">
        <v>26</v>
      </c>
      <c r="C138">
        <v>2702.5</v>
      </c>
      <c r="D138">
        <v>7411.8779999999997</v>
      </c>
      <c r="E138">
        <v>253.97909999999999</v>
      </c>
      <c r="F138">
        <v>4341.9170000000004</v>
      </c>
    </row>
    <row r="139" spans="1:6">
      <c r="A139" s="14">
        <v>46239.416666666664</v>
      </c>
      <c r="B139" t="s">
        <v>26</v>
      </c>
      <c r="C139">
        <v>2674</v>
      </c>
      <c r="D139">
        <v>7551.3590000000004</v>
      </c>
      <c r="E139">
        <v>253.89060000000001</v>
      </c>
      <c r="F139">
        <v>4324.6610000000001</v>
      </c>
    </row>
    <row r="140" spans="1:6">
      <c r="A140" s="14">
        <v>46239.458333333336</v>
      </c>
      <c r="B140" t="s">
        <v>26</v>
      </c>
      <c r="C140">
        <v>2641.5</v>
      </c>
      <c r="D140">
        <v>7664.5140000000001</v>
      </c>
      <c r="E140">
        <v>253.79920000000001</v>
      </c>
      <c r="F140">
        <v>4306.84</v>
      </c>
    </row>
    <row r="141" spans="1:6">
      <c r="A141" s="14">
        <v>46239.5</v>
      </c>
      <c r="B141" t="s">
        <v>26</v>
      </c>
      <c r="C141">
        <v>2609</v>
      </c>
      <c r="D141">
        <v>7777.6689999999999</v>
      </c>
      <c r="E141">
        <v>253.70509999999999</v>
      </c>
      <c r="F141">
        <v>4288.4949999999999</v>
      </c>
    </row>
    <row r="142" spans="1:6">
      <c r="A142" s="14">
        <v>46239.541666666664</v>
      </c>
      <c r="B142" t="s">
        <v>26</v>
      </c>
      <c r="C142">
        <v>2570</v>
      </c>
      <c r="D142">
        <v>7870.9139999999998</v>
      </c>
      <c r="E142">
        <v>253.60849999999999</v>
      </c>
      <c r="F142">
        <v>4269.6490000000003</v>
      </c>
    </row>
    <row r="143" spans="1:6">
      <c r="A143" s="14">
        <v>46239.583333333336</v>
      </c>
      <c r="B143" t="s">
        <v>26</v>
      </c>
      <c r="C143">
        <v>2531</v>
      </c>
      <c r="D143">
        <v>7964.1580000000004</v>
      </c>
      <c r="E143">
        <v>253.5094</v>
      </c>
      <c r="F143">
        <v>4250.3280000000004</v>
      </c>
    </row>
    <row r="144" spans="1:6">
      <c r="A144" s="14">
        <v>46239.625</v>
      </c>
      <c r="B144" t="s">
        <v>26</v>
      </c>
      <c r="C144">
        <v>2486</v>
      </c>
      <c r="D144">
        <v>8043.9809999999998</v>
      </c>
      <c r="E144">
        <v>253.40790000000001</v>
      </c>
      <c r="F144">
        <v>4230.5439999999999</v>
      </c>
    </row>
    <row r="145" spans="1:6">
      <c r="A145" s="14">
        <v>46239.666666666664</v>
      </c>
      <c r="B145" t="s">
        <v>26</v>
      </c>
      <c r="C145">
        <v>2441</v>
      </c>
      <c r="D145">
        <v>8123.8050000000003</v>
      </c>
      <c r="E145">
        <v>253.30420000000001</v>
      </c>
      <c r="F145">
        <v>4210.3109999999997</v>
      </c>
    </row>
    <row r="146" spans="1:6">
      <c r="A146" s="14">
        <v>46239.708333333336</v>
      </c>
      <c r="B146" t="s">
        <v>26</v>
      </c>
      <c r="C146">
        <v>2390.5</v>
      </c>
      <c r="D146">
        <v>8191.308</v>
      </c>
      <c r="E146">
        <v>253.19820000000001</v>
      </c>
      <c r="F146">
        <v>4189.6400000000003</v>
      </c>
    </row>
    <row r="147" spans="1:6">
      <c r="A147" s="14">
        <v>46239.75</v>
      </c>
      <c r="B147" t="s">
        <v>26</v>
      </c>
      <c r="C147">
        <v>2340</v>
      </c>
      <c r="D147">
        <v>8234.8109999999997</v>
      </c>
      <c r="E147">
        <v>253.09020000000001</v>
      </c>
      <c r="F147">
        <v>4168.5879999999997</v>
      </c>
    </row>
    <row r="148" spans="1:6">
      <c r="A148" s="14">
        <v>46239.791666666664</v>
      </c>
      <c r="B148" t="s">
        <v>26</v>
      </c>
      <c r="C148">
        <v>2287</v>
      </c>
      <c r="D148">
        <v>8267.7000000000007</v>
      </c>
      <c r="E148">
        <v>252.9803</v>
      </c>
      <c r="F148">
        <v>4147.2120000000004</v>
      </c>
    </row>
    <row r="149" spans="1:6">
      <c r="A149" s="14">
        <v>46239.833333333336</v>
      </c>
      <c r="B149" t="s">
        <v>26</v>
      </c>
      <c r="C149">
        <v>2234</v>
      </c>
      <c r="D149">
        <v>8300.5910000000003</v>
      </c>
      <c r="E149">
        <v>252.8673</v>
      </c>
      <c r="F149">
        <v>4125.527</v>
      </c>
    </row>
    <row r="150" spans="1:6">
      <c r="A150" s="14">
        <v>46239.875</v>
      </c>
      <c r="B150" t="s">
        <v>26</v>
      </c>
      <c r="C150">
        <v>2181</v>
      </c>
      <c r="D150">
        <v>8328.9390000000003</v>
      </c>
      <c r="E150">
        <v>252.75280000000001</v>
      </c>
      <c r="F150">
        <v>4103.5410000000002</v>
      </c>
    </row>
    <row r="151" spans="1:6">
      <c r="A151" s="14">
        <v>46239.916666666664</v>
      </c>
      <c r="B151" t="s">
        <v>26</v>
      </c>
      <c r="C151">
        <v>2128</v>
      </c>
      <c r="D151">
        <v>8357.2890000000007</v>
      </c>
      <c r="E151">
        <v>252.63679999999999</v>
      </c>
      <c r="F151">
        <v>4081.261</v>
      </c>
    </row>
    <row r="152" spans="1:6">
      <c r="A152" s="14">
        <v>46239.958333333336</v>
      </c>
      <c r="B152" t="s">
        <v>26</v>
      </c>
      <c r="C152">
        <v>2077.5</v>
      </c>
      <c r="D152">
        <v>8383.09</v>
      </c>
      <c r="E152">
        <v>252.51929999999999</v>
      </c>
      <c r="F152">
        <v>4058.6990000000001</v>
      </c>
    </row>
    <row r="153" spans="1:6">
      <c r="A153" s="14">
        <v>46240</v>
      </c>
      <c r="B153" t="s">
        <v>26</v>
      </c>
      <c r="C153">
        <v>2027</v>
      </c>
      <c r="D153">
        <v>8408.8909999999996</v>
      </c>
      <c r="E153">
        <v>252.40029999999999</v>
      </c>
      <c r="F153">
        <v>4035.8609999999999</v>
      </c>
    </row>
    <row r="154" spans="1:6">
      <c r="A154" s="14">
        <v>46240.041666666664</v>
      </c>
      <c r="B154" t="s">
        <v>26</v>
      </c>
      <c r="C154">
        <v>1982</v>
      </c>
      <c r="D154">
        <v>8431.8670000000002</v>
      </c>
      <c r="E154">
        <v>252.28</v>
      </c>
      <c r="F154">
        <v>4012.7640000000001</v>
      </c>
    </row>
    <row r="155" spans="1:6">
      <c r="A155" s="14">
        <v>46240.083333333336</v>
      </c>
      <c r="B155" t="s">
        <v>26</v>
      </c>
      <c r="C155">
        <v>1937</v>
      </c>
      <c r="D155">
        <v>8454.8439999999991</v>
      </c>
      <c r="E155">
        <v>252.1584</v>
      </c>
      <c r="F155">
        <v>3989.422</v>
      </c>
    </row>
    <row r="156" spans="1:6">
      <c r="A156" s="14">
        <v>46240.125</v>
      </c>
      <c r="B156" t="s">
        <v>26</v>
      </c>
      <c r="C156">
        <v>1898</v>
      </c>
      <c r="D156">
        <v>8475.6659999999993</v>
      </c>
      <c r="E156">
        <v>252.03569999999999</v>
      </c>
      <c r="F156">
        <v>3965.85</v>
      </c>
    </row>
    <row r="157" spans="1:6">
      <c r="A157" s="14">
        <v>46240.166666666664</v>
      </c>
      <c r="B157" t="s">
        <v>26</v>
      </c>
      <c r="C157">
        <v>1859</v>
      </c>
      <c r="D157">
        <v>8496.4879999999994</v>
      </c>
      <c r="E157">
        <v>251.91040000000001</v>
      </c>
      <c r="F157">
        <v>3942.0630000000001</v>
      </c>
    </row>
    <row r="158" spans="1:6">
      <c r="A158" s="14">
        <v>46240.208333333336</v>
      </c>
      <c r="B158" t="s">
        <v>26</v>
      </c>
      <c r="C158">
        <v>1827</v>
      </c>
      <c r="D158">
        <v>8515.4439999999995</v>
      </c>
      <c r="E158">
        <v>251.7835</v>
      </c>
      <c r="F158">
        <v>3918.076</v>
      </c>
    </row>
    <row r="159" spans="1:6">
      <c r="A159" s="14">
        <v>46240.25</v>
      </c>
      <c r="B159" t="s">
        <v>26</v>
      </c>
      <c r="C159">
        <v>1795</v>
      </c>
      <c r="D159">
        <v>8534.4009999999998</v>
      </c>
      <c r="E159">
        <v>251.65559999999999</v>
      </c>
      <c r="F159">
        <v>3893.9059999999999</v>
      </c>
    </row>
    <row r="160" spans="1:6">
      <c r="A160" s="14">
        <v>46240.291666666664</v>
      </c>
      <c r="B160" t="s">
        <v>26</v>
      </c>
      <c r="C160">
        <v>1768</v>
      </c>
      <c r="D160">
        <v>8551.6810000000005</v>
      </c>
      <c r="E160">
        <v>251.52680000000001</v>
      </c>
      <c r="F160">
        <v>3869.5650000000001</v>
      </c>
    </row>
    <row r="161" spans="1:6">
      <c r="A161" s="14">
        <v>46240.333333333336</v>
      </c>
      <c r="B161" t="s">
        <v>26</v>
      </c>
      <c r="C161">
        <v>1741</v>
      </c>
      <c r="D161">
        <v>8568.9609999999993</v>
      </c>
      <c r="E161">
        <v>251.3972</v>
      </c>
      <c r="F161">
        <v>3845.0639999999999</v>
      </c>
    </row>
    <row r="162" spans="1:6">
      <c r="A162" s="14">
        <v>46240.375</v>
      </c>
      <c r="B162" t="s">
        <v>26</v>
      </c>
      <c r="C162">
        <v>1719</v>
      </c>
      <c r="D162">
        <v>8584.7080000000005</v>
      </c>
      <c r="E162">
        <v>251.26669999999999</v>
      </c>
      <c r="F162">
        <v>3820.415</v>
      </c>
    </row>
    <row r="163" spans="1:6">
      <c r="A163" s="14">
        <v>46240.416666666664</v>
      </c>
      <c r="B163" t="s">
        <v>26</v>
      </c>
      <c r="C163">
        <v>1697</v>
      </c>
      <c r="D163">
        <v>8600.4549999999999</v>
      </c>
      <c r="E163">
        <v>251.13560000000001</v>
      </c>
      <c r="F163">
        <v>3795.6309999999999</v>
      </c>
    </row>
    <row r="164" spans="1:6">
      <c r="A164" s="14">
        <v>46240.458333333336</v>
      </c>
      <c r="B164" t="s">
        <v>26</v>
      </c>
      <c r="C164">
        <v>1679</v>
      </c>
      <c r="D164">
        <v>8615.7469999999994</v>
      </c>
      <c r="E164">
        <v>251.00380000000001</v>
      </c>
      <c r="F164">
        <v>3770.7179999999998</v>
      </c>
    </row>
    <row r="165" spans="1:6">
      <c r="A165" s="14">
        <v>46240.5</v>
      </c>
      <c r="B165" t="s">
        <v>26</v>
      </c>
      <c r="C165">
        <v>1661</v>
      </c>
      <c r="D165">
        <v>8631.0390000000007</v>
      </c>
      <c r="E165">
        <v>250.86930000000001</v>
      </c>
      <c r="F165">
        <v>3745.6860000000001</v>
      </c>
    </row>
    <row r="166" spans="1:6">
      <c r="A166" s="14">
        <v>46240.541666666664</v>
      </c>
      <c r="B166" t="s">
        <v>26</v>
      </c>
      <c r="C166">
        <v>1646</v>
      </c>
      <c r="D166">
        <v>8644.4560000000001</v>
      </c>
      <c r="E166">
        <v>250.73410000000001</v>
      </c>
      <c r="F166">
        <v>3720.5430000000001</v>
      </c>
    </row>
    <row r="167" spans="1:6">
      <c r="A167" s="14">
        <v>46240.583333333336</v>
      </c>
      <c r="B167" t="s">
        <v>26</v>
      </c>
      <c r="C167">
        <v>1631</v>
      </c>
      <c r="D167">
        <v>8657.8729999999996</v>
      </c>
      <c r="E167">
        <v>250.5984</v>
      </c>
      <c r="F167">
        <v>3695.297</v>
      </c>
    </row>
    <row r="168" spans="1:6">
      <c r="A168" s="14">
        <v>46240.625</v>
      </c>
      <c r="B168" t="s">
        <v>26</v>
      </c>
      <c r="C168">
        <v>1618</v>
      </c>
      <c r="D168">
        <v>8669.9490000000005</v>
      </c>
      <c r="E168">
        <v>250.46209999999999</v>
      </c>
      <c r="F168">
        <v>3669.9549999999999</v>
      </c>
    </row>
    <row r="169" spans="1:6">
      <c r="A169" s="14">
        <v>46240.666666666664</v>
      </c>
      <c r="B169" t="s">
        <v>26</v>
      </c>
      <c r="C169">
        <v>1605</v>
      </c>
      <c r="D169">
        <v>8682.0249999999996</v>
      </c>
      <c r="E169">
        <v>250.3254</v>
      </c>
      <c r="F169">
        <v>3644.5230000000001</v>
      </c>
    </row>
    <row r="170" spans="1:6">
      <c r="A170" s="14">
        <v>46240.708333333336</v>
      </c>
      <c r="B170" t="s">
        <v>26</v>
      </c>
      <c r="C170">
        <v>1593.5</v>
      </c>
      <c r="D170">
        <v>8691.9940000000006</v>
      </c>
      <c r="E170">
        <v>250.18819999999999</v>
      </c>
      <c r="F170">
        <v>3619.0070000000001</v>
      </c>
    </row>
    <row r="171" spans="1:6">
      <c r="A171" s="14">
        <v>46240.75</v>
      </c>
      <c r="B171" t="s">
        <v>26</v>
      </c>
      <c r="C171">
        <v>1582</v>
      </c>
      <c r="D171">
        <v>8701.9639999999999</v>
      </c>
      <c r="E171">
        <v>250.0506</v>
      </c>
      <c r="F171">
        <v>3593.4140000000002</v>
      </c>
    </row>
    <row r="172" spans="1:6">
      <c r="A172" s="14">
        <v>46240.791666666664</v>
      </c>
      <c r="B172" t="s">
        <v>26</v>
      </c>
      <c r="C172">
        <v>1573</v>
      </c>
      <c r="D172">
        <v>8711.3970000000008</v>
      </c>
      <c r="E172">
        <v>249.91069999999999</v>
      </c>
      <c r="F172">
        <v>3567.7489999999998</v>
      </c>
    </row>
    <row r="173" spans="1:6">
      <c r="A173" s="14">
        <v>46240.833333333336</v>
      </c>
      <c r="B173" t="s">
        <v>26</v>
      </c>
      <c r="C173">
        <v>1564</v>
      </c>
      <c r="D173">
        <v>8720.8320000000003</v>
      </c>
      <c r="E173">
        <v>249.76929999999999</v>
      </c>
      <c r="F173">
        <v>3542.018</v>
      </c>
    </row>
    <row r="174" spans="1:6">
      <c r="A174" s="14">
        <v>46240.875</v>
      </c>
      <c r="B174" t="s">
        <v>26</v>
      </c>
      <c r="C174">
        <v>1555.5</v>
      </c>
      <c r="D174">
        <v>8728.4509999999991</v>
      </c>
      <c r="E174">
        <v>249.6276</v>
      </c>
      <c r="F174">
        <v>3516.2240000000002</v>
      </c>
    </row>
    <row r="175" spans="1:6">
      <c r="A175" s="14">
        <v>46240.916666666664</v>
      </c>
      <c r="B175" t="s">
        <v>26</v>
      </c>
      <c r="C175">
        <v>1547</v>
      </c>
      <c r="D175">
        <v>8736.0709999999999</v>
      </c>
      <c r="E175">
        <v>249.48560000000001</v>
      </c>
      <c r="F175">
        <v>3490.3719999999998</v>
      </c>
    </row>
    <row r="176" spans="1:6">
      <c r="A176" s="14">
        <v>46240.958333333336</v>
      </c>
      <c r="B176" t="s">
        <v>26</v>
      </c>
      <c r="C176">
        <v>1540</v>
      </c>
      <c r="D176">
        <v>8742.9179999999997</v>
      </c>
      <c r="E176">
        <v>249.3432</v>
      </c>
      <c r="F176">
        <v>3464.4670000000001</v>
      </c>
    </row>
    <row r="177" spans="1:6">
      <c r="A177" s="14">
        <v>46241</v>
      </c>
      <c r="B177" t="s">
        <v>26</v>
      </c>
      <c r="C177">
        <v>1533</v>
      </c>
      <c r="D177">
        <v>8749.7659999999996</v>
      </c>
      <c r="E177">
        <v>249.20060000000001</v>
      </c>
      <c r="F177">
        <v>3438.511</v>
      </c>
    </row>
    <row r="178" spans="1:6">
      <c r="A178" s="14">
        <v>46241.041666666664</v>
      </c>
      <c r="B178" t="s">
        <v>26</v>
      </c>
      <c r="C178">
        <v>1526.5</v>
      </c>
      <c r="D178">
        <v>8755.6769999999997</v>
      </c>
      <c r="E178">
        <v>249.05770000000001</v>
      </c>
      <c r="F178">
        <v>3412.509</v>
      </c>
    </row>
    <row r="179" spans="1:6">
      <c r="A179" s="14">
        <v>46241.083333333336</v>
      </c>
      <c r="B179" t="s">
        <v>26</v>
      </c>
      <c r="C179">
        <v>1520</v>
      </c>
      <c r="D179">
        <v>8761.5879999999997</v>
      </c>
      <c r="E179">
        <v>248.91319999999999</v>
      </c>
      <c r="F179">
        <v>3386.4609999999998</v>
      </c>
    </row>
    <row r="180" spans="1:6">
      <c r="A180" s="14">
        <v>46241.125</v>
      </c>
      <c r="B180" t="s">
        <v>26</v>
      </c>
      <c r="C180">
        <v>1514</v>
      </c>
      <c r="D180">
        <v>8766.3430000000008</v>
      </c>
      <c r="E180">
        <v>248.76740000000001</v>
      </c>
      <c r="F180">
        <v>3360.3719999999998</v>
      </c>
    </row>
    <row r="181" spans="1:6">
      <c r="A181" s="14">
        <v>46241.166666666664</v>
      </c>
      <c r="B181" t="s">
        <v>26</v>
      </c>
      <c r="C181">
        <v>1508</v>
      </c>
      <c r="D181">
        <v>8771.098</v>
      </c>
      <c r="E181">
        <v>248.6215</v>
      </c>
      <c r="F181">
        <v>3334.2449999999999</v>
      </c>
    </row>
    <row r="182" spans="1:6">
      <c r="A182" s="14">
        <v>46241.208333333336</v>
      </c>
      <c r="B182" t="s">
        <v>26</v>
      </c>
      <c r="C182">
        <v>1502.5</v>
      </c>
      <c r="D182">
        <v>8775.9879999999994</v>
      </c>
      <c r="E182">
        <v>248.4753</v>
      </c>
      <c r="F182">
        <v>3308.0790000000002</v>
      </c>
    </row>
    <row r="183" spans="1:6">
      <c r="A183" s="14">
        <v>46241.25</v>
      </c>
      <c r="B183" t="s">
        <v>26</v>
      </c>
      <c r="C183">
        <v>1497</v>
      </c>
      <c r="D183">
        <v>8780.8780000000006</v>
      </c>
      <c r="E183">
        <v>248.3289</v>
      </c>
      <c r="F183">
        <v>3281.875</v>
      </c>
    </row>
    <row r="184" spans="1:6">
      <c r="A184" s="14">
        <v>46241.291666666664</v>
      </c>
      <c r="B184" t="s">
        <v>26</v>
      </c>
      <c r="C184">
        <v>1493</v>
      </c>
      <c r="D184">
        <v>8785.4459999999999</v>
      </c>
      <c r="E184">
        <v>248.1823</v>
      </c>
      <c r="F184">
        <v>3255.6379999999999</v>
      </c>
    </row>
    <row r="185" spans="1:6">
      <c r="A185" s="14">
        <v>46241.333333333336</v>
      </c>
      <c r="B185" t="s">
        <v>26</v>
      </c>
      <c r="C185">
        <v>1489</v>
      </c>
      <c r="D185">
        <v>8790.0149999999994</v>
      </c>
      <c r="E185">
        <v>248.03559999999999</v>
      </c>
      <c r="F185">
        <v>3229.37</v>
      </c>
    </row>
    <row r="186" spans="1:6">
      <c r="A186" s="14">
        <v>46241.375</v>
      </c>
      <c r="B186" t="s">
        <v>26</v>
      </c>
      <c r="C186">
        <v>1484.5</v>
      </c>
      <c r="D186">
        <v>8793.9860000000008</v>
      </c>
      <c r="E186">
        <v>247.88550000000001</v>
      </c>
      <c r="F186">
        <v>3203.0709999999999</v>
      </c>
    </row>
    <row r="187" spans="1:6">
      <c r="A187" s="14">
        <v>46241.416666666664</v>
      </c>
      <c r="B187" t="s">
        <v>26</v>
      </c>
      <c r="C187">
        <v>1480</v>
      </c>
      <c r="D187">
        <v>8797.9590000000007</v>
      </c>
      <c r="E187">
        <v>247.73410000000001</v>
      </c>
      <c r="F187">
        <v>3176.7420000000002</v>
      </c>
    </row>
    <row r="188" spans="1:6">
      <c r="A188" s="14">
        <v>46241.458333333336</v>
      </c>
      <c r="B188" t="s">
        <v>26</v>
      </c>
      <c r="C188">
        <v>1476.5</v>
      </c>
      <c r="D188">
        <v>8801.5370000000003</v>
      </c>
      <c r="E188">
        <v>247.58269999999999</v>
      </c>
      <c r="F188">
        <v>3150.384</v>
      </c>
    </row>
    <row r="189" spans="1:6">
      <c r="A189" s="14">
        <v>46241.5</v>
      </c>
      <c r="B189" t="s">
        <v>26</v>
      </c>
      <c r="C189">
        <v>1473</v>
      </c>
      <c r="D189">
        <v>8805.116</v>
      </c>
      <c r="E189">
        <v>247.43100000000001</v>
      </c>
      <c r="F189">
        <v>3124.0010000000002</v>
      </c>
    </row>
    <row r="190" spans="1:6">
      <c r="A190" s="14">
        <v>46241.541666666664</v>
      </c>
      <c r="B190" t="s">
        <v>26</v>
      </c>
      <c r="C190">
        <v>1469.5</v>
      </c>
      <c r="D190">
        <v>8808.2080000000005</v>
      </c>
      <c r="E190">
        <v>247.27930000000001</v>
      </c>
      <c r="F190">
        <v>3097.5940000000001</v>
      </c>
    </row>
    <row r="191" spans="1:6">
      <c r="A191" s="14">
        <v>46241.583333333336</v>
      </c>
      <c r="B191" t="s">
        <v>26</v>
      </c>
      <c r="C191">
        <v>1466</v>
      </c>
      <c r="D191">
        <v>8811.3009999999995</v>
      </c>
      <c r="E191">
        <v>247.12739999999999</v>
      </c>
      <c r="F191">
        <v>3071.163</v>
      </c>
    </row>
    <row r="192" spans="1:6">
      <c r="A192" s="14">
        <v>46241.625</v>
      </c>
      <c r="B192" t="s">
        <v>26</v>
      </c>
      <c r="C192">
        <v>1462.5</v>
      </c>
      <c r="D192">
        <v>8813.9120000000003</v>
      </c>
      <c r="E192">
        <v>246.9751</v>
      </c>
      <c r="F192">
        <v>3044.7089999999998</v>
      </c>
    </row>
    <row r="193" spans="1:6">
      <c r="A193" s="14">
        <v>46241.666666666664</v>
      </c>
      <c r="B193" t="s">
        <v>26</v>
      </c>
      <c r="C193">
        <v>1459</v>
      </c>
      <c r="D193">
        <v>8816.5239999999994</v>
      </c>
      <c r="E193">
        <v>246.8211</v>
      </c>
      <c r="F193">
        <v>3018.2330000000002</v>
      </c>
    </row>
    <row r="194" spans="1:6">
      <c r="A194" s="14">
        <v>46241.708333333336</v>
      </c>
      <c r="B194" t="s">
        <v>26</v>
      </c>
      <c r="C194">
        <v>1456</v>
      </c>
      <c r="D194">
        <v>8818.9770000000008</v>
      </c>
      <c r="E194">
        <v>246.6671</v>
      </c>
      <c r="F194">
        <v>2991.7359999999999</v>
      </c>
    </row>
    <row r="195" spans="1:6">
      <c r="A195" s="14">
        <v>46241.75</v>
      </c>
      <c r="B195" t="s">
        <v>26</v>
      </c>
      <c r="C195">
        <v>1453</v>
      </c>
      <c r="D195">
        <v>8821.4279999999999</v>
      </c>
      <c r="E195">
        <v>246.5129</v>
      </c>
      <c r="F195">
        <v>2965.2190000000001</v>
      </c>
    </row>
    <row r="196" spans="1:6">
      <c r="A196" s="14">
        <v>46241.791666666664</v>
      </c>
      <c r="B196" t="s">
        <v>26</v>
      </c>
      <c r="C196">
        <v>1450.5</v>
      </c>
      <c r="D196">
        <v>8823.56</v>
      </c>
      <c r="E196">
        <v>246.3586</v>
      </c>
      <c r="F196">
        <v>2938.6849999999999</v>
      </c>
    </row>
    <row r="197" spans="1:6">
      <c r="A197" s="14">
        <v>46241.833333333336</v>
      </c>
      <c r="B197" t="s">
        <v>26</v>
      </c>
      <c r="C197">
        <v>1448</v>
      </c>
      <c r="D197">
        <v>8825.6910000000007</v>
      </c>
      <c r="E197">
        <v>246.20429999999999</v>
      </c>
      <c r="F197">
        <v>2912.1329999999998</v>
      </c>
    </row>
    <row r="198" spans="1:6">
      <c r="A198" s="14">
        <v>46241.875</v>
      </c>
      <c r="B198" t="s">
        <v>26</v>
      </c>
      <c r="C198">
        <v>1446</v>
      </c>
      <c r="D198">
        <v>8827.8410000000003</v>
      </c>
      <c r="E198">
        <v>246.0498</v>
      </c>
      <c r="F198">
        <v>2885.5659999999998</v>
      </c>
    </row>
    <row r="199" spans="1:6">
      <c r="A199" s="14">
        <v>46241.916666666664</v>
      </c>
      <c r="B199" t="s">
        <v>26</v>
      </c>
      <c r="C199">
        <v>1444</v>
      </c>
      <c r="D199">
        <v>8829.991</v>
      </c>
      <c r="E199">
        <v>245.8921</v>
      </c>
      <c r="F199">
        <v>2858.9839999999999</v>
      </c>
    </row>
    <row r="200" spans="1:6">
      <c r="A200" s="14">
        <v>46241.958333333336</v>
      </c>
      <c r="B200" t="s">
        <v>26</v>
      </c>
      <c r="C200">
        <v>1442</v>
      </c>
      <c r="D200">
        <v>8831.9349999999995</v>
      </c>
      <c r="E200">
        <v>245.7329</v>
      </c>
      <c r="F200">
        <v>2832.3870000000002</v>
      </c>
    </row>
    <row r="201" spans="1:6">
      <c r="A201" s="14">
        <v>46242</v>
      </c>
      <c r="B201" t="s">
        <v>26</v>
      </c>
      <c r="C201">
        <v>1440</v>
      </c>
      <c r="D201">
        <v>8833.8780000000006</v>
      </c>
      <c r="E201">
        <v>245.5735</v>
      </c>
      <c r="F201">
        <v>2805.777</v>
      </c>
    </row>
    <row r="202" spans="1:6">
      <c r="A202" s="14">
        <v>46242.041666666664</v>
      </c>
      <c r="B202" t="s">
        <v>26</v>
      </c>
      <c r="C202">
        <v>1438.5</v>
      </c>
      <c r="D202">
        <v>8835.73</v>
      </c>
      <c r="E202">
        <v>245.41409999999999</v>
      </c>
      <c r="F202">
        <v>2779.1529999999998</v>
      </c>
    </row>
    <row r="203" spans="1:6">
      <c r="A203" s="14">
        <v>46242.083333333336</v>
      </c>
      <c r="B203" t="s">
        <v>26</v>
      </c>
      <c r="C203">
        <v>1437</v>
      </c>
      <c r="D203">
        <v>8837.5830000000005</v>
      </c>
      <c r="E203">
        <v>245.25460000000001</v>
      </c>
      <c r="F203">
        <v>2752.5169999999998</v>
      </c>
    </row>
    <row r="204" spans="1:6">
      <c r="A204" s="14">
        <v>46242.125</v>
      </c>
      <c r="B204" t="s">
        <v>26</v>
      </c>
      <c r="C204">
        <v>1436</v>
      </c>
      <c r="D204">
        <v>8839.2270000000008</v>
      </c>
      <c r="E204">
        <v>245.095</v>
      </c>
      <c r="F204">
        <v>2725.87</v>
      </c>
    </row>
    <row r="205" spans="1:6">
      <c r="A205" s="14">
        <v>46242.166666666664</v>
      </c>
      <c r="B205" t="s">
        <v>26</v>
      </c>
      <c r="C205">
        <v>1435</v>
      </c>
      <c r="D205">
        <v>8840.8690000000006</v>
      </c>
      <c r="E205">
        <v>244.9342</v>
      </c>
      <c r="F205">
        <v>2699.2130000000002</v>
      </c>
    </row>
    <row r="206" spans="1:6">
      <c r="A206" s="14">
        <v>46242.208333333336</v>
      </c>
      <c r="B206" t="s">
        <v>26</v>
      </c>
      <c r="C206">
        <v>1433.5</v>
      </c>
      <c r="D206">
        <v>8842.1229999999996</v>
      </c>
      <c r="E206">
        <v>244.77160000000001</v>
      </c>
      <c r="F206">
        <v>2672.547</v>
      </c>
    </row>
    <row r="207" spans="1:6">
      <c r="A207" s="14">
        <v>46242.25</v>
      </c>
      <c r="B207" t="s">
        <v>26</v>
      </c>
      <c r="C207">
        <v>1432</v>
      </c>
      <c r="D207">
        <v>8843.3770000000004</v>
      </c>
      <c r="E207">
        <v>244.60900000000001</v>
      </c>
      <c r="F207">
        <v>2645.8710000000001</v>
      </c>
    </row>
    <row r="208" spans="1:6">
      <c r="A208" s="14">
        <v>46242.291666666664</v>
      </c>
      <c r="B208" t="s">
        <v>26</v>
      </c>
      <c r="C208">
        <v>1431.5</v>
      </c>
      <c r="D208">
        <v>8844.3179999999993</v>
      </c>
      <c r="E208">
        <v>244.44630000000001</v>
      </c>
      <c r="F208">
        <v>2619.1880000000001</v>
      </c>
    </row>
    <row r="209" spans="1:6">
      <c r="A209" s="14">
        <v>46242.333333333336</v>
      </c>
      <c r="B209" t="s">
        <v>26</v>
      </c>
      <c r="C209">
        <v>1431</v>
      </c>
      <c r="D209">
        <v>8845.2610000000004</v>
      </c>
      <c r="E209">
        <v>244.2835</v>
      </c>
      <c r="F209">
        <v>2592.4989999999998</v>
      </c>
    </row>
    <row r="210" spans="1:6">
      <c r="A210" s="14">
        <v>46242.375</v>
      </c>
      <c r="B210" t="s">
        <v>26</v>
      </c>
      <c r="C210">
        <v>1430</v>
      </c>
      <c r="D210">
        <v>8846.1010000000006</v>
      </c>
      <c r="E210">
        <v>244.1208</v>
      </c>
      <c r="F210">
        <v>2565.8040000000001</v>
      </c>
    </row>
    <row r="211" spans="1:6">
      <c r="A211" s="14">
        <v>46242.416666666664</v>
      </c>
      <c r="B211" t="s">
        <v>26</v>
      </c>
      <c r="C211">
        <v>1429</v>
      </c>
      <c r="D211">
        <v>8846.9390000000003</v>
      </c>
      <c r="E211">
        <v>243.95689999999999</v>
      </c>
      <c r="F211">
        <v>2539.1030000000001</v>
      </c>
    </row>
    <row r="212" spans="1:6">
      <c r="A212" s="14">
        <v>46242.458333333336</v>
      </c>
      <c r="B212" t="s">
        <v>26</v>
      </c>
      <c r="C212">
        <v>1428.5</v>
      </c>
      <c r="D212">
        <v>8847.527</v>
      </c>
      <c r="E212">
        <v>243.79</v>
      </c>
      <c r="F212">
        <v>2512.3960000000002</v>
      </c>
    </row>
    <row r="213" spans="1:6">
      <c r="A213" s="14">
        <v>46242.5</v>
      </c>
      <c r="B213" t="s">
        <v>26</v>
      </c>
      <c r="C213">
        <v>1428</v>
      </c>
      <c r="D213">
        <v>8848.1139999999996</v>
      </c>
      <c r="E213">
        <v>243.62299999999999</v>
      </c>
      <c r="F213">
        <v>2485.6860000000001</v>
      </c>
    </row>
    <row r="214" spans="1:6">
      <c r="A214" s="14">
        <v>46242.541666666664</v>
      </c>
      <c r="B214" t="s">
        <v>26</v>
      </c>
      <c r="C214">
        <v>1427</v>
      </c>
      <c r="D214">
        <v>8848.5210000000006</v>
      </c>
      <c r="E214">
        <v>243.45609999999999</v>
      </c>
      <c r="F214">
        <v>2458.971</v>
      </c>
    </row>
    <row r="215" spans="1:6">
      <c r="A215" s="14">
        <v>46242.583333333336</v>
      </c>
      <c r="B215" t="s">
        <v>26</v>
      </c>
      <c r="C215">
        <v>1426</v>
      </c>
      <c r="D215">
        <v>8848.9269999999997</v>
      </c>
      <c r="E215">
        <v>243.28909999999999</v>
      </c>
      <c r="F215">
        <v>2432.2510000000002</v>
      </c>
    </row>
    <row r="216" spans="1:6">
      <c r="A216" s="14">
        <v>46242.625</v>
      </c>
      <c r="B216" t="s">
        <v>26</v>
      </c>
      <c r="C216">
        <v>1425.5</v>
      </c>
      <c r="D216">
        <v>8849.1669999999995</v>
      </c>
      <c r="E216">
        <v>243.12200000000001</v>
      </c>
      <c r="F216">
        <v>2405.527</v>
      </c>
    </row>
    <row r="217" spans="1:6">
      <c r="A217" s="14">
        <v>46242.666666666664</v>
      </c>
      <c r="B217" t="s">
        <v>26</v>
      </c>
      <c r="C217">
        <v>1425</v>
      </c>
      <c r="D217">
        <v>8849.4079999999994</v>
      </c>
      <c r="E217">
        <v>242.95359999999999</v>
      </c>
      <c r="F217">
        <v>2378.8009999999999</v>
      </c>
    </row>
    <row r="218" spans="1:6">
      <c r="A218" s="14">
        <v>46242.708333333336</v>
      </c>
      <c r="B218" t="s">
        <v>26</v>
      </c>
      <c r="C218">
        <v>1424.5</v>
      </c>
      <c r="D218">
        <v>8849.5490000000009</v>
      </c>
      <c r="E218">
        <v>242.78110000000001</v>
      </c>
      <c r="F218">
        <v>2352.0720000000001</v>
      </c>
    </row>
    <row r="219" spans="1:6">
      <c r="A219" s="14">
        <v>46242.75</v>
      </c>
      <c r="B219" t="s">
        <v>26</v>
      </c>
      <c r="C219">
        <v>1424</v>
      </c>
      <c r="D219">
        <v>8849.69</v>
      </c>
      <c r="E219">
        <v>242.6086</v>
      </c>
      <c r="F219">
        <v>2325.34</v>
      </c>
    </row>
    <row r="220" spans="1:6">
      <c r="A220" s="14">
        <v>46242.791666666664</v>
      </c>
      <c r="B220" t="s">
        <v>26</v>
      </c>
      <c r="C220">
        <v>1423.5</v>
      </c>
      <c r="D220">
        <v>8849.7659999999996</v>
      </c>
      <c r="E220">
        <v>242.43620000000001</v>
      </c>
      <c r="F220">
        <v>2298.607</v>
      </c>
    </row>
    <row r="221" spans="1:6">
      <c r="A221" s="14">
        <v>46242.833333333336</v>
      </c>
      <c r="B221" t="s">
        <v>26</v>
      </c>
      <c r="C221">
        <v>1423</v>
      </c>
      <c r="D221">
        <v>8849.8410000000003</v>
      </c>
      <c r="E221">
        <v>242.2637</v>
      </c>
      <c r="F221">
        <v>2271.8710000000001</v>
      </c>
    </row>
    <row r="222" spans="1:6">
      <c r="A222" s="14">
        <v>46242.875</v>
      </c>
      <c r="B222" t="s">
        <v>26</v>
      </c>
      <c r="C222">
        <v>1423</v>
      </c>
      <c r="D222">
        <v>8849.8809999999994</v>
      </c>
      <c r="E222">
        <v>242.09119999999999</v>
      </c>
      <c r="F222">
        <v>2245.134</v>
      </c>
    </row>
    <row r="223" spans="1:6">
      <c r="A223" s="14">
        <v>46242.916666666664</v>
      </c>
      <c r="B223" t="s">
        <v>26</v>
      </c>
      <c r="C223">
        <v>1423</v>
      </c>
      <c r="D223">
        <v>8849.9220000000005</v>
      </c>
      <c r="E223">
        <v>241.916</v>
      </c>
      <c r="F223">
        <v>2218.3969999999999</v>
      </c>
    </row>
    <row r="224" spans="1:6">
      <c r="A224" s="14">
        <v>46242.958333333336</v>
      </c>
      <c r="B224" t="s">
        <v>26</v>
      </c>
      <c r="C224">
        <v>1422.5</v>
      </c>
      <c r="D224">
        <v>8849.9410000000007</v>
      </c>
      <c r="E224">
        <v>241.73769999999999</v>
      </c>
      <c r="F224">
        <v>2191.66</v>
      </c>
    </row>
    <row r="225" spans="1:6">
      <c r="A225" s="14">
        <v>46243</v>
      </c>
      <c r="B225" t="s">
        <v>26</v>
      </c>
      <c r="C225">
        <v>1422</v>
      </c>
      <c r="D225">
        <v>8849.9619999999995</v>
      </c>
      <c r="E225">
        <v>241.55950000000001</v>
      </c>
      <c r="F225">
        <v>2164.92</v>
      </c>
    </row>
    <row r="226" spans="1:6">
      <c r="A226" s="14">
        <v>46243.041666666664</v>
      </c>
      <c r="B226" t="s">
        <v>26</v>
      </c>
      <c r="C226">
        <v>1421.5</v>
      </c>
      <c r="D226">
        <v>8849.9719999999998</v>
      </c>
      <c r="E226">
        <v>241.38120000000001</v>
      </c>
      <c r="F226">
        <v>2138.1779999999999</v>
      </c>
    </row>
    <row r="227" spans="1:6">
      <c r="A227" s="14">
        <v>46243.083333333336</v>
      </c>
      <c r="B227" t="s">
        <v>26</v>
      </c>
      <c r="C227">
        <v>1421</v>
      </c>
      <c r="D227">
        <v>8849.9809999999998</v>
      </c>
      <c r="E227">
        <v>241.2029</v>
      </c>
      <c r="F227">
        <v>2111.4349999999999</v>
      </c>
    </row>
    <row r="228" spans="1:6">
      <c r="A228" s="14">
        <v>46243.125</v>
      </c>
      <c r="B228" t="s">
        <v>26</v>
      </c>
      <c r="C228">
        <v>1421</v>
      </c>
      <c r="D228">
        <v>8849.9860000000008</v>
      </c>
      <c r="E228">
        <v>241.02459999999999</v>
      </c>
      <c r="F228">
        <v>2084.69</v>
      </c>
    </row>
    <row r="229" spans="1:6">
      <c r="A229" s="14">
        <v>46243.166666666664</v>
      </c>
      <c r="B229" t="s">
        <v>26</v>
      </c>
      <c r="C229">
        <v>1421</v>
      </c>
      <c r="D229">
        <v>8849.991</v>
      </c>
      <c r="E229">
        <v>240.84100000000001</v>
      </c>
      <c r="F229">
        <v>2057.9459999999999</v>
      </c>
    </row>
    <row r="230" spans="1:6">
      <c r="A230" s="14">
        <v>46243.208333333336</v>
      </c>
      <c r="B230" t="s">
        <v>26</v>
      </c>
      <c r="C230">
        <v>1420.5</v>
      </c>
      <c r="D230">
        <v>8849.9940000000006</v>
      </c>
      <c r="E230">
        <v>240.6566</v>
      </c>
      <c r="F230">
        <v>2031.201</v>
      </c>
    </row>
    <row r="231" spans="1:6">
      <c r="A231" s="14">
        <v>46243.25</v>
      </c>
      <c r="B231" t="s">
        <v>26</v>
      </c>
      <c r="C231">
        <v>1420</v>
      </c>
      <c r="D231">
        <v>8849.9959999999992</v>
      </c>
      <c r="E231">
        <v>240.47210000000001</v>
      </c>
      <c r="F231">
        <v>2004.454</v>
      </c>
    </row>
    <row r="232" spans="1:6">
      <c r="A232" s="14">
        <v>46243.291666666664</v>
      </c>
      <c r="B232" t="s">
        <v>26</v>
      </c>
      <c r="C232">
        <v>1420</v>
      </c>
      <c r="D232">
        <v>8849.9969999999994</v>
      </c>
      <c r="E232">
        <v>240.2876</v>
      </c>
      <c r="F232">
        <v>1977.7059999999999</v>
      </c>
    </row>
    <row r="233" spans="1:6">
      <c r="A233" s="14">
        <v>46243.333333333336</v>
      </c>
      <c r="B233" t="s">
        <v>26</v>
      </c>
      <c r="C233">
        <v>1420</v>
      </c>
      <c r="D233">
        <v>8849.9979999999996</v>
      </c>
      <c r="E233">
        <v>240.10310000000001</v>
      </c>
      <c r="F233">
        <v>1950.9580000000001</v>
      </c>
    </row>
    <row r="234" spans="1:6">
      <c r="A234" s="14">
        <v>46243.375</v>
      </c>
      <c r="B234" t="s">
        <v>26</v>
      </c>
      <c r="C234">
        <v>1420</v>
      </c>
      <c r="D234">
        <v>8849.9989999999998</v>
      </c>
      <c r="E234">
        <v>239.91579999999999</v>
      </c>
      <c r="F234">
        <v>1924.21</v>
      </c>
    </row>
    <row r="235" spans="1:6">
      <c r="A235" s="14">
        <v>46243.416666666664</v>
      </c>
      <c r="B235" t="s">
        <v>26</v>
      </c>
      <c r="C235">
        <v>1420</v>
      </c>
      <c r="D235">
        <v>8873.4349999999995</v>
      </c>
      <c r="E235">
        <v>239.7244</v>
      </c>
      <c r="F235">
        <v>1897.4190000000001</v>
      </c>
    </row>
    <row r="236" spans="1:6">
      <c r="A236" s="14">
        <v>46243.458333333336</v>
      </c>
      <c r="B236" t="s">
        <v>26</v>
      </c>
      <c r="C236">
        <v>1420</v>
      </c>
      <c r="D236">
        <v>9349.9989999999998</v>
      </c>
      <c r="E236">
        <v>239.5266</v>
      </c>
      <c r="F236">
        <v>1869.729</v>
      </c>
    </row>
    <row r="237" spans="1:6">
      <c r="A237" s="14">
        <v>46243.5</v>
      </c>
      <c r="B237" t="s">
        <v>26</v>
      </c>
      <c r="C237">
        <v>1420</v>
      </c>
      <c r="D237">
        <v>9350</v>
      </c>
      <c r="E237">
        <v>239.3227</v>
      </c>
      <c r="F237">
        <v>1841.181</v>
      </c>
    </row>
    <row r="238" spans="1:6">
      <c r="A238" s="14">
        <v>46243.541666666664</v>
      </c>
      <c r="B238" t="s">
        <v>26</v>
      </c>
      <c r="C238">
        <v>1420</v>
      </c>
      <c r="D238">
        <v>9350</v>
      </c>
      <c r="E238">
        <v>239.11879999999999</v>
      </c>
      <c r="F238">
        <v>1812.633</v>
      </c>
    </row>
    <row r="239" spans="1:6">
      <c r="A239" s="14">
        <v>46243.583333333336</v>
      </c>
      <c r="B239" t="s">
        <v>26</v>
      </c>
      <c r="C239">
        <v>1420</v>
      </c>
      <c r="D239">
        <v>9350</v>
      </c>
      <c r="E239">
        <v>238.9117</v>
      </c>
      <c r="F239">
        <v>1784.085</v>
      </c>
    </row>
    <row r="240" spans="1:6">
      <c r="A240" s="14">
        <v>46243.625</v>
      </c>
      <c r="B240" t="s">
        <v>26</v>
      </c>
      <c r="C240">
        <v>1420</v>
      </c>
      <c r="D240">
        <v>9350</v>
      </c>
      <c r="E240">
        <v>238.7003</v>
      </c>
      <c r="F240">
        <v>1755.537</v>
      </c>
    </row>
    <row r="241" spans="1:6">
      <c r="A241" s="14">
        <v>46243.666666666664</v>
      </c>
      <c r="B241" t="s">
        <v>26</v>
      </c>
      <c r="C241">
        <v>1420</v>
      </c>
      <c r="D241">
        <v>9350</v>
      </c>
      <c r="E241">
        <v>238.4888</v>
      </c>
      <c r="F241">
        <v>1726.989</v>
      </c>
    </row>
    <row r="242" spans="1:6">
      <c r="A242" s="14">
        <v>46243.708333333336</v>
      </c>
      <c r="B242" t="s">
        <v>26</v>
      </c>
      <c r="C242">
        <v>1420</v>
      </c>
      <c r="D242">
        <v>9350</v>
      </c>
      <c r="E242">
        <v>238.2773</v>
      </c>
      <c r="F242">
        <v>1698.441</v>
      </c>
    </row>
    <row r="243" spans="1:6">
      <c r="A243" s="14">
        <v>46243.75</v>
      </c>
      <c r="B243" t="s">
        <v>26</v>
      </c>
      <c r="C243">
        <v>1420</v>
      </c>
      <c r="D243">
        <v>9350</v>
      </c>
      <c r="E243">
        <v>238.0659</v>
      </c>
      <c r="F243">
        <v>1669.893</v>
      </c>
    </row>
    <row r="244" spans="1:6">
      <c r="A244" s="14">
        <v>46243.791666666664</v>
      </c>
      <c r="B244" t="s">
        <v>26</v>
      </c>
      <c r="C244">
        <v>1420</v>
      </c>
      <c r="D244">
        <v>9350</v>
      </c>
      <c r="E244">
        <v>237.85</v>
      </c>
      <c r="F244">
        <v>1641.345</v>
      </c>
    </row>
    <row r="245" spans="1:6">
      <c r="A245" s="14">
        <v>46243.833333333336</v>
      </c>
      <c r="B245" t="s">
        <v>26</v>
      </c>
      <c r="C245">
        <v>1420</v>
      </c>
      <c r="D245">
        <v>9350</v>
      </c>
      <c r="E245">
        <v>237.63200000000001</v>
      </c>
      <c r="F245">
        <v>1612.797</v>
      </c>
    </row>
    <row r="246" spans="1:6">
      <c r="A246" s="14">
        <v>46243.875</v>
      </c>
      <c r="B246" t="s">
        <v>26</v>
      </c>
      <c r="C246">
        <v>1420</v>
      </c>
      <c r="D246">
        <v>9350</v>
      </c>
      <c r="E246">
        <v>237.41409999999999</v>
      </c>
      <c r="F246">
        <v>1584.25</v>
      </c>
    </row>
    <row r="247" spans="1:6">
      <c r="A247" s="14">
        <v>46243.916666666664</v>
      </c>
      <c r="B247" t="s">
        <v>26</v>
      </c>
      <c r="C247">
        <v>1420</v>
      </c>
      <c r="D247">
        <v>9298.8279999999995</v>
      </c>
      <c r="E247">
        <v>237.1969</v>
      </c>
      <c r="F247">
        <v>1555.7940000000001</v>
      </c>
    </row>
    <row r="248" spans="1:6">
      <c r="A248" s="14">
        <v>46243.958333333336</v>
      </c>
      <c r="B248" t="s">
        <v>26</v>
      </c>
      <c r="C248">
        <v>1420</v>
      </c>
      <c r="D248">
        <v>9269.5310000000009</v>
      </c>
      <c r="E248">
        <v>236.97970000000001</v>
      </c>
      <c r="F248">
        <v>1527.4829999999999</v>
      </c>
    </row>
    <row r="249" spans="1:6">
      <c r="A249" s="14">
        <v>46244</v>
      </c>
      <c r="B249" t="s">
        <v>26</v>
      </c>
      <c r="C249">
        <v>1420</v>
      </c>
      <c r="D249">
        <v>9238.2810000000009</v>
      </c>
      <c r="E249">
        <v>236.75229999999999</v>
      </c>
      <c r="F249">
        <v>1499.2809999999999</v>
      </c>
    </row>
    <row r="250" spans="1:6">
      <c r="A250" s="14">
        <v>46244.041666666664</v>
      </c>
      <c r="B250" t="s">
        <v>26</v>
      </c>
      <c r="C250">
        <v>1420</v>
      </c>
      <c r="D250">
        <v>9207.0310000000009</v>
      </c>
      <c r="E250">
        <v>236.5257</v>
      </c>
      <c r="F250">
        <v>1471.191</v>
      </c>
    </row>
    <row r="251" spans="1:6">
      <c r="A251" s="14">
        <v>46244.083333333336</v>
      </c>
      <c r="B251" t="s">
        <v>26</v>
      </c>
      <c r="C251">
        <v>1420</v>
      </c>
      <c r="D251">
        <v>9175.7810000000009</v>
      </c>
      <c r="E251">
        <v>236.30009999999999</v>
      </c>
      <c r="F251">
        <v>1443.2139999999999</v>
      </c>
    </row>
    <row r="252" spans="1:6">
      <c r="A252" s="14">
        <v>46244.125</v>
      </c>
      <c r="B252" t="s">
        <v>26</v>
      </c>
      <c r="C252">
        <v>1420</v>
      </c>
      <c r="D252">
        <v>9144.5310000000009</v>
      </c>
      <c r="E252">
        <v>236.0754</v>
      </c>
      <c r="F252">
        <v>1415.3489999999999</v>
      </c>
    </row>
    <row r="253" spans="1:6">
      <c r="A253" s="14">
        <v>46244.166666666664</v>
      </c>
      <c r="B253" t="s">
        <v>26</v>
      </c>
      <c r="C253">
        <v>1420</v>
      </c>
      <c r="D253">
        <v>9111.3279999999995</v>
      </c>
      <c r="E253">
        <v>235.84270000000001</v>
      </c>
      <c r="F253">
        <v>1387.6010000000001</v>
      </c>
    </row>
    <row r="254" spans="1:6">
      <c r="A254" s="14">
        <v>46244.208333333336</v>
      </c>
      <c r="B254" t="s">
        <v>26</v>
      </c>
      <c r="C254">
        <v>1420</v>
      </c>
      <c r="D254">
        <v>9078.125</v>
      </c>
      <c r="E254">
        <v>235.60659999999999</v>
      </c>
      <c r="F254">
        <v>1359.972</v>
      </c>
    </row>
    <row r="255" spans="1:6">
      <c r="A255" s="14">
        <v>46244.25</v>
      </c>
      <c r="B255" t="s">
        <v>26</v>
      </c>
      <c r="C255">
        <v>1420</v>
      </c>
      <c r="D255">
        <v>9044.9220000000005</v>
      </c>
      <c r="E255">
        <v>235.3715</v>
      </c>
      <c r="F255">
        <v>1332.462</v>
      </c>
    </row>
    <row r="256" spans="1:6">
      <c r="A256" s="14">
        <v>46244.291666666664</v>
      </c>
      <c r="B256" t="s">
        <v>26</v>
      </c>
      <c r="C256">
        <v>1420</v>
      </c>
      <c r="D256">
        <v>9011.7189999999991</v>
      </c>
      <c r="E256">
        <v>235.13740000000001</v>
      </c>
      <c r="F256">
        <v>1305.0719999999999</v>
      </c>
    </row>
    <row r="257" spans="1:6">
      <c r="A257" s="14">
        <v>46244.333333333336</v>
      </c>
      <c r="B257" t="s">
        <v>26</v>
      </c>
      <c r="C257">
        <v>1420</v>
      </c>
      <c r="D257">
        <v>2088.6930000000002</v>
      </c>
      <c r="E257">
        <v>235.0103</v>
      </c>
      <c r="F257">
        <v>1290.204</v>
      </c>
    </row>
    <row r="258" spans="1:6">
      <c r="A258" s="14">
        <v>46244.375</v>
      </c>
      <c r="B258" t="s">
        <v>26</v>
      </c>
      <c r="C258">
        <v>1420</v>
      </c>
      <c r="D258">
        <v>1419.991</v>
      </c>
      <c r="E258">
        <v>235</v>
      </c>
      <c r="F258">
        <v>1289</v>
      </c>
    </row>
    <row r="259" spans="1:6">
      <c r="A259" s="14">
        <v>46244.416666666664</v>
      </c>
      <c r="B259" t="s">
        <v>26</v>
      </c>
      <c r="C259">
        <v>1420</v>
      </c>
      <c r="D259">
        <v>1420.0050000000001</v>
      </c>
      <c r="E259">
        <v>235</v>
      </c>
      <c r="F259">
        <v>1289</v>
      </c>
    </row>
    <row r="260" spans="1:6">
      <c r="A260" s="14">
        <v>46244.458333333336</v>
      </c>
      <c r="B260" t="s">
        <v>26</v>
      </c>
      <c r="C260">
        <v>1420</v>
      </c>
      <c r="D260">
        <v>1419.998</v>
      </c>
      <c r="E260">
        <v>235</v>
      </c>
      <c r="F260">
        <v>1289</v>
      </c>
    </row>
    <row r="261" spans="1:6">
      <c r="A261" s="14">
        <v>46244.5</v>
      </c>
      <c r="B261" t="s">
        <v>26</v>
      </c>
      <c r="C261">
        <v>1420</v>
      </c>
      <c r="D261">
        <v>1420.001</v>
      </c>
      <c r="E261">
        <v>235</v>
      </c>
      <c r="F261">
        <v>1289</v>
      </c>
    </row>
    <row r="262" spans="1:6">
      <c r="A262" s="14">
        <v>46244.541666666664</v>
      </c>
      <c r="B262" t="s">
        <v>26</v>
      </c>
      <c r="C262">
        <v>1420</v>
      </c>
      <c r="D262">
        <v>1419.999</v>
      </c>
      <c r="E262">
        <v>235</v>
      </c>
      <c r="F262">
        <v>1289</v>
      </c>
    </row>
    <row r="263" spans="1:6">
      <c r="A263" s="14">
        <v>46244.583333333336</v>
      </c>
      <c r="B263" t="s">
        <v>26</v>
      </c>
      <c r="C263">
        <v>1420</v>
      </c>
      <c r="D263">
        <v>1420</v>
      </c>
      <c r="E263">
        <v>235</v>
      </c>
      <c r="F263">
        <v>1289</v>
      </c>
    </row>
    <row r="264" spans="1:6">
      <c r="A264" s="14">
        <v>46244.625</v>
      </c>
      <c r="B264" t="s">
        <v>26</v>
      </c>
      <c r="C264">
        <v>1420</v>
      </c>
      <c r="D264">
        <v>1420</v>
      </c>
      <c r="E264">
        <v>235</v>
      </c>
      <c r="F264">
        <v>1289</v>
      </c>
    </row>
    <row r="265" spans="1:6">
      <c r="A265" s="14">
        <v>46244.666666666664</v>
      </c>
      <c r="B265" t="s">
        <v>26</v>
      </c>
      <c r="C265">
        <v>1420</v>
      </c>
      <c r="D265">
        <v>1420</v>
      </c>
      <c r="E265">
        <v>235</v>
      </c>
      <c r="F265">
        <v>1289</v>
      </c>
    </row>
    <row r="266" spans="1:6">
      <c r="A266" s="14">
        <v>46244.708333333336</v>
      </c>
      <c r="B266" t="s">
        <v>26</v>
      </c>
      <c r="C266">
        <v>1420</v>
      </c>
      <c r="D266">
        <v>1420</v>
      </c>
      <c r="E266">
        <v>235</v>
      </c>
      <c r="F266">
        <v>1289</v>
      </c>
    </row>
    <row r="267" spans="1:6">
      <c r="A267" s="14">
        <v>46244.75</v>
      </c>
      <c r="B267" t="s">
        <v>26</v>
      </c>
      <c r="C267">
        <v>1420</v>
      </c>
      <c r="D267">
        <v>1420</v>
      </c>
      <c r="E267">
        <v>235</v>
      </c>
      <c r="F267">
        <v>1289</v>
      </c>
    </row>
    <row r="268" spans="1:6">
      <c r="A268" s="14">
        <v>46244.791666666664</v>
      </c>
      <c r="B268" t="s">
        <v>26</v>
      </c>
      <c r="C268">
        <v>1420</v>
      </c>
      <c r="D268">
        <v>1420</v>
      </c>
      <c r="E268">
        <v>235</v>
      </c>
      <c r="F268">
        <v>1289</v>
      </c>
    </row>
    <row r="269" spans="1:6">
      <c r="A269" s="14">
        <v>46244.833333333336</v>
      </c>
      <c r="B269" t="s">
        <v>26</v>
      </c>
      <c r="C269">
        <v>1420</v>
      </c>
      <c r="D269">
        <v>1420</v>
      </c>
      <c r="E269">
        <v>235</v>
      </c>
      <c r="F269">
        <v>1289</v>
      </c>
    </row>
    <row r="270" spans="1:6">
      <c r="A270" s="14">
        <v>46244.875</v>
      </c>
      <c r="B270" t="s">
        <v>26</v>
      </c>
      <c r="C270">
        <v>1420</v>
      </c>
      <c r="D270">
        <v>1420</v>
      </c>
      <c r="E270">
        <v>235</v>
      </c>
      <c r="F270">
        <v>1289</v>
      </c>
    </row>
    <row r="271" spans="1:6">
      <c r="A271" s="14">
        <v>46244.916666666664</v>
      </c>
      <c r="B271" t="s">
        <v>26</v>
      </c>
      <c r="C271">
        <v>1420</v>
      </c>
      <c r="D271">
        <v>1420</v>
      </c>
      <c r="E271">
        <v>235</v>
      </c>
      <c r="F271">
        <v>1289</v>
      </c>
    </row>
    <row r="272" spans="1:6">
      <c r="A272" s="14">
        <v>46244.958333333336</v>
      </c>
      <c r="B272" t="s">
        <v>26</v>
      </c>
      <c r="C272">
        <v>1420</v>
      </c>
      <c r="D272">
        <v>1420</v>
      </c>
      <c r="E272">
        <v>235</v>
      </c>
      <c r="F272">
        <v>1289</v>
      </c>
    </row>
    <row r="273" spans="1:6">
      <c r="A273" s="14">
        <v>46245</v>
      </c>
      <c r="B273" t="s">
        <v>26</v>
      </c>
      <c r="C273">
        <v>1420</v>
      </c>
      <c r="D273">
        <v>1420</v>
      </c>
      <c r="E273">
        <v>235</v>
      </c>
      <c r="F273">
        <v>1289</v>
      </c>
    </row>
    <row r="274" spans="1:6">
      <c r="A274" s="14">
        <v>46245.041666666664</v>
      </c>
      <c r="B274" t="s">
        <v>26</v>
      </c>
      <c r="C274">
        <v>1420</v>
      </c>
      <c r="D274">
        <v>1420</v>
      </c>
      <c r="E274">
        <v>235</v>
      </c>
      <c r="F274">
        <v>1289</v>
      </c>
    </row>
    <row r="275" spans="1:6">
      <c r="A275" s="14">
        <v>46245.083333333336</v>
      </c>
      <c r="B275" t="s">
        <v>26</v>
      </c>
      <c r="C275">
        <v>1420</v>
      </c>
      <c r="D275">
        <v>1420</v>
      </c>
      <c r="E275">
        <v>235</v>
      </c>
      <c r="F275">
        <v>1289</v>
      </c>
    </row>
    <row r="276" spans="1:6">
      <c r="A276" s="14">
        <v>46245.125</v>
      </c>
      <c r="B276" t="s">
        <v>26</v>
      </c>
      <c r="C276">
        <v>1420</v>
      </c>
      <c r="D276">
        <v>1420</v>
      </c>
      <c r="E276">
        <v>235</v>
      </c>
      <c r="F276">
        <v>1289</v>
      </c>
    </row>
    <row r="277" spans="1:6">
      <c r="A277" s="14">
        <v>46245.166666666664</v>
      </c>
      <c r="B277" t="s">
        <v>26</v>
      </c>
      <c r="C277">
        <v>1420</v>
      </c>
      <c r="D277">
        <v>1420</v>
      </c>
      <c r="E277">
        <v>235</v>
      </c>
      <c r="F277">
        <v>1289</v>
      </c>
    </row>
    <row r="278" spans="1:6">
      <c r="A278" s="14">
        <v>46245.208333333336</v>
      </c>
      <c r="B278" t="s">
        <v>26</v>
      </c>
      <c r="C278">
        <v>1420</v>
      </c>
      <c r="D278">
        <v>1420</v>
      </c>
      <c r="E278">
        <v>235</v>
      </c>
      <c r="F278">
        <v>1289</v>
      </c>
    </row>
    <row r="279" spans="1:6">
      <c r="A279" s="14">
        <v>46245.25</v>
      </c>
      <c r="B279" t="s">
        <v>26</v>
      </c>
      <c r="C279">
        <v>1420</v>
      </c>
      <c r="D279">
        <v>1420</v>
      </c>
      <c r="E279">
        <v>235</v>
      </c>
      <c r="F279">
        <v>1289</v>
      </c>
    </row>
    <row r="280" spans="1:6">
      <c r="A280" s="14">
        <v>46245.291666666664</v>
      </c>
      <c r="B280" t="s">
        <v>26</v>
      </c>
      <c r="C280">
        <v>1420</v>
      </c>
      <c r="D280">
        <v>1420</v>
      </c>
      <c r="E280">
        <v>235</v>
      </c>
      <c r="F280">
        <v>1289</v>
      </c>
    </row>
    <row r="281" spans="1:6">
      <c r="A281" s="14">
        <v>46245.333333333336</v>
      </c>
      <c r="B281" t="s">
        <v>26</v>
      </c>
      <c r="C281">
        <v>1420</v>
      </c>
      <c r="D281">
        <v>1420</v>
      </c>
      <c r="E281">
        <v>235</v>
      </c>
      <c r="F281">
        <v>1289</v>
      </c>
    </row>
    <row r="282" spans="1:6">
      <c r="A282" s="14">
        <v>46245.375</v>
      </c>
      <c r="B282" t="s">
        <v>26</v>
      </c>
      <c r="C282">
        <v>1420</v>
      </c>
      <c r="D282">
        <v>1420</v>
      </c>
      <c r="E282">
        <v>235</v>
      </c>
      <c r="F282">
        <v>1289</v>
      </c>
    </row>
    <row r="283" spans="1:6">
      <c r="A283" s="14">
        <v>46245.416666666664</v>
      </c>
      <c r="B283" t="s">
        <v>26</v>
      </c>
      <c r="C283">
        <v>1420</v>
      </c>
      <c r="D283">
        <v>1420</v>
      </c>
      <c r="E283">
        <v>235</v>
      </c>
      <c r="F283">
        <v>1289</v>
      </c>
    </row>
    <row r="284" spans="1:6">
      <c r="A284" s="14">
        <v>46245.458333333336</v>
      </c>
      <c r="B284" t="s">
        <v>26</v>
      </c>
      <c r="C284">
        <v>1420</v>
      </c>
      <c r="D284">
        <v>1420</v>
      </c>
      <c r="E284">
        <v>235</v>
      </c>
      <c r="F284">
        <v>1289</v>
      </c>
    </row>
    <row r="285" spans="1:6">
      <c r="A285" s="14">
        <v>46245.5</v>
      </c>
      <c r="B285" t="s">
        <v>26</v>
      </c>
      <c r="C285">
        <v>1420</v>
      </c>
      <c r="D285">
        <v>1420</v>
      </c>
      <c r="E285">
        <v>235</v>
      </c>
      <c r="F285">
        <v>1289</v>
      </c>
    </row>
    <row r="286" spans="1:6">
      <c r="A286" s="14">
        <v>46245.541666666664</v>
      </c>
      <c r="B286" t="s">
        <v>26</v>
      </c>
      <c r="C286">
        <v>1420</v>
      </c>
      <c r="D286">
        <v>1420</v>
      </c>
      <c r="E286">
        <v>235</v>
      </c>
      <c r="F286">
        <v>1289</v>
      </c>
    </row>
    <row r="287" spans="1:6">
      <c r="A287" s="14">
        <v>46245.583333333336</v>
      </c>
      <c r="B287" t="s">
        <v>26</v>
      </c>
      <c r="C287">
        <v>1420</v>
      </c>
      <c r="D287">
        <v>1420</v>
      </c>
      <c r="E287">
        <v>235</v>
      </c>
      <c r="F287">
        <v>1289</v>
      </c>
    </row>
    <row r="288" spans="1:6">
      <c r="A288" s="14">
        <v>46245.625</v>
      </c>
      <c r="B288" t="s">
        <v>26</v>
      </c>
      <c r="C288">
        <v>1420</v>
      </c>
      <c r="D288">
        <v>1420</v>
      </c>
      <c r="E288">
        <v>235</v>
      </c>
      <c r="F288">
        <v>1289</v>
      </c>
    </row>
    <row r="289" spans="1:6">
      <c r="A289" s="14">
        <v>46245.666666666664</v>
      </c>
      <c r="B289" t="s">
        <v>26</v>
      </c>
      <c r="C289">
        <v>1420</v>
      </c>
      <c r="D289">
        <v>1420</v>
      </c>
      <c r="E289">
        <v>235</v>
      </c>
      <c r="F289">
        <v>1289</v>
      </c>
    </row>
    <row r="290" spans="1:6">
      <c r="A290" s="14">
        <v>46245.708333333336</v>
      </c>
      <c r="B290" t="s">
        <v>26</v>
      </c>
      <c r="C290">
        <v>1420</v>
      </c>
      <c r="D290">
        <v>1420</v>
      </c>
      <c r="E290">
        <v>235</v>
      </c>
      <c r="F290">
        <v>1289</v>
      </c>
    </row>
    <row r="291" spans="1:6">
      <c r="A291" s="14">
        <v>46245.75</v>
      </c>
      <c r="B291" t="s">
        <v>26</v>
      </c>
      <c r="C291">
        <v>1420</v>
      </c>
      <c r="D291">
        <v>1420</v>
      </c>
      <c r="E291">
        <v>235</v>
      </c>
      <c r="F291">
        <v>1289</v>
      </c>
    </row>
    <row r="292" spans="1:6">
      <c r="A292" s="14">
        <v>46245.791666666664</v>
      </c>
      <c r="B292" t="s">
        <v>26</v>
      </c>
      <c r="C292">
        <v>1420</v>
      </c>
      <c r="D292">
        <v>1420</v>
      </c>
      <c r="E292">
        <v>235</v>
      </c>
      <c r="F292">
        <v>1289</v>
      </c>
    </row>
    <row r="293" spans="1:6">
      <c r="A293" s="14">
        <v>46245.833333333336</v>
      </c>
      <c r="B293" t="s">
        <v>26</v>
      </c>
      <c r="C293">
        <v>1420</v>
      </c>
      <c r="D293">
        <v>1420</v>
      </c>
      <c r="E293">
        <v>235</v>
      </c>
      <c r="F293">
        <v>1289</v>
      </c>
    </row>
    <row r="294" spans="1:6">
      <c r="A294" s="14">
        <v>46245.875</v>
      </c>
      <c r="B294" t="s">
        <v>26</v>
      </c>
      <c r="C294">
        <v>1420</v>
      </c>
      <c r="D294">
        <v>1420</v>
      </c>
      <c r="E294">
        <v>235</v>
      </c>
      <c r="F294">
        <v>1289</v>
      </c>
    </row>
    <row r="295" spans="1:6">
      <c r="A295" s="14">
        <v>46245.916666666664</v>
      </c>
      <c r="B295" t="s">
        <v>26</v>
      </c>
      <c r="C295">
        <v>1420</v>
      </c>
      <c r="D295">
        <v>1420</v>
      </c>
      <c r="E295">
        <v>235</v>
      </c>
      <c r="F295">
        <v>1289</v>
      </c>
    </row>
    <row r="296" spans="1:6">
      <c r="A296" s="14">
        <v>46245.958333333336</v>
      </c>
      <c r="B296" t="s">
        <v>26</v>
      </c>
      <c r="C296">
        <v>1420</v>
      </c>
      <c r="D296">
        <v>1420</v>
      </c>
      <c r="E296">
        <v>235</v>
      </c>
      <c r="F296">
        <v>1289</v>
      </c>
    </row>
    <row r="297" spans="1:6">
      <c r="A297" s="14">
        <v>46246</v>
      </c>
      <c r="B297" t="s">
        <v>26</v>
      </c>
      <c r="C297">
        <v>1420</v>
      </c>
      <c r="D297">
        <v>1420</v>
      </c>
      <c r="E297">
        <v>235</v>
      </c>
      <c r="F297">
        <v>1289</v>
      </c>
    </row>
    <row r="298" spans="1:6">
      <c r="A298" s="14">
        <v>46246.041666666664</v>
      </c>
      <c r="B298" t="s">
        <v>26</v>
      </c>
      <c r="C298">
        <v>1420</v>
      </c>
      <c r="D298">
        <v>1420</v>
      </c>
      <c r="E298">
        <v>235</v>
      </c>
      <c r="F298">
        <v>1289</v>
      </c>
    </row>
    <row r="299" spans="1:6">
      <c r="A299" s="14">
        <v>46246.083333333336</v>
      </c>
      <c r="B299" t="s">
        <v>26</v>
      </c>
      <c r="C299">
        <v>1420</v>
      </c>
      <c r="D299">
        <v>1420</v>
      </c>
      <c r="E299">
        <v>235</v>
      </c>
      <c r="F299">
        <v>1289</v>
      </c>
    </row>
    <row r="300" spans="1:6">
      <c r="A300" s="14">
        <v>46246.125</v>
      </c>
      <c r="B300" t="s">
        <v>26</v>
      </c>
      <c r="C300">
        <v>1420</v>
      </c>
      <c r="D300">
        <v>1420</v>
      </c>
      <c r="E300">
        <v>235</v>
      </c>
      <c r="F300">
        <v>1289</v>
      </c>
    </row>
    <row r="301" spans="1:6">
      <c r="A301" s="14">
        <v>46246.166666666664</v>
      </c>
      <c r="B301" t="s">
        <v>26</v>
      </c>
      <c r="C301">
        <v>1420</v>
      </c>
      <c r="D301">
        <v>1420</v>
      </c>
      <c r="E301">
        <v>235</v>
      </c>
      <c r="F301">
        <v>1289</v>
      </c>
    </row>
    <row r="302" spans="1:6">
      <c r="A302" s="14">
        <v>46246.208333333336</v>
      </c>
      <c r="B302" t="s">
        <v>26</v>
      </c>
      <c r="C302">
        <v>1420</v>
      </c>
      <c r="D302">
        <v>1420</v>
      </c>
      <c r="E302">
        <v>235</v>
      </c>
      <c r="F302">
        <v>1289</v>
      </c>
    </row>
    <row r="303" spans="1:6">
      <c r="A303" s="14">
        <v>46246.25</v>
      </c>
      <c r="B303" t="s">
        <v>26</v>
      </c>
      <c r="C303">
        <v>1420</v>
      </c>
      <c r="D303">
        <v>1420</v>
      </c>
      <c r="E303">
        <v>235</v>
      </c>
      <c r="F303">
        <v>1289</v>
      </c>
    </row>
    <row r="304" spans="1:6">
      <c r="A304" s="14">
        <v>46246.291666666664</v>
      </c>
      <c r="B304" t="s">
        <v>26</v>
      </c>
      <c r="C304">
        <v>1420</v>
      </c>
      <c r="D304">
        <v>1420</v>
      </c>
      <c r="E304">
        <v>235</v>
      </c>
      <c r="F304">
        <v>1289</v>
      </c>
    </row>
    <row r="305" spans="1:6">
      <c r="A305" s="14">
        <v>46246.333333333336</v>
      </c>
      <c r="B305" t="s">
        <v>26</v>
      </c>
      <c r="C305">
        <v>1420</v>
      </c>
      <c r="D305">
        <v>1420</v>
      </c>
      <c r="E305">
        <v>235</v>
      </c>
      <c r="F305">
        <v>1289</v>
      </c>
    </row>
    <row r="306" spans="1:6">
      <c r="A306" s="14">
        <v>46246.375</v>
      </c>
      <c r="B306" t="s">
        <v>26</v>
      </c>
      <c r="C306">
        <v>1420</v>
      </c>
      <c r="D306">
        <v>1420</v>
      </c>
      <c r="E306">
        <v>235</v>
      </c>
      <c r="F306">
        <v>1289</v>
      </c>
    </row>
    <row r="307" spans="1:6">
      <c r="A307" s="14">
        <v>46246.416666666664</v>
      </c>
      <c r="B307" t="s">
        <v>26</v>
      </c>
      <c r="C307">
        <v>1420</v>
      </c>
      <c r="D307">
        <v>1420</v>
      </c>
      <c r="E307">
        <v>235</v>
      </c>
      <c r="F307">
        <v>1289</v>
      </c>
    </row>
    <row r="308" spans="1:6">
      <c r="A308" s="14">
        <v>46246.458333333336</v>
      </c>
      <c r="B308" t="s">
        <v>26</v>
      </c>
      <c r="C308">
        <v>1420</v>
      </c>
      <c r="D308">
        <v>1420</v>
      </c>
      <c r="E308">
        <v>235</v>
      </c>
      <c r="F308">
        <v>1289</v>
      </c>
    </row>
    <row r="309" spans="1:6">
      <c r="A309" s="14">
        <v>46246.5</v>
      </c>
      <c r="B309" t="s">
        <v>26</v>
      </c>
      <c r="C309">
        <v>1420</v>
      </c>
      <c r="D309">
        <v>1420</v>
      </c>
      <c r="E309">
        <v>235</v>
      </c>
      <c r="F309">
        <v>1289</v>
      </c>
    </row>
    <row r="310" spans="1:6">
      <c r="A310" s="14">
        <v>46246.541666666664</v>
      </c>
      <c r="B310" t="s">
        <v>26</v>
      </c>
      <c r="C310">
        <v>1420</v>
      </c>
      <c r="D310">
        <v>1420</v>
      </c>
      <c r="E310">
        <v>235</v>
      </c>
      <c r="F310">
        <v>1289</v>
      </c>
    </row>
    <row r="311" spans="1:6">
      <c r="A311" s="14">
        <v>46246.583333333336</v>
      </c>
      <c r="B311" t="s">
        <v>26</v>
      </c>
      <c r="C311">
        <v>1420</v>
      </c>
      <c r="D311">
        <v>1420</v>
      </c>
      <c r="E311">
        <v>235</v>
      </c>
      <c r="F311">
        <v>1289</v>
      </c>
    </row>
    <row r="312" spans="1:6">
      <c r="A312" s="14">
        <v>46246.625</v>
      </c>
      <c r="B312" t="s">
        <v>26</v>
      </c>
      <c r="C312">
        <v>1420</v>
      </c>
      <c r="D312">
        <v>1420</v>
      </c>
      <c r="E312">
        <v>235</v>
      </c>
      <c r="F312">
        <v>1289</v>
      </c>
    </row>
    <row r="313" spans="1:6">
      <c r="A313" s="14">
        <v>46246.666666666664</v>
      </c>
      <c r="B313" t="s">
        <v>26</v>
      </c>
      <c r="C313">
        <v>1420</v>
      </c>
      <c r="D313">
        <v>1420</v>
      </c>
      <c r="E313">
        <v>235</v>
      </c>
      <c r="F313">
        <v>1289</v>
      </c>
    </row>
    <row r="314" spans="1:6">
      <c r="A314" s="14">
        <v>46246.708333333336</v>
      </c>
      <c r="B314" t="s">
        <v>26</v>
      </c>
      <c r="C314">
        <v>1420</v>
      </c>
      <c r="D314">
        <v>1420</v>
      </c>
      <c r="E314">
        <v>235</v>
      </c>
      <c r="F314">
        <v>1289</v>
      </c>
    </row>
    <row r="315" spans="1:6">
      <c r="A315" s="14">
        <v>46246.75</v>
      </c>
      <c r="B315" t="s">
        <v>26</v>
      </c>
      <c r="C315">
        <v>1420</v>
      </c>
      <c r="D315">
        <v>1420</v>
      </c>
      <c r="E315">
        <v>235</v>
      </c>
      <c r="F315">
        <v>1289</v>
      </c>
    </row>
    <row r="316" spans="1:6">
      <c r="A316" s="14">
        <v>46246.791666666664</v>
      </c>
      <c r="B316" t="s">
        <v>26</v>
      </c>
      <c r="C316">
        <v>1420</v>
      </c>
      <c r="D316">
        <v>1420</v>
      </c>
      <c r="E316">
        <v>235</v>
      </c>
      <c r="F316">
        <v>1289</v>
      </c>
    </row>
    <row r="317" spans="1:6">
      <c r="A317" s="14">
        <v>46246.833333333336</v>
      </c>
      <c r="B317" t="s">
        <v>26</v>
      </c>
      <c r="C317">
        <v>1420</v>
      </c>
      <c r="D317">
        <v>1420</v>
      </c>
      <c r="E317">
        <v>235</v>
      </c>
      <c r="F317">
        <v>1289</v>
      </c>
    </row>
    <row r="318" spans="1:6">
      <c r="A318" s="14">
        <v>46246.875</v>
      </c>
      <c r="B318" t="s">
        <v>26</v>
      </c>
      <c r="C318">
        <v>1420</v>
      </c>
      <c r="D318">
        <v>1420</v>
      </c>
      <c r="E318">
        <v>235</v>
      </c>
      <c r="F318">
        <v>1289</v>
      </c>
    </row>
    <row r="319" spans="1:6">
      <c r="A319" s="14">
        <v>46246.916666666664</v>
      </c>
      <c r="B319" t="s">
        <v>26</v>
      </c>
      <c r="C319">
        <v>1420</v>
      </c>
      <c r="D319">
        <v>1420</v>
      </c>
      <c r="E319">
        <v>235</v>
      </c>
      <c r="F319">
        <v>1289</v>
      </c>
    </row>
    <row r="320" spans="1:6">
      <c r="A320" s="14">
        <v>46246.958333333336</v>
      </c>
      <c r="B320" t="s">
        <v>26</v>
      </c>
      <c r="C320">
        <v>1420</v>
      </c>
      <c r="D320">
        <v>1420</v>
      </c>
      <c r="E320">
        <v>235</v>
      </c>
      <c r="F320">
        <v>1289</v>
      </c>
    </row>
    <row r="321" spans="1:6">
      <c r="A321" s="14">
        <v>46247</v>
      </c>
      <c r="B321" t="s">
        <v>26</v>
      </c>
      <c r="C321">
        <v>1420</v>
      </c>
      <c r="D321">
        <v>1420</v>
      </c>
      <c r="E321">
        <v>235</v>
      </c>
      <c r="F321">
        <v>1289</v>
      </c>
    </row>
    <row r="322" spans="1:6">
      <c r="A322" s="14">
        <v>46247.041666666664</v>
      </c>
      <c r="B322" t="s">
        <v>26</v>
      </c>
      <c r="C322">
        <v>1420</v>
      </c>
      <c r="D322">
        <v>1420</v>
      </c>
      <c r="E322">
        <v>235</v>
      </c>
      <c r="F322">
        <v>1289</v>
      </c>
    </row>
    <row r="323" spans="1:6">
      <c r="A323" s="14">
        <v>46247.083333333336</v>
      </c>
      <c r="B323" t="s">
        <v>26</v>
      </c>
      <c r="C323">
        <v>1420</v>
      </c>
      <c r="D323">
        <v>1420</v>
      </c>
      <c r="E323">
        <v>235</v>
      </c>
      <c r="F323">
        <v>1289</v>
      </c>
    </row>
    <row r="324" spans="1:6">
      <c r="A324" s="14">
        <v>46247.125</v>
      </c>
      <c r="B324" t="s">
        <v>26</v>
      </c>
      <c r="C324">
        <v>1420</v>
      </c>
      <c r="D324">
        <v>1420</v>
      </c>
      <c r="E324">
        <v>235</v>
      </c>
      <c r="F324">
        <v>1289</v>
      </c>
    </row>
    <row r="325" spans="1:6">
      <c r="A325" s="14">
        <v>46247.166666666664</v>
      </c>
      <c r="B325" t="s">
        <v>26</v>
      </c>
      <c r="C325">
        <v>1420</v>
      </c>
      <c r="D325">
        <v>1420</v>
      </c>
      <c r="E325">
        <v>235</v>
      </c>
      <c r="F325">
        <v>1289</v>
      </c>
    </row>
    <row r="326" spans="1:6">
      <c r="A326" s="14">
        <v>46247.208333333336</v>
      </c>
      <c r="B326" t="s">
        <v>26</v>
      </c>
      <c r="C326">
        <v>1420</v>
      </c>
      <c r="D326">
        <v>1420</v>
      </c>
      <c r="E326">
        <v>235</v>
      </c>
      <c r="F326">
        <v>1289</v>
      </c>
    </row>
    <row r="327" spans="1:6">
      <c r="A327" s="14">
        <v>46247.25</v>
      </c>
      <c r="B327" t="s">
        <v>26</v>
      </c>
      <c r="C327">
        <v>1420</v>
      </c>
      <c r="D327">
        <v>1420</v>
      </c>
      <c r="E327">
        <v>235</v>
      </c>
      <c r="F327">
        <v>1289</v>
      </c>
    </row>
    <row r="328" spans="1:6">
      <c r="A328" s="14">
        <v>46247.291666666664</v>
      </c>
      <c r="B328" t="s">
        <v>26</v>
      </c>
      <c r="C328">
        <v>1420</v>
      </c>
      <c r="D328">
        <v>1420</v>
      </c>
      <c r="E328">
        <v>235</v>
      </c>
      <c r="F328">
        <v>1289</v>
      </c>
    </row>
    <row r="329" spans="1:6">
      <c r="A329" s="14">
        <v>46247.333333333336</v>
      </c>
      <c r="B329" t="s">
        <v>26</v>
      </c>
      <c r="C329">
        <v>1420</v>
      </c>
      <c r="D329">
        <v>1420</v>
      </c>
      <c r="E329">
        <v>235</v>
      </c>
      <c r="F329">
        <v>1289</v>
      </c>
    </row>
    <row r="330" spans="1:6">
      <c r="A330" s="14">
        <v>46247.375</v>
      </c>
      <c r="B330" t="s">
        <v>26</v>
      </c>
      <c r="C330">
        <v>1420</v>
      </c>
      <c r="D330">
        <v>1420</v>
      </c>
      <c r="E330">
        <v>235</v>
      </c>
      <c r="F330">
        <v>1289</v>
      </c>
    </row>
    <row r="331" spans="1:6">
      <c r="A331" s="14">
        <v>46247.416666666664</v>
      </c>
      <c r="B331" t="s">
        <v>26</v>
      </c>
      <c r="C331">
        <v>1420</v>
      </c>
      <c r="D331">
        <v>1420</v>
      </c>
      <c r="E331">
        <v>235</v>
      </c>
      <c r="F331">
        <v>1289</v>
      </c>
    </row>
    <row r="332" spans="1:6">
      <c r="A332" s="14">
        <v>46247.458333333336</v>
      </c>
      <c r="B332" t="s">
        <v>26</v>
      </c>
      <c r="C332">
        <v>1420</v>
      </c>
      <c r="D332">
        <v>1420</v>
      </c>
      <c r="E332">
        <v>235</v>
      </c>
      <c r="F332">
        <v>1289</v>
      </c>
    </row>
    <row r="333" spans="1:6">
      <c r="A333" s="14">
        <v>46247.5</v>
      </c>
      <c r="B333" t="s">
        <v>26</v>
      </c>
      <c r="C333">
        <v>1420</v>
      </c>
      <c r="D333">
        <v>1420</v>
      </c>
      <c r="E333">
        <v>235</v>
      </c>
      <c r="F333">
        <v>1289</v>
      </c>
    </row>
    <row r="334" spans="1:6">
      <c r="A334" s="14">
        <v>46247.541666666664</v>
      </c>
      <c r="B334" t="s">
        <v>26</v>
      </c>
      <c r="C334">
        <v>1420</v>
      </c>
      <c r="D334">
        <v>1420</v>
      </c>
      <c r="E334">
        <v>235</v>
      </c>
      <c r="F334">
        <v>1289</v>
      </c>
    </row>
    <row r="335" spans="1:6">
      <c r="A335" s="14">
        <v>46247.583333333336</v>
      </c>
      <c r="B335" t="s">
        <v>26</v>
      </c>
      <c r="C335">
        <v>1420</v>
      </c>
      <c r="D335">
        <v>1420</v>
      </c>
      <c r="E335">
        <v>235</v>
      </c>
      <c r="F335">
        <v>1289</v>
      </c>
    </row>
    <row r="336" spans="1:6">
      <c r="A336" s="14">
        <v>46247.625</v>
      </c>
      <c r="B336" t="s">
        <v>26</v>
      </c>
      <c r="C336">
        <v>1420</v>
      </c>
      <c r="D336">
        <v>1420</v>
      </c>
      <c r="E336">
        <v>235</v>
      </c>
      <c r="F336">
        <v>1289</v>
      </c>
    </row>
    <row r="337" spans="1:6">
      <c r="A337" s="14">
        <v>46247.666666666664</v>
      </c>
      <c r="B337" t="s">
        <v>26</v>
      </c>
      <c r="C337">
        <v>1420</v>
      </c>
      <c r="D337">
        <v>1420</v>
      </c>
      <c r="E337">
        <v>235</v>
      </c>
      <c r="F337">
        <v>1289</v>
      </c>
    </row>
    <row r="338" spans="1:6">
      <c r="A338" s="14">
        <v>46247.708333333336</v>
      </c>
      <c r="B338" t="s">
        <v>26</v>
      </c>
      <c r="C338">
        <v>1420</v>
      </c>
      <c r="D338">
        <v>1420</v>
      </c>
      <c r="E338">
        <v>235</v>
      </c>
      <c r="F338">
        <v>1289</v>
      </c>
    </row>
    <row r="339" spans="1:6">
      <c r="A339" s="14">
        <v>46247.75</v>
      </c>
      <c r="B339" t="s">
        <v>26</v>
      </c>
      <c r="C339">
        <v>1420</v>
      </c>
      <c r="D339">
        <v>1420</v>
      </c>
      <c r="E339">
        <v>235</v>
      </c>
      <c r="F339">
        <v>1289</v>
      </c>
    </row>
    <row r="340" spans="1:6">
      <c r="A340" s="14">
        <v>46247.791666666664</v>
      </c>
      <c r="B340" t="s">
        <v>26</v>
      </c>
      <c r="C340">
        <v>1420</v>
      </c>
      <c r="D340">
        <v>1420</v>
      </c>
      <c r="E340">
        <v>235</v>
      </c>
      <c r="F340">
        <v>1289</v>
      </c>
    </row>
    <row r="341" spans="1:6">
      <c r="A341" s="14">
        <v>46247.833333333336</v>
      </c>
      <c r="B341" t="s">
        <v>26</v>
      </c>
      <c r="C341">
        <v>1420</v>
      </c>
      <c r="D341">
        <v>1420</v>
      </c>
      <c r="E341">
        <v>235</v>
      </c>
      <c r="F341">
        <v>1289</v>
      </c>
    </row>
    <row r="342" spans="1:6">
      <c r="A342" s="14">
        <v>46247.875</v>
      </c>
      <c r="B342" t="s">
        <v>26</v>
      </c>
      <c r="C342">
        <v>1420</v>
      </c>
      <c r="D342">
        <v>1420</v>
      </c>
      <c r="E342">
        <v>235</v>
      </c>
      <c r="F342">
        <v>1289</v>
      </c>
    </row>
    <row r="343" spans="1:6">
      <c r="A343" s="14">
        <v>46247.916666666664</v>
      </c>
      <c r="B343" t="s">
        <v>26</v>
      </c>
      <c r="C343">
        <v>1420</v>
      </c>
      <c r="D343">
        <v>1420</v>
      </c>
      <c r="E343">
        <v>235</v>
      </c>
      <c r="F343">
        <v>1289</v>
      </c>
    </row>
    <row r="344" spans="1:6">
      <c r="A344" s="14">
        <v>46247.958333333336</v>
      </c>
      <c r="B344" t="s">
        <v>26</v>
      </c>
      <c r="C344">
        <v>1420</v>
      </c>
      <c r="D344">
        <v>1420</v>
      </c>
      <c r="E344">
        <v>235</v>
      </c>
      <c r="F344">
        <v>1289</v>
      </c>
    </row>
    <row r="345" spans="1:6">
      <c r="A345" s="14">
        <v>46248</v>
      </c>
      <c r="B345" t="s">
        <v>26</v>
      </c>
      <c r="C345">
        <v>1420</v>
      </c>
      <c r="D345">
        <v>1420</v>
      </c>
      <c r="E345">
        <v>235</v>
      </c>
      <c r="F345">
        <v>1289</v>
      </c>
    </row>
    <row r="346" spans="1:6">
      <c r="A346" s="14">
        <v>46248.041666666664</v>
      </c>
      <c r="B346" t="s">
        <v>26</v>
      </c>
      <c r="C346">
        <v>1420</v>
      </c>
      <c r="D346">
        <v>1420</v>
      </c>
      <c r="E346">
        <v>235</v>
      </c>
      <c r="F346">
        <v>1289</v>
      </c>
    </row>
    <row r="347" spans="1:6">
      <c r="A347" s="14">
        <v>46248.083333333336</v>
      </c>
      <c r="B347" t="s">
        <v>26</v>
      </c>
      <c r="C347">
        <v>1420</v>
      </c>
      <c r="D347">
        <v>1420</v>
      </c>
      <c r="E347">
        <v>235</v>
      </c>
      <c r="F347">
        <v>1289</v>
      </c>
    </row>
    <row r="348" spans="1:6">
      <c r="A348" s="14">
        <v>46248.125</v>
      </c>
      <c r="B348" t="s">
        <v>26</v>
      </c>
      <c r="C348">
        <v>1420</v>
      </c>
      <c r="D348">
        <v>1420</v>
      </c>
      <c r="E348">
        <v>235</v>
      </c>
      <c r="F348">
        <v>1289</v>
      </c>
    </row>
    <row r="349" spans="1:6">
      <c r="A349" s="14">
        <v>46248.166666666664</v>
      </c>
      <c r="B349" t="s">
        <v>26</v>
      </c>
      <c r="C349">
        <v>1420</v>
      </c>
      <c r="D349">
        <v>1420</v>
      </c>
      <c r="E349">
        <v>235</v>
      </c>
      <c r="F349">
        <v>1289</v>
      </c>
    </row>
    <row r="350" spans="1:6">
      <c r="A350" s="14">
        <v>46248.208333333336</v>
      </c>
      <c r="B350" t="s">
        <v>26</v>
      </c>
      <c r="C350">
        <v>1420</v>
      </c>
      <c r="D350">
        <v>1420</v>
      </c>
      <c r="E350">
        <v>235</v>
      </c>
      <c r="F350">
        <v>1289</v>
      </c>
    </row>
    <row r="351" spans="1:6">
      <c r="A351" s="14">
        <v>46248.25</v>
      </c>
      <c r="B351" t="s">
        <v>26</v>
      </c>
      <c r="C351">
        <v>1420</v>
      </c>
      <c r="D351">
        <v>1420</v>
      </c>
      <c r="E351">
        <v>235</v>
      </c>
      <c r="F351">
        <v>1289</v>
      </c>
    </row>
    <row r="352" spans="1:6">
      <c r="A352" s="14">
        <v>46248.291666666664</v>
      </c>
      <c r="B352" t="s">
        <v>26</v>
      </c>
      <c r="C352">
        <v>1420</v>
      </c>
      <c r="D352">
        <v>1420</v>
      </c>
      <c r="E352">
        <v>235</v>
      </c>
      <c r="F352">
        <v>1289</v>
      </c>
    </row>
    <row r="353" spans="1:6">
      <c r="A353" s="14">
        <v>46248.333333333336</v>
      </c>
      <c r="B353" t="s">
        <v>26</v>
      </c>
      <c r="C353">
        <v>1420</v>
      </c>
      <c r="D353">
        <v>1420</v>
      </c>
      <c r="E353">
        <v>235</v>
      </c>
      <c r="F353">
        <v>1289</v>
      </c>
    </row>
    <row r="354" spans="1:6">
      <c r="A354" s="14">
        <v>46248.375</v>
      </c>
      <c r="B354" t="s">
        <v>26</v>
      </c>
      <c r="C354">
        <v>1420</v>
      </c>
      <c r="D354">
        <v>1420</v>
      </c>
      <c r="E354">
        <v>235</v>
      </c>
      <c r="F354">
        <v>1289</v>
      </c>
    </row>
    <row r="355" spans="1:6">
      <c r="A355" s="14">
        <v>46248.416666666664</v>
      </c>
      <c r="B355" t="s">
        <v>26</v>
      </c>
      <c r="C355">
        <v>1420</v>
      </c>
      <c r="D355">
        <v>1420</v>
      </c>
      <c r="E355">
        <v>235</v>
      </c>
      <c r="F355">
        <v>1289</v>
      </c>
    </row>
    <row r="356" spans="1:6">
      <c r="A356" s="14">
        <v>46248.458333333336</v>
      </c>
      <c r="B356" t="s">
        <v>26</v>
      </c>
      <c r="C356">
        <v>1420</v>
      </c>
      <c r="D356">
        <v>1420</v>
      </c>
      <c r="E356">
        <v>235</v>
      </c>
      <c r="F356">
        <v>1289</v>
      </c>
    </row>
    <row r="357" spans="1:6">
      <c r="A357" s="14">
        <v>46248.5</v>
      </c>
      <c r="B357" t="s">
        <v>26</v>
      </c>
      <c r="C357">
        <v>1420</v>
      </c>
      <c r="D357">
        <v>1420</v>
      </c>
      <c r="E357">
        <v>235</v>
      </c>
      <c r="F357">
        <v>1289</v>
      </c>
    </row>
    <row r="358" spans="1:6">
      <c r="A358" s="14">
        <v>46248.541666666664</v>
      </c>
      <c r="B358" t="s">
        <v>26</v>
      </c>
      <c r="C358">
        <v>1420</v>
      </c>
      <c r="D358">
        <v>1420</v>
      </c>
      <c r="E358">
        <v>235</v>
      </c>
      <c r="F358">
        <v>1289</v>
      </c>
    </row>
    <row r="359" spans="1:6">
      <c r="A359" s="14">
        <v>46248.583333333336</v>
      </c>
      <c r="B359" t="s">
        <v>26</v>
      </c>
      <c r="C359">
        <v>1420</v>
      </c>
      <c r="D359">
        <v>1420</v>
      </c>
      <c r="E359">
        <v>235</v>
      </c>
      <c r="F359">
        <v>1289</v>
      </c>
    </row>
    <row r="360" spans="1:6">
      <c r="A360" s="14">
        <v>46248.625</v>
      </c>
      <c r="B360" t="s">
        <v>26</v>
      </c>
      <c r="C360">
        <v>1420</v>
      </c>
      <c r="D360">
        <v>1420</v>
      </c>
      <c r="E360">
        <v>235</v>
      </c>
      <c r="F360">
        <v>1289</v>
      </c>
    </row>
    <row r="361" spans="1:6">
      <c r="A361" s="14">
        <v>46248.666666666664</v>
      </c>
      <c r="B361" t="s">
        <v>26</v>
      </c>
      <c r="C361">
        <v>1420</v>
      </c>
      <c r="D361">
        <v>1420</v>
      </c>
      <c r="E361">
        <v>235</v>
      </c>
      <c r="F361">
        <v>1289</v>
      </c>
    </row>
    <row r="362" spans="1:6">
      <c r="A362" s="14">
        <v>46248.708333333336</v>
      </c>
      <c r="B362" t="s">
        <v>26</v>
      </c>
      <c r="C362">
        <v>1420</v>
      </c>
      <c r="D362">
        <v>1420</v>
      </c>
      <c r="E362">
        <v>235</v>
      </c>
      <c r="F362">
        <v>1289</v>
      </c>
    </row>
    <row r="363" spans="1:6">
      <c r="A363" s="14">
        <v>46248.75</v>
      </c>
      <c r="B363" t="s">
        <v>26</v>
      </c>
      <c r="C363">
        <v>1420</v>
      </c>
      <c r="D363">
        <v>1420</v>
      </c>
      <c r="E363">
        <v>235</v>
      </c>
      <c r="F363">
        <v>1289</v>
      </c>
    </row>
    <row r="364" spans="1:6">
      <c r="A364" s="14">
        <v>46248.791666666664</v>
      </c>
      <c r="B364" t="s">
        <v>26</v>
      </c>
      <c r="C364">
        <v>1420</v>
      </c>
      <c r="D364">
        <v>1420</v>
      </c>
      <c r="E364">
        <v>235</v>
      </c>
      <c r="F364">
        <v>1289</v>
      </c>
    </row>
    <row r="365" spans="1:6">
      <c r="A365" s="14">
        <v>46248.833333333336</v>
      </c>
      <c r="B365" t="s">
        <v>26</v>
      </c>
      <c r="C365">
        <v>1420</v>
      </c>
      <c r="D365">
        <v>1420</v>
      </c>
      <c r="E365">
        <v>235</v>
      </c>
      <c r="F365">
        <v>1289</v>
      </c>
    </row>
    <row r="366" spans="1:6">
      <c r="A366" s="14">
        <v>46248.875</v>
      </c>
      <c r="B366" t="s">
        <v>26</v>
      </c>
      <c r="C366">
        <v>1420</v>
      </c>
      <c r="D366">
        <v>1420</v>
      </c>
      <c r="E366">
        <v>235</v>
      </c>
      <c r="F366">
        <v>1289</v>
      </c>
    </row>
    <row r="367" spans="1:6">
      <c r="A367" s="14">
        <v>46248.916666666664</v>
      </c>
      <c r="B367" t="s">
        <v>26</v>
      </c>
      <c r="C367">
        <v>1420</v>
      </c>
      <c r="D367">
        <v>1420</v>
      </c>
      <c r="E367">
        <v>235</v>
      </c>
      <c r="F367">
        <v>1289</v>
      </c>
    </row>
    <row r="368" spans="1:6">
      <c r="A368" s="14">
        <v>46248.958333333336</v>
      </c>
      <c r="B368" t="s">
        <v>26</v>
      </c>
      <c r="C368">
        <v>1420</v>
      </c>
      <c r="D368">
        <v>1420</v>
      </c>
      <c r="E368">
        <v>235</v>
      </c>
      <c r="F368">
        <v>1289</v>
      </c>
    </row>
    <row r="369" spans="1:6">
      <c r="A369" s="14">
        <v>46249</v>
      </c>
      <c r="B369" t="s">
        <v>26</v>
      </c>
      <c r="C369">
        <v>1420</v>
      </c>
      <c r="D369">
        <v>1420</v>
      </c>
      <c r="E369">
        <v>235</v>
      </c>
      <c r="F369">
        <v>1289</v>
      </c>
    </row>
    <row r="370" spans="1:6">
      <c r="A370" s="14">
        <v>46249.041666666664</v>
      </c>
      <c r="B370" t="s">
        <v>26</v>
      </c>
      <c r="C370">
        <v>1420</v>
      </c>
      <c r="D370">
        <v>1420</v>
      </c>
      <c r="E370">
        <v>235</v>
      </c>
      <c r="F370">
        <v>1289</v>
      </c>
    </row>
    <row r="371" spans="1:6">
      <c r="A371" s="14">
        <v>46249.083333333336</v>
      </c>
      <c r="B371" t="s">
        <v>26</v>
      </c>
      <c r="C371">
        <v>1420</v>
      </c>
      <c r="D371">
        <v>1420</v>
      </c>
      <c r="E371">
        <v>235</v>
      </c>
      <c r="F371">
        <v>1289</v>
      </c>
    </row>
    <row r="372" spans="1:6">
      <c r="A372" s="14">
        <v>46249.125</v>
      </c>
      <c r="B372" t="s">
        <v>26</v>
      </c>
      <c r="C372">
        <v>1420</v>
      </c>
      <c r="D372">
        <v>1420</v>
      </c>
      <c r="E372">
        <v>235</v>
      </c>
      <c r="F372">
        <v>1289</v>
      </c>
    </row>
    <row r="373" spans="1:6">
      <c r="A373" s="14">
        <v>46249.166666666664</v>
      </c>
      <c r="B373" t="s">
        <v>26</v>
      </c>
      <c r="C373">
        <v>1420</v>
      </c>
      <c r="D373">
        <v>1420</v>
      </c>
      <c r="E373">
        <v>235</v>
      </c>
      <c r="F373">
        <v>1289</v>
      </c>
    </row>
    <row r="374" spans="1:6">
      <c r="A374" s="14">
        <v>46249.208333333336</v>
      </c>
      <c r="B374" t="s">
        <v>26</v>
      </c>
      <c r="C374">
        <v>1420</v>
      </c>
      <c r="D374">
        <v>1420</v>
      </c>
      <c r="E374">
        <v>235</v>
      </c>
      <c r="F374">
        <v>1289</v>
      </c>
    </row>
    <row r="375" spans="1:6">
      <c r="A375" s="14">
        <v>46249.25</v>
      </c>
      <c r="B375" t="s">
        <v>26</v>
      </c>
      <c r="C375">
        <v>1420</v>
      </c>
      <c r="D375">
        <v>1420</v>
      </c>
      <c r="E375">
        <v>235</v>
      </c>
      <c r="F375">
        <v>1289</v>
      </c>
    </row>
    <row r="376" spans="1:6">
      <c r="A376" s="14">
        <v>46249.291666666664</v>
      </c>
      <c r="B376" t="s">
        <v>26</v>
      </c>
      <c r="C376">
        <v>1420</v>
      </c>
      <c r="D376">
        <v>1420</v>
      </c>
      <c r="E376">
        <v>235</v>
      </c>
      <c r="F376">
        <v>1289</v>
      </c>
    </row>
    <row r="377" spans="1:6">
      <c r="A377" s="14">
        <v>46249.333333333336</v>
      </c>
      <c r="B377" t="s">
        <v>26</v>
      </c>
      <c r="C377">
        <v>1420</v>
      </c>
      <c r="D377">
        <v>1420</v>
      </c>
      <c r="E377">
        <v>235</v>
      </c>
      <c r="F377">
        <v>1289</v>
      </c>
    </row>
    <row r="378" spans="1:6">
      <c r="A378" s="14">
        <v>46249.375</v>
      </c>
      <c r="B378" t="s">
        <v>26</v>
      </c>
      <c r="C378">
        <v>1420</v>
      </c>
      <c r="D378">
        <v>1420</v>
      </c>
      <c r="E378">
        <v>235</v>
      </c>
      <c r="F378">
        <v>1289</v>
      </c>
    </row>
    <row r="379" spans="1:6">
      <c r="A379" s="14">
        <v>46249.416666666664</v>
      </c>
      <c r="B379" t="s">
        <v>26</v>
      </c>
      <c r="C379">
        <v>1420</v>
      </c>
      <c r="D379">
        <v>1420</v>
      </c>
      <c r="E379">
        <v>235</v>
      </c>
      <c r="F379">
        <v>1289</v>
      </c>
    </row>
    <row r="380" spans="1:6">
      <c r="A380" s="14">
        <v>46249.458333333336</v>
      </c>
      <c r="B380" t="s">
        <v>26</v>
      </c>
      <c r="C380">
        <v>1420</v>
      </c>
      <c r="D380">
        <v>1420</v>
      </c>
      <c r="E380">
        <v>235</v>
      </c>
      <c r="F380">
        <v>1289</v>
      </c>
    </row>
    <row r="381" spans="1:6">
      <c r="A381" s="14">
        <v>46249.5</v>
      </c>
      <c r="B381" t="s">
        <v>26</v>
      </c>
      <c r="C381">
        <v>1420</v>
      </c>
      <c r="D381">
        <v>1420</v>
      </c>
      <c r="E381">
        <v>235</v>
      </c>
      <c r="F381">
        <v>1289</v>
      </c>
    </row>
    <row r="382" spans="1:6">
      <c r="A382" s="14">
        <v>46249.541666666664</v>
      </c>
      <c r="B382" t="s">
        <v>26</v>
      </c>
      <c r="C382">
        <v>1420</v>
      </c>
      <c r="D382">
        <v>1420</v>
      </c>
      <c r="E382">
        <v>235</v>
      </c>
      <c r="F382">
        <v>1289</v>
      </c>
    </row>
    <row r="383" spans="1:6">
      <c r="A383" s="14">
        <v>46249.583333333336</v>
      </c>
      <c r="B383" t="s">
        <v>26</v>
      </c>
      <c r="C383">
        <v>1420</v>
      </c>
      <c r="D383">
        <v>1420</v>
      </c>
      <c r="E383">
        <v>235</v>
      </c>
      <c r="F383">
        <v>1289</v>
      </c>
    </row>
    <row r="384" spans="1:6">
      <c r="A384" s="14">
        <v>46249.625</v>
      </c>
      <c r="B384" t="s">
        <v>26</v>
      </c>
      <c r="C384">
        <v>1420</v>
      </c>
      <c r="D384">
        <v>1420</v>
      </c>
      <c r="E384">
        <v>235</v>
      </c>
      <c r="F384">
        <v>1289</v>
      </c>
    </row>
    <row r="385" spans="1:6">
      <c r="A385" s="14">
        <v>46249.666666666664</v>
      </c>
      <c r="B385" t="s">
        <v>26</v>
      </c>
      <c r="C385">
        <v>1420</v>
      </c>
      <c r="D385">
        <v>1420</v>
      </c>
      <c r="E385">
        <v>235</v>
      </c>
      <c r="F385">
        <v>1289</v>
      </c>
    </row>
    <row r="386" spans="1:6">
      <c r="A386" s="14">
        <v>46249.708333333336</v>
      </c>
      <c r="B386" t="s">
        <v>26</v>
      </c>
      <c r="C386">
        <v>1420</v>
      </c>
      <c r="D386">
        <v>1420</v>
      </c>
      <c r="E386">
        <v>235</v>
      </c>
      <c r="F386">
        <v>1289</v>
      </c>
    </row>
    <row r="387" spans="1:6">
      <c r="A387" s="14">
        <v>46249.75</v>
      </c>
      <c r="B387" t="s">
        <v>26</v>
      </c>
      <c r="C387">
        <v>1420</v>
      </c>
      <c r="D387">
        <v>1420</v>
      </c>
      <c r="E387">
        <v>235</v>
      </c>
      <c r="F387">
        <v>1289</v>
      </c>
    </row>
    <row r="388" spans="1:6">
      <c r="A388" s="14">
        <v>46249.791666666664</v>
      </c>
      <c r="B388" t="s">
        <v>26</v>
      </c>
      <c r="C388">
        <v>1420</v>
      </c>
      <c r="D388">
        <v>1420</v>
      </c>
      <c r="E388">
        <v>235</v>
      </c>
      <c r="F388">
        <v>1289</v>
      </c>
    </row>
    <row r="389" spans="1:6">
      <c r="A389" s="14">
        <v>46249.833333333336</v>
      </c>
      <c r="B389" t="s">
        <v>26</v>
      </c>
      <c r="C389">
        <v>1420</v>
      </c>
      <c r="D389">
        <v>1420</v>
      </c>
      <c r="E389">
        <v>235</v>
      </c>
      <c r="F389">
        <v>1289</v>
      </c>
    </row>
    <row r="390" spans="1:6">
      <c r="A390" s="14">
        <v>46249.875</v>
      </c>
      <c r="B390" t="s">
        <v>26</v>
      </c>
      <c r="C390">
        <v>1420</v>
      </c>
      <c r="D390">
        <v>1420</v>
      </c>
      <c r="E390">
        <v>235</v>
      </c>
      <c r="F390">
        <v>1289</v>
      </c>
    </row>
    <row r="391" spans="1:6">
      <c r="A391" s="14">
        <v>46249.916666666664</v>
      </c>
      <c r="B391" t="s">
        <v>26</v>
      </c>
      <c r="C391">
        <v>1420</v>
      </c>
      <c r="D391">
        <v>1420</v>
      </c>
      <c r="E391">
        <v>235</v>
      </c>
      <c r="F391">
        <v>1289</v>
      </c>
    </row>
    <row r="392" spans="1:6">
      <c r="A392" s="14">
        <v>46249.958333333336</v>
      </c>
      <c r="B392" t="s">
        <v>26</v>
      </c>
      <c r="C392">
        <v>1420</v>
      </c>
      <c r="D392">
        <v>1420</v>
      </c>
      <c r="E392">
        <v>235</v>
      </c>
      <c r="F392">
        <v>1289</v>
      </c>
    </row>
    <row r="393" spans="1:6">
      <c r="A393" s="14">
        <v>46250</v>
      </c>
      <c r="B393" t="s">
        <v>26</v>
      </c>
      <c r="C393">
        <v>1420</v>
      </c>
      <c r="D393">
        <v>1420</v>
      </c>
      <c r="E393">
        <v>235</v>
      </c>
      <c r="F393">
        <v>1289</v>
      </c>
    </row>
    <row r="394" spans="1:6">
      <c r="A394" s="14">
        <v>46250.041666666664</v>
      </c>
      <c r="B394" t="s">
        <v>26</v>
      </c>
      <c r="C394">
        <v>1420</v>
      </c>
      <c r="D394">
        <v>1420</v>
      </c>
      <c r="E394">
        <v>235</v>
      </c>
      <c r="F394">
        <v>1289</v>
      </c>
    </row>
    <row r="395" spans="1:6">
      <c r="A395" s="14">
        <v>46250.083333333336</v>
      </c>
      <c r="B395" t="s">
        <v>26</v>
      </c>
      <c r="C395">
        <v>1420</v>
      </c>
      <c r="D395">
        <v>1420</v>
      </c>
      <c r="E395">
        <v>235</v>
      </c>
      <c r="F395">
        <v>1289</v>
      </c>
    </row>
    <row r="396" spans="1:6">
      <c r="A396" s="14">
        <v>46250.125</v>
      </c>
      <c r="B396" t="s">
        <v>26</v>
      </c>
      <c r="C396">
        <v>1420</v>
      </c>
      <c r="D396">
        <v>1420</v>
      </c>
      <c r="E396">
        <v>235</v>
      </c>
      <c r="F396">
        <v>1289</v>
      </c>
    </row>
    <row r="397" spans="1:6">
      <c r="A397" s="14">
        <v>46250.166666666664</v>
      </c>
      <c r="B397" t="s">
        <v>26</v>
      </c>
      <c r="C397">
        <v>1420</v>
      </c>
      <c r="D397">
        <v>1420</v>
      </c>
      <c r="E397">
        <v>235</v>
      </c>
      <c r="F397">
        <v>1289</v>
      </c>
    </row>
    <row r="398" spans="1:6">
      <c r="A398" s="14">
        <v>46250.208333333336</v>
      </c>
      <c r="B398" t="s">
        <v>26</v>
      </c>
      <c r="C398">
        <v>1420</v>
      </c>
      <c r="D398">
        <v>1420</v>
      </c>
      <c r="E398">
        <v>235</v>
      </c>
      <c r="F398">
        <v>1289</v>
      </c>
    </row>
    <row r="399" spans="1:6">
      <c r="A399" s="14">
        <v>46250.25</v>
      </c>
      <c r="B399" t="s">
        <v>26</v>
      </c>
      <c r="C399">
        <v>1420</v>
      </c>
      <c r="D399">
        <v>1420</v>
      </c>
      <c r="E399">
        <v>235</v>
      </c>
      <c r="F399">
        <v>1289</v>
      </c>
    </row>
    <row r="400" spans="1:6">
      <c r="A400" s="14">
        <v>46250.291666666664</v>
      </c>
      <c r="B400" t="s">
        <v>26</v>
      </c>
      <c r="C400">
        <v>1420</v>
      </c>
      <c r="D400">
        <v>1420</v>
      </c>
      <c r="E400">
        <v>235</v>
      </c>
      <c r="F400">
        <v>1289</v>
      </c>
    </row>
    <row r="401" spans="1:6">
      <c r="A401" s="14">
        <v>46250.333333333336</v>
      </c>
      <c r="B401" t="s">
        <v>26</v>
      </c>
      <c r="C401">
        <v>1420</v>
      </c>
      <c r="D401">
        <v>1420</v>
      </c>
      <c r="E401">
        <v>235</v>
      </c>
      <c r="F401">
        <v>1289</v>
      </c>
    </row>
    <row r="402" spans="1:6">
      <c r="A402" s="14">
        <v>46250.375</v>
      </c>
      <c r="B402" t="s">
        <v>26</v>
      </c>
      <c r="C402">
        <v>1420</v>
      </c>
      <c r="D402">
        <v>1420</v>
      </c>
      <c r="E402">
        <v>235</v>
      </c>
      <c r="F402">
        <v>1289</v>
      </c>
    </row>
    <row r="403" spans="1:6">
      <c r="A403" s="14">
        <v>46250.416666666664</v>
      </c>
      <c r="B403" t="s">
        <v>26</v>
      </c>
      <c r="C403">
        <v>1420</v>
      </c>
      <c r="D403">
        <v>1420</v>
      </c>
      <c r="E403">
        <v>235</v>
      </c>
      <c r="F403">
        <v>1289</v>
      </c>
    </row>
    <row r="404" spans="1:6">
      <c r="A404" s="14">
        <v>46250.458333333336</v>
      </c>
      <c r="B404" t="s">
        <v>26</v>
      </c>
      <c r="C404">
        <v>1420</v>
      </c>
      <c r="D404">
        <v>1420</v>
      </c>
      <c r="E404">
        <v>235</v>
      </c>
      <c r="F404">
        <v>1289</v>
      </c>
    </row>
    <row r="405" spans="1:6">
      <c r="A405" s="14">
        <v>46250.5</v>
      </c>
      <c r="B405" t="s">
        <v>26</v>
      </c>
      <c r="C405">
        <v>1420</v>
      </c>
      <c r="D405">
        <v>1420</v>
      </c>
      <c r="E405">
        <v>235</v>
      </c>
      <c r="F405">
        <v>1289</v>
      </c>
    </row>
    <row r="406" spans="1:6">
      <c r="A406" s="14">
        <v>46250.541666666664</v>
      </c>
      <c r="B406" t="s">
        <v>26</v>
      </c>
      <c r="C406">
        <v>1420</v>
      </c>
      <c r="D406">
        <v>1420</v>
      </c>
      <c r="E406">
        <v>235</v>
      </c>
      <c r="F406">
        <v>1289</v>
      </c>
    </row>
    <row r="407" spans="1:6">
      <c r="A407" s="14">
        <v>46250.583333333336</v>
      </c>
      <c r="B407" t="s">
        <v>26</v>
      </c>
      <c r="C407">
        <v>1420</v>
      </c>
      <c r="D407">
        <v>1420</v>
      </c>
      <c r="E407">
        <v>235</v>
      </c>
      <c r="F407">
        <v>1289</v>
      </c>
    </row>
    <row r="408" spans="1:6">
      <c r="A408" s="14">
        <v>46250.625</v>
      </c>
      <c r="B408" t="s">
        <v>26</v>
      </c>
      <c r="C408">
        <v>1420</v>
      </c>
      <c r="D408">
        <v>1420</v>
      </c>
      <c r="E408">
        <v>235</v>
      </c>
      <c r="F408">
        <v>1289</v>
      </c>
    </row>
    <row r="409" spans="1:6">
      <c r="A409" s="14">
        <v>46250.666666666664</v>
      </c>
      <c r="B409" t="s">
        <v>26</v>
      </c>
      <c r="C409">
        <v>1420</v>
      </c>
      <c r="D409">
        <v>1420</v>
      </c>
      <c r="E409">
        <v>235</v>
      </c>
      <c r="F409">
        <v>1289</v>
      </c>
    </row>
    <row r="410" spans="1:6">
      <c r="A410" s="14">
        <v>46250.708333333336</v>
      </c>
      <c r="B410" t="s">
        <v>26</v>
      </c>
      <c r="C410">
        <v>1420</v>
      </c>
      <c r="D410">
        <v>1420</v>
      </c>
      <c r="E410">
        <v>235</v>
      </c>
      <c r="F410">
        <v>1289</v>
      </c>
    </row>
    <row r="411" spans="1:6">
      <c r="A411" s="14">
        <v>46250.75</v>
      </c>
      <c r="B411" t="s">
        <v>26</v>
      </c>
      <c r="C411">
        <v>1420</v>
      </c>
      <c r="D411">
        <v>1420</v>
      </c>
      <c r="E411">
        <v>235</v>
      </c>
      <c r="F411">
        <v>1289</v>
      </c>
    </row>
    <row r="412" spans="1:6">
      <c r="A412" s="14">
        <v>46250.791666666664</v>
      </c>
      <c r="B412" t="s">
        <v>26</v>
      </c>
      <c r="C412">
        <v>1420</v>
      </c>
      <c r="D412">
        <v>1420</v>
      </c>
      <c r="E412">
        <v>235</v>
      </c>
      <c r="F412">
        <v>1289</v>
      </c>
    </row>
    <row r="413" spans="1:6">
      <c r="A413" s="14">
        <v>46250.833333333336</v>
      </c>
      <c r="B413" t="s">
        <v>26</v>
      </c>
      <c r="C413">
        <v>1420</v>
      </c>
      <c r="D413">
        <v>1420</v>
      </c>
      <c r="E413">
        <v>235</v>
      </c>
      <c r="F413">
        <v>1289</v>
      </c>
    </row>
    <row r="414" spans="1:6">
      <c r="A414" s="14">
        <v>46250.875</v>
      </c>
      <c r="B414" t="s">
        <v>26</v>
      </c>
      <c r="C414">
        <v>1420</v>
      </c>
      <c r="D414">
        <v>1420</v>
      </c>
      <c r="E414">
        <v>235</v>
      </c>
      <c r="F414">
        <v>1289</v>
      </c>
    </row>
    <row r="415" spans="1:6">
      <c r="A415" s="14">
        <v>46250.916666666664</v>
      </c>
      <c r="B415" t="s">
        <v>26</v>
      </c>
      <c r="C415">
        <v>1420</v>
      </c>
      <c r="D415">
        <v>1420</v>
      </c>
      <c r="E415">
        <v>235</v>
      </c>
      <c r="F415">
        <v>1289</v>
      </c>
    </row>
    <row r="416" spans="1:6">
      <c r="A416" s="14">
        <v>46250.958333333336</v>
      </c>
      <c r="B416" t="s">
        <v>26</v>
      </c>
      <c r="C416">
        <v>1420</v>
      </c>
      <c r="D416">
        <v>1420</v>
      </c>
      <c r="E416">
        <v>235</v>
      </c>
      <c r="F416">
        <v>1289</v>
      </c>
    </row>
    <row r="417" spans="1:6">
      <c r="A417" s="14">
        <v>46251</v>
      </c>
      <c r="B417" t="s">
        <v>26</v>
      </c>
      <c r="C417">
        <v>1420</v>
      </c>
      <c r="D417">
        <v>1420</v>
      </c>
      <c r="E417">
        <v>235</v>
      </c>
      <c r="F417">
        <v>1289</v>
      </c>
    </row>
    <row r="418" spans="1:6">
      <c r="A418" s="14">
        <v>46251.041666666664</v>
      </c>
      <c r="B418" t="s">
        <v>26</v>
      </c>
      <c r="C418">
        <v>1420</v>
      </c>
      <c r="D418">
        <v>1420</v>
      </c>
      <c r="E418">
        <v>235</v>
      </c>
      <c r="F418">
        <v>1289</v>
      </c>
    </row>
    <row r="419" spans="1:6">
      <c r="A419" s="14">
        <v>46251.083333333336</v>
      </c>
      <c r="B419" t="s">
        <v>26</v>
      </c>
      <c r="C419">
        <v>1420</v>
      </c>
      <c r="D419">
        <v>1420</v>
      </c>
      <c r="E419">
        <v>235</v>
      </c>
      <c r="F419">
        <v>1289</v>
      </c>
    </row>
    <row r="420" spans="1:6">
      <c r="A420" s="14">
        <v>46251.125</v>
      </c>
      <c r="B420" t="s">
        <v>26</v>
      </c>
      <c r="C420">
        <v>1420</v>
      </c>
      <c r="D420">
        <v>1420</v>
      </c>
      <c r="E420">
        <v>235</v>
      </c>
      <c r="F420">
        <v>1289</v>
      </c>
    </row>
    <row r="421" spans="1:6">
      <c r="A421" s="14">
        <v>46251.166666666664</v>
      </c>
      <c r="B421" t="s">
        <v>26</v>
      </c>
      <c r="C421">
        <v>1420</v>
      </c>
      <c r="D421">
        <v>1420</v>
      </c>
      <c r="E421">
        <v>235</v>
      </c>
      <c r="F421">
        <v>1289</v>
      </c>
    </row>
    <row r="422" spans="1:6">
      <c r="A422" s="14">
        <v>46251.208333333336</v>
      </c>
      <c r="B422" t="s">
        <v>26</v>
      </c>
      <c r="C422">
        <v>1420</v>
      </c>
      <c r="D422">
        <v>1420</v>
      </c>
      <c r="E422">
        <v>235</v>
      </c>
      <c r="F422">
        <v>1289</v>
      </c>
    </row>
    <row r="423" spans="1:6">
      <c r="A423" s="14">
        <v>46251.25</v>
      </c>
      <c r="B423" t="s">
        <v>26</v>
      </c>
      <c r="C423">
        <v>1420</v>
      </c>
      <c r="D423">
        <v>1420</v>
      </c>
      <c r="E423">
        <v>235</v>
      </c>
      <c r="F423">
        <v>1289</v>
      </c>
    </row>
    <row r="424" spans="1:6">
      <c r="A424" s="14">
        <v>46251.291666666664</v>
      </c>
      <c r="B424" t="s">
        <v>26</v>
      </c>
      <c r="C424">
        <v>1420</v>
      </c>
      <c r="D424">
        <v>1420</v>
      </c>
      <c r="E424">
        <v>235</v>
      </c>
      <c r="F424">
        <v>1289</v>
      </c>
    </row>
    <row r="425" spans="1:6">
      <c r="A425" s="14">
        <v>46251.333333333336</v>
      </c>
      <c r="B425" t="s">
        <v>26</v>
      </c>
      <c r="C425">
        <v>1420</v>
      </c>
      <c r="D425">
        <v>1420</v>
      </c>
      <c r="E425">
        <v>235</v>
      </c>
      <c r="F425">
        <v>1289</v>
      </c>
    </row>
    <row r="426" spans="1:6">
      <c r="A426" s="14">
        <v>46251.375</v>
      </c>
      <c r="B426" t="s">
        <v>26</v>
      </c>
      <c r="C426">
        <v>1420</v>
      </c>
      <c r="D426">
        <v>1420</v>
      </c>
      <c r="E426">
        <v>235</v>
      </c>
      <c r="F426">
        <v>1289</v>
      </c>
    </row>
    <row r="427" spans="1:6">
      <c r="A427" s="14">
        <v>46251.416666666664</v>
      </c>
      <c r="B427" t="s">
        <v>26</v>
      </c>
      <c r="C427">
        <v>1420</v>
      </c>
      <c r="D427">
        <v>1420</v>
      </c>
      <c r="E427">
        <v>235</v>
      </c>
      <c r="F427">
        <v>1289</v>
      </c>
    </row>
    <row r="428" spans="1:6">
      <c r="A428" s="14">
        <v>46251.458333333336</v>
      </c>
      <c r="B428" t="s">
        <v>26</v>
      </c>
      <c r="C428">
        <v>1420</v>
      </c>
      <c r="D428">
        <v>1420</v>
      </c>
      <c r="E428">
        <v>235</v>
      </c>
      <c r="F428">
        <v>1289</v>
      </c>
    </row>
    <row r="429" spans="1:6">
      <c r="A429" s="14">
        <v>46251.5</v>
      </c>
      <c r="B429" t="s">
        <v>26</v>
      </c>
      <c r="C429">
        <v>1420</v>
      </c>
      <c r="D429">
        <v>1420</v>
      </c>
      <c r="E429">
        <v>235</v>
      </c>
      <c r="F429">
        <v>1289</v>
      </c>
    </row>
    <row r="430" spans="1:6">
      <c r="A430" s="14">
        <v>46251.541666666664</v>
      </c>
      <c r="B430" t="s">
        <v>26</v>
      </c>
      <c r="C430">
        <v>1420</v>
      </c>
      <c r="D430">
        <v>1420</v>
      </c>
      <c r="E430">
        <v>235</v>
      </c>
      <c r="F430">
        <v>1289</v>
      </c>
    </row>
    <row r="431" spans="1:6">
      <c r="A431" s="14">
        <v>46251.583333333336</v>
      </c>
      <c r="B431" t="s">
        <v>26</v>
      </c>
      <c r="C431">
        <v>1420</v>
      </c>
      <c r="D431">
        <v>1420</v>
      </c>
      <c r="E431">
        <v>235</v>
      </c>
      <c r="F431">
        <v>1289</v>
      </c>
    </row>
    <row r="432" spans="1:6">
      <c r="A432" s="14">
        <v>46251.625</v>
      </c>
      <c r="B432" t="s">
        <v>26</v>
      </c>
      <c r="C432">
        <v>1420</v>
      </c>
      <c r="D432">
        <v>1420</v>
      </c>
      <c r="E432">
        <v>235</v>
      </c>
      <c r="F432">
        <v>1289</v>
      </c>
    </row>
    <row r="433" spans="1:6">
      <c r="A433" s="14">
        <v>46251.666666666664</v>
      </c>
      <c r="B433" t="s">
        <v>26</v>
      </c>
      <c r="C433">
        <v>1420</v>
      </c>
      <c r="D433">
        <v>1420</v>
      </c>
      <c r="E433">
        <v>235</v>
      </c>
      <c r="F433">
        <v>1289</v>
      </c>
    </row>
    <row r="434" spans="1:6">
      <c r="A434" s="14">
        <v>46251.708333333336</v>
      </c>
      <c r="B434" t="s">
        <v>26</v>
      </c>
      <c r="C434">
        <v>1420</v>
      </c>
      <c r="D434">
        <v>1420</v>
      </c>
      <c r="E434">
        <v>235</v>
      </c>
      <c r="F434">
        <v>1289</v>
      </c>
    </row>
    <row r="435" spans="1:6">
      <c r="A435" s="14">
        <v>46251.75</v>
      </c>
      <c r="B435" t="s">
        <v>26</v>
      </c>
      <c r="C435">
        <v>1420</v>
      </c>
      <c r="D435">
        <v>1420</v>
      </c>
      <c r="E435">
        <v>235</v>
      </c>
      <c r="F435">
        <v>1289</v>
      </c>
    </row>
    <row r="436" spans="1:6">
      <c r="A436" s="14">
        <v>46251.791666666664</v>
      </c>
      <c r="B436" t="s">
        <v>26</v>
      </c>
      <c r="C436">
        <v>1420</v>
      </c>
      <c r="D436">
        <v>1420</v>
      </c>
      <c r="E436">
        <v>235</v>
      </c>
      <c r="F436">
        <v>1289</v>
      </c>
    </row>
    <row r="437" spans="1:6">
      <c r="A437" s="14">
        <v>46251.833333333336</v>
      </c>
      <c r="B437" t="s">
        <v>26</v>
      </c>
      <c r="C437">
        <v>1420</v>
      </c>
      <c r="D437">
        <v>1420</v>
      </c>
      <c r="E437">
        <v>235</v>
      </c>
      <c r="F437">
        <v>1289</v>
      </c>
    </row>
    <row r="438" spans="1:6">
      <c r="A438" s="14">
        <v>46251.875</v>
      </c>
      <c r="B438" t="s">
        <v>26</v>
      </c>
      <c r="C438">
        <v>1420</v>
      </c>
      <c r="D438">
        <v>1420</v>
      </c>
      <c r="E438">
        <v>235</v>
      </c>
      <c r="F438">
        <v>1289</v>
      </c>
    </row>
    <row r="439" spans="1:6">
      <c r="A439" s="14">
        <v>46251.916666666664</v>
      </c>
      <c r="B439" t="s">
        <v>26</v>
      </c>
      <c r="C439">
        <v>1420</v>
      </c>
      <c r="D439">
        <v>1420</v>
      </c>
      <c r="E439">
        <v>235</v>
      </c>
      <c r="F439">
        <v>1289</v>
      </c>
    </row>
    <row r="440" spans="1:6">
      <c r="A440" s="14">
        <v>46251.958333333336</v>
      </c>
      <c r="B440" t="s">
        <v>26</v>
      </c>
      <c r="C440">
        <v>1420</v>
      </c>
      <c r="D440">
        <v>1420</v>
      </c>
      <c r="E440">
        <v>235</v>
      </c>
      <c r="F440">
        <v>1289</v>
      </c>
    </row>
    <row r="441" spans="1:6">
      <c r="A441" s="14">
        <v>46252</v>
      </c>
      <c r="B441" t="s">
        <v>26</v>
      </c>
      <c r="C441">
        <v>1420</v>
      </c>
      <c r="D441">
        <v>1420</v>
      </c>
      <c r="E441">
        <v>235</v>
      </c>
      <c r="F441">
        <v>1289</v>
      </c>
    </row>
    <row r="442" spans="1:6">
      <c r="A442" s="14">
        <v>46252.041666666664</v>
      </c>
      <c r="B442" t="s">
        <v>26</v>
      </c>
      <c r="C442">
        <v>1420</v>
      </c>
      <c r="D442">
        <v>1420</v>
      </c>
      <c r="E442">
        <v>235</v>
      </c>
      <c r="F442">
        <v>1289</v>
      </c>
    </row>
    <row r="443" spans="1:6">
      <c r="A443" s="14">
        <v>46252.083333333336</v>
      </c>
      <c r="B443" t="s">
        <v>26</v>
      </c>
      <c r="C443">
        <v>1420</v>
      </c>
      <c r="D443">
        <v>1420</v>
      </c>
      <c r="E443">
        <v>235</v>
      </c>
      <c r="F443">
        <v>1289</v>
      </c>
    </row>
    <row r="444" spans="1:6">
      <c r="A444" s="14">
        <v>46252.125</v>
      </c>
      <c r="B444" t="s">
        <v>26</v>
      </c>
      <c r="C444">
        <v>1420</v>
      </c>
      <c r="D444">
        <v>1420</v>
      </c>
      <c r="E444">
        <v>235</v>
      </c>
      <c r="F444">
        <v>1289</v>
      </c>
    </row>
    <row r="445" spans="1:6">
      <c r="A445" s="14">
        <v>46252.166666666664</v>
      </c>
      <c r="B445" t="s">
        <v>26</v>
      </c>
      <c r="C445">
        <v>1420</v>
      </c>
      <c r="D445">
        <v>1420</v>
      </c>
      <c r="E445">
        <v>235</v>
      </c>
      <c r="F445">
        <v>1289</v>
      </c>
    </row>
    <row r="446" spans="1:6">
      <c r="A446" s="14">
        <v>46252.208333333336</v>
      </c>
      <c r="B446" t="s">
        <v>26</v>
      </c>
      <c r="C446">
        <v>1420</v>
      </c>
      <c r="D446">
        <v>1420</v>
      </c>
      <c r="E446">
        <v>235</v>
      </c>
      <c r="F446">
        <v>1289</v>
      </c>
    </row>
    <row r="447" spans="1:6">
      <c r="A447" s="14">
        <v>46252.25</v>
      </c>
      <c r="B447" t="s">
        <v>26</v>
      </c>
      <c r="C447">
        <v>1420</v>
      </c>
      <c r="D447">
        <v>1420</v>
      </c>
      <c r="E447">
        <v>235</v>
      </c>
      <c r="F447">
        <v>1289</v>
      </c>
    </row>
    <row r="448" spans="1:6">
      <c r="A448" s="14">
        <v>46252.291666666664</v>
      </c>
      <c r="B448" t="s">
        <v>26</v>
      </c>
      <c r="C448">
        <v>1420</v>
      </c>
      <c r="D448">
        <v>1420</v>
      </c>
      <c r="E448">
        <v>235</v>
      </c>
      <c r="F448">
        <v>1289</v>
      </c>
    </row>
    <row r="449" spans="1:6">
      <c r="A449" s="14">
        <v>46252.333333333336</v>
      </c>
      <c r="B449" t="s">
        <v>26</v>
      </c>
      <c r="C449">
        <v>1420</v>
      </c>
      <c r="D449">
        <v>1420</v>
      </c>
      <c r="E449">
        <v>235</v>
      </c>
      <c r="F449">
        <v>1289</v>
      </c>
    </row>
    <row r="450" spans="1:6">
      <c r="A450" s="14">
        <v>46252.375</v>
      </c>
      <c r="B450" t="s">
        <v>26</v>
      </c>
      <c r="C450">
        <v>1420</v>
      </c>
      <c r="D450">
        <v>1420</v>
      </c>
      <c r="E450">
        <v>235</v>
      </c>
      <c r="F450">
        <v>1289</v>
      </c>
    </row>
    <row r="451" spans="1:6">
      <c r="A451" s="14">
        <v>46252.416666666664</v>
      </c>
      <c r="B451" t="s">
        <v>26</v>
      </c>
      <c r="C451">
        <v>1420</v>
      </c>
      <c r="D451">
        <v>1420</v>
      </c>
      <c r="E451">
        <v>235</v>
      </c>
      <c r="F451">
        <v>1289</v>
      </c>
    </row>
    <row r="452" spans="1:6">
      <c r="A452" s="14">
        <v>46252.458333333336</v>
      </c>
      <c r="B452" t="s">
        <v>26</v>
      </c>
      <c r="C452">
        <v>1420</v>
      </c>
      <c r="D452">
        <v>1420</v>
      </c>
      <c r="E452">
        <v>235</v>
      </c>
      <c r="F452">
        <v>1289</v>
      </c>
    </row>
    <row r="453" spans="1:6">
      <c r="A453" s="14">
        <v>46252.5</v>
      </c>
      <c r="B453" t="s">
        <v>26</v>
      </c>
      <c r="C453">
        <v>1420</v>
      </c>
      <c r="D453">
        <v>1420</v>
      </c>
      <c r="E453">
        <v>235</v>
      </c>
      <c r="F453">
        <v>1289</v>
      </c>
    </row>
    <row r="454" spans="1:6">
      <c r="A454" s="14">
        <v>46252.541666666664</v>
      </c>
      <c r="B454" t="s">
        <v>26</v>
      </c>
      <c r="C454">
        <v>1420</v>
      </c>
      <c r="D454">
        <v>1420</v>
      </c>
      <c r="E454">
        <v>235</v>
      </c>
      <c r="F454">
        <v>1289</v>
      </c>
    </row>
    <row r="455" spans="1:6">
      <c r="A455" s="14">
        <v>46252.583333333336</v>
      </c>
      <c r="B455" t="s">
        <v>26</v>
      </c>
      <c r="C455">
        <v>1420</v>
      </c>
      <c r="D455">
        <v>1420</v>
      </c>
      <c r="E455">
        <v>235</v>
      </c>
      <c r="F455">
        <v>1289</v>
      </c>
    </row>
    <row r="456" spans="1:6">
      <c r="A456" s="14">
        <v>46252.625</v>
      </c>
      <c r="B456" t="s">
        <v>26</v>
      </c>
      <c r="C456">
        <v>1420</v>
      </c>
      <c r="D456">
        <v>1420</v>
      </c>
      <c r="E456">
        <v>235</v>
      </c>
      <c r="F456">
        <v>1289</v>
      </c>
    </row>
    <row r="457" spans="1:6">
      <c r="A457" s="14">
        <v>46252.666666666664</v>
      </c>
      <c r="B457" t="s">
        <v>26</v>
      </c>
      <c r="C457">
        <v>1420</v>
      </c>
      <c r="D457">
        <v>1420</v>
      </c>
      <c r="E457">
        <v>235</v>
      </c>
      <c r="F457">
        <v>1289</v>
      </c>
    </row>
    <row r="458" spans="1:6">
      <c r="A458" s="14">
        <v>46252.708333333336</v>
      </c>
      <c r="B458" t="s">
        <v>26</v>
      </c>
      <c r="C458">
        <v>1420</v>
      </c>
      <c r="D458">
        <v>1420</v>
      </c>
      <c r="E458">
        <v>235</v>
      </c>
      <c r="F458">
        <v>1289</v>
      </c>
    </row>
    <row r="459" spans="1:6">
      <c r="A459" s="14">
        <v>46252.75</v>
      </c>
      <c r="B459" t="s">
        <v>26</v>
      </c>
      <c r="C459">
        <v>1420</v>
      </c>
      <c r="D459">
        <v>1420</v>
      </c>
      <c r="E459">
        <v>235</v>
      </c>
      <c r="F459">
        <v>1289</v>
      </c>
    </row>
    <row r="460" spans="1:6">
      <c r="A460" s="14">
        <v>46252.791666666664</v>
      </c>
      <c r="B460" t="s">
        <v>26</v>
      </c>
      <c r="C460">
        <v>1420</v>
      </c>
      <c r="D460">
        <v>1420</v>
      </c>
      <c r="E460">
        <v>235</v>
      </c>
      <c r="F460">
        <v>1289</v>
      </c>
    </row>
    <row r="461" spans="1:6">
      <c r="A461" s="14">
        <v>46252.833333333336</v>
      </c>
      <c r="B461" t="s">
        <v>26</v>
      </c>
      <c r="C461">
        <v>1420</v>
      </c>
      <c r="D461">
        <v>1420</v>
      </c>
      <c r="E461">
        <v>235</v>
      </c>
      <c r="F461">
        <v>1289</v>
      </c>
    </row>
    <row r="462" spans="1:6">
      <c r="A462" s="14">
        <v>46252.875</v>
      </c>
      <c r="B462" t="s">
        <v>26</v>
      </c>
      <c r="C462">
        <v>1420</v>
      </c>
      <c r="D462">
        <v>1420</v>
      </c>
      <c r="E462">
        <v>235</v>
      </c>
      <c r="F462">
        <v>1289</v>
      </c>
    </row>
    <row r="463" spans="1:6">
      <c r="A463" s="14">
        <v>46252.916666666664</v>
      </c>
      <c r="B463" t="s">
        <v>26</v>
      </c>
      <c r="C463">
        <v>1420</v>
      </c>
      <c r="D463">
        <v>1420</v>
      </c>
      <c r="E463">
        <v>235</v>
      </c>
      <c r="F463">
        <v>1289</v>
      </c>
    </row>
    <row r="464" spans="1:6">
      <c r="A464" s="14">
        <v>46252.958333333336</v>
      </c>
      <c r="B464" t="s">
        <v>26</v>
      </c>
      <c r="C464">
        <v>1420</v>
      </c>
      <c r="D464">
        <v>1420</v>
      </c>
      <c r="E464">
        <v>235</v>
      </c>
      <c r="F464">
        <v>1289</v>
      </c>
    </row>
    <row r="465" spans="1:6">
      <c r="A465" s="14">
        <v>46253</v>
      </c>
      <c r="B465" t="s">
        <v>26</v>
      </c>
      <c r="C465">
        <v>1420</v>
      </c>
      <c r="D465">
        <v>1420</v>
      </c>
      <c r="E465">
        <v>235</v>
      </c>
      <c r="F465">
        <v>1289</v>
      </c>
    </row>
    <row r="466" spans="1:6">
      <c r="A466" s="14">
        <v>46253.041666666664</v>
      </c>
      <c r="B466" t="s">
        <v>26</v>
      </c>
      <c r="C466">
        <v>1420</v>
      </c>
      <c r="D466">
        <v>1420</v>
      </c>
      <c r="E466">
        <v>235</v>
      </c>
      <c r="F466">
        <v>1289</v>
      </c>
    </row>
    <row r="467" spans="1:6">
      <c r="A467" s="14">
        <v>46253.083333333336</v>
      </c>
      <c r="B467" t="s">
        <v>26</v>
      </c>
      <c r="C467">
        <v>1420</v>
      </c>
      <c r="D467">
        <v>1420</v>
      </c>
      <c r="E467">
        <v>235</v>
      </c>
      <c r="F467">
        <v>1289</v>
      </c>
    </row>
    <row r="468" spans="1:6">
      <c r="A468" s="14">
        <v>46253.125</v>
      </c>
      <c r="B468" t="s">
        <v>26</v>
      </c>
      <c r="C468">
        <v>1420</v>
      </c>
      <c r="D468">
        <v>1420</v>
      </c>
      <c r="E468">
        <v>235</v>
      </c>
      <c r="F468">
        <v>1289</v>
      </c>
    </row>
    <row r="469" spans="1:6">
      <c r="A469" s="14">
        <v>46253.166666666664</v>
      </c>
      <c r="B469" t="s">
        <v>26</v>
      </c>
      <c r="C469">
        <v>1420</v>
      </c>
      <c r="D469">
        <v>1420</v>
      </c>
      <c r="E469">
        <v>235</v>
      </c>
      <c r="F469">
        <v>1289</v>
      </c>
    </row>
    <row r="470" spans="1:6">
      <c r="A470" s="14">
        <v>46253.208333333336</v>
      </c>
      <c r="B470" t="s">
        <v>26</v>
      </c>
      <c r="C470">
        <v>1420</v>
      </c>
      <c r="D470">
        <v>1420</v>
      </c>
      <c r="E470">
        <v>235</v>
      </c>
      <c r="F470">
        <v>1289</v>
      </c>
    </row>
    <row r="471" spans="1:6">
      <c r="A471" s="14">
        <v>46253.25</v>
      </c>
      <c r="B471" t="s">
        <v>26</v>
      </c>
      <c r="C471">
        <v>1420</v>
      </c>
      <c r="D471">
        <v>1420</v>
      </c>
      <c r="E471">
        <v>235</v>
      </c>
      <c r="F471">
        <v>1289</v>
      </c>
    </row>
    <row r="472" spans="1:6">
      <c r="A472" s="14">
        <v>46253.291666666664</v>
      </c>
      <c r="B472" t="s">
        <v>26</v>
      </c>
      <c r="C472">
        <v>1420</v>
      </c>
      <c r="D472">
        <v>1420</v>
      </c>
      <c r="E472">
        <v>235</v>
      </c>
      <c r="F472">
        <v>1289</v>
      </c>
    </row>
    <row r="473" spans="1:6">
      <c r="A473" s="14">
        <v>46253.333333333336</v>
      </c>
      <c r="B473" t="s">
        <v>26</v>
      </c>
      <c r="C473">
        <v>1420</v>
      </c>
      <c r="D473">
        <v>1420</v>
      </c>
      <c r="E473">
        <v>235</v>
      </c>
      <c r="F473">
        <v>1289</v>
      </c>
    </row>
    <row r="474" spans="1:6">
      <c r="A474" s="14">
        <v>46253.375</v>
      </c>
      <c r="B474" t="s">
        <v>26</v>
      </c>
      <c r="C474">
        <v>1420</v>
      </c>
      <c r="D474">
        <v>1420</v>
      </c>
      <c r="E474">
        <v>235</v>
      </c>
      <c r="F474">
        <v>1289</v>
      </c>
    </row>
    <row r="475" spans="1:6">
      <c r="A475" s="14">
        <v>46253.416666666664</v>
      </c>
      <c r="B475" t="s">
        <v>26</v>
      </c>
      <c r="C475">
        <v>1420</v>
      </c>
      <c r="D475">
        <v>1420</v>
      </c>
      <c r="E475">
        <v>235</v>
      </c>
      <c r="F475">
        <v>1289</v>
      </c>
    </row>
    <row r="476" spans="1:6">
      <c r="A476" s="14">
        <v>46253.458333333336</v>
      </c>
      <c r="B476" t="s">
        <v>26</v>
      </c>
      <c r="C476">
        <v>1420</v>
      </c>
      <c r="D476">
        <v>1420</v>
      </c>
      <c r="E476">
        <v>235</v>
      </c>
      <c r="F476">
        <v>1289</v>
      </c>
    </row>
    <row r="477" spans="1:6">
      <c r="A477" s="14">
        <v>46253.5</v>
      </c>
      <c r="B477" t="s">
        <v>26</v>
      </c>
      <c r="C477">
        <v>1420</v>
      </c>
      <c r="D477">
        <v>1420</v>
      </c>
      <c r="E477">
        <v>235</v>
      </c>
      <c r="F477">
        <v>1289</v>
      </c>
    </row>
    <row r="478" spans="1:6">
      <c r="A478" s="14">
        <v>46253.541666666664</v>
      </c>
      <c r="B478" t="s">
        <v>26</v>
      </c>
      <c r="C478">
        <v>1420</v>
      </c>
      <c r="D478">
        <v>1420</v>
      </c>
      <c r="E478">
        <v>235</v>
      </c>
      <c r="F478">
        <v>1289</v>
      </c>
    </row>
    <row r="479" spans="1:6">
      <c r="A479" s="14">
        <v>46253.583333333336</v>
      </c>
      <c r="B479" t="s">
        <v>26</v>
      </c>
      <c r="C479">
        <v>1420</v>
      </c>
      <c r="D479">
        <v>1420</v>
      </c>
      <c r="E479">
        <v>235</v>
      </c>
      <c r="F479">
        <v>1289</v>
      </c>
    </row>
    <row r="480" spans="1:6">
      <c r="A480" s="14">
        <v>46253.625</v>
      </c>
      <c r="B480" t="s">
        <v>26</v>
      </c>
      <c r="C480">
        <v>1420</v>
      </c>
      <c r="D480">
        <v>1420</v>
      </c>
      <c r="E480">
        <v>235</v>
      </c>
      <c r="F480">
        <v>1289</v>
      </c>
    </row>
    <row r="481" spans="1:6">
      <c r="A481" s="14">
        <v>46253.666666666664</v>
      </c>
      <c r="B481" t="s">
        <v>26</v>
      </c>
      <c r="C481">
        <v>1420</v>
      </c>
      <c r="D481">
        <v>1420</v>
      </c>
      <c r="E481">
        <v>235</v>
      </c>
      <c r="F481">
        <v>1289</v>
      </c>
    </row>
    <row r="482" spans="1:6">
      <c r="A482" s="14">
        <v>46253.708333333336</v>
      </c>
      <c r="B482" t="s">
        <v>26</v>
      </c>
      <c r="C482">
        <v>1420</v>
      </c>
      <c r="D482">
        <v>1420</v>
      </c>
      <c r="E482">
        <v>235</v>
      </c>
      <c r="F482">
        <v>1289</v>
      </c>
    </row>
    <row r="483" spans="1:6">
      <c r="A483" s="14">
        <v>46253.75</v>
      </c>
      <c r="B483" t="s">
        <v>26</v>
      </c>
      <c r="C483">
        <v>1420</v>
      </c>
      <c r="D483">
        <v>1420</v>
      </c>
      <c r="E483">
        <v>235</v>
      </c>
      <c r="F483">
        <v>1289</v>
      </c>
    </row>
    <row r="484" spans="1:6">
      <c r="A484" s="14">
        <v>46253.791666666664</v>
      </c>
      <c r="B484" t="s">
        <v>26</v>
      </c>
      <c r="C484">
        <v>1420</v>
      </c>
      <c r="D484">
        <v>1420</v>
      </c>
      <c r="E484">
        <v>235</v>
      </c>
      <c r="F484">
        <v>1289</v>
      </c>
    </row>
    <row r="485" spans="1:6">
      <c r="A485" s="14">
        <v>46253.833333333336</v>
      </c>
      <c r="B485" t="s">
        <v>26</v>
      </c>
      <c r="C485">
        <v>1420</v>
      </c>
      <c r="D485">
        <v>1420</v>
      </c>
      <c r="E485">
        <v>235</v>
      </c>
      <c r="F485">
        <v>1289</v>
      </c>
    </row>
    <row r="486" spans="1:6">
      <c r="A486" s="14">
        <v>46253.875</v>
      </c>
      <c r="B486" t="s">
        <v>26</v>
      </c>
      <c r="C486">
        <v>1420</v>
      </c>
      <c r="D486">
        <v>1420</v>
      </c>
      <c r="E486">
        <v>235</v>
      </c>
      <c r="F486">
        <v>1289</v>
      </c>
    </row>
    <row r="487" spans="1:6">
      <c r="A487" s="14">
        <v>46253.916666666664</v>
      </c>
      <c r="B487" t="s">
        <v>26</v>
      </c>
      <c r="C487">
        <v>1420</v>
      </c>
      <c r="D487">
        <v>1420</v>
      </c>
      <c r="E487">
        <v>235</v>
      </c>
      <c r="F487">
        <v>1289</v>
      </c>
    </row>
    <row r="488" spans="1:6">
      <c r="A488" s="14">
        <v>46253.958333333336</v>
      </c>
      <c r="B488" t="s">
        <v>26</v>
      </c>
      <c r="C488">
        <v>1420</v>
      </c>
      <c r="D488">
        <v>1420</v>
      </c>
      <c r="E488">
        <v>235</v>
      </c>
      <c r="F488">
        <v>1289</v>
      </c>
    </row>
    <row r="489" spans="1:6">
      <c r="A489" s="14">
        <v>46254</v>
      </c>
      <c r="B489" t="s">
        <v>26</v>
      </c>
      <c r="C489">
        <v>1420</v>
      </c>
      <c r="D489">
        <v>1420</v>
      </c>
      <c r="E489">
        <v>235</v>
      </c>
      <c r="F489">
        <v>1289</v>
      </c>
    </row>
    <row r="490" spans="1:6">
      <c r="A490" s="14">
        <v>46254.041666666664</v>
      </c>
      <c r="B490" t="s">
        <v>26</v>
      </c>
      <c r="C490">
        <v>1420</v>
      </c>
      <c r="D490">
        <v>1420</v>
      </c>
      <c r="E490">
        <v>235</v>
      </c>
      <c r="F490">
        <v>1289</v>
      </c>
    </row>
    <row r="491" spans="1:6">
      <c r="A491" s="14">
        <v>46254.083333333336</v>
      </c>
      <c r="B491" t="s">
        <v>26</v>
      </c>
      <c r="C491">
        <v>1420</v>
      </c>
      <c r="D491">
        <v>1420</v>
      </c>
      <c r="E491">
        <v>235</v>
      </c>
      <c r="F491">
        <v>1289</v>
      </c>
    </row>
    <row r="492" spans="1:6">
      <c r="A492" s="14">
        <v>46254.125</v>
      </c>
      <c r="B492" t="s">
        <v>26</v>
      </c>
      <c r="C492">
        <v>1420</v>
      </c>
      <c r="D492">
        <v>1420</v>
      </c>
      <c r="E492">
        <v>235</v>
      </c>
      <c r="F492">
        <v>1289</v>
      </c>
    </row>
    <row r="493" spans="1:6">
      <c r="A493" s="14">
        <v>46254.166666666664</v>
      </c>
      <c r="B493" t="s">
        <v>26</v>
      </c>
      <c r="C493">
        <v>1420</v>
      </c>
      <c r="D493">
        <v>1420</v>
      </c>
      <c r="E493">
        <v>235</v>
      </c>
      <c r="F493">
        <v>1289</v>
      </c>
    </row>
    <row r="494" spans="1:6">
      <c r="A494" s="14">
        <v>46254.208333333336</v>
      </c>
      <c r="B494" t="s">
        <v>26</v>
      </c>
      <c r="C494">
        <v>1420</v>
      </c>
      <c r="D494">
        <v>1420</v>
      </c>
      <c r="E494">
        <v>235</v>
      </c>
      <c r="F494">
        <v>1289</v>
      </c>
    </row>
    <row r="495" spans="1:6">
      <c r="A495" s="14">
        <v>46254.25</v>
      </c>
      <c r="B495" t="s">
        <v>26</v>
      </c>
      <c r="C495">
        <v>1420</v>
      </c>
      <c r="D495">
        <v>1420</v>
      </c>
      <c r="E495">
        <v>235</v>
      </c>
      <c r="F495">
        <v>1289</v>
      </c>
    </row>
    <row r="496" spans="1:6">
      <c r="A496" s="14">
        <v>46254.291666666664</v>
      </c>
      <c r="B496" t="s">
        <v>26</v>
      </c>
      <c r="C496">
        <v>1420</v>
      </c>
      <c r="D496">
        <v>1420</v>
      </c>
      <c r="E496">
        <v>235</v>
      </c>
      <c r="F496">
        <v>1289</v>
      </c>
    </row>
    <row r="497" spans="1:6">
      <c r="A497" s="14">
        <v>46254.333333333336</v>
      </c>
      <c r="B497" t="s">
        <v>26</v>
      </c>
      <c r="C497">
        <v>1420</v>
      </c>
      <c r="D497">
        <v>1420</v>
      </c>
      <c r="E497">
        <v>235</v>
      </c>
      <c r="F497">
        <v>1289</v>
      </c>
    </row>
    <row r="498" spans="1:6">
      <c r="A498" s="14">
        <v>46254.375</v>
      </c>
      <c r="B498" t="s">
        <v>26</v>
      </c>
      <c r="C498">
        <v>1420</v>
      </c>
      <c r="D498">
        <v>1420</v>
      </c>
      <c r="E498">
        <v>235</v>
      </c>
      <c r="F498">
        <v>1289</v>
      </c>
    </row>
    <row r="499" spans="1:6">
      <c r="A499" s="14">
        <v>46254.416666666664</v>
      </c>
      <c r="B499" t="s">
        <v>26</v>
      </c>
      <c r="C499">
        <v>1420</v>
      </c>
      <c r="D499">
        <v>1420</v>
      </c>
      <c r="E499">
        <v>235</v>
      </c>
      <c r="F499">
        <v>1289</v>
      </c>
    </row>
    <row r="500" spans="1:6">
      <c r="A500" s="14">
        <v>46254.458333333336</v>
      </c>
      <c r="B500" t="s">
        <v>26</v>
      </c>
      <c r="C500">
        <v>1420</v>
      </c>
      <c r="D500">
        <v>1420</v>
      </c>
      <c r="E500">
        <v>235</v>
      </c>
      <c r="F500">
        <v>1289</v>
      </c>
    </row>
    <row r="501" spans="1:6">
      <c r="A501" s="14">
        <v>46254.5</v>
      </c>
      <c r="B501" t="s">
        <v>26</v>
      </c>
      <c r="C501">
        <v>1420</v>
      </c>
      <c r="D501">
        <v>1420</v>
      </c>
      <c r="E501">
        <v>235</v>
      </c>
      <c r="F501">
        <v>1289</v>
      </c>
    </row>
    <row r="502" spans="1:6">
      <c r="A502" s="14">
        <v>46254.541666666664</v>
      </c>
      <c r="B502" t="s">
        <v>26</v>
      </c>
      <c r="C502">
        <v>1420</v>
      </c>
      <c r="D502">
        <v>1420</v>
      </c>
      <c r="E502">
        <v>235</v>
      </c>
      <c r="F502">
        <v>1289</v>
      </c>
    </row>
    <row r="503" spans="1:6">
      <c r="A503" s="14">
        <v>46254.583333333336</v>
      </c>
      <c r="B503" t="s">
        <v>26</v>
      </c>
      <c r="C503">
        <v>1420</v>
      </c>
      <c r="D503">
        <v>1420</v>
      </c>
      <c r="E503">
        <v>235</v>
      </c>
      <c r="F503">
        <v>1289</v>
      </c>
    </row>
    <row r="504" spans="1:6">
      <c r="A504" s="14">
        <v>46254.625</v>
      </c>
      <c r="B504" t="s">
        <v>26</v>
      </c>
      <c r="C504">
        <v>1420</v>
      </c>
      <c r="D504">
        <v>1420</v>
      </c>
      <c r="E504">
        <v>235</v>
      </c>
      <c r="F504">
        <v>1289</v>
      </c>
    </row>
    <row r="505" spans="1:6">
      <c r="A505" s="14">
        <v>46254.666666666664</v>
      </c>
      <c r="B505" t="s">
        <v>26</v>
      </c>
      <c r="C505">
        <v>1420</v>
      </c>
      <c r="D505">
        <v>1420</v>
      </c>
      <c r="E505">
        <v>235</v>
      </c>
      <c r="F505">
        <v>1289</v>
      </c>
    </row>
    <row r="506" spans="1:6">
      <c r="A506" s="14">
        <v>46254.708333333336</v>
      </c>
      <c r="B506" t="s">
        <v>26</v>
      </c>
      <c r="C506">
        <v>1420</v>
      </c>
      <c r="D506">
        <v>1420</v>
      </c>
      <c r="E506">
        <v>235</v>
      </c>
      <c r="F506">
        <v>1289</v>
      </c>
    </row>
    <row r="507" spans="1:6">
      <c r="A507" s="14">
        <v>46254.75</v>
      </c>
      <c r="B507" t="s">
        <v>26</v>
      </c>
      <c r="C507">
        <v>1420</v>
      </c>
      <c r="D507">
        <v>1420</v>
      </c>
      <c r="E507">
        <v>235</v>
      </c>
      <c r="F507">
        <v>1289</v>
      </c>
    </row>
    <row r="508" spans="1:6">
      <c r="A508" s="14">
        <v>46254.791666666664</v>
      </c>
      <c r="B508" t="s">
        <v>26</v>
      </c>
      <c r="C508">
        <v>1420</v>
      </c>
      <c r="D508">
        <v>1420</v>
      </c>
      <c r="E508">
        <v>235</v>
      </c>
      <c r="F508">
        <v>1289</v>
      </c>
    </row>
    <row r="509" spans="1:6">
      <c r="A509" s="14">
        <v>46254.833333333336</v>
      </c>
      <c r="B509" t="s">
        <v>26</v>
      </c>
      <c r="C509">
        <v>1420</v>
      </c>
      <c r="D509">
        <v>1420</v>
      </c>
      <c r="E509">
        <v>235</v>
      </c>
      <c r="F509">
        <v>1289</v>
      </c>
    </row>
    <row r="510" spans="1:6">
      <c r="A510" s="14">
        <v>46254.875</v>
      </c>
      <c r="B510" t="s">
        <v>26</v>
      </c>
      <c r="C510">
        <v>1420</v>
      </c>
      <c r="D510">
        <v>1420</v>
      </c>
      <c r="E510">
        <v>235</v>
      </c>
      <c r="F510">
        <v>1289</v>
      </c>
    </row>
    <row r="511" spans="1:6">
      <c r="A511" s="14">
        <v>46254.916666666664</v>
      </c>
      <c r="B511" t="s">
        <v>26</v>
      </c>
      <c r="C511">
        <v>1420</v>
      </c>
      <c r="D511">
        <v>1420</v>
      </c>
      <c r="E511">
        <v>235</v>
      </c>
      <c r="F511">
        <v>1289</v>
      </c>
    </row>
    <row r="512" spans="1:6">
      <c r="A512" s="14">
        <v>46254.958333333336</v>
      </c>
      <c r="B512" t="s">
        <v>26</v>
      </c>
      <c r="C512">
        <v>1420</v>
      </c>
      <c r="D512">
        <v>1420</v>
      </c>
      <c r="E512">
        <v>235</v>
      </c>
      <c r="F512">
        <v>1289</v>
      </c>
    </row>
    <row r="513" spans="1:6">
      <c r="A513" s="14">
        <v>46255</v>
      </c>
      <c r="B513" t="s">
        <v>26</v>
      </c>
      <c r="C513">
        <v>1420</v>
      </c>
      <c r="D513">
        <v>1420</v>
      </c>
      <c r="E513">
        <v>235</v>
      </c>
      <c r="F513">
        <v>1289</v>
      </c>
    </row>
    <row r="514" spans="1:6">
      <c r="A514" s="14">
        <v>46255.041666666664</v>
      </c>
      <c r="B514" t="s">
        <v>26</v>
      </c>
      <c r="C514">
        <v>1420</v>
      </c>
      <c r="D514">
        <v>1420</v>
      </c>
      <c r="E514">
        <v>235</v>
      </c>
      <c r="F514">
        <v>1289</v>
      </c>
    </row>
    <row r="515" spans="1:6">
      <c r="A515" s="14">
        <v>46255.083333333336</v>
      </c>
      <c r="B515" t="s">
        <v>26</v>
      </c>
      <c r="C515">
        <v>1420</v>
      </c>
      <c r="D515">
        <v>1420</v>
      </c>
      <c r="E515">
        <v>235</v>
      </c>
      <c r="F515">
        <v>1289</v>
      </c>
    </row>
    <row r="516" spans="1:6">
      <c r="A516" s="14">
        <v>46255.125</v>
      </c>
      <c r="B516" t="s">
        <v>26</v>
      </c>
      <c r="C516">
        <v>1420</v>
      </c>
      <c r="D516">
        <v>1420</v>
      </c>
      <c r="E516">
        <v>235</v>
      </c>
      <c r="F516">
        <v>1289</v>
      </c>
    </row>
    <row r="517" spans="1:6">
      <c r="A517" s="14">
        <v>46255.166666666664</v>
      </c>
      <c r="B517" t="s">
        <v>26</v>
      </c>
      <c r="C517">
        <v>1420</v>
      </c>
      <c r="D517">
        <v>1420</v>
      </c>
      <c r="E517">
        <v>235</v>
      </c>
      <c r="F517">
        <v>1289</v>
      </c>
    </row>
    <row r="518" spans="1:6">
      <c r="A518" s="14">
        <v>46255.208333333336</v>
      </c>
      <c r="B518" t="s">
        <v>26</v>
      </c>
      <c r="C518">
        <v>1420</v>
      </c>
      <c r="D518">
        <v>1420</v>
      </c>
      <c r="E518">
        <v>235</v>
      </c>
      <c r="F518">
        <v>1289</v>
      </c>
    </row>
    <row r="519" spans="1:6">
      <c r="A519" s="14">
        <v>46255.25</v>
      </c>
      <c r="B519" t="s">
        <v>26</v>
      </c>
      <c r="C519">
        <v>1420</v>
      </c>
      <c r="D519">
        <v>1420</v>
      </c>
      <c r="E519">
        <v>235</v>
      </c>
      <c r="F519">
        <v>1289</v>
      </c>
    </row>
    <row r="520" spans="1:6">
      <c r="A520" s="14">
        <v>46255.291666666664</v>
      </c>
      <c r="B520" t="s">
        <v>26</v>
      </c>
      <c r="C520">
        <v>1420</v>
      </c>
      <c r="D520">
        <v>1420</v>
      </c>
      <c r="E520">
        <v>235</v>
      </c>
      <c r="F520">
        <v>1289</v>
      </c>
    </row>
    <row r="521" spans="1:6">
      <c r="A521" s="14">
        <v>46255.333333333336</v>
      </c>
      <c r="B521" t="s">
        <v>26</v>
      </c>
      <c r="C521">
        <v>1420</v>
      </c>
      <c r="D521">
        <v>1420</v>
      </c>
      <c r="E521">
        <v>235</v>
      </c>
      <c r="F521">
        <v>1289</v>
      </c>
    </row>
    <row r="522" spans="1:6">
      <c r="A522" s="14">
        <v>46255.375</v>
      </c>
      <c r="B522" t="s">
        <v>26</v>
      </c>
      <c r="C522">
        <v>1420</v>
      </c>
      <c r="D522">
        <v>1420</v>
      </c>
      <c r="E522">
        <v>235</v>
      </c>
      <c r="F522">
        <v>1289</v>
      </c>
    </row>
    <row r="523" spans="1:6">
      <c r="A523" s="14">
        <v>46255.416666666664</v>
      </c>
      <c r="B523" t="s">
        <v>26</v>
      </c>
      <c r="C523">
        <v>1420</v>
      </c>
      <c r="D523">
        <v>1420</v>
      </c>
      <c r="E523">
        <v>235</v>
      </c>
      <c r="F523">
        <v>1289</v>
      </c>
    </row>
    <row r="524" spans="1:6">
      <c r="A524" s="14">
        <v>46255.458333333336</v>
      </c>
      <c r="B524" t="s">
        <v>26</v>
      </c>
      <c r="C524">
        <v>1420</v>
      </c>
      <c r="D524">
        <v>1420</v>
      </c>
      <c r="E524">
        <v>235</v>
      </c>
      <c r="F524">
        <v>1289</v>
      </c>
    </row>
    <row r="525" spans="1:6">
      <c r="A525" s="14">
        <v>46255.5</v>
      </c>
      <c r="B525" t="s">
        <v>26</v>
      </c>
      <c r="C525">
        <v>1420</v>
      </c>
      <c r="D525">
        <v>1420</v>
      </c>
      <c r="E525">
        <v>235</v>
      </c>
      <c r="F525">
        <v>1289</v>
      </c>
    </row>
    <row r="526" spans="1:6">
      <c r="A526" s="14">
        <v>46255.541666666664</v>
      </c>
      <c r="B526" t="s">
        <v>26</v>
      </c>
      <c r="C526">
        <v>1420</v>
      </c>
      <c r="D526">
        <v>1420</v>
      </c>
      <c r="E526">
        <v>235</v>
      </c>
      <c r="F526">
        <v>1289</v>
      </c>
    </row>
    <row r="527" spans="1:6">
      <c r="A527" s="14">
        <v>46255.583333333336</v>
      </c>
      <c r="B527" t="s">
        <v>26</v>
      </c>
      <c r="C527">
        <v>1420</v>
      </c>
      <c r="D527">
        <v>1420</v>
      </c>
      <c r="E527">
        <v>235</v>
      </c>
      <c r="F527">
        <v>1289</v>
      </c>
    </row>
    <row r="528" spans="1:6">
      <c r="A528" s="14">
        <v>46255.625</v>
      </c>
      <c r="B528" t="s">
        <v>26</v>
      </c>
      <c r="C528">
        <v>1420</v>
      </c>
      <c r="D528">
        <v>1420</v>
      </c>
      <c r="E528">
        <v>235</v>
      </c>
      <c r="F528">
        <v>1289</v>
      </c>
    </row>
    <row r="529" spans="1:6">
      <c r="A529" s="14">
        <v>46255.666666666664</v>
      </c>
      <c r="B529" t="s">
        <v>26</v>
      </c>
      <c r="C529">
        <v>1420</v>
      </c>
      <c r="D529">
        <v>1420</v>
      </c>
      <c r="E529">
        <v>235</v>
      </c>
      <c r="F529">
        <v>1289</v>
      </c>
    </row>
    <row r="530" spans="1:6">
      <c r="A530" s="14">
        <v>46255.708333333336</v>
      </c>
      <c r="B530" t="s">
        <v>26</v>
      </c>
      <c r="C530">
        <v>1420</v>
      </c>
      <c r="D530">
        <v>1420</v>
      </c>
      <c r="E530">
        <v>235</v>
      </c>
      <c r="F530">
        <v>1289</v>
      </c>
    </row>
    <row r="531" spans="1:6">
      <c r="A531" s="14">
        <v>46255.75</v>
      </c>
      <c r="B531" t="s">
        <v>26</v>
      </c>
      <c r="C531">
        <v>1420</v>
      </c>
      <c r="D531">
        <v>1420</v>
      </c>
      <c r="E531">
        <v>235</v>
      </c>
      <c r="F531">
        <v>1289</v>
      </c>
    </row>
    <row r="532" spans="1:6">
      <c r="A532" s="14">
        <v>46255.791666666664</v>
      </c>
      <c r="B532" t="s">
        <v>26</v>
      </c>
      <c r="C532">
        <v>1420</v>
      </c>
      <c r="D532">
        <v>1420</v>
      </c>
      <c r="E532">
        <v>235</v>
      </c>
      <c r="F532">
        <v>1289</v>
      </c>
    </row>
    <row r="533" spans="1:6">
      <c r="A533" s="14">
        <v>46255.833333333336</v>
      </c>
      <c r="B533" t="s">
        <v>26</v>
      </c>
      <c r="C533">
        <v>1420</v>
      </c>
      <c r="D533">
        <v>1420</v>
      </c>
      <c r="E533">
        <v>235</v>
      </c>
      <c r="F533">
        <v>1289</v>
      </c>
    </row>
    <row r="534" spans="1:6">
      <c r="A534" s="14">
        <v>46255.875</v>
      </c>
      <c r="B534" t="s">
        <v>26</v>
      </c>
      <c r="C534">
        <v>1420</v>
      </c>
      <c r="D534">
        <v>1420</v>
      </c>
      <c r="E534">
        <v>235</v>
      </c>
      <c r="F534">
        <v>1289</v>
      </c>
    </row>
    <row r="535" spans="1:6">
      <c r="A535" s="14">
        <v>46255.916666666664</v>
      </c>
      <c r="B535" t="s">
        <v>26</v>
      </c>
      <c r="C535">
        <v>1420</v>
      </c>
      <c r="D535">
        <v>1420</v>
      </c>
      <c r="E535">
        <v>235</v>
      </c>
      <c r="F535">
        <v>1289</v>
      </c>
    </row>
    <row r="536" spans="1:6">
      <c r="A536" s="14">
        <v>46255.958333333336</v>
      </c>
      <c r="B536" t="s">
        <v>26</v>
      </c>
      <c r="C536">
        <v>1420</v>
      </c>
      <c r="D536">
        <v>1420</v>
      </c>
      <c r="E536">
        <v>235</v>
      </c>
      <c r="F536">
        <v>1289</v>
      </c>
    </row>
    <row r="537" spans="1:6">
      <c r="A537" s="14">
        <v>46256</v>
      </c>
      <c r="B537" t="s">
        <v>26</v>
      </c>
      <c r="C537">
        <v>1420</v>
      </c>
      <c r="D537">
        <v>1420</v>
      </c>
      <c r="E537">
        <v>235</v>
      </c>
      <c r="F537">
        <v>1289</v>
      </c>
    </row>
    <row r="538" spans="1:6">
      <c r="A538" s="14">
        <v>46256.041666666664</v>
      </c>
      <c r="B538" t="s">
        <v>26</v>
      </c>
      <c r="C538">
        <v>1420</v>
      </c>
      <c r="D538">
        <v>1420</v>
      </c>
      <c r="E538">
        <v>235</v>
      </c>
      <c r="F538">
        <v>1289</v>
      </c>
    </row>
    <row r="539" spans="1:6">
      <c r="A539" s="14">
        <v>46256.083333333336</v>
      </c>
      <c r="B539" t="s">
        <v>26</v>
      </c>
      <c r="C539">
        <v>1420</v>
      </c>
      <c r="D539">
        <v>1420</v>
      </c>
      <c r="E539">
        <v>235</v>
      </c>
      <c r="F539">
        <v>1289</v>
      </c>
    </row>
    <row r="540" spans="1:6">
      <c r="A540" s="14">
        <v>46256.125</v>
      </c>
      <c r="B540" t="s">
        <v>26</v>
      </c>
      <c r="C540">
        <v>1420</v>
      </c>
      <c r="D540">
        <v>1420</v>
      </c>
      <c r="E540">
        <v>235</v>
      </c>
      <c r="F540">
        <v>1289</v>
      </c>
    </row>
    <row r="541" spans="1:6">
      <c r="A541" s="14">
        <v>46256.166666666664</v>
      </c>
      <c r="B541" t="s">
        <v>26</v>
      </c>
      <c r="C541">
        <v>1420</v>
      </c>
      <c r="D541">
        <v>1420</v>
      </c>
      <c r="E541">
        <v>235</v>
      </c>
      <c r="F541">
        <v>1289</v>
      </c>
    </row>
    <row r="542" spans="1:6">
      <c r="A542" s="14">
        <v>46256.208333333336</v>
      </c>
      <c r="B542" t="s">
        <v>26</v>
      </c>
      <c r="C542">
        <v>1420</v>
      </c>
      <c r="D542">
        <v>1420</v>
      </c>
      <c r="E542">
        <v>235</v>
      </c>
      <c r="F542">
        <v>1289</v>
      </c>
    </row>
    <row r="543" spans="1:6">
      <c r="A543" s="14">
        <v>46256.25</v>
      </c>
      <c r="B543" t="s">
        <v>26</v>
      </c>
      <c r="C543">
        <v>1420</v>
      </c>
      <c r="D543">
        <v>1420</v>
      </c>
      <c r="E543">
        <v>235</v>
      </c>
      <c r="F543">
        <v>1289</v>
      </c>
    </row>
    <row r="544" spans="1:6">
      <c r="A544" s="14">
        <v>46256.291666666664</v>
      </c>
      <c r="B544" t="s">
        <v>26</v>
      </c>
      <c r="C544">
        <v>1420</v>
      </c>
      <c r="D544">
        <v>1420</v>
      </c>
      <c r="E544">
        <v>235</v>
      </c>
      <c r="F544">
        <v>1289</v>
      </c>
    </row>
    <row r="545" spans="1:6">
      <c r="A545" s="14">
        <v>46256.333333333336</v>
      </c>
      <c r="B545" t="s">
        <v>26</v>
      </c>
      <c r="C545">
        <v>1420</v>
      </c>
      <c r="D545">
        <v>1420</v>
      </c>
      <c r="E545">
        <v>235</v>
      </c>
      <c r="F545">
        <v>1289</v>
      </c>
    </row>
    <row r="546" spans="1:6">
      <c r="A546" s="14">
        <v>46256.375</v>
      </c>
      <c r="B546" t="s">
        <v>26</v>
      </c>
      <c r="C546">
        <v>1420</v>
      </c>
      <c r="D546">
        <v>1420</v>
      </c>
      <c r="E546">
        <v>235</v>
      </c>
      <c r="F546">
        <v>1289</v>
      </c>
    </row>
    <row r="547" spans="1:6">
      <c r="A547" s="14">
        <v>46256.416666666664</v>
      </c>
      <c r="B547" t="s">
        <v>26</v>
      </c>
      <c r="C547">
        <v>1420</v>
      </c>
      <c r="D547">
        <v>1420</v>
      </c>
      <c r="E547">
        <v>235</v>
      </c>
      <c r="F547">
        <v>1289</v>
      </c>
    </row>
    <row r="548" spans="1:6">
      <c r="A548" s="14">
        <v>46256.458333333336</v>
      </c>
      <c r="B548" t="s">
        <v>26</v>
      </c>
      <c r="C548">
        <v>1420</v>
      </c>
      <c r="D548">
        <v>1420</v>
      </c>
      <c r="E548">
        <v>235</v>
      </c>
      <c r="F548">
        <v>1289</v>
      </c>
    </row>
    <row r="549" spans="1:6">
      <c r="A549" s="14">
        <v>46256.5</v>
      </c>
      <c r="B549" t="s">
        <v>26</v>
      </c>
      <c r="C549">
        <v>1420</v>
      </c>
      <c r="D549">
        <v>1420</v>
      </c>
      <c r="E549">
        <v>235</v>
      </c>
      <c r="F549">
        <v>1289</v>
      </c>
    </row>
    <row r="550" spans="1:6">
      <c r="A550" s="14">
        <v>46256.541666666664</v>
      </c>
      <c r="B550" t="s">
        <v>26</v>
      </c>
      <c r="C550">
        <v>1420</v>
      </c>
      <c r="D550">
        <v>1420</v>
      </c>
      <c r="E550">
        <v>235</v>
      </c>
      <c r="F550">
        <v>1289</v>
      </c>
    </row>
    <row r="551" spans="1:6">
      <c r="A551" s="14">
        <v>46256.583333333336</v>
      </c>
      <c r="B551" t="s">
        <v>26</v>
      </c>
      <c r="C551">
        <v>1420</v>
      </c>
      <c r="D551">
        <v>1420</v>
      </c>
      <c r="E551">
        <v>235</v>
      </c>
      <c r="F551">
        <v>1289</v>
      </c>
    </row>
    <row r="552" spans="1:6">
      <c r="A552" s="14">
        <v>46256.625</v>
      </c>
      <c r="B552" t="s">
        <v>26</v>
      </c>
      <c r="C552">
        <v>1420</v>
      </c>
      <c r="D552">
        <v>1420</v>
      </c>
      <c r="E552">
        <v>235</v>
      </c>
      <c r="F552">
        <v>1289</v>
      </c>
    </row>
    <row r="553" spans="1:6">
      <c r="A553" s="14">
        <v>46256.666666666664</v>
      </c>
      <c r="B553" t="s">
        <v>26</v>
      </c>
      <c r="C553">
        <v>1420</v>
      </c>
      <c r="D553">
        <v>1420</v>
      </c>
      <c r="E553">
        <v>235</v>
      </c>
      <c r="F553">
        <v>1289</v>
      </c>
    </row>
    <row r="554" spans="1:6">
      <c r="A554" s="14">
        <v>46256.708333333336</v>
      </c>
      <c r="B554" t="s">
        <v>26</v>
      </c>
      <c r="C554">
        <v>1420</v>
      </c>
      <c r="D554">
        <v>1420</v>
      </c>
      <c r="E554">
        <v>235</v>
      </c>
      <c r="F554">
        <v>1289</v>
      </c>
    </row>
    <row r="555" spans="1:6">
      <c r="A555" s="14">
        <v>46256.75</v>
      </c>
      <c r="B555" t="s">
        <v>26</v>
      </c>
      <c r="C555">
        <v>1420</v>
      </c>
      <c r="D555">
        <v>1420</v>
      </c>
      <c r="E555">
        <v>235</v>
      </c>
      <c r="F555">
        <v>1289</v>
      </c>
    </row>
    <row r="556" spans="1:6">
      <c r="A556" s="14">
        <v>46256.791666666664</v>
      </c>
      <c r="B556" t="s">
        <v>26</v>
      </c>
      <c r="C556">
        <v>1420</v>
      </c>
      <c r="D556">
        <v>1420</v>
      </c>
      <c r="E556">
        <v>235</v>
      </c>
      <c r="F556">
        <v>1289</v>
      </c>
    </row>
    <row r="557" spans="1:6">
      <c r="A557" s="14">
        <v>46256.833333333336</v>
      </c>
      <c r="B557" t="s">
        <v>26</v>
      </c>
      <c r="C557">
        <v>1420</v>
      </c>
      <c r="D557">
        <v>1420</v>
      </c>
      <c r="E557">
        <v>235</v>
      </c>
      <c r="F557">
        <v>1289</v>
      </c>
    </row>
    <row r="558" spans="1:6">
      <c r="A558" s="14">
        <v>46256.875</v>
      </c>
      <c r="B558" t="s">
        <v>26</v>
      </c>
      <c r="C558">
        <v>1420</v>
      </c>
      <c r="D558">
        <v>1420</v>
      </c>
      <c r="E558">
        <v>235</v>
      </c>
      <c r="F558">
        <v>1289</v>
      </c>
    </row>
    <row r="559" spans="1:6">
      <c r="A559" s="14">
        <v>46256.916666666664</v>
      </c>
      <c r="B559" t="s">
        <v>26</v>
      </c>
      <c r="C559">
        <v>1420</v>
      </c>
      <c r="D559">
        <v>1420</v>
      </c>
      <c r="E559">
        <v>235</v>
      </c>
      <c r="F559">
        <v>1289</v>
      </c>
    </row>
    <row r="560" spans="1:6">
      <c r="A560" s="14">
        <v>46256.958333333336</v>
      </c>
      <c r="B560" t="s">
        <v>26</v>
      </c>
      <c r="C560">
        <v>1420</v>
      </c>
      <c r="D560">
        <v>1420</v>
      </c>
      <c r="E560">
        <v>235</v>
      </c>
      <c r="F560">
        <v>1289</v>
      </c>
    </row>
    <row r="561" spans="1:6">
      <c r="A561" s="14">
        <v>46257</v>
      </c>
      <c r="B561" t="s">
        <v>26</v>
      </c>
      <c r="C561">
        <v>1420</v>
      </c>
      <c r="D561">
        <v>1420</v>
      </c>
      <c r="E561">
        <v>235</v>
      </c>
      <c r="F561">
        <v>1289</v>
      </c>
    </row>
    <row r="562" spans="1:6">
      <c r="A562" s="14">
        <v>46257.041666666664</v>
      </c>
      <c r="B562" t="s">
        <v>26</v>
      </c>
      <c r="C562">
        <v>1420</v>
      </c>
      <c r="D562">
        <v>1420</v>
      </c>
      <c r="E562">
        <v>235</v>
      </c>
      <c r="F562">
        <v>1289</v>
      </c>
    </row>
    <row r="563" spans="1:6">
      <c r="A563" s="14">
        <v>46257.083333333336</v>
      </c>
      <c r="B563" t="s">
        <v>26</v>
      </c>
      <c r="C563">
        <v>1420</v>
      </c>
      <c r="D563">
        <v>1420</v>
      </c>
      <c r="E563">
        <v>235</v>
      </c>
      <c r="F563">
        <v>1289</v>
      </c>
    </row>
    <row r="564" spans="1:6">
      <c r="A564" s="14">
        <v>46257.125</v>
      </c>
      <c r="B564" t="s">
        <v>26</v>
      </c>
      <c r="C564">
        <v>1420</v>
      </c>
      <c r="D564">
        <v>1420</v>
      </c>
      <c r="E564">
        <v>235</v>
      </c>
      <c r="F564">
        <v>1289</v>
      </c>
    </row>
    <row r="565" spans="1:6">
      <c r="A565" s="14">
        <v>46257.166666666664</v>
      </c>
      <c r="B565" t="s">
        <v>26</v>
      </c>
      <c r="C565">
        <v>1420</v>
      </c>
      <c r="D565">
        <v>1420</v>
      </c>
      <c r="E565">
        <v>235</v>
      </c>
      <c r="F565">
        <v>1289</v>
      </c>
    </row>
    <row r="566" spans="1:6">
      <c r="A566" s="14">
        <v>46257.208333333336</v>
      </c>
      <c r="B566" t="s">
        <v>26</v>
      </c>
      <c r="C566">
        <v>1420</v>
      </c>
      <c r="D566">
        <v>1420</v>
      </c>
      <c r="E566">
        <v>235</v>
      </c>
      <c r="F566">
        <v>1289</v>
      </c>
    </row>
    <row r="567" spans="1:6">
      <c r="A567" s="14">
        <v>46257.25</v>
      </c>
      <c r="B567" t="s">
        <v>26</v>
      </c>
      <c r="C567">
        <v>1420</v>
      </c>
      <c r="D567">
        <v>1420</v>
      </c>
      <c r="E567">
        <v>235</v>
      </c>
      <c r="F567">
        <v>1289</v>
      </c>
    </row>
    <row r="568" spans="1:6">
      <c r="A568" s="14">
        <v>46257.291666666664</v>
      </c>
      <c r="B568" t="s">
        <v>26</v>
      </c>
      <c r="C568">
        <v>1420</v>
      </c>
      <c r="D568">
        <v>1420</v>
      </c>
      <c r="E568">
        <v>235</v>
      </c>
      <c r="F568">
        <v>1289</v>
      </c>
    </row>
    <row r="569" spans="1:6">
      <c r="A569" s="14">
        <v>46257.333333333336</v>
      </c>
      <c r="B569" t="s">
        <v>26</v>
      </c>
      <c r="C569">
        <v>1420</v>
      </c>
      <c r="D569">
        <v>1420</v>
      </c>
      <c r="E569">
        <v>235</v>
      </c>
      <c r="F569">
        <v>1289</v>
      </c>
    </row>
    <row r="570" spans="1:6">
      <c r="A570" s="14">
        <v>46257.375</v>
      </c>
      <c r="B570" t="s">
        <v>26</v>
      </c>
      <c r="C570">
        <v>1420</v>
      </c>
      <c r="D570">
        <v>1420</v>
      </c>
      <c r="E570">
        <v>235</v>
      </c>
      <c r="F570">
        <v>1289</v>
      </c>
    </row>
    <row r="571" spans="1:6">
      <c r="A571" s="14">
        <v>46257.416666666664</v>
      </c>
      <c r="B571" t="s">
        <v>26</v>
      </c>
      <c r="C571">
        <v>1420</v>
      </c>
      <c r="D571">
        <v>1420</v>
      </c>
      <c r="E571">
        <v>235</v>
      </c>
      <c r="F571">
        <v>1289</v>
      </c>
    </row>
    <row r="572" spans="1:6">
      <c r="A572" s="14">
        <v>46257.458333333336</v>
      </c>
      <c r="B572" t="s">
        <v>26</v>
      </c>
      <c r="C572">
        <v>1420</v>
      </c>
      <c r="D572">
        <v>1420</v>
      </c>
      <c r="E572">
        <v>235</v>
      </c>
      <c r="F572">
        <v>1289</v>
      </c>
    </row>
    <row r="573" spans="1:6">
      <c r="A573" s="14">
        <v>46257.5</v>
      </c>
      <c r="B573" t="s">
        <v>26</v>
      </c>
      <c r="C573">
        <v>1420</v>
      </c>
      <c r="D573">
        <v>1420</v>
      </c>
      <c r="E573">
        <v>235</v>
      </c>
      <c r="F573">
        <v>1289</v>
      </c>
    </row>
    <row r="574" spans="1:6">
      <c r="A574" s="14">
        <v>46257.541666666664</v>
      </c>
      <c r="B574" t="s">
        <v>26</v>
      </c>
      <c r="C574">
        <v>1420</v>
      </c>
      <c r="D574">
        <v>1420</v>
      </c>
      <c r="E574">
        <v>235</v>
      </c>
      <c r="F574">
        <v>1289</v>
      </c>
    </row>
    <row r="575" spans="1:6">
      <c r="A575" s="14">
        <v>46257.583333333336</v>
      </c>
      <c r="B575" t="s">
        <v>26</v>
      </c>
      <c r="C575">
        <v>1420</v>
      </c>
      <c r="D575">
        <v>1420</v>
      </c>
      <c r="E575">
        <v>235</v>
      </c>
      <c r="F575">
        <v>1289</v>
      </c>
    </row>
    <row r="576" spans="1:6">
      <c r="A576" s="14">
        <v>46257.625</v>
      </c>
      <c r="B576" t="s">
        <v>26</v>
      </c>
      <c r="C576">
        <v>1420</v>
      </c>
      <c r="D576">
        <v>1420</v>
      </c>
      <c r="E576">
        <v>235</v>
      </c>
      <c r="F576">
        <v>1289</v>
      </c>
    </row>
    <row r="577" spans="1:6">
      <c r="A577" s="14">
        <v>46257.666666666664</v>
      </c>
      <c r="B577" t="s">
        <v>26</v>
      </c>
      <c r="C577">
        <v>1420</v>
      </c>
      <c r="D577">
        <v>1420</v>
      </c>
      <c r="E577">
        <v>235</v>
      </c>
      <c r="F577">
        <v>1289</v>
      </c>
    </row>
    <row r="578" spans="1:6">
      <c r="A578" s="14">
        <v>46257.708333333336</v>
      </c>
      <c r="B578" t="s">
        <v>26</v>
      </c>
      <c r="C578">
        <v>1420</v>
      </c>
      <c r="D578">
        <v>1420</v>
      </c>
      <c r="E578">
        <v>235</v>
      </c>
      <c r="F578">
        <v>1289</v>
      </c>
    </row>
    <row r="579" spans="1:6">
      <c r="A579" s="14">
        <v>46257.75</v>
      </c>
      <c r="B579" t="s">
        <v>26</v>
      </c>
      <c r="C579">
        <v>1420</v>
      </c>
      <c r="D579">
        <v>1420</v>
      </c>
      <c r="E579">
        <v>235</v>
      </c>
      <c r="F579">
        <v>1289</v>
      </c>
    </row>
    <row r="580" spans="1:6">
      <c r="A580" s="14">
        <v>46257.791666666664</v>
      </c>
      <c r="B580" t="s">
        <v>26</v>
      </c>
      <c r="C580">
        <v>1420</v>
      </c>
      <c r="D580">
        <v>1420</v>
      </c>
      <c r="E580">
        <v>235</v>
      </c>
      <c r="F580">
        <v>1289</v>
      </c>
    </row>
    <row r="581" spans="1:6">
      <c r="A581" s="14">
        <v>46257.833333333336</v>
      </c>
      <c r="B581" t="s">
        <v>26</v>
      </c>
      <c r="C581">
        <v>1420</v>
      </c>
      <c r="D581">
        <v>1420</v>
      </c>
      <c r="E581">
        <v>235</v>
      </c>
      <c r="F581">
        <v>1289</v>
      </c>
    </row>
    <row r="582" spans="1:6">
      <c r="A582" s="14">
        <v>46257.875</v>
      </c>
      <c r="B582" t="s">
        <v>26</v>
      </c>
      <c r="C582">
        <v>1420</v>
      </c>
      <c r="D582">
        <v>1420</v>
      </c>
      <c r="E582">
        <v>235</v>
      </c>
      <c r="F582">
        <v>1289</v>
      </c>
    </row>
    <row r="583" spans="1:6">
      <c r="A583" s="14">
        <v>46257.916666666664</v>
      </c>
      <c r="B583" t="s">
        <v>26</v>
      </c>
      <c r="C583">
        <v>1420</v>
      </c>
      <c r="D583">
        <v>1420</v>
      </c>
      <c r="E583">
        <v>235</v>
      </c>
      <c r="F583">
        <v>1289</v>
      </c>
    </row>
    <row r="584" spans="1:6">
      <c r="A584" s="14">
        <v>46257.958333333336</v>
      </c>
      <c r="B584" t="s">
        <v>26</v>
      </c>
      <c r="C584">
        <v>1420</v>
      </c>
      <c r="D584">
        <v>1420</v>
      </c>
      <c r="E584">
        <v>235</v>
      </c>
      <c r="F584">
        <v>1289</v>
      </c>
    </row>
    <row r="585" spans="1:6">
      <c r="A585" s="14">
        <v>46258</v>
      </c>
      <c r="B585" t="s">
        <v>26</v>
      </c>
      <c r="C585">
        <v>1420</v>
      </c>
      <c r="D585">
        <v>1420</v>
      </c>
      <c r="E585">
        <v>235</v>
      </c>
      <c r="F585">
        <v>1289</v>
      </c>
    </row>
    <row r="586" spans="1:6">
      <c r="A586" s="14">
        <v>46258.041666666664</v>
      </c>
      <c r="B586" t="s">
        <v>26</v>
      </c>
      <c r="C586">
        <v>1420</v>
      </c>
      <c r="D586">
        <v>1420</v>
      </c>
      <c r="E586">
        <v>235</v>
      </c>
      <c r="F586">
        <v>1289</v>
      </c>
    </row>
    <row r="587" spans="1:6">
      <c r="A587" s="14">
        <v>46258.083333333336</v>
      </c>
      <c r="B587" t="s">
        <v>26</v>
      </c>
      <c r="C587">
        <v>1420</v>
      </c>
      <c r="D587">
        <v>1420</v>
      </c>
      <c r="E587">
        <v>235</v>
      </c>
      <c r="F587">
        <v>1289</v>
      </c>
    </row>
    <row r="588" spans="1:6">
      <c r="A588" s="14">
        <v>46258.125</v>
      </c>
      <c r="B588" t="s">
        <v>26</v>
      </c>
      <c r="C588">
        <v>1420</v>
      </c>
      <c r="D588">
        <v>1420</v>
      </c>
      <c r="E588">
        <v>235</v>
      </c>
      <c r="F588">
        <v>1289</v>
      </c>
    </row>
    <row r="589" spans="1:6">
      <c r="A589" s="14">
        <v>46258.166666666664</v>
      </c>
      <c r="B589" t="s">
        <v>26</v>
      </c>
      <c r="C589">
        <v>1420</v>
      </c>
      <c r="D589">
        <v>1420</v>
      </c>
      <c r="E589">
        <v>235</v>
      </c>
      <c r="F589">
        <v>1289</v>
      </c>
    </row>
    <row r="590" spans="1:6">
      <c r="A590" s="14">
        <v>46258.208333333336</v>
      </c>
      <c r="B590" t="s">
        <v>26</v>
      </c>
      <c r="C590">
        <v>1420</v>
      </c>
      <c r="D590">
        <v>1420</v>
      </c>
      <c r="E590">
        <v>235</v>
      </c>
      <c r="F590">
        <v>1289</v>
      </c>
    </row>
    <row r="591" spans="1:6">
      <c r="A591" s="14">
        <v>46258.25</v>
      </c>
      <c r="B591" t="s">
        <v>26</v>
      </c>
      <c r="C591">
        <v>1420</v>
      </c>
      <c r="D591">
        <v>1420</v>
      </c>
      <c r="E591">
        <v>235</v>
      </c>
      <c r="F591">
        <v>1289</v>
      </c>
    </row>
    <row r="592" spans="1:6">
      <c r="A592" s="14">
        <v>46258.291666666664</v>
      </c>
      <c r="B592" t="s">
        <v>26</v>
      </c>
      <c r="C592">
        <v>1420</v>
      </c>
      <c r="D592">
        <v>1420</v>
      </c>
      <c r="E592">
        <v>235</v>
      </c>
      <c r="F592">
        <v>1289</v>
      </c>
    </row>
    <row r="593" spans="1:6">
      <c r="A593" s="14">
        <v>46258.333333333336</v>
      </c>
      <c r="B593" t="s">
        <v>26</v>
      </c>
      <c r="C593">
        <v>1420</v>
      </c>
      <c r="D593">
        <v>1420</v>
      </c>
      <c r="E593">
        <v>235</v>
      </c>
      <c r="F593">
        <v>1289</v>
      </c>
    </row>
    <row r="594" spans="1:6">
      <c r="A594" s="14">
        <v>46258.375</v>
      </c>
      <c r="B594" t="s">
        <v>26</v>
      </c>
      <c r="C594">
        <v>1420</v>
      </c>
      <c r="D594">
        <v>1420</v>
      </c>
      <c r="E594">
        <v>235</v>
      </c>
      <c r="F594">
        <v>1289</v>
      </c>
    </row>
    <row r="595" spans="1:6">
      <c r="A595" s="14">
        <v>46258.416666666664</v>
      </c>
      <c r="B595" t="s">
        <v>26</v>
      </c>
      <c r="C595">
        <v>1420</v>
      </c>
      <c r="D595">
        <v>1420</v>
      </c>
      <c r="E595">
        <v>235</v>
      </c>
      <c r="F595">
        <v>1289</v>
      </c>
    </row>
    <row r="596" spans="1:6">
      <c r="A596" s="14">
        <v>46258.458333333336</v>
      </c>
      <c r="B596" t="s">
        <v>26</v>
      </c>
      <c r="C596">
        <v>1420</v>
      </c>
      <c r="D596">
        <v>1420</v>
      </c>
      <c r="E596">
        <v>235</v>
      </c>
      <c r="F596">
        <v>1289</v>
      </c>
    </row>
    <row r="597" spans="1:6">
      <c r="A597" s="14">
        <v>46258.5</v>
      </c>
      <c r="B597" t="s">
        <v>26</v>
      </c>
      <c r="C597">
        <v>1420</v>
      </c>
      <c r="D597">
        <v>1420</v>
      </c>
      <c r="E597">
        <v>235</v>
      </c>
      <c r="F597">
        <v>1289</v>
      </c>
    </row>
    <row r="598" spans="1:6">
      <c r="A598" s="14">
        <v>46258.541666666664</v>
      </c>
      <c r="B598" t="s">
        <v>26</v>
      </c>
      <c r="C598">
        <v>1420</v>
      </c>
      <c r="D598">
        <v>1420</v>
      </c>
      <c r="E598">
        <v>235</v>
      </c>
      <c r="F598">
        <v>1289</v>
      </c>
    </row>
    <row r="599" spans="1:6">
      <c r="A599" s="14">
        <v>46258.583333333336</v>
      </c>
      <c r="B599" t="s">
        <v>26</v>
      </c>
      <c r="C599">
        <v>1420</v>
      </c>
      <c r="D599">
        <v>1420</v>
      </c>
      <c r="E599">
        <v>235</v>
      </c>
      <c r="F599">
        <v>1289</v>
      </c>
    </row>
    <row r="600" spans="1:6">
      <c r="A600" s="14">
        <v>46258.625</v>
      </c>
      <c r="B600" t="s">
        <v>26</v>
      </c>
      <c r="C600">
        <v>1420</v>
      </c>
      <c r="D600">
        <v>1420</v>
      </c>
      <c r="E600">
        <v>235</v>
      </c>
      <c r="F600">
        <v>1289</v>
      </c>
    </row>
    <row r="601" spans="1:6">
      <c r="A601" s="14">
        <v>46258.666666666664</v>
      </c>
      <c r="B601" t="s">
        <v>26</v>
      </c>
      <c r="C601">
        <v>1420</v>
      </c>
      <c r="D601">
        <v>1420</v>
      </c>
      <c r="E601">
        <v>235</v>
      </c>
      <c r="F601">
        <v>1289</v>
      </c>
    </row>
    <row r="602" spans="1:6">
      <c r="A602" s="14">
        <v>46258.708333333336</v>
      </c>
      <c r="B602" t="s">
        <v>26</v>
      </c>
      <c r="C602">
        <v>1420</v>
      </c>
      <c r="D602">
        <v>1420</v>
      </c>
      <c r="E602">
        <v>235</v>
      </c>
      <c r="F602">
        <v>1289</v>
      </c>
    </row>
    <row r="603" spans="1:6">
      <c r="A603" s="14">
        <v>46258.75</v>
      </c>
      <c r="B603" t="s">
        <v>26</v>
      </c>
      <c r="C603">
        <v>1420</v>
      </c>
      <c r="D603">
        <v>1420</v>
      </c>
      <c r="E603">
        <v>235</v>
      </c>
      <c r="F603">
        <v>1289</v>
      </c>
    </row>
    <row r="604" spans="1:6">
      <c r="A604" s="14">
        <v>46258.791666666664</v>
      </c>
      <c r="B604" t="s">
        <v>26</v>
      </c>
      <c r="C604">
        <v>1420</v>
      </c>
      <c r="D604">
        <v>1420</v>
      </c>
      <c r="E604">
        <v>235</v>
      </c>
      <c r="F604">
        <v>1289</v>
      </c>
    </row>
    <row r="605" spans="1:6">
      <c r="A605" s="14">
        <v>46258.833333333336</v>
      </c>
      <c r="B605" t="s">
        <v>26</v>
      </c>
      <c r="C605">
        <v>1420</v>
      </c>
      <c r="D605">
        <v>1420</v>
      </c>
      <c r="E605">
        <v>235</v>
      </c>
      <c r="F605">
        <v>1289</v>
      </c>
    </row>
    <row r="606" spans="1:6">
      <c r="A606" s="14">
        <v>46258.875</v>
      </c>
      <c r="B606" t="s">
        <v>26</v>
      </c>
      <c r="C606">
        <v>1420</v>
      </c>
      <c r="D606">
        <v>1420</v>
      </c>
      <c r="E606">
        <v>235</v>
      </c>
      <c r="F606">
        <v>1289</v>
      </c>
    </row>
    <row r="607" spans="1:6">
      <c r="A607" s="14">
        <v>46258.916666666664</v>
      </c>
      <c r="B607" t="s">
        <v>26</v>
      </c>
      <c r="C607">
        <v>1420</v>
      </c>
      <c r="D607">
        <v>1420</v>
      </c>
      <c r="E607">
        <v>235</v>
      </c>
      <c r="F607">
        <v>1289</v>
      </c>
    </row>
    <row r="608" spans="1:6">
      <c r="A608" s="14">
        <v>46258.958333333336</v>
      </c>
      <c r="B608" t="s">
        <v>26</v>
      </c>
      <c r="C608">
        <v>1420</v>
      </c>
      <c r="D608">
        <v>1420</v>
      </c>
      <c r="E608">
        <v>235</v>
      </c>
      <c r="F608">
        <v>1289</v>
      </c>
    </row>
    <row r="609" spans="1:6">
      <c r="A609" s="14">
        <v>46259</v>
      </c>
      <c r="B609" t="s">
        <v>26</v>
      </c>
      <c r="C609">
        <v>1420</v>
      </c>
      <c r="D609">
        <v>1420</v>
      </c>
      <c r="E609">
        <v>235</v>
      </c>
      <c r="F609">
        <v>1289</v>
      </c>
    </row>
    <row r="610" spans="1:6">
      <c r="A610" s="14">
        <v>46259.041666666664</v>
      </c>
      <c r="B610" t="s">
        <v>26</v>
      </c>
      <c r="C610">
        <v>1420</v>
      </c>
      <c r="D610">
        <v>1420</v>
      </c>
      <c r="E610">
        <v>235</v>
      </c>
      <c r="F610">
        <v>1289</v>
      </c>
    </row>
    <row r="611" spans="1:6">
      <c r="A611" s="14">
        <v>46259.083333333336</v>
      </c>
      <c r="B611" t="s">
        <v>26</v>
      </c>
      <c r="C611">
        <v>1420</v>
      </c>
      <c r="D611">
        <v>1420</v>
      </c>
      <c r="E611">
        <v>235</v>
      </c>
      <c r="F611">
        <v>1289</v>
      </c>
    </row>
    <row r="612" spans="1:6">
      <c r="A612" s="14">
        <v>46259.125</v>
      </c>
      <c r="B612" t="s">
        <v>26</v>
      </c>
      <c r="C612">
        <v>1420</v>
      </c>
      <c r="D612">
        <v>1420</v>
      </c>
      <c r="E612">
        <v>235</v>
      </c>
      <c r="F612">
        <v>1289</v>
      </c>
    </row>
    <row r="613" spans="1:6">
      <c r="A613" s="14">
        <v>46259.166666666664</v>
      </c>
      <c r="B613" t="s">
        <v>26</v>
      </c>
      <c r="C613">
        <v>1420</v>
      </c>
      <c r="D613">
        <v>1420</v>
      </c>
      <c r="E613">
        <v>235</v>
      </c>
      <c r="F613">
        <v>1289</v>
      </c>
    </row>
    <row r="614" spans="1:6">
      <c r="A614" s="14">
        <v>46259.208333333336</v>
      </c>
      <c r="B614" t="s">
        <v>26</v>
      </c>
      <c r="C614">
        <v>1420</v>
      </c>
      <c r="D614">
        <v>1420</v>
      </c>
      <c r="E614">
        <v>235</v>
      </c>
      <c r="F614">
        <v>1289</v>
      </c>
    </row>
    <row r="615" spans="1:6">
      <c r="A615" s="14">
        <v>46259.25</v>
      </c>
      <c r="B615" t="s">
        <v>26</v>
      </c>
      <c r="C615">
        <v>1420</v>
      </c>
      <c r="D615">
        <v>1420</v>
      </c>
      <c r="E615">
        <v>235</v>
      </c>
      <c r="F615">
        <v>1289</v>
      </c>
    </row>
    <row r="616" spans="1:6">
      <c r="A616" s="14">
        <v>46259.291666666664</v>
      </c>
      <c r="B616" t="s">
        <v>26</v>
      </c>
      <c r="C616">
        <v>1420</v>
      </c>
      <c r="D616">
        <v>1420</v>
      </c>
      <c r="E616">
        <v>235</v>
      </c>
      <c r="F616">
        <v>1289</v>
      </c>
    </row>
    <row r="617" spans="1:6">
      <c r="A617" s="14">
        <v>46259.333333333336</v>
      </c>
      <c r="B617" t="s">
        <v>26</v>
      </c>
      <c r="C617">
        <v>1420</v>
      </c>
      <c r="D617">
        <v>1420</v>
      </c>
      <c r="E617">
        <v>235</v>
      </c>
      <c r="F617">
        <v>1289</v>
      </c>
    </row>
    <row r="618" spans="1:6">
      <c r="A618" s="14">
        <v>46259.375</v>
      </c>
      <c r="B618" t="s">
        <v>26</v>
      </c>
      <c r="C618">
        <v>1420</v>
      </c>
      <c r="D618">
        <v>1420</v>
      </c>
      <c r="E618">
        <v>235</v>
      </c>
      <c r="F618">
        <v>1289</v>
      </c>
    </row>
    <row r="619" spans="1:6">
      <c r="A619" s="14">
        <v>46259.416666666664</v>
      </c>
      <c r="B619" t="s">
        <v>26</v>
      </c>
      <c r="C619">
        <v>1420</v>
      </c>
      <c r="D619">
        <v>1420</v>
      </c>
      <c r="E619">
        <v>235</v>
      </c>
      <c r="F619">
        <v>1289</v>
      </c>
    </row>
    <row r="620" spans="1:6">
      <c r="A620" s="14">
        <v>46259.458333333336</v>
      </c>
      <c r="B620" t="s">
        <v>26</v>
      </c>
      <c r="C620">
        <v>1420</v>
      </c>
      <c r="D620">
        <v>1420</v>
      </c>
      <c r="E620">
        <v>235</v>
      </c>
      <c r="F620">
        <v>1289</v>
      </c>
    </row>
    <row r="621" spans="1:6">
      <c r="A621" s="14">
        <v>46259.5</v>
      </c>
      <c r="B621" t="s">
        <v>26</v>
      </c>
      <c r="C621">
        <v>1420</v>
      </c>
      <c r="D621">
        <v>1420</v>
      </c>
      <c r="E621">
        <v>235</v>
      </c>
      <c r="F621">
        <v>1289</v>
      </c>
    </row>
    <row r="622" spans="1:6">
      <c r="A622" s="14">
        <v>46259.541666666664</v>
      </c>
      <c r="B622" t="s">
        <v>26</v>
      </c>
      <c r="C622">
        <v>1420</v>
      </c>
      <c r="D622">
        <v>1420</v>
      </c>
      <c r="E622">
        <v>235</v>
      </c>
      <c r="F622">
        <v>1289</v>
      </c>
    </row>
    <row r="623" spans="1:6">
      <c r="A623" s="14">
        <v>46259.583333333336</v>
      </c>
      <c r="B623" t="s">
        <v>26</v>
      </c>
      <c r="C623">
        <v>1420</v>
      </c>
      <c r="D623">
        <v>1420</v>
      </c>
      <c r="E623">
        <v>235</v>
      </c>
      <c r="F623">
        <v>1289</v>
      </c>
    </row>
    <row r="624" spans="1:6">
      <c r="A624" s="14">
        <v>46259.625</v>
      </c>
      <c r="B624" t="s">
        <v>26</v>
      </c>
      <c r="C624">
        <v>1420</v>
      </c>
      <c r="D624">
        <v>1420</v>
      </c>
      <c r="E624">
        <v>235</v>
      </c>
      <c r="F624">
        <v>1289</v>
      </c>
    </row>
    <row r="625" spans="1:6">
      <c r="A625" s="14">
        <v>46259.666666666664</v>
      </c>
      <c r="B625" t="s">
        <v>26</v>
      </c>
      <c r="C625">
        <v>1420</v>
      </c>
      <c r="D625">
        <v>1420</v>
      </c>
      <c r="E625">
        <v>235</v>
      </c>
      <c r="F625">
        <v>1289</v>
      </c>
    </row>
    <row r="626" spans="1:6">
      <c r="A626" s="14">
        <v>46259.708333333336</v>
      </c>
      <c r="B626" t="s">
        <v>26</v>
      </c>
      <c r="C626">
        <v>1420</v>
      </c>
      <c r="D626">
        <v>1420</v>
      </c>
      <c r="E626">
        <v>235</v>
      </c>
      <c r="F626">
        <v>1289</v>
      </c>
    </row>
    <row r="627" spans="1:6">
      <c r="A627" s="14">
        <v>46259.75</v>
      </c>
      <c r="B627" t="s">
        <v>26</v>
      </c>
      <c r="C627">
        <v>1420</v>
      </c>
      <c r="D627">
        <v>1420</v>
      </c>
      <c r="E627">
        <v>235</v>
      </c>
      <c r="F627">
        <v>1289</v>
      </c>
    </row>
    <row r="628" spans="1:6">
      <c r="A628" s="14">
        <v>46259.791666666664</v>
      </c>
      <c r="B628" t="s">
        <v>26</v>
      </c>
      <c r="C628">
        <v>1420</v>
      </c>
      <c r="D628">
        <v>1420</v>
      </c>
      <c r="E628">
        <v>235</v>
      </c>
      <c r="F628">
        <v>1289</v>
      </c>
    </row>
    <row r="629" spans="1:6">
      <c r="A629" s="14">
        <v>46259.833333333336</v>
      </c>
      <c r="B629" t="s">
        <v>26</v>
      </c>
      <c r="C629">
        <v>1420</v>
      </c>
      <c r="D629">
        <v>1420</v>
      </c>
      <c r="E629">
        <v>235</v>
      </c>
      <c r="F629">
        <v>1289</v>
      </c>
    </row>
    <row r="630" spans="1:6">
      <c r="A630" s="14">
        <v>46259.875</v>
      </c>
      <c r="B630" t="s">
        <v>26</v>
      </c>
      <c r="C630">
        <v>1420</v>
      </c>
      <c r="D630">
        <v>1420</v>
      </c>
      <c r="E630">
        <v>235</v>
      </c>
      <c r="F630">
        <v>1289</v>
      </c>
    </row>
    <row r="631" spans="1:6">
      <c r="A631" s="14">
        <v>46259.916666666664</v>
      </c>
      <c r="B631" t="s">
        <v>26</v>
      </c>
      <c r="C631">
        <v>1420</v>
      </c>
      <c r="D631">
        <v>1420</v>
      </c>
      <c r="E631">
        <v>235</v>
      </c>
      <c r="F631">
        <v>1289</v>
      </c>
    </row>
    <row r="632" spans="1:6">
      <c r="A632" s="14">
        <v>46259.958333333336</v>
      </c>
      <c r="B632" t="s">
        <v>26</v>
      </c>
      <c r="C632">
        <v>1420</v>
      </c>
      <c r="D632">
        <v>1420</v>
      </c>
      <c r="E632">
        <v>235</v>
      </c>
      <c r="F632">
        <v>1289</v>
      </c>
    </row>
    <row r="633" spans="1:6">
      <c r="A633" s="14">
        <v>46260</v>
      </c>
      <c r="B633" t="s">
        <v>26</v>
      </c>
      <c r="C633">
        <v>1420</v>
      </c>
      <c r="D633">
        <v>1420</v>
      </c>
      <c r="E633">
        <v>235</v>
      </c>
      <c r="F633">
        <v>1289</v>
      </c>
    </row>
    <row r="634" spans="1:6">
      <c r="A634" s="14">
        <v>46260.041666666664</v>
      </c>
      <c r="B634" t="s">
        <v>26</v>
      </c>
      <c r="C634">
        <v>1420</v>
      </c>
      <c r="D634">
        <v>1420</v>
      </c>
      <c r="E634">
        <v>235</v>
      </c>
      <c r="F634">
        <v>1289</v>
      </c>
    </row>
    <row r="635" spans="1:6">
      <c r="A635" s="14">
        <v>46260.083333333336</v>
      </c>
      <c r="B635" t="s">
        <v>26</v>
      </c>
      <c r="C635">
        <v>1420</v>
      </c>
      <c r="D635">
        <v>1420</v>
      </c>
      <c r="E635">
        <v>235</v>
      </c>
      <c r="F635">
        <v>1289</v>
      </c>
    </row>
    <row r="636" spans="1:6">
      <c r="A636" s="14">
        <v>46260.125</v>
      </c>
      <c r="B636" t="s">
        <v>26</v>
      </c>
      <c r="C636">
        <v>1420</v>
      </c>
      <c r="D636">
        <v>1420</v>
      </c>
      <c r="E636">
        <v>235</v>
      </c>
      <c r="F636">
        <v>1289</v>
      </c>
    </row>
    <row r="637" spans="1:6">
      <c r="A637" s="14">
        <v>46260.166666666664</v>
      </c>
      <c r="B637" t="s">
        <v>26</v>
      </c>
      <c r="C637">
        <v>1420</v>
      </c>
      <c r="D637">
        <v>1420</v>
      </c>
      <c r="E637">
        <v>235</v>
      </c>
      <c r="F637">
        <v>1289</v>
      </c>
    </row>
    <row r="638" spans="1:6">
      <c r="A638" s="14">
        <v>46260.208333333336</v>
      </c>
      <c r="B638" t="s">
        <v>26</v>
      </c>
      <c r="C638">
        <v>1420</v>
      </c>
      <c r="D638">
        <v>1420</v>
      </c>
      <c r="E638">
        <v>235</v>
      </c>
      <c r="F638">
        <v>1289</v>
      </c>
    </row>
    <row r="639" spans="1:6">
      <c r="A639" s="14">
        <v>46260.25</v>
      </c>
      <c r="B639" t="s">
        <v>26</v>
      </c>
      <c r="C639">
        <v>1420</v>
      </c>
      <c r="D639">
        <v>1420</v>
      </c>
      <c r="E639">
        <v>235</v>
      </c>
      <c r="F639">
        <v>1289</v>
      </c>
    </row>
    <row r="640" spans="1:6">
      <c r="A640" s="14">
        <v>46260.291666666664</v>
      </c>
      <c r="B640" t="s">
        <v>26</v>
      </c>
      <c r="C640">
        <v>1420</v>
      </c>
      <c r="D640">
        <v>1420</v>
      </c>
      <c r="E640">
        <v>235</v>
      </c>
      <c r="F640">
        <v>1289</v>
      </c>
    </row>
    <row r="641" spans="1:6">
      <c r="A641" s="14">
        <v>46260.333333333336</v>
      </c>
      <c r="B641" t="s">
        <v>26</v>
      </c>
      <c r="C641">
        <v>1420</v>
      </c>
      <c r="D641">
        <v>1420</v>
      </c>
      <c r="E641">
        <v>235</v>
      </c>
      <c r="F641">
        <v>1289</v>
      </c>
    </row>
    <row r="642" spans="1:6">
      <c r="A642" s="14">
        <v>46260.375</v>
      </c>
      <c r="B642" t="s">
        <v>26</v>
      </c>
      <c r="C642">
        <v>1420</v>
      </c>
      <c r="D642">
        <v>1420</v>
      </c>
      <c r="E642">
        <v>235</v>
      </c>
      <c r="F642">
        <v>1289</v>
      </c>
    </row>
    <row r="643" spans="1:6">
      <c r="A643" s="14">
        <v>46260.416666666664</v>
      </c>
      <c r="B643" t="s">
        <v>26</v>
      </c>
      <c r="C643">
        <v>1420</v>
      </c>
      <c r="D643">
        <v>1420</v>
      </c>
      <c r="E643">
        <v>235</v>
      </c>
      <c r="F643">
        <v>1289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43"/>
  <sheetViews>
    <sheetView workbookViewId="0">
      <selection activeCell="H6" sqref="H6"/>
    </sheetView>
  </sheetViews>
  <sheetFormatPr defaultRowHeight="13.5"/>
  <cols>
    <col min="1" max="1" width="18.875" style="14" customWidth="1"/>
  </cols>
  <sheetData>
    <row r="1" spans="1:9">
      <c r="A1" s="18" t="s">
        <v>30</v>
      </c>
      <c r="B1" s="26" t="s">
        <v>20</v>
      </c>
      <c r="C1" s="26" t="s">
        <v>21</v>
      </c>
      <c r="D1" s="26" t="s">
        <v>22</v>
      </c>
      <c r="E1" s="26" t="s">
        <v>23</v>
      </c>
      <c r="F1" s="26" t="s">
        <v>24</v>
      </c>
    </row>
    <row r="2" spans="1:9" ht="33">
      <c r="A2" s="42">
        <v>46233.708333333336</v>
      </c>
      <c r="B2" s="43" t="s">
        <v>27</v>
      </c>
      <c r="C2" s="44">
        <v>0</v>
      </c>
      <c r="D2" s="44">
        <v>300</v>
      </c>
      <c r="E2" s="44">
        <v>316.18189999999998</v>
      </c>
      <c r="F2" s="44">
        <v>478.00470000000001</v>
      </c>
      <c r="H2" s="2" t="s">
        <v>3</v>
      </c>
      <c r="I2">
        <f>MAX(C:C)</f>
        <v>9129</v>
      </c>
    </row>
    <row r="3" spans="1:9" ht="33">
      <c r="A3" s="42">
        <v>46233.75</v>
      </c>
      <c r="B3" s="43" t="s">
        <v>27</v>
      </c>
      <c r="C3" s="44">
        <v>0</v>
      </c>
      <c r="D3" s="44">
        <v>300</v>
      </c>
      <c r="E3" s="44">
        <v>316.15390000000002</v>
      </c>
      <c r="F3" s="44">
        <v>476.92469999999997</v>
      </c>
      <c r="H3" s="3" t="s">
        <v>4</v>
      </c>
      <c r="I3">
        <f>MAX(D:D)</f>
        <v>3241.7979999999998</v>
      </c>
    </row>
    <row r="4" spans="1:9" ht="33">
      <c r="A4" s="42">
        <v>46233.791666666664</v>
      </c>
      <c r="B4" s="43" t="s">
        <v>27</v>
      </c>
      <c r="C4" s="44">
        <v>0</v>
      </c>
      <c r="D4" s="44">
        <v>300</v>
      </c>
      <c r="E4" s="44">
        <v>316.12580000000003</v>
      </c>
      <c r="F4" s="44">
        <v>475.84469999999999</v>
      </c>
      <c r="H4" s="2" t="s">
        <v>5</v>
      </c>
      <c r="I4">
        <f>I6-F2</f>
        <v>282.95789999999994</v>
      </c>
    </row>
    <row r="5" spans="1:9" ht="33">
      <c r="A5" s="42">
        <v>46233.833333333336</v>
      </c>
      <c r="B5" s="43" t="s">
        <v>27</v>
      </c>
      <c r="C5" s="44">
        <v>0</v>
      </c>
      <c r="D5" s="44">
        <v>300</v>
      </c>
      <c r="E5" s="44">
        <v>316.09780000000001</v>
      </c>
      <c r="F5" s="44">
        <v>474.7647</v>
      </c>
      <c r="H5" s="2" t="s">
        <v>6</v>
      </c>
      <c r="I5">
        <f>MAX(E:E)</f>
        <v>323.0102</v>
      </c>
    </row>
    <row r="6" spans="1:9" ht="33">
      <c r="A6" s="42">
        <v>46233.875</v>
      </c>
      <c r="B6" s="43" t="s">
        <v>27</v>
      </c>
      <c r="C6" s="44">
        <v>2</v>
      </c>
      <c r="D6" s="44">
        <v>300</v>
      </c>
      <c r="E6" s="44">
        <v>316.06979999999999</v>
      </c>
      <c r="F6" s="44">
        <v>473.68830000000003</v>
      </c>
      <c r="H6" s="2" t="s">
        <v>7</v>
      </c>
      <c r="I6">
        <f>MAX(F:F)</f>
        <v>760.96259999999995</v>
      </c>
    </row>
    <row r="7" spans="1:9">
      <c r="A7" s="42">
        <v>46233.916666666664</v>
      </c>
      <c r="B7" s="43" t="s">
        <v>27</v>
      </c>
      <c r="C7" s="44">
        <v>4</v>
      </c>
      <c r="D7" s="44">
        <v>300</v>
      </c>
      <c r="E7" s="44">
        <v>316.0421</v>
      </c>
      <c r="F7" s="44">
        <v>472.6191</v>
      </c>
    </row>
    <row r="8" spans="1:9">
      <c r="A8" s="42">
        <v>46233.958333333336</v>
      </c>
      <c r="B8" s="43" t="s">
        <v>27</v>
      </c>
      <c r="C8" s="44">
        <v>8.5</v>
      </c>
      <c r="D8" s="44">
        <v>300</v>
      </c>
      <c r="E8" s="44">
        <v>316.01459999999997</v>
      </c>
      <c r="F8" s="44">
        <v>471.5616</v>
      </c>
    </row>
    <row r="9" spans="1:9">
      <c r="A9" s="42">
        <v>46234</v>
      </c>
      <c r="B9" s="43" t="s">
        <v>27</v>
      </c>
      <c r="C9" s="44">
        <v>13</v>
      </c>
      <c r="D9" s="44">
        <v>300</v>
      </c>
      <c r="E9" s="44">
        <v>315.98700000000002</v>
      </c>
      <c r="F9" s="44">
        <v>470.52030000000002</v>
      </c>
    </row>
    <row r="10" spans="1:9">
      <c r="A10" s="42">
        <v>46234.041666666664</v>
      </c>
      <c r="B10" s="43" t="s">
        <v>27</v>
      </c>
      <c r="C10" s="44">
        <v>178</v>
      </c>
      <c r="D10" s="44">
        <v>300</v>
      </c>
      <c r="E10" s="44">
        <v>315.96710000000002</v>
      </c>
      <c r="F10" s="44">
        <v>469.78410000000002</v>
      </c>
    </row>
    <row r="11" spans="1:9">
      <c r="A11" s="42">
        <v>46234.083333333336</v>
      </c>
      <c r="B11" s="43" t="s">
        <v>27</v>
      </c>
      <c r="C11" s="44">
        <v>343</v>
      </c>
      <c r="D11" s="44">
        <v>343</v>
      </c>
      <c r="E11" s="44">
        <v>315.96120000000002</v>
      </c>
      <c r="F11" s="44">
        <v>469.56450000000001</v>
      </c>
    </row>
    <row r="12" spans="1:9">
      <c r="A12" s="42">
        <v>46234.125</v>
      </c>
      <c r="B12" s="43" t="s">
        <v>27</v>
      </c>
      <c r="C12" s="44">
        <v>3963.5</v>
      </c>
      <c r="D12" s="44">
        <v>1000</v>
      </c>
      <c r="E12" s="44">
        <v>316.10129999999998</v>
      </c>
      <c r="F12" s="44">
        <v>474.89879999999999</v>
      </c>
    </row>
    <row r="13" spans="1:9">
      <c r="A13" s="42">
        <v>46234.166666666664</v>
      </c>
      <c r="B13" s="43" t="s">
        <v>27</v>
      </c>
      <c r="C13" s="44">
        <v>7584</v>
      </c>
      <c r="D13" s="44">
        <v>1000</v>
      </c>
      <c r="E13" s="44">
        <v>316.54759999999999</v>
      </c>
      <c r="F13" s="44">
        <v>492.08429999999998</v>
      </c>
    </row>
    <row r="14" spans="1:9">
      <c r="A14" s="42">
        <v>46234.208333333336</v>
      </c>
      <c r="B14" s="43" t="s">
        <v>27</v>
      </c>
      <c r="C14" s="44">
        <v>8356.5</v>
      </c>
      <c r="D14" s="44">
        <v>1000</v>
      </c>
      <c r="E14" s="44">
        <v>317.19940000000003</v>
      </c>
      <c r="F14" s="44">
        <v>517.17719999999997</v>
      </c>
    </row>
    <row r="15" spans="1:9">
      <c r="A15" s="42">
        <v>46234.25</v>
      </c>
      <c r="B15" s="43" t="s">
        <v>27</v>
      </c>
      <c r="C15" s="44">
        <v>9129</v>
      </c>
      <c r="D15" s="44">
        <v>1000</v>
      </c>
      <c r="E15" s="44">
        <v>317.92340000000002</v>
      </c>
      <c r="F15" s="44">
        <v>545.05110000000002</v>
      </c>
    </row>
    <row r="16" spans="1:9">
      <c r="A16" s="42">
        <v>46234.291666666664</v>
      </c>
      <c r="B16" s="43" t="s">
        <v>27</v>
      </c>
      <c r="C16" s="44">
        <v>8307</v>
      </c>
      <c r="D16" s="44">
        <v>1000</v>
      </c>
      <c r="E16" s="44">
        <v>318.62090000000001</v>
      </c>
      <c r="F16" s="44">
        <v>572.83590000000004</v>
      </c>
    </row>
    <row r="17" spans="1:19">
      <c r="A17" s="42">
        <v>46234.333333333336</v>
      </c>
      <c r="B17" s="43" t="s">
        <v>27</v>
      </c>
      <c r="C17" s="44">
        <v>7485</v>
      </c>
      <c r="D17" s="44">
        <v>1000</v>
      </c>
      <c r="E17" s="44">
        <v>319.24149999999997</v>
      </c>
      <c r="F17" s="44">
        <v>597.66150000000005</v>
      </c>
    </row>
    <row r="18" spans="1:19">
      <c r="A18" s="42">
        <v>46234.375</v>
      </c>
      <c r="B18" s="43" t="s">
        <v>27</v>
      </c>
      <c r="C18" s="44">
        <v>5602</v>
      </c>
      <c r="D18" s="44">
        <v>1000</v>
      </c>
      <c r="E18" s="44">
        <v>319.74040000000002</v>
      </c>
      <c r="F18" s="44">
        <v>617.61810000000003</v>
      </c>
    </row>
    <row r="19" spans="1:19">
      <c r="A19" s="42">
        <v>46234.416666666664</v>
      </c>
      <c r="B19" s="43" t="s">
        <v>27</v>
      </c>
      <c r="C19" s="44">
        <v>3719</v>
      </c>
      <c r="D19" s="44">
        <v>1000</v>
      </c>
      <c r="E19" s="44">
        <v>320.0643</v>
      </c>
      <c r="F19" s="44">
        <v>630.79589999999996</v>
      </c>
    </row>
    <row r="20" spans="1:19" s="7" customFormat="1">
      <c r="A20" s="42">
        <v>46234.458333333336</v>
      </c>
      <c r="B20" s="43" t="s">
        <v>27</v>
      </c>
      <c r="C20" s="44">
        <v>2887</v>
      </c>
      <c r="D20" s="44">
        <v>1000</v>
      </c>
      <c r="E20" s="44">
        <v>320.25490000000002</v>
      </c>
      <c r="F20" s="44">
        <v>639.08669999999995</v>
      </c>
      <c r="P20"/>
      <c r="Q20"/>
      <c r="R20"/>
      <c r="S20"/>
    </row>
    <row r="21" spans="1:19">
      <c r="A21" s="42">
        <v>46234.5</v>
      </c>
      <c r="B21" s="43" t="s">
        <v>27</v>
      </c>
      <c r="C21" s="44">
        <v>2055</v>
      </c>
      <c r="D21" s="44">
        <v>1000</v>
      </c>
      <c r="E21" s="44">
        <v>320.3766</v>
      </c>
      <c r="F21" s="44">
        <v>644.38229999999999</v>
      </c>
    </row>
    <row r="22" spans="1:19">
      <c r="A22" s="42">
        <v>46234.541666666664</v>
      </c>
      <c r="B22" s="43" t="s">
        <v>27</v>
      </c>
      <c r="C22" s="44">
        <v>1665.5</v>
      </c>
      <c r="D22" s="44">
        <v>1000</v>
      </c>
      <c r="E22" s="44">
        <v>320.44779999999997</v>
      </c>
      <c r="F22" s="44">
        <v>647.47919999999999</v>
      </c>
    </row>
    <row r="23" spans="1:19">
      <c r="A23" s="42">
        <v>46234.583333333336</v>
      </c>
      <c r="B23" s="43" t="s">
        <v>27</v>
      </c>
      <c r="C23" s="44">
        <v>1276</v>
      </c>
      <c r="D23" s="44">
        <v>1000</v>
      </c>
      <c r="E23" s="44">
        <v>320.48680000000002</v>
      </c>
      <c r="F23" s="44">
        <v>649.1739</v>
      </c>
    </row>
    <row r="24" spans="1:19">
      <c r="A24" s="42">
        <v>46234.625</v>
      </c>
      <c r="B24" s="43" t="s">
        <v>27</v>
      </c>
      <c r="C24" s="44">
        <v>1055.5</v>
      </c>
      <c r="D24" s="44">
        <v>1000</v>
      </c>
      <c r="E24" s="44">
        <v>320.50049999999999</v>
      </c>
      <c r="F24" s="44">
        <v>649.77059999999994</v>
      </c>
    </row>
    <row r="25" spans="1:19">
      <c r="A25" s="42">
        <v>46234.666666666664</v>
      </c>
      <c r="B25" s="43" t="s">
        <v>27</v>
      </c>
      <c r="C25" s="44">
        <v>835</v>
      </c>
      <c r="D25" s="44">
        <v>1000</v>
      </c>
      <c r="E25" s="44">
        <v>320.49590000000001</v>
      </c>
      <c r="F25" s="44">
        <v>649.57349999999997</v>
      </c>
    </row>
    <row r="26" spans="1:19">
      <c r="A26" s="42">
        <v>46234.708333333336</v>
      </c>
      <c r="B26" s="43" t="s">
        <v>27</v>
      </c>
      <c r="C26" s="44">
        <v>820</v>
      </c>
      <c r="D26" s="44">
        <v>1000</v>
      </c>
      <c r="E26" s="44">
        <v>320.48169999999999</v>
      </c>
      <c r="F26" s="44">
        <v>648.95249999999999</v>
      </c>
    </row>
    <row r="27" spans="1:19">
      <c r="A27" s="42">
        <v>46234.75</v>
      </c>
      <c r="B27" s="43" t="s">
        <v>27</v>
      </c>
      <c r="C27" s="44">
        <v>805</v>
      </c>
      <c r="D27" s="44">
        <v>1000</v>
      </c>
      <c r="E27" s="44">
        <v>320.46620000000001</v>
      </c>
      <c r="F27" s="44">
        <v>648.27750000000003</v>
      </c>
    </row>
    <row r="28" spans="1:19">
      <c r="A28" s="42">
        <v>46234.791666666664</v>
      </c>
      <c r="B28" s="43" t="s">
        <v>27</v>
      </c>
      <c r="C28" s="44">
        <v>900</v>
      </c>
      <c r="D28" s="44">
        <v>1000</v>
      </c>
      <c r="E28" s="44">
        <v>320.45389999999998</v>
      </c>
      <c r="F28" s="44">
        <v>647.74649999999997</v>
      </c>
    </row>
    <row r="29" spans="1:19">
      <c r="A29" s="42">
        <v>46234.833333333336</v>
      </c>
      <c r="B29" s="43" t="s">
        <v>27</v>
      </c>
      <c r="C29" s="44">
        <v>995</v>
      </c>
      <c r="D29" s="44">
        <v>1000</v>
      </c>
      <c r="E29" s="44">
        <v>320.44959999999998</v>
      </c>
      <c r="F29" s="44">
        <v>647.5575</v>
      </c>
    </row>
    <row r="30" spans="1:19">
      <c r="A30" s="42">
        <v>46234.875</v>
      </c>
      <c r="B30" s="43" t="s">
        <v>27</v>
      </c>
      <c r="C30" s="44">
        <v>960.5</v>
      </c>
      <c r="D30" s="44">
        <v>77</v>
      </c>
      <c r="E30" s="44">
        <v>320.48599999999999</v>
      </c>
      <c r="F30" s="44">
        <v>649.13879999999995</v>
      </c>
    </row>
    <row r="31" spans="1:19">
      <c r="A31" s="42">
        <v>46234.916666666664</v>
      </c>
      <c r="B31" s="43" t="s">
        <v>27</v>
      </c>
      <c r="C31" s="44">
        <v>926</v>
      </c>
      <c r="D31" s="44">
        <v>77</v>
      </c>
      <c r="E31" s="44">
        <v>320.55759999999998</v>
      </c>
      <c r="F31" s="44">
        <v>652.25729999999999</v>
      </c>
    </row>
    <row r="32" spans="1:19">
      <c r="A32" s="42">
        <v>46234.958333333336</v>
      </c>
      <c r="B32" s="43" t="s">
        <v>27</v>
      </c>
      <c r="C32" s="44">
        <v>921.5</v>
      </c>
      <c r="D32" s="44">
        <v>77</v>
      </c>
      <c r="E32" s="44">
        <v>320.6277</v>
      </c>
      <c r="F32" s="44">
        <v>655.30560000000003</v>
      </c>
    </row>
    <row r="33" spans="1:6">
      <c r="A33" s="42">
        <v>46235</v>
      </c>
      <c r="B33" s="43" t="s">
        <v>27</v>
      </c>
      <c r="C33" s="44">
        <v>917</v>
      </c>
      <c r="D33" s="44">
        <v>77</v>
      </c>
      <c r="E33" s="44">
        <v>320.69740000000002</v>
      </c>
      <c r="F33" s="44">
        <v>658.33770000000004</v>
      </c>
    </row>
    <row r="34" spans="1:6">
      <c r="A34" s="42">
        <v>46235.041666666664</v>
      </c>
      <c r="B34" s="43" t="s">
        <v>27</v>
      </c>
      <c r="C34" s="44">
        <v>918.5</v>
      </c>
      <c r="D34" s="44">
        <v>77</v>
      </c>
      <c r="E34" s="44">
        <v>320.767</v>
      </c>
      <c r="F34" s="44">
        <v>661.36440000000005</v>
      </c>
    </row>
    <row r="35" spans="1:6">
      <c r="A35" s="42">
        <v>46235.083333333336</v>
      </c>
      <c r="B35" s="43" t="s">
        <v>27</v>
      </c>
      <c r="C35" s="44">
        <v>920</v>
      </c>
      <c r="D35" s="44">
        <v>77</v>
      </c>
      <c r="E35" s="44">
        <v>320.83670000000001</v>
      </c>
      <c r="F35" s="44">
        <v>664.39649999999995</v>
      </c>
    </row>
    <row r="36" spans="1:6">
      <c r="A36" s="42">
        <v>46235.125</v>
      </c>
      <c r="B36" s="43" t="s">
        <v>27</v>
      </c>
      <c r="C36" s="44">
        <v>905</v>
      </c>
      <c r="D36" s="44">
        <v>77</v>
      </c>
      <c r="E36" s="44">
        <v>320.90589999999997</v>
      </c>
      <c r="F36" s="44">
        <v>667.40430000000003</v>
      </c>
    </row>
    <row r="37" spans="1:6">
      <c r="A37" s="42">
        <v>46235.166666666664</v>
      </c>
      <c r="B37" s="43" t="s">
        <v>27</v>
      </c>
      <c r="C37" s="44">
        <v>890</v>
      </c>
      <c r="D37" s="44">
        <v>77</v>
      </c>
      <c r="E37" s="44">
        <v>320.97379999999998</v>
      </c>
      <c r="F37" s="44">
        <v>670.35810000000004</v>
      </c>
    </row>
    <row r="38" spans="1:6">
      <c r="A38" s="42">
        <v>46235.208333333336</v>
      </c>
      <c r="B38" s="43" t="s">
        <v>27</v>
      </c>
      <c r="C38" s="44">
        <v>1088.5</v>
      </c>
      <c r="D38" s="44">
        <v>77</v>
      </c>
      <c r="E38" s="44">
        <v>321.04930000000002</v>
      </c>
      <c r="F38" s="44">
        <v>673.6422</v>
      </c>
    </row>
    <row r="39" spans="1:6">
      <c r="A39" s="42">
        <v>46235.25</v>
      </c>
      <c r="B39" s="43" t="s">
        <v>27</v>
      </c>
      <c r="C39" s="44">
        <v>1287</v>
      </c>
      <c r="D39" s="44">
        <v>77</v>
      </c>
      <c r="E39" s="44">
        <v>321.14120000000003</v>
      </c>
      <c r="F39" s="44">
        <v>677.64089999999999</v>
      </c>
    </row>
    <row r="40" spans="1:6">
      <c r="A40" s="42">
        <v>46235.291666666664</v>
      </c>
      <c r="B40" s="43" t="s">
        <v>27</v>
      </c>
      <c r="C40" s="44">
        <v>1386</v>
      </c>
      <c r="D40" s="44">
        <v>77</v>
      </c>
      <c r="E40" s="44">
        <v>321.24540000000002</v>
      </c>
      <c r="F40" s="44">
        <v>682.17510000000004</v>
      </c>
    </row>
    <row r="41" spans="1:6">
      <c r="A41" s="42">
        <v>46235.333333333336</v>
      </c>
      <c r="B41" s="43" t="s">
        <v>27</v>
      </c>
      <c r="C41" s="44">
        <v>1485</v>
      </c>
      <c r="D41" s="44">
        <v>77</v>
      </c>
      <c r="E41" s="44">
        <v>321.3578</v>
      </c>
      <c r="F41" s="44">
        <v>687.06569999999999</v>
      </c>
    </row>
    <row r="42" spans="1:6">
      <c r="A42" s="42">
        <v>46235.375</v>
      </c>
      <c r="B42" s="43" t="s">
        <v>27</v>
      </c>
      <c r="C42" s="44">
        <v>1575</v>
      </c>
      <c r="D42" s="44">
        <v>77</v>
      </c>
      <c r="E42" s="44">
        <v>321.47809999999998</v>
      </c>
      <c r="F42" s="44">
        <v>692.29650000000004</v>
      </c>
    </row>
    <row r="43" spans="1:6">
      <c r="A43" s="42">
        <v>46235.416666666664</v>
      </c>
      <c r="B43" s="43" t="s">
        <v>27</v>
      </c>
      <c r="C43" s="44">
        <v>1665</v>
      </c>
      <c r="D43" s="44">
        <v>77</v>
      </c>
      <c r="E43" s="44">
        <v>321.60579999999999</v>
      </c>
      <c r="F43" s="44">
        <v>697.85130000000004</v>
      </c>
    </row>
    <row r="44" spans="1:6">
      <c r="A44" s="42">
        <v>46235.458333333336</v>
      </c>
      <c r="B44" s="43" t="s">
        <v>27</v>
      </c>
      <c r="C44" s="44">
        <v>1595.5</v>
      </c>
      <c r="D44" s="44">
        <v>77</v>
      </c>
      <c r="E44" s="44">
        <v>321.73430000000002</v>
      </c>
      <c r="F44" s="44">
        <v>703.44299999999998</v>
      </c>
    </row>
    <row r="45" spans="1:6">
      <c r="A45" s="42">
        <v>46235.5</v>
      </c>
      <c r="B45" s="43" t="s">
        <v>27</v>
      </c>
      <c r="C45" s="44">
        <v>1526</v>
      </c>
      <c r="D45" s="44">
        <v>77</v>
      </c>
      <c r="E45" s="44">
        <v>321.8571</v>
      </c>
      <c r="F45" s="44">
        <v>708.78449999999998</v>
      </c>
    </row>
    <row r="46" spans="1:6">
      <c r="A46" s="42">
        <v>46235.541666666664</v>
      </c>
      <c r="B46" s="43" t="s">
        <v>27</v>
      </c>
      <c r="C46" s="44">
        <v>1489</v>
      </c>
      <c r="D46" s="44">
        <v>77</v>
      </c>
      <c r="E46" s="44">
        <v>321.97550000000001</v>
      </c>
      <c r="F46" s="44">
        <v>713.93430000000001</v>
      </c>
    </row>
    <row r="47" spans="1:6">
      <c r="A47" s="42">
        <v>46235.583333333336</v>
      </c>
      <c r="B47" s="43" t="s">
        <v>27</v>
      </c>
      <c r="C47" s="44">
        <v>1452</v>
      </c>
      <c r="D47" s="44">
        <v>77</v>
      </c>
      <c r="E47" s="44">
        <v>322.08679999999998</v>
      </c>
      <c r="F47" s="44">
        <v>718.95090000000005</v>
      </c>
    </row>
    <row r="48" spans="1:6">
      <c r="A48" s="42">
        <v>46235.625</v>
      </c>
      <c r="B48" s="43" t="s">
        <v>27</v>
      </c>
      <c r="C48" s="44">
        <v>1645</v>
      </c>
      <c r="D48" s="44">
        <v>77</v>
      </c>
      <c r="E48" s="44">
        <v>322.20319999999998</v>
      </c>
      <c r="F48" s="44">
        <v>724.24829999999997</v>
      </c>
    </row>
    <row r="49" spans="1:6">
      <c r="A49" s="42">
        <v>46235.666666666664</v>
      </c>
      <c r="B49" s="43" t="s">
        <v>27</v>
      </c>
      <c r="C49" s="44">
        <v>1838</v>
      </c>
      <c r="D49" s="44">
        <v>77</v>
      </c>
      <c r="E49" s="44">
        <v>322.33499999999998</v>
      </c>
      <c r="F49" s="44">
        <v>730.2405</v>
      </c>
    </row>
    <row r="50" spans="1:6">
      <c r="A50" s="42">
        <v>46235.708333333336</v>
      </c>
      <c r="B50" s="43" t="s">
        <v>27</v>
      </c>
      <c r="C50" s="44">
        <v>2074</v>
      </c>
      <c r="D50" s="44">
        <v>77</v>
      </c>
      <c r="E50" s="44">
        <v>322.48360000000002</v>
      </c>
      <c r="F50" s="44">
        <v>737.00490000000002</v>
      </c>
    </row>
    <row r="51" spans="1:6">
      <c r="A51" s="42">
        <v>46235.75</v>
      </c>
      <c r="B51" s="43" t="s">
        <v>27</v>
      </c>
      <c r="C51" s="44">
        <v>2310</v>
      </c>
      <c r="D51" s="44">
        <v>77</v>
      </c>
      <c r="E51" s="44">
        <v>322.65100000000001</v>
      </c>
      <c r="F51" s="44">
        <v>744.61890000000005</v>
      </c>
    </row>
    <row r="52" spans="1:6">
      <c r="A52" s="42">
        <v>46235.791666666664</v>
      </c>
      <c r="B52" s="43" t="s">
        <v>27</v>
      </c>
      <c r="C52" s="44">
        <v>2395</v>
      </c>
      <c r="D52" s="44">
        <v>77</v>
      </c>
      <c r="E52" s="44">
        <v>322.83100000000002</v>
      </c>
      <c r="F52" s="44">
        <v>752.8107</v>
      </c>
    </row>
    <row r="53" spans="1:6">
      <c r="A53" s="42">
        <v>46235.833333333336</v>
      </c>
      <c r="B53" s="43" t="s">
        <v>27</v>
      </c>
      <c r="C53" s="44">
        <v>2480</v>
      </c>
      <c r="D53" s="44">
        <v>1503.075</v>
      </c>
      <c r="E53" s="44">
        <v>322.96140000000003</v>
      </c>
      <c r="F53" s="44">
        <v>758.74149999999997</v>
      </c>
    </row>
    <row r="54" spans="1:6">
      <c r="A54" s="42">
        <v>46235.875</v>
      </c>
      <c r="B54" s="43" t="s">
        <v>27</v>
      </c>
      <c r="C54" s="44">
        <v>2381.5</v>
      </c>
      <c r="D54" s="44">
        <v>2381.4949999999999</v>
      </c>
      <c r="E54" s="44">
        <v>323</v>
      </c>
      <c r="F54" s="44">
        <v>760.5</v>
      </c>
    </row>
    <row r="55" spans="1:6">
      <c r="A55" s="42">
        <v>46235.916666666664</v>
      </c>
      <c r="B55" s="43" t="s">
        <v>27</v>
      </c>
      <c r="C55" s="44">
        <v>2283</v>
      </c>
      <c r="D55" s="44">
        <v>2283</v>
      </c>
      <c r="E55" s="44">
        <v>323</v>
      </c>
      <c r="F55" s="44">
        <v>760.5</v>
      </c>
    </row>
    <row r="56" spans="1:6">
      <c r="A56" s="42">
        <v>46235.958333333336</v>
      </c>
      <c r="B56" s="43" t="s">
        <v>27</v>
      </c>
      <c r="C56" s="44">
        <v>2281</v>
      </c>
      <c r="D56" s="44">
        <v>2281</v>
      </c>
      <c r="E56" s="44">
        <v>323</v>
      </c>
      <c r="F56" s="44">
        <v>760.5</v>
      </c>
    </row>
    <row r="57" spans="1:6">
      <c r="A57" s="42">
        <v>46236</v>
      </c>
      <c r="B57" s="43" t="s">
        <v>27</v>
      </c>
      <c r="C57" s="44">
        <v>2279</v>
      </c>
      <c r="D57" s="44">
        <v>2279</v>
      </c>
      <c r="E57" s="44">
        <v>323</v>
      </c>
      <c r="F57" s="44">
        <v>760.5</v>
      </c>
    </row>
    <row r="58" spans="1:6">
      <c r="A58" s="42">
        <v>46236.041666666664</v>
      </c>
      <c r="B58" s="43" t="s">
        <v>27</v>
      </c>
      <c r="C58" s="44">
        <v>2611</v>
      </c>
      <c r="D58" s="44">
        <v>2611</v>
      </c>
      <c r="E58" s="44">
        <v>323</v>
      </c>
      <c r="F58" s="44">
        <v>760.5</v>
      </c>
    </row>
    <row r="59" spans="1:6">
      <c r="A59" s="42">
        <v>46236.083333333336</v>
      </c>
      <c r="B59" s="43" t="s">
        <v>27</v>
      </c>
      <c r="C59" s="44">
        <v>2943</v>
      </c>
      <c r="D59" s="44">
        <v>2943</v>
      </c>
      <c r="E59" s="44">
        <v>323</v>
      </c>
      <c r="F59" s="44">
        <v>760.5</v>
      </c>
    </row>
    <row r="60" spans="1:6">
      <c r="A60" s="42">
        <v>46236.125</v>
      </c>
      <c r="B60" s="43" t="s">
        <v>27</v>
      </c>
      <c r="C60" s="44">
        <v>3154</v>
      </c>
      <c r="D60" s="44">
        <v>3154</v>
      </c>
      <c r="E60" s="44">
        <v>323</v>
      </c>
      <c r="F60" s="44">
        <v>760.5</v>
      </c>
    </row>
    <row r="61" spans="1:6">
      <c r="A61" s="42">
        <v>46236.166666666664</v>
      </c>
      <c r="B61" s="43" t="s">
        <v>27</v>
      </c>
      <c r="C61" s="44">
        <v>3365</v>
      </c>
      <c r="D61" s="44">
        <v>3240.1039999999998</v>
      </c>
      <c r="E61" s="44">
        <v>323.00490000000002</v>
      </c>
      <c r="F61" s="44">
        <v>760.72479999999996</v>
      </c>
    </row>
    <row r="62" spans="1:6">
      <c r="A62" s="42">
        <v>46236.208333333336</v>
      </c>
      <c r="B62" s="43" t="s">
        <v>27</v>
      </c>
      <c r="C62" s="44">
        <v>3249</v>
      </c>
      <c r="D62" s="44">
        <v>3241.7979999999998</v>
      </c>
      <c r="E62" s="44">
        <v>323.0102</v>
      </c>
      <c r="F62" s="44">
        <v>760.96259999999995</v>
      </c>
    </row>
    <row r="63" spans="1:6">
      <c r="A63" s="42">
        <v>46236.25</v>
      </c>
      <c r="B63" s="43" t="s">
        <v>27</v>
      </c>
      <c r="C63" s="44">
        <v>3133</v>
      </c>
      <c r="D63" s="44">
        <v>3240.51</v>
      </c>
      <c r="E63" s="44">
        <v>323.00619999999998</v>
      </c>
      <c r="F63" s="44">
        <v>760.78200000000004</v>
      </c>
    </row>
    <row r="64" spans="1:6">
      <c r="A64" s="42">
        <v>46236.291666666664</v>
      </c>
      <c r="B64" s="43" t="s">
        <v>27</v>
      </c>
      <c r="C64" s="44">
        <v>2945.5</v>
      </c>
      <c r="D64" s="44">
        <v>2970.09</v>
      </c>
      <c r="E64" s="44">
        <v>323.00099999999998</v>
      </c>
      <c r="F64" s="44">
        <v>760.54430000000002</v>
      </c>
    </row>
    <row r="65" spans="1:6">
      <c r="A65" s="42">
        <v>46236.333333333336</v>
      </c>
      <c r="B65" s="43" t="s">
        <v>27</v>
      </c>
      <c r="C65" s="44">
        <v>2758</v>
      </c>
      <c r="D65" s="44">
        <v>2758</v>
      </c>
      <c r="E65" s="44">
        <v>323</v>
      </c>
      <c r="F65" s="44">
        <v>760.5</v>
      </c>
    </row>
    <row r="66" spans="1:6">
      <c r="A66" s="42">
        <v>46236.375</v>
      </c>
      <c r="B66" s="43" t="s">
        <v>27</v>
      </c>
      <c r="C66" s="44">
        <v>2578</v>
      </c>
      <c r="D66" s="44">
        <v>2578</v>
      </c>
      <c r="E66" s="44">
        <v>323</v>
      </c>
      <c r="F66" s="44">
        <v>760.5</v>
      </c>
    </row>
    <row r="67" spans="1:6">
      <c r="A67" s="42">
        <v>46236.416666666664</v>
      </c>
      <c r="B67" s="43" t="s">
        <v>27</v>
      </c>
      <c r="C67" s="44">
        <v>2398</v>
      </c>
      <c r="D67" s="44">
        <v>2398</v>
      </c>
      <c r="E67" s="44">
        <v>323</v>
      </c>
      <c r="F67" s="44">
        <v>760.5</v>
      </c>
    </row>
    <row r="68" spans="1:6">
      <c r="A68" s="42">
        <v>46236.458333333336</v>
      </c>
      <c r="B68" s="43" t="s">
        <v>27</v>
      </c>
      <c r="C68" s="44">
        <v>2178</v>
      </c>
      <c r="D68" s="44">
        <v>2178</v>
      </c>
      <c r="E68" s="44">
        <v>323</v>
      </c>
      <c r="F68" s="44">
        <v>760.5</v>
      </c>
    </row>
    <row r="69" spans="1:6">
      <c r="A69" s="42">
        <v>46236.5</v>
      </c>
      <c r="B69" s="43" t="s">
        <v>27</v>
      </c>
      <c r="C69" s="44">
        <v>1958</v>
      </c>
      <c r="D69" s="44">
        <v>1958</v>
      </c>
      <c r="E69" s="44">
        <v>323</v>
      </c>
      <c r="F69" s="44">
        <v>760.5</v>
      </c>
    </row>
    <row r="70" spans="1:6">
      <c r="A70" s="42">
        <v>46236.541666666664</v>
      </c>
      <c r="B70" s="43" t="s">
        <v>27</v>
      </c>
      <c r="C70" s="44">
        <v>1728.5</v>
      </c>
      <c r="D70" s="44">
        <v>1728.5</v>
      </c>
      <c r="E70" s="44">
        <v>323</v>
      </c>
      <c r="F70" s="44">
        <v>760.5</v>
      </c>
    </row>
    <row r="71" spans="1:6">
      <c r="A71" s="42">
        <v>46236.583333333336</v>
      </c>
      <c r="B71" s="43" t="s">
        <v>27</v>
      </c>
      <c r="C71" s="44">
        <v>1499</v>
      </c>
      <c r="D71" s="44">
        <v>1499</v>
      </c>
      <c r="E71" s="44">
        <v>323</v>
      </c>
      <c r="F71" s="44">
        <v>760.5</v>
      </c>
    </row>
    <row r="72" spans="1:6">
      <c r="A72" s="42">
        <v>46236.625</v>
      </c>
      <c r="B72" s="43" t="s">
        <v>27</v>
      </c>
      <c r="C72" s="44">
        <v>1318.5</v>
      </c>
      <c r="D72" s="44">
        <v>1318.5</v>
      </c>
      <c r="E72" s="44">
        <v>323</v>
      </c>
      <c r="F72" s="44">
        <v>760.5</v>
      </c>
    </row>
    <row r="73" spans="1:6">
      <c r="A73" s="42">
        <v>46236.666666666664</v>
      </c>
      <c r="B73" s="43" t="s">
        <v>27</v>
      </c>
      <c r="C73" s="44">
        <v>1138</v>
      </c>
      <c r="D73" s="44">
        <v>1138</v>
      </c>
      <c r="E73" s="44">
        <v>323</v>
      </c>
      <c r="F73" s="44">
        <v>760.5</v>
      </c>
    </row>
    <row r="74" spans="1:6">
      <c r="A74" s="42">
        <v>46236.708333333336</v>
      </c>
      <c r="B74" s="43" t="s">
        <v>27</v>
      </c>
      <c r="C74" s="44">
        <v>1039</v>
      </c>
      <c r="D74" s="44">
        <v>1039</v>
      </c>
      <c r="E74" s="44">
        <v>323</v>
      </c>
      <c r="F74" s="44">
        <v>760.5</v>
      </c>
    </row>
    <row r="75" spans="1:6">
      <c r="A75" s="42">
        <v>46236.75</v>
      </c>
      <c r="B75" s="43" t="s">
        <v>27</v>
      </c>
      <c r="C75" s="44">
        <v>940</v>
      </c>
      <c r="D75" s="44">
        <v>940</v>
      </c>
      <c r="E75" s="44">
        <v>323</v>
      </c>
      <c r="F75" s="44">
        <v>760.5</v>
      </c>
    </row>
    <row r="76" spans="1:6">
      <c r="A76" s="42">
        <v>46236.791666666664</v>
      </c>
      <c r="B76" s="43" t="s">
        <v>27</v>
      </c>
      <c r="C76" s="44">
        <v>909.5</v>
      </c>
      <c r="D76" s="44">
        <v>909.5</v>
      </c>
      <c r="E76" s="44">
        <v>323</v>
      </c>
      <c r="F76" s="44">
        <v>760.5</v>
      </c>
    </row>
    <row r="77" spans="1:6">
      <c r="A77" s="42">
        <v>46236.833333333336</v>
      </c>
      <c r="B77" s="43" t="s">
        <v>27</v>
      </c>
      <c r="C77" s="44">
        <v>879</v>
      </c>
      <c r="D77" s="44">
        <v>879</v>
      </c>
      <c r="E77" s="44">
        <v>323</v>
      </c>
      <c r="F77" s="44">
        <v>760.5</v>
      </c>
    </row>
    <row r="78" spans="1:6">
      <c r="A78" s="42">
        <v>46236.875</v>
      </c>
      <c r="B78" s="43" t="s">
        <v>27</v>
      </c>
      <c r="C78" s="44">
        <v>848</v>
      </c>
      <c r="D78" s="44">
        <v>848</v>
      </c>
      <c r="E78" s="44">
        <v>323</v>
      </c>
      <c r="F78" s="44">
        <v>760.5</v>
      </c>
    </row>
    <row r="79" spans="1:6">
      <c r="A79" s="42">
        <v>46236.916666666664</v>
      </c>
      <c r="B79" s="43" t="s">
        <v>27</v>
      </c>
      <c r="C79" s="44">
        <v>817</v>
      </c>
      <c r="D79" s="44">
        <v>817</v>
      </c>
      <c r="E79" s="44">
        <v>323</v>
      </c>
      <c r="F79" s="44">
        <v>760.5</v>
      </c>
    </row>
    <row r="80" spans="1:6">
      <c r="A80" s="42">
        <v>46236.958333333336</v>
      </c>
      <c r="B80" s="43" t="s">
        <v>27</v>
      </c>
      <c r="C80" s="44">
        <v>786.5</v>
      </c>
      <c r="D80" s="44">
        <v>786.5</v>
      </c>
      <c r="E80" s="44">
        <v>323</v>
      </c>
      <c r="F80" s="44">
        <v>760.5</v>
      </c>
    </row>
    <row r="81" spans="1:6">
      <c r="A81" s="42">
        <v>46237</v>
      </c>
      <c r="B81" s="43" t="s">
        <v>27</v>
      </c>
      <c r="C81" s="44">
        <v>756</v>
      </c>
      <c r="D81" s="44">
        <v>756</v>
      </c>
      <c r="E81" s="44">
        <v>323</v>
      </c>
      <c r="F81" s="44">
        <v>760.5</v>
      </c>
    </row>
    <row r="82" spans="1:6">
      <c r="A82" s="42">
        <v>46237.041666666664</v>
      </c>
      <c r="B82" s="43" t="s">
        <v>27</v>
      </c>
      <c r="C82" s="44">
        <v>712</v>
      </c>
      <c r="D82" s="44">
        <v>712</v>
      </c>
      <c r="E82" s="44">
        <v>323</v>
      </c>
      <c r="F82" s="44">
        <v>760.5</v>
      </c>
    </row>
    <row r="83" spans="1:6">
      <c r="A83" s="42">
        <v>46237.083333333336</v>
      </c>
      <c r="B83" s="43" t="s">
        <v>27</v>
      </c>
      <c r="C83" s="44">
        <v>668</v>
      </c>
      <c r="D83" s="44">
        <v>668</v>
      </c>
      <c r="E83" s="44">
        <v>323</v>
      </c>
      <c r="F83" s="44">
        <v>760.5</v>
      </c>
    </row>
    <row r="84" spans="1:6">
      <c r="A84" s="42">
        <v>46237.125</v>
      </c>
      <c r="B84" s="43" t="s">
        <v>27</v>
      </c>
      <c r="C84" s="44">
        <v>605.5</v>
      </c>
      <c r="D84" s="44">
        <v>605.5</v>
      </c>
      <c r="E84" s="44">
        <v>323</v>
      </c>
      <c r="F84" s="44">
        <v>760.5</v>
      </c>
    </row>
    <row r="85" spans="1:6">
      <c r="A85" s="42">
        <v>46237.166666666664</v>
      </c>
      <c r="B85" s="43" t="s">
        <v>27</v>
      </c>
      <c r="C85" s="44">
        <v>543</v>
      </c>
      <c r="D85" s="44">
        <v>543</v>
      </c>
      <c r="E85" s="44">
        <v>323</v>
      </c>
      <c r="F85" s="44">
        <v>760.5</v>
      </c>
    </row>
    <row r="86" spans="1:6">
      <c r="A86" s="42">
        <v>46237.208333333336</v>
      </c>
      <c r="B86" s="43" t="s">
        <v>27</v>
      </c>
      <c r="C86" s="44">
        <v>484.5</v>
      </c>
      <c r="D86" s="44">
        <v>484.5</v>
      </c>
      <c r="E86" s="44">
        <v>323</v>
      </c>
      <c r="F86" s="44">
        <v>760.5</v>
      </c>
    </row>
    <row r="87" spans="1:6">
      <c r="A87" s="42">
        <v>46237.25</v>
      </c>
      <c r="B87" s="43" t="s">
        <v>27</v>
      </c>
      <c r="C87" s="44">
        <v>426</v>
      </c>
      <c r="D87" s="44">
        <v>426</v>
      </c>
      <c r="E87" s="44">
        <v>323</v>
      </c>
      <c r="F87" s="44">
        <v>760.5</v>
      </c>
    </row>
    <row r="88" spans="1:6">
      <c r="A88" s="42">
        <v>46237.291666666664</v>
      </c>
      <c r="B88" s="43" t="s">
        <v>27</v>
      </c>
      <c r="C88" s="44">
        <v>377.5</v>
      </c>
      <c r="D88" s="44">
        <v>377.5</v>
      </c>
      <c r="E88" s="44">
        <v>323</v>
      </c>
      <c r="F88" s="44">
        <v>760.5</v>
      </c>
    </row>
    <row r="89" spans="1:6">
      <c r="A89" s="42">
        <v>46237.333333333336</v>
      </c>
      <c r="B89" s="43" t="s">
        <v>27</v>
      </c>
      <c r="C89" s="44">
        <v>329</v>
      </c>
      <c r="D89" s="44">
        <v>329</v>
      </c>
      <c r="E89" s="44">
        <v>323</v>
      </c>
      <c r="F89" s="44">
        <v>760.5</v>
      </c>
    </row>
    <row r="90" spans="1:6">
      <c r="A90" s="42">
        <v>46237.375</v>
      </c>
      <c r="B90" s="43" t="s">
        <v>27</v>
      </c>
      <c r="C90" s="44">
        <v>293.5</v>
      </c>
      <c r="D90" s="44">
        <v>293.5</v>
      </c>
      <c r="E90" s="44">
        <v>323</v>
      </c>
      <c r="F90" s="44">
        <v>760.5</v>
      </c>
    </row>
    <row r="91" spans="1:6">
      <c r="A91" s="42">
        <v>46237.416666666664</v>
      </c>
      <c r="B91" s="43" t="s">
        <v>27</v>
      </c>
      <c r="C91" s="44">
        <v>258</v>
      </c>
      <c r="D91" s="44">
        <v>258</v>
      </c>
      <c r="E91" s="44">
        <v>323</v>
      </c>
      <c r="F91" s="44">
        <v>760.5</v>
      </c>
    </row>
    <row r="92" spans="1:6">
      <c r="A92" s="42">
        <v>46237.458333333336</v>
      </c>
      <c r="B92" s="43" t="s">
        <v>27</v>
      </c>
      <c r="C92" s="44">
        <v>231.5</v>
      </c>
      <c r="D92" s="44">
        <v>231.5</v>
      </c>
      <c r="E92" s="44">
        <v>323</v>
      </c>
      <c r="F92" s="44">
        <v>760.5</v>
      </c>
    </row>
    <row r="93" spans="1:6">
      <c r="A93" s="42">
        <v>46237.5</v>
      </c>
      <c r="B93" s="43" t="s">
        <v>27</v>
      </c>
      <c r="C93" s="44">
        <v>205</v>
      </c>
      <c r="D93" s="44">
        <v>205</v>
      </c>
      <c r="E93" s="44">
        <v>323</v>
      </c>
      <c r="F93" s="44">
        <v>760.5</v>
      </c>
    </row>
    <row r="94" spans="1:6">
      <c r="A94" s="42">
        <v>46237.541666666664</v>
      </c>
      <c r="B94" s="43" t="s">
        <v>27</v>
      </c>
      <c r="C94" s="44">
        <v>186</v>
      </c>
      <c r="D94" s="44">
        <v>186</v>
      </c>
      <c r="E94" s="44">
        <v>323</v>
      </c>
      <c r="F94" s="44">
        <v>760.5</v>
      </c>
    </row>
    <row r="95" spans="1:6">
      <c r="A95" s="42">
        <v>46237.583333333336</v>
      </c>
      <c r="B95" s="43" t="s">
        <v>27</v>
      </c>
      <c r="C95" s="44">
        <v>167</v>
      </c>
      <c r="D95" s="44">
        <v>167</v>
      </c>
      <c r="E95" s="44">
        <v>323</v>
      </c>
      <c r="F95" s="44">
        <v>760.5</v>
      </c>
    </row>
    <row r="96" spans="1:6">
      <c r="A96" s="42">
        <v>46237.625</v>
      </c>
      <c r="B96" s="43" t="s">
        <v>27</v>
      </c>
      <c r="C96" s="44">
        <v>275</v>
      </c>
      <c r="D96" s="44">
        <v>275</v>
      </c>
      <c r="E96" s="44">
        <v>323</v>
      </c>
      <c r="F96" s="44">
        <v>760.5</v>
      </c>
    </row>
    <row r="97" spans="1:6">
      <c r="A97" s="42">
        <v>46237.666666666664</v>
      </c>
      <c r="B97" s="43" t="s">
        <v>27</v>
      </c>
      <c r="C97" s="44">
        <v>383</v>
      </c>
      <c r="D97" s="44">
        <v>383</v>
      </c>
      <c r="E97" s="44">
        <v>323</v>
      </c>
      <c r="F97" s="44">
        <v>760.5</v>
      </c>
    </row>
    <row r="98" spans="1:6">
      <c r="A98" s="42">
        <v>46237.708333333336</v>
      </c>
      <c r="B98" s="43" t="s">
        <v>27</v>
      </c>
      <c r="C98" s="44">
        <v>577</v>
      </c>
      <c r="D98" s="44">
        <v>577</v>
      </c>
      <c r="E98" s="44">
        <v>323</v>
      </c>
      <c r="F98" s="44">
        <v>760.5</v>
      </c>
    </row>
    <row r="99" spans="1:6">
      <c r="A99" s="42">
        <v>46237.75</v>
      </c>
      <c r="B99" s="43" t="s">
        <v>27</v>
      </c>
      <c r="C99" s="44">
        <v>771</v>
      </c>
      <c r="D99" s="44">
        <v>771</v>
      </c>
      <c r="E99" s="44">
        <v>323</v>
      </c>
      <c r="F99" s="44">
        <v>760.5</v>
      </c>
    </row>
    <row r="100" spans="1:6">
      <c r="A100" s="42">
        <v>46237.791666666664</v>
      </c>
      <c r="B100" s="43" t="s">
        <v>27</v>
      </c>
      <c r="C100" s="44">
        <v>787</v>
      </c>
      <c r="D100" s="44">
        <v>787</v>
      </c>
      <c r="E100" s="44">
        <v>323</v>
      </c>
      <c r="F100" s="44">
        <v>760.5</v>
      </c>
    </row>
    <row r="101" spans="1:6">
      <c r="A101" s="42">
        <v>46237.833333333336</v>
      </c>
      <c r="B101" s="43" t="s">
        <v>27</v>
      </c>
      <c r="C101" s="44">
        <v>803</v>
      </c>
      <c r="D101" s="44">
        <v>803</v>
      </c>
      <c r="E101" s="44">
        <v>323</v>
      </c>
      <c r="F101" s="44">
        <v>760.5</v>
      </c>
    </row>
    <row r="102" spans="1:6">
      <c r="A102" s="42">
        <v>46237.875</v>
      </c>
      <c r="B102" s="43" t="s">
        <v>27</v>
      </c>
      <c r="C102" s="44">
        <v>707.5</v>
      </c>
      <c r="D102" s="44">
        <v>707.5</v>
      </c>
      <c r="E102" s="44">
        <v>323</v>
      </c>
      <c r="F102" s="44">
        <v>760.5</v>
      </c>
    </row>
    <row r="103" spans="1:6">
      <c r="A103" s="42">
        <v>46237.916666666664</v>
      </c>
      <c r="B103" s="43" t="s">
        <v>27</v>
      </c>
      <c r="C103" s="44">
        <v>612</v>
      </c>
      <c r="D103" s="44">
        <v>612</v>
      </c>
      <c r="E103" s="44">
        <v>323</v>
      </c>
      <c r="F103" s="44">
        <v>760.5</v>
      </c>
    </row>
    <row r="104" spans="1:6">
      <c r="A104" s="42">
        <v>46237.958333333336</v>
      </c>
      <c r="B104" s="43" t="s">
        <v>27</v>
      </c>
      <c r="C104" s="44">
        <v>519.5</v>
      </c>
      <c r="D104" s="44">
        <v>519.5</v>
      </c>
      <c r="E104" s="44">
        <v>323</v>
      </c>
      <c r="F104" s="44">
        <v>760.5</v>
      </c>
    </row>
    <row r="105" spans="1:6">
      <c r="A105" s="42">
        <v>46238</v>
      </c>
      <c r="B105" s="43" t="s">
        <v>27</v>
      </c>
      <c r="C105" s="44">
        <v>427</v>
      </c>
      <c r="D105" s="44">
        <v>427</v>
      </c>
      <c r="E105" s="44">
        <v>323</v>
      </c>
      <c r="F105" s="44">
        <v>760.5</v>
      </c>
    </row>
    <row r="106" spans="1:6">
      <c r="A106" s="42">
        <v>46238.041666666664</v>
      </c>
      <c r="B106" s="43" t="s">
        <v>27</v>
      </c>
      <c r="C106" s="44">
        <v>363</v>
      </c>
      <c r="D106" s="44">
        <v>363</v>
      </c>
      <c r="E106" s="44">
        <v>323</v>
      </c>
      <c r="F106" s="44">
        <v>760.5</v>
      </c>
    </row>
    <row r="107" spans="1:6">
      <c r="A107" s="42">
        <v>46238.083333333336</v>
      </c>
      <c r="B107" s="43" t="s">
        <v>27</v>
      </c>
      <c r="C107" s="44">
        <v>299</v>
      </c>
      <c r="D107" s="44">
        <v>299</v>
      </c>
      <c r="E107" s="44">
        <v>323</v>
      </c>
      <c r="F107" s="44">
        <v>760.5</v>
      </c>
    </row>
    <row r="108" spans="1:6">
      <c r="A108" s="42">
        <v>46238.125</v>
      </c>
      <c r="B108" s="43" t="s">
        <v>27</v>
      </c>
      <c r="C108" s="44">
        <v>259.5</v>
      </c>
      <c r="D108" s="44">
        <v>259.5</v>
      </c>
      <c r="E108" s="44">
        <v>323</v>
      </c>
      <c r="F108" s="44">
        <v>760.5</v>
      </c>
    </row>
    <row r="109" spans="1:6">
      <c r="A109" s="42">
        <v>46238.166666666664</v>
      </c>
      <c r="B109" s="43" t="s">
        <v>27</v>
      </c>
      <c r="C109" s="44">
        <v>220</v>
      </c>
      <c r="D109" s="44">
        <v>220</v>
      </c>
      <c r="E109" s="44">
        <v>323</v>
      </c>
      <c r="F109" s="44">
        <v>760.5</v>
      </c>
    </row>
    <row r="110" spans="1:6">
      <c r="A110" s="42">
        <v>46238.208333333336</v>
      </c>
      <c r="B110" s="43" t="s">
        <v>27</v>
      </c>
      <c r="C110" s="44">
        <v>196.5</v>
      </c>
      <c r="D110" s="44">
        <v>435.82839999999999</v>
      </c>
      <c r="E110" s="44">
        <v>322.9905</v>
      </c>
      <c r="F110" s="44">
        <v>760.06920000000002</v>
      </c>
    </row>
    <row r="111" spans="1:6">
      <c r="A111" s="42">
        <v>46238.25</v>
      </c>
      <c r="B111" s="43" t="s">
        <v>27</v>
      </c>
      <c r="C111" s="44">
        <v>173</v>
      </c>
      <c r="D111" s="44">
        <v>500</v>
      </c>
      <c r="E111" s="44">
        <v>322.96809999999999</v>
      </c>
      <c r="F111" s="44">
        <v>759.0498</v>
      </c>
    </row>
    <row r="112" spans="1:6">
      <c r="A112" s="42">
        <v>46238.291666666664</v>
      </c>
      <c r="B112" s="43" t="s">
        <v>27</v>
      </c>
      <c r="C112" s="44">
        <v>158</v>
      </c>
      <c r="D112" s="44">
        <v>500</v>
      </c>
      <c r="E112" s="44">
        <v>322.94170000000003</v>
      </c>
      <c r="F112" s="44">
        <v>757.84559999999999</v>
      </c>
    </row>
    <row r="113" spans="1:6">
      <c r="A113" s="42">
        <v>46238.333333333336</v>
      </c>
      <c r="B113" s="43" t="s">
        <v>27</v>
      </c>
      <c r="C113" s="44">
        <v>143</v>
      </c>
      <c r="D113" s="44">
        <v>500</v>
      </c>
      <c r="E113" s="44">
        <v>322.91399999999999</v>
      </c>
      <c r="F113" s="44">
        <v>756.5874</v>
      </c>
    </row>
    <row r="114" spans="1:6">
      <c r="A114" s="42">
        <v>46238.375</v>
      </c>
      <c r="B114" s="43" t="s">
        <v>27</v>
      </c>
      <c r="C114" s="44">
        <v>132.5</v>
      </c>
      <c r="D114" s="44">
        <v>500</v>
      </c>
      <c r="E114" s="44">
        <v>322.88529999999997</v>
      </c>
      <c r="F114" s="44">
        <v>755.28330000000005</v>
      </c>
    </row>
    <row r="115" spans="1:6">
      <c r="A115" s="42">
        <v>46238.416666666664</v>
      </c>
      <c r="B115" s="43" t="s">
        <v>27</v>
      </c>
      <c r="C115" s="44">
        <v>122</v>
      </c>
      <c r="D115" s="44">
        <v>500</v>
      </c>
      <c r="E115" s="44">
        <v>322.85590000000002</v>
      </c>
      <c r="F115" s="44">
        <v>753.94140000000004</v>
      </c>
    </row>
    <row r="116" spans="1:6">
      <c r="A116" s="42">
        <v>46238.458333333336</v>
      </c>
      <c r="B116" s="43" t="s">
        <v>27</v>
      </c>
      <c r="C116" s="44">
        <v>114</v>
      </c>
      <c r="D116" s="44">
        <v>500</v>
      </c>
      <c r="E116" s="44">
        <v>322.82560000000001</v>
      </c>
      <c r="F116" s="44">
        <v>752.56619999999998</v>
      </c>
    </row>
    <row r="117" spans="1:6">
      <c r="A117" s="42">
        <v>46238.5</v>
      </c>
      <c r="B117" s="43" t="s">
        <v>27</v>
      </c>
      <c r="C117" s="44">
        <v>106</v>
      </c>
      <c r="D117" s="44">
        <v>500</v>
      </c>
      <c r="E117" s="44">
        <v>322.79480000000001</v>
      </c>
      <c r="F117" s="44">
        <v>751.16219999999998</v>
      </c>
    </row>
    <row r="118" spans="1:6">
      <c r="A118" s="42">
        <v>46238.541666666664</v>
      </c>
      <c r="B118" s="43" t="s">
        <v>27</v>
      </c>
      <c r="C118" s="44">
        <v>99</v>
      </c>
      <c r="D118" s="44">
        <v>500</v>
      </c>
      <c r="E118" s="44">
        <v>322.76330000000002</v>
      </c>
      <c r="F118" s="44">
        <v>749.73119999999994</v>
      </c>
    </row>
    <row r="119" spans="1:6">
      <c r="A119" s="42">
        <v>46238.583333333336</v>
      </c>
      <c r="B119" s="43" t="s">
        <v>27</v>
      </c>
      <c r="C119" s="44">
        <v>92</v>
      </c>
      <c r="D119" s="44">
        <v>500</v>
      </c>
      <c r="E119" s="44">
        <v>322.73129999999998</v>
      </c>
      <c r="F119" s="44">
        <v>748.27499999999998</v>
      </c>
    </row>
    <row r="120" spans="1:6">
      <c r="A120" s="42">
        <v>46238.625</v>
      </c>
      <c r="B120" s="43" t="s">
        <v>27</v>
      </c>
      <c r="C120" s="44">
        <v>86.5</v>
      </c>
      <c r="D120" s="44">
        <v>500</v>
      </c>
      <c r="E120" s="44">
        <v>322.69880000000001</v>
      </c>
      <c r="F120" s="44">
        <v>746.79629999999997</v>
      </c>
    </row>
    <row r="121" spans="1:6">
      <c r="A121" s="42">
        <v>46238.666666666664</v>
      </c>
      <c r="B121" s="43" t="s">
        <v>27</v>
      </c>
      <c r="C121" s="44">
        <v>81</v>
      </c>
      <c r="D121" s="44">
        <v>500</v>
      </c>
      <c r="E121" s="44">
        <v>322.66590000000002</v>
      </c>
      <c r="F121" s="44">
        <v>745.29790000000003</v>
      </c>
    </row>
    <row r="122" spans="1:6">
      <c r="A122" s="42">
        <v>46238.708333333336</v>
      </c>
      <c r="B122" s="43" t="s">
        <v>27</v>
      </c>
      <c r="C122" s="44">
        <v>76</v>
      </c>
      <c r="D122" s="44">
        <v>500</v>
      </c>
      <c r="E122" s="44">
        <v>322.63249999999999</v>
      </c>
      <c r="F122" s="44">
        <v>743.78049999999996</v>
      </c>
    </row>
    <row r="123" spans="1:6">
      <c r="A123" s="42">
        <v>46238.75</v>
      </c>
      <c r="B123" s="43" t="s">
        <v>27</v>
      </c>
      <c r="C123" s="44">
        <v>71</v>
      </c>
      <c r="D123" s="44">
        <v>500</v>
      </c>
      <c r="E123" s="44">
        <v>322.59879999999998</v>
      </c>
      <c r="F123" s="44">
        <v>742.24509999999998</v>
      </c>
    </row>
    <row r="124" spans="1:6">
      <c r="A124" s="42">
        <v>46238.791666666664</v>
      </c>
      <c r="B124" s="43" t="s">
        <v>27</v>
      </c>
      <c r="C124" s="44">
        <v>67</v>
      </c>
      <c r="D124" s="44">
        <v>500</v>
      </c>
      <c r="E124" s="44">
        <v>322.56470000000002</v>
      </c>
      <c r="F124" s="44">
        <v>740.69349999999997</v>
      </c>
    </row>
    <row r="125" spans="1:6">
      <c r="A125" s="42">
        <v>46238.833333333336</v>
      </c>
      <c r="B125" s="43" t="s">
        <v>27</v>
      </c>
      <c r="C125" s="44">
        <v>63</v>
      </c>
      <c r="D125" s="44">
        <v>500</v>
      </c>
      <c r="E125" s="44">
        <v>322.53030000000001</v>
      </c>
      <c r="F125" s="44">
        <v>739.12750000000005</v>
      </c>
    </row>
    <row r="126" spans="1:6">
      <c r="A126" s="42">
        <v>46238.875</v>
      </c>
      <c r="B126" s="43" t="s">
        <v>27</v>
      </c>
      <c r="C126" s="44">
        <v>59.5</v>
      </c>
      <c r="D126" s="44">
        <v>500</v>
      </c>
      <c r="E126" s="44">
        <v>322.49560000000002</v>
      </c>
      <c r="F126" s="44">
        <v>737.548</v>
      </c>
    </row>
    <row r="127" spans="1:6">
      <c r="A127" s="42">
        <v>46238.916666666664</v>
      </c>
      <c r="B127" s="43" t="s">
        <v>27</v>
      </c>
      <c r="C127" s="44">
        <v>56</v>
      </c>
      <c r="D127" s="44">
        <v>500</v>
      </c>
      <c r="E127" s="44">
        <v>322.4606</v>
      </c>
      <c r="F127" s="44">
        <v>735.95590000000004</v>
      </c>
    </row>
    <row r="128" spans="1:6">
      <c r="A128" s="42">
        <v>46238.958333333336</v>
      </c>
      <c r="B128" s="43" t="s">
        <v>27</v>
      </c>
      <c r="C128" s="44">
        <v>52.5</v>
      </c>
      <c r="D128" s="44">
        <v>500</v>
      </c>
      <c r="E128" s="44">
        <v>322.42529999999999</v>
      </c>
      <c r="F128" s="44">
        <v>734.35119999999995</v>
      </c>
    </row>
    <row r="129" spans="1:6">
      <c r="A129" s="42">
        <v>46239</v>
      </c>
      <c r="B129" s="43" t="s">
        <v>27</v>
      </c>
      <c r="C129" s="44">
        <v>49</v>
      </c>
      <c r="D129" s="44">
        <v>500</v>
      </c>
      <c r="E129" s="44">
        <v>322.38979999999998</v>
      </c>
      <c r="F129" s="44">
        <v>732.73389999999995</v>
      </c>
    </row>
    <row r="130" spans="1:6">
      <c r="A130" s="42">
        <v>46239.041666666664</v>
      </c>
      <c r="B130" s="43" t="s">
        <v>27</v>
      </c>
      <c r="C130" s="44">
        <v>46.5</v>
      </c>
      <c r="D130" s="44">
        <v>500</v>
      </c>
      <c r="E130" s="44">
        <v>322.35399999999998</v>
      </c>
      <c r="F130" s="44">
        <v>731.10580000000004</v>
      </c>
    </row>
    <row r="131" spans="1:6">
      <c r="A131" s="42">
        <v>46239.083333333336</v>
      </c>
      <c r="B131" s="43" t="s">
        <v>27</v>
      </c>
      <c r="C131" s="44">
        <v>44</v>
      </c>
      <c r="D131" s="44">
        <v>500</v>
      </c>
      <c r="E131" s="44">
        <v>322.31799999999998</v>
      </c>
      <c r="F131" s="44">
        <v>729.46870000000001</v>
      </c>
    </row>
    <row r="132" spans="1:6">
      <c r="A132" s="42">
        <v>46239.125</v>
      </c>
      <c r="B132" s="43" t="s">
        <v>27</v>
      </c>
      <c r="C132" s="44">
        <v>42</v>
      </c>
      <c r="D132" s="44">
        <v>500</v>
      </c>
      <c r="E132" s="44">
        <v>322.28179999999998</v>
      </c>
      <c r="F132" s="44">
        <v>727.82349999999997</v>
      </c>
    </row>
    <row r="133" spans="1:6">
      <c r="A133" s="42">
        <v>46239.166666666664</v>
      </c>
      <c r="B133" s="43" t="s">
        <v>27</v>
      </c>
      <c r="C133" s="44">
        <v>40</v>
      </c>
      <c r="D133" s="44">
        <v>500</v>
      </c>
      <c r="E133" s="44">
        <v>322.24549999999999</v>
      </c>
      <c r="F133" s="44">
        <v>726.17110000000002</v>
      </c>
    </row>
    <row r="134" spans="1:6">
      <c r="A134" s="42">
        <v>46239.208333333336</v>
      </c>
      <c r="B134" s="43" t="s">
        <v>27</v>
      </c>
      <c r="C134" s="44">
        <v>37.5</v>
      </c>
      <c r="D134" s="44">
        <v>500</v>
      </c>
      <c r="E134" s="44">
        <v>322.209</v>
      </c>
      <c r="F134" s="44">
        <v>724.51059999999995</v>
      </c>
    </row>
    <row r="135" spans="1:6">
      <c r="A135" s="42">
        <v>46239.25</v>
      </c>
      <c r="B135" s="43" t="s">
        <v>27</v>
      </c>
      <c r="C135" s="44">
        <v>35</v>
      </c>
      <c r="D135" s="44">
        <v>500</v>
      </c>
      <c r="E135" s="44">
        <v>322.17230000000001</v>
      </c>
      <c r="F135" s="44">
        <v>722.84109999999998</v>
      </c>
    </row>
    <row r="136" spans="1:6">
      <c r="A136" s="42">
        <v>46239.291666666664</v>
      </c>
      <c r="B136" s="43" t="s">
        <v>27</v>
      </c>
      <c r="C136" s="44">
        <v>33.5</v>
      </c>
      <c r="D136" s="44">
        <v>500</v>
      </c>
      <c r="E136" s="44">
        <v>322.13549999999998</v>
      </c>
      <c r="F136" s="44">
        <v>721.1644</v>
      </c>
    </row>
    <row r="137" spans="1:6">
      <c r="A137" s="42">
        <v>46239.333333333336</v>
      </c>
      <c r="B137" s="43" t="s">
        <v>27</v>
      </c>
      <c r="C137" s="44">
        <v>32</v>
      </c>
      <c r="D137" s="44">
        <v>500</v>
      </c>
      <c r="E137" s="44">
        <v>322.0985</v>
      </c>
      <c r="F137" s="44">
        <v>719.48220000000003</v>
      </c>
    </row>
    <row r="138" spans="1:6">
      <c r="A138" s="42">
        <v>46239.375</v>
      </c>
      <c r="B138" s="43" t="s">
        <v>27</v>
      </c>
      <c r="C138" s="44">
        <v>30.5</v>
      </c>
      <c r="D138" s="44">
        <v>500</v>
      </c>
      <c r="E138" s="44">
        <v>322.06139999999999</v>
      </c>
      <c r="F138" s="44">
        <v>717.79470000000003</v>
      </c>
    </row>
    <row r="139" spans="1:6">
      <c r="A139" s="42">
        <v>46239.416666666664</v>
      </c>
      <c r="B139" s="43" t="s">
        <v>27</v>
      </c>
      <c r="C139" s="44">
        <v>29</v>
      </c>
      <c r="D139" s="44">
        <v>500</v>
      </c>
      <c r="E139" s="44">
        <v>322.02420000000001</v>
      </c>
      <c r="F139" s="44">
        <v>716.1019</v>
      </c>
    </row>
    <row r="140" spans="1:6">
      <c r="A140" s="42">
        <v>46239.458333333336</v>
      </c>
      <c r="B140" s="43" t="s">
        <v>27</v>
      </c>
      <c r="C140" s="44">
        <v>27.5</v>
      </c>
      <c r="D140" s="44">
        <v>500</v>
      </c>
      <c r="E140" s="44">
        <v>321.98630000000003</v>
      </c>
      <c r="F140" s="44">
        <v>714.40359999999998</v>
      </c>
    </row>
    <row r="141" spans="1:6">
      <c r="A141" s="42">
        <v>46239.5</v>
      </c>
      <c r="B141" s="43" t="s">
        <v>27</v>
      </c>
      <c r="C141" s="44">
        <v>26</v>
      </c>
      <c r="D141" s="44">
        <v>500</v>
      </c>
      <c r="E141" s="44">
        <v>321.94709999999998</v>
      </c>
      <c r="F141" s="44">
        <v>712.69989999999996</v>
      </c>
    </row>
    <row r="142" spans="1:6">
      <c r="A142" s="42">
        <v>46239.541666666664</v>
      </c>
      <c r="B142" s="43" t="s">
        <v>27</v>
      </c>
      <c r="C142" s="44">
        <v>24.5</v>
      </c>
      <c r="D142" s="44">
        <v>500</v>
      </c>
      <c r="E142" s="44">
        <v>321.90780000000001</v>
      </c>
      <c r="F142" s="44">
        <v>710.99080000000004</v>
      </c>
    </row>
    <row r="143" spans="1:6">
      <c r="A143" s="42">
        <v>46239.583333333336</v>
      </c>
      <c r="B143" s="43" t="s">
        <v>27</v>
      </c>
      <c r="C143" s="44">
        <v>23</v>
      </c>
      <c r="D143" s="44">
        <v>500</v>
      </c>
      <c r="E143" s="44">
        <v>321.86840000000001</v>
      </c>
      <c r="F143" s="44">
        <v>709.27629999999999</v>
      </c>
    </row>
    <row r="144" spans="1:6">
      <c r="A144" s="42">
        <v>46239.625</v>
      </c>
      <c r="B144" s="43" t="s">
        <v>27</v>
      </c>
      <c r="C144" s="44">
        <v>21.5</v>
      </c>
      <c r="D144" s="44">
        <v>500</v>
      </c>
      <c r="E144" s="44">
        <v>321.82889999999998</v>
      </c>
      <c r="F144" s="44">
        <v>707.55640000000005</v>
      </c>
    </row>
    <row r="145" spans="1:6">
      <c r="A145" s="42">
        <v>46239.666666666664</v>
      </c>
      <c r="B145" s="43" t="s">
        <v>27</v>
      </c>
      <c r="C145" s="44">
        <v>20</v>
      </c>
      <c r="D145" s="44">
        <v>500</v>
      </c>
      <c r="E145" s="44">
        <v>321.78919999999999</v>
      </c>
      <c r="F145" s="44">
        <v>705.83109999999999</v>
      </c>
    </row>
    <row r="146" spans="1:6">
      <c r="A146" s="42">
        <v>46239.708333333336</v>
      </c>
      <c r="B146" s="43" t="s">
        <v>27</v>
      </c>
      <c r="C146" s="44">
        <v>19.5</v>
      </c>
      <c r="D146" s="44">
        <v>500</v>
      </c>
      <c r="E146" s="44">
        <v>321.74950000000001</v>
      </c>
      <c r="F146" s="44">
        <v>704.10220000000004</v>
      </c>
    </row>
    <row r="147" spans="1:6">
      <c r="A147" s="42">
        <v>46239.75</v>
      </c>
      <c r="B147" s="43" t="s">
        <v>27</v>
      </c>
      <c r="C147" s="44">
        <v>19</v>
      </c>
      <c r="D147" s="44">
        <v>500</v>
      </c>
      <c r="E147" s="44">
        <v>321.7097</v>
      </c>
      <c r="F147" s="44">
        <v>702.37149999999997</v>
      </c>
    </row>
    <row r="148" spans="1:6">
      <c r="A148" s="42">
        <v>46239.791666666664</v>
      </c>
      <c r="B148" s="43" t="s">
        <v>27</v>
      </c>
      <c r="C148" s="44">
        <v>17.5</v>
      </c>
      <c r="D148" s="44">
        <v>500</v>
      </c>
      <c r="E148" s="44">
        <v>321.66980000000001</v>
      </c>
      <c r="F148" s="44">
        <v>700.63720000000001</v>
      </c>
    </row>
    <row r="149" spans="1:6">
      <c r="A149" s="42">
        <v>46239.833333333336</v>
      </c>
      <c r="B149" s="43" t="s">
        <v>27</v>
      </c>
      <c r="C149" s="44">
        <v>16</v>
      </c>
      <c r="D149" s="44">
        <v>500</v>
      </c>
      <c r="E149" s="44">
        <v>321.62979999999999</v>
      </c>
      <c r="F149" s="44">
        <v>698.89750000000004</v>
      </c>
    </row>
    <row r="150" spans="1:6">
      <c r="A150" s="42">
        <v>46239.875</v>
      </c>
      <c r="B150" s="43" t="s">
        <v>27</v>
      </c>
      <c r="C150" s="44">
        <v>15</v>
      </c>
      <c r="D150" s="44">
        <v>500</v>
      </c>
      <c r="E150" s="44">
        <v>321.58969999999999</v>
      </c>
      <c r="F150" s="44">
        <v>697.15329999999994</v>
      </c>
    </row>
    <row r="151" spans="1:6">
      <c r="A151" s="42">
        <v>46239.916666666664</v>
      </c>
      <c r="B151" s="43" t="s">
        <v>27</v>
      </c>
      <c r="C151" s="44">
        <v>14</v>
      </c>
      <c r="D151" s="44">
        <v>500</v>
      </c>
      <c r="E151" s="44">
        <v>321.5496</v>
      </c>
      <c r="F151" s="44">
        <v>695.40549999999996</v>
      </c>
    </row>
    <row r="152" spans="1:6">
      <c r="A152" s="42">
        <v>46239.958333333336</v>
      </c>
      <c r="B152" s="43" t="s">
        <v>27</v>
      </c>
      <c r="C152" s="44">
        <v>13.5</v>
      </c>
      <c r="D152" s="44">
        <v>500</v>
      </c>
      <c r="E152" s="44">
        <v>321.5093</v>
      </c>
      <c r="F152" s="44">
        <v>693.65499999999997</v>
      </c>
    </row>
    <row r="153" spans="1:6">
      <c r="A153" s="42">
        <v>46240</v>
      </c>
      <c r="B153" s="43" t="s">
        <v>27</v>
      </c>
      <c r="C153" s="44">
        <v>13</v>
      </c>
      <c r="D153" s="44">
        <v>500</v>
      </c>
      <c r="E153" s="44">
        <v>321.46899999999999</v>
      </c>
      <c r="F153" s="44">
        <v>691.90269999999998</v>
      </c>
    </row>
    <row r="154" spans="1:6">
      <c r="A154" s="42">
        <v>46240.041666666664</v>
      </c>
      <c r="B154" s="43" t="s">
        <v>27</v>
      </c>
      <c r="C154" s="44">
        <v>12</v>
      </c>
      <c r="D154" s="44">
        <v>500</v>
      </c>
      <c r="E154" s="44">
        <v>321.42869999999999</v>
      </c>
      <c r="F154" s="44">
        <v>690.14769999999999</v>
      </c>
    </row>
    <row r="155" spans="1:6">
      <c r="A155" s="42">
        <v>46240.083333333336</v>
      </c>
      <c r="B155" s="43" t="s">
        <v>27</v>
      </c>
      <c r="C155" s="44">
        <v>11</v>
      </c>
      <c r="D155" s="44">
        <v>500</v>
      </c>
      <c r="E155" s="44">
        <v>321.38819999999998</v>
      </c>
      <c r="F155" s="44">
        <v>688.38909999999998</v>
      </c>
    </row>
    <row r="156" spans="1:6">
      <c r="A156" s="42">
        <v>46240.125</v>
      </c>
      <c r="B156" s="43" t="s">
        <v>27</v>
      </c>
      <c r="C156" s="44">
        <v>10.5</v>
      </c>
      <c r="D156" s="44">
        <v>500</v>
      </c>
      <c r="E156" s="44">
        <v>321.34780000000001</v>
      </c>
      <c r="F156" s="44">
        <v>686.62779999999998</v>
      </c>
    </row>
    <row r="157" spans="1:6">
      <c r="A157" s="42">
        <v>46240.166666666664</v>
      </c>
      <c r="B157" s="43" t="s">
        <v>27</v>
      </c>
      <c r="C157" s="44">
        <v>10</v>
      </c>
      <c r="D157" s="44">
        <v>500</v>
      </c>
      <c r="E157" s="44">
        <v>321.30720000000002</v>
      </c>
      <c r="F157" s="44">
        <v>684.86469999999997</v>
      </c>
    </row>
    <row r="158" spans="1:6">
      <c r="A158" s="42">
        <v>46240.208333333336</v>
      </c>
      <c r="B158" s="43" t="s">
        <v>27</v>
      </c>
      <c r="C158" s="44">
        <v>9.5</v>
      </c>
      <c r="D158" s="44">
        <v>500</v>
      </c>
      <c r="E158" s="44">
        <v>321.26670000000001</v>
      </c>
      <c r="F158" s="44">
        <v>683.09979999999996</v>
      </c>
    </row>
    <row r="159" spans="1:6">
      <c r="A159" s="42">
        <v>46240.25</v>
      </c>
      <c r="B159" s="43" t="s">
        <v>27</v>
      </c>
      <c r="C159" s="44">
        <v>9</v>
      </c>
      <c r="D159" s="44">
        <v>500</v>
      </c>
      <c r="E159" s="44">
        <v>321.226</v>
      </c>
      <c r="F159" s="44">
        <v>681.33309999999994</v>
      </c>
    </row>
    <row r="160" spans="1:6">
      <c r="A160" s="42">
        <v>46240.291666666664</v>
      </c>
      <c r="B160" s="43" t="s">
        <v>27</v>
      </c>
      <c r="C160" s="44">
        <v>8.5</v>
      </c>
      <c r="D160" s="44">
        <v>500</v>
      </c>
      <c r="E160" s="44">
        <v>321.18540000000002</v>
      </c>
      <c r="F160" s="44">
        <v>679.56460000000004</v>
      </c>
    </row>
    <row r="161" spans="1:6">
      <c r="A161" s="42">
        <v>46240.333333333336</v>
      </c>
      <c r="B161" s="43" t="s">
        <v>27</v>
      </c>
      <c r="C161" s="44">
        <v>8</v>
      </c>
      <c r="D161" s="44">
        <v>500</v>
      </c>
      <c r="E161" s="44">
        <v>321.1447</v>
      </c>
      <c r="F161" s="44">
        <v>677.79430000000002</v>
      </c>
    </row>
    <row r="162" spans="1:6">
      <c r="A162" s="42">
        <v>46240.375</v>
      </c>
      <c r="B162" s="43" t="s">
        <v>27</v>
      </c>
      <c r="C162" s="44">
        <v>7.5</v>
      </c>
      <c r="D162" s="44">
        <v>500</v>
      </c>
      <c r="E162" s="44">
        <v>321.10390000000001</v>
      </c>
      <c r="F162" s="44">
        <v>676.0222</v>
      </c>
    </row>
    <row r="163" spans="1:6">
      <c r="A163" s="42">
        <v>46240.416666666664</v>
      </c>
      <c r="B163" s="43" t="s">
        <v>27</v>
      </c>
      <c r="C163" s="44">
        <v>7</v>
      </c>
      <c r="D163" s="44">
        <v>500</v>
      </c>
      <c r="E163" s="44">
        <v>321.06319999999999</v>
      </c>
      <c r="F163" s="44">
        <v>674.2482</v>
      </c>
    </row>
    <row r="164" spans="1:6">
      <c r="A164" s="42">
        <v>46240.458333333336</v>
      </c>
      <c r="B164" s="43" t="s">
        <v>27</v>
      </c>
      <c r="C164" s="44">
        <v>6.5</v>
      </c>
      <c r="D164" s="44">
        <v>500</v>
      </c>
      <c r="E164" s="44">
        <v>321.0224</v>
      </c>
      <c r="F164" s="44">
        <v>672.47249999999997</v>
      </c>
    </row>
    <row r="165" spans="1:6">
      <c r="A165" s="42">
        <v>46240.5</v>
      </c>
      <c r="B165" s="43" t="s">
        <v>27</v>
      </c>
      <c r="C165" s="44">
        <v>6</v>
      </c>
      <c r="D165" s="44">
        <v>500</v>
      </c>
      <c r="E165" s="44">
        <v>320.98149999999998</v>
      </c>
      <c r="F165" s="44">
        <v>670.69500000000005</v>
      </c>
    </row>
    <row r="166" spans="1:6">
      <c r="A166" s="42">
        <v>46240.541666666664</v>
      </c>
      <c r="B166" s="43" t="s">
        <v>27</v>
      </c>
      <c r="C166" s="44">
        <v>5.5</v>
      </c>
      <c r="D166" s="44">
        <v>500</v>
      </c>
      <c r="E166" s="44">
        <v>320.94060000000002</v>
      </c>
      <c r="F166" s="44">
        <v>668.91570000000002</v>
      </c>
    </row>
    <row r="167" spans="1:6">
      <c r="A167" s="42">
        <v>46240.583333333336</v>
      </c>
      <c r="B167" s="43" t="s">
        <v>27</v>
      </c>
      <c r="C167" s="44">
        <v>5</v>
      </c>
      <c r="D167" s="44">
        <v>500</v>
      </c>
      <c r="E167" s="44">
        <v>320.8997</v>
      </c>
      <c r="F167" s="44">
        <v>667.13459999999998</v>
      </c>
    </row>
    <row r="168" spans="1:6">
      <c r="A168" s="42">
        <v>46240.625</v>
      </c>
      <c r="B168" s="43" t="s">
        <v>27</v>
      </c>
      <c r="C168" s="44">
        <v>5</v>
      </c>
      <c r="D168" s="44">
        <v>500</v>
      </c>
      <c r="E168" s="44">
        <v>320.8587</v>
      </c>
      <c r="F168" s="44">
        <v>665.35260000000005</v>
      </c>
    </row>
    <row r="169" spans="1:6">
      <c r="A169" s="42">
        <v>46240.666666666664</v>
      </c>
      <c r="B169" s="43" t="s">
        <v>27</v>
      </c>
      <c r="C169" s="44">
        <v>5</v>
      </c>
      <c r="D169" s="44">
        <v>500</v>
      </c>
      <c r="E169" s="44">
        <v>320.8177</v>
      </c>
      <c r="F169" s="44">
        <v>663.57060000000001</v>
      </c>
    </row>
    <row r="170" spans="1:6">
      <c r="A170" s="42">
        <v>46240.708333333336</v>
      </c>
      <c r="B170" s="43" t="s">
        <v>27</v>
      </c>
      <c r="C170" s="44">
        <v>4.5</v>
      </c>
      <c r="D170" s="44">
        <v>500</v>
      </c>
      <c r="E170" s="44">
        <v>320.77670000000001</v>
      </c>
      <c r="F170" s="44">
        <v>661.78769999999997</v>
      </c>
    </row>
    <row r="171" spans="1:6">
      <c r="A171" s="42">
        <v>46240.75</v>
      </c>
      <c r="B171" s="43" t="s">
        <v>27</v>
      </c>
      <c r="C171" s="44">
        <v>4</v>
      </c>
      <c r="D171" s="44">
        <v>500</v>
      </c>
      <c r="E171" s="44">
        <v>320.73570000000001</v>
      </c>
      <c r="F171" s="44">
        <v>660.00300000000004</v>
      </c>
    </row>
    <row r="172" spans="1:6">
      <c r="A172" s="42">
        <v>46240.791666666664</v>
      </c>
      <c r="B172" s="43" t="s">
        <v>27</v>
      </c>
      <c r="C172" s="44">
        <v>3.5</v>
      </c>
      <c r="D172" s="44">
        <v>500</v>
      </c>
      <c r="E172" s="44">
        <v>320.69459999999998</v>
      </c>
      <c r="F172" s="44">
        <v>658.2165</v>
      </c>
    </row>
    <row r="173" spans="1:6">
      <c r="A173" s="42">
        <v>46240.833333333336</v>
      </c>
      <c r="B173" s="43" t="s">
        <v>27</v>
      </c>
      <c r="C173" s="44">
        <v>3</v>
      </c>
      <c r="D173" s="44">
        <v>500</v>
      </c>
      <c r="E173" s="44">
        <v>320.65350000000001</v>
      </c>
      <c r="F173" s="44">
        <v>656.42819999999995</v>
      </c>
    </row>
    <row r="174" spans="1:6">
      <c r="A174" s="42">
        <v>46240.875</v>
      </c>
      <c r="B174" s="43" t="s">
        <v>27</v>
      </c>
      <c r="C174" s="44">
        <v>3</v>
      </c>
      <c r="D174" s="44">
        <v>500</v>
      </c>
      <c r="E174" s="44">
        <v>320.61239999999998</v>
      </c>
      <c r="F174" s="44">
        <v>654.63900000000001</v>
      </c>
    </row>
    <row r="175" spans="1:6">
      <c r="A175" s="42">
        <v>46240.916666666664</v>
      </c>
      <c r="B175" s="43" t="s">
        <v>27</v>
      </c>
      <c r="C175" s="44">
        <v>3</v>
      </c>
      <c r="D175" s="44">
        <v>500</v>
      </c>
      <c r="E175" s="44">
        <v>320.57130000000001</v>
      </c>
      <c r="F175" s="44">
        <v>652.84979999999996</v>
      </c>
    </row>
    <row r="176" spans="1:6">
      <c r="A176" s="42">
        <v>46240.958333333336</v>
      </c>
      <c r="B176" s="43" t="s">
        <v>27</v>
      </c>
      <c r="C176" s="44">
        <v>2.5</v>
      </c>
      <c r="D176" s="44">
        <v>500</v>
      </c>
      <c r="E176" s="44">
        <v>320.5301</v>
      </c>
      <c r="F176" s="44">
        <v>651.05970000000002</v>
      </c>
    </row>
    <row r="177" spans="1:6">
      <c r="A177" s="42">
        <v>46241</v>
      </c>
      <c r="B177" s="43" t="s">
        <v>27</v>
      </c>
      <c r="C177" s="44">
        <v>2</v>
      </c>
      <c r="D177" s="44">
        <v>500</v>
      </c>
      <c r="E177" s="44">
        <v>320.4889</v>
      </c>
      <c r="F177" s="44">
        <v>649.26779999999997</v>
      </c>
    </row>
    <row r="178" spans="1:6">
      <c r="A178" s="42">
        <v>46241.041666666664</v>
      </c>
      <c r="B178" s="43" t="s">
        <v>27</v>
      </c>
      <c r="C178" s="44">
        <v>2</v>
      </c>
      <c r="D178" s="44">
        <v>500</v>
      </c>
      <c r="E178" s="44">
        <v>320.4477</v>
      </c>
      <c r="F178" s="44">
        <v>647.47500000000002</v>
      </c>
    </row>
    <row r="179" spans="1:6">
      <c r="A179" s="42">
        <v>46241.083333333336</v>
      </c>
      <c r="B179" s="43" t="s">
        <v>27</v>
      </c>
      <c r="C179" s="44">
        <v>2</v>
      </c>
      <c r="D179" s="44">
        <v>500</v>
      </c>
      <c r="E179" s="44">
        <v>320.40649999999999</v>
      </c>
      <c r="F179" s="44">
        <v>645.68230000000005</v>
      </c>
    </row>
    <row r="180" spans="1:6">
      <c r="A180" s="42">
        <v>46241.125</v>
      </c>
      <c r="B180" s="43" t="s">
        <v>27</v>
      </c>
      <c r="C180" s="44">
        <v>1.5</v>
      </c>
      <c r="D180" s="44">
        <v>500</v>
      </c>
      <c r="E180" s="44">
        <v>320.36529999999999</v>
      </c>
      <c r="F180" s="44">
        <v>643.88850000000002</v>
      </c>
    </row>
    <row r="181" spans="1:6">
      <c r="A181" s="42">
        <v>46241.166666666664</v>
      </c>
      <c r="B181" s="43" t="s">
        <v>27</v>
      </c>
      <c r="C181" s="44">
        <v>1</v>
      </c>
      <c r="D181" s="44">
        <v>500</v>
      </c>
      <c r="E181" s="44">
        <v>320.32400000000001</v>
      </c>
      <c r="F181" s="44">
        <v>642.09310000000005</v>
      </c>
    </row>
    <row r="182" spans="1:6">
      <c r="A182" s="42">
        <v>46241.208333333336</v>
      </c>
      <c r="B182" s="43" t="s">
        <v>27</v>
      </c>
      <c r="C182" s="44">
        <v>1</v>
      </c>
      <c r="D182" s="44">
        <v>500</v>
      </c>
      <c r="E182" s="44">
        <v>320.28269999999998</v>
      </c>
      <c r="F182" s="44">
        <v>640.29669999999999</v>
      </c>
    </row>
    <row r="183" spans="1:6">
      <c r="A183" s="42">
        <v>46241.25</v>
      </c>
      <c r="B183" s="43" t="s">
        <v>27</v>
      </c>
      <c r="C183" s="44">
        <v>1</v>
      </c>
      <c r="D183" s="44">
        <v>500</v>
      </c>
      <c r="E183" s="44">
        <v>320.2414</v>
      </c>
      <c r="F183" s="44">
        <v>638.50030000000004</v>
      </c>
    </row>
    <row r="184" spans="1:6">
      <c r="A184" s="42">
        <v>46241.291666666664</v>
      </c>
      <c r="B184" s="43" t="s">
        <v>27</v>
      </c>
      <c r="C184" s="44">
        <v>1</v>
      </c>
      <c r="D184" s="44">
        <v>500</v>
      </c>
      <c r="E184" s="44">
        <v>320.20010000000002</v>
      </c>
      <c r="F184" s="44">
        <v>636.70389999999998</v>
      </c>
    </row>
    <row r="185" spans="1:6">
      <c r="A185" s="42">
        <v>46241.333333333336</v>
      </c>
      <c r="B185" s="43" t="s">
        <v>27</v>
      </c>
      <c r="C185" s="44">
        <v>1</v>
      </c>
      <c r="D185" s="44">
        <v>500</v>
      </c>
      <c r="E185" s="44">
        <v>320.15879999999999</v>
      </c>
      <c r="F185" s="44">
        <v>634.90750000000003</v>
      </c>
    </row>
    <row r="186" spans="1:6">
      <c r="A186" s="42">
        <v>46241.375</v>
      </c>
      <c r="B186" s="43" t="s">
        <v>27</v>
      </c>
      <c r="C186" s="44">
        <v>0.5</v>
      </c>
      <c r="D186" s="44">
        <v>500</v>
      </c>
      <c r="E186" s="44">
        <v>320.11750000000001</v>
      </c>
      <c r="F186" s="44">
        <v>633.11019999999996</v>
      </c>
    </row>
    <row r="187" spans="1:6">
      <c r="A187" s="42">
        <v>46241.416666666664</v>
      </c>
      <c r="B187" s="43" t="s">
        <v>27</v>
      </c>
      <c r="C187" s="47">
        <v>8.3799999999999996E-9</v>
      </c>
      <c r="D187" s="44">
        <v>500</v>
      </c>
      <c r="E187" s="44">
        <v>320.0761</v>
      </c>
      <c r="F187" s="44">
        <v>631.31119999999999</v>
      </c>
    </row>
    <row r="188" spans="1:6">
      <c r="A188" s="42">
        <v>46241.458333333336</v>
      </c>
      <c r="B188" s="43" t="s">
        <v>27</v>
      </c>
      <c r="C188" s="44">
        <v>0</v>
      </c>
      <c r="D188" s="44">
        <v>500</v>
      </c>
      <c r="E188" s="44">
        <v>320.03469999999999</v>
      </c>
      <c r="F188" s="44">
        <v>629.51120000000003</v>
      </c>
    </row>
    <row r="189" spans="1:6">
      <c r="A189" s="42">
        <v>46241.5</v>
      </c>
      <c r="B189" s="43" t="s">
        <v>27</v>
      </c>
      <c r="C189" s="44">
        <v>0</v>
      </c>
      <c r="D189" s="44">
        <v>500</v>
      </c>
      <c r="E189" s="44">
        <v>319.99279999999999</v>
      </c>
      <c r="F189" s="44">
        <v>627.71119999999996</v>
      </c>
    </row>
    <row r="190" spans="1:6">
      <c r="A190" s="42">
        <v>46241.541666666664</v>
      </c>
      <c r="B190" s="43" t="s">
        <v>27</v>
      </c>
      <c r="C190" s="44">
        <v>0</v>
      </c>
      <c r="D190" s="44">
        <v>500</v>
      </c>
      <c r="E190" s="44">
        <v>319.94779999999997</v>
      </c>
      <c r="F190" s="44">
        <v>625.91120000000001</v>
      </c>
    </row>
    <row r="191" spans="1:6">
      <c r="A191" s="42">
        <v>46241.583333333336</v>
      </c>
      <c r="B191" s="43" t="s">
        <v>27</v>
      </c>
      <c r="C191" s="44">
        <v>0</v>
      </c>
      <c r="D191" s="44">
        <v>500</v>
      </c>
      <c r="E191" s="44">
        <v>319.90280000000001</v>
      </c>
      <c r="F191" s="44">
        <v>624.11120000000005</v>
      </c>
    </row>
    <row r="192" spans="1:6">
      <c r="A192" s="42">
        <v>46241.625</v>
      </c>
      <c r="B192" s="43" t="s">
        <v>27</v>
      </c>
      <c r="C192" s="44">
        <v>0</v>
      </c>
      <c r="D192" s="44">
        <v>500</v>
      </c>
      <c r="E192" s="44">
        <v>319.8578</v>
      </c>
      <c r="F192" s="44">
        <v>622.31119999999999</v>
      </c>
    </row>
    <row r="193" spans="1:6">
      <c r="A193" s="42">
        <v>46241.666666666664</v>
      </c>
      <c r="B193" s="43" t="s">
        <v>27</v>
      </c>
      <c r="C193" s="44">
        <v>0</v>
      </c>
      <c r="D193" s="44">
        <v>500</v>
      </c>
      <c r="E193" s="44">
        <v>319.81279999999998</v>
      </c>
      <c r="F193" s="44">
        <v>620.51120000000003</v>
      </c>
    </row>
    <row r="194" spans="1:6">
      <c r="A194" s="42">
        <v>46241.708333333336</v>
      </c>
      <c r="B194" s="43" t="s">
        <v>27</v>
      </c>
      <c r="C194" s="44">
        <v>0</v>
      </c>
      <c r="D194" s="44">
        <v>500</v>
      </c>
      <c r="E194" s="44">
        <v>319.76780000000002</v>
      </c>
      <c r="F194" s="44">
        <v>618.71119999999996</v>
      </c>
    </row>
    <row r="195" spans="1:6">
      <c r="A195" s="42">
        <v>46241.75</v>
      </c>
      <c r="B195" s="43" t="s">
        <v>27</v>
      </c>
      <c r="C195" s="44">
        <v>0</v>
      </c>
      <c r="D195" s="44">
        <v>500</v>
      </c>
      <c r="E195" s="44">
        <v>319.72280000000001</v>
      </c>
      <c r="F195" s="44">
        <v>616.91129999999998</v>
      </c>
    </row>
    <row r="196" spans="1:6">
      <c r="A196" s="42">
        <v>46241.791666666664</v>
      </c>
      <c r="B196" s="43" t="s">
        <v>27</v>
      </c>
      <c r="C196" s="44">
        <v>0</v>
      </c>
      <c r="D196" s="44">
        <v>500</v>
      </c>
      <c r="E196" s="44">
        <v>319.67779999999999</v>
      </c>
      <c r="F196" s="44">
        <v>615.11130000000003</v>
      </c>
    </row>
    <row r="197" spans="1:6">
      <c r="A197" s="42">
        <v>46241.833333333336</v>
      </c>
      <c r="B197" s="43" t="s">
        <v>27</v>
      </c>
      <c r="C197" s="44">
        <v>0</v>
      </c>
      <c r="D197" s="44">
        <v>500</v>
      </c>
      <c r="E197" s="44">
        <v>319.63279999999997</v>
      </c>
      <c r="F197" s="44">
        <v>613.31129999999996</v>
      </c>
    </row>
    <row r="198" spans="1:6">
      <c r="A198" s="42">
        <v>46241.875</v>
      </c>
      <c r="B198" s="43" t="s">
        <v>27</v>
      </c>
      <c r="C198" s="44">
        <v>0</v>
      </c>
      <c r="D198" s="44">
        <v>500</v>
      </c>
      <c r="E198" s="44">
        <v>319.58780000000002</v>
      </c>
      <c r="F198" s="44">
        <v>611.51130000000001</v>
      </c>
    </row>
    <row r="199" spans="1:6">
      <c r="A199" s="42">
        <v>46241.916666666664</v>
      </c>
      <c r="B199" s="43" t="s">
        <v>27</v>
      </c>
      <c r="C199" s="44">
        <v>0</v>
      </c>
      <c r="D199" s="44">
        <v>500</v>
      </c>
      <c r="E199" s="44">
        <v>319.5428</v>
      </c>
      <c r="F199" s="44">
        <v>609.71130000000005</v>
      </c>
    </row>
    <row r="200" spans="1:6">
      <c r="A200" s="42">
        <v>46241.958333333336</v>
      </c>
      <c r="B200" s="43" t="s">
        <v>27</v>
      </c>
      <c r="C200" s="44">
        <v>0</v>
      </c>
      <c r="D200" s="44">
        <v>500</v>
      </c>
      <c r="E200" s="44">
        <v>319.49779999999998</v>
      </c>
      <c r="F200" s="44">
        <v>607.91129999999998</v>
      </c>
    </row>
    <row r="201" spans="1:6">
      <c r="A201" s="42">
        <v>46242</v>
      </c>
      <c r="B201" s="43" t="s">
        <v>27</v>
      </c>
      <c r="C201" s="44">
        <v>0</v>
      </c>
      <c r="D201" s="44">
        <v>500</v>
      </c>
      <c r="E201" s="44">
        <v>319.45280000000002</v>
      </c>
      <c r="F201" s="44">
        <v>606.11130000000003</v>
      </c>
    </row>
    <row r="202" spans="1:6">
      <c r="A202" s="42">
        <v>46242.041666666664</v>
      </c>
      <c r="B202" s="43" t="s">
        <v>27</v>
      </c>
      <c r="C202" s="44">
        <v>0</v>
      </c>
      <c r="D202" s="44">
        <v>500</v>
      </c>
      <c r="E202" s="44">
        <v>319.40780000000001</v>
      </c>
      <c r="F202" s="44">
        <v>604.31129999999996</v>
      </c>
    </row>
    <row r="203" spans="1:6">
      <c r="A203" s="42">
        <v>46242.083333333336</v>
      </c>
      <c r="B203" s="43" t="s">
        <v>27</v>
      </c>
      <c r="C203" s="44">
        <v>0</v>
      </c>
      <c r="D203" s="44">
        <v>500</v>
      </c>
      <c r="E203" s="44">
        <v>319.36279999999999</v>
      </c>
      <c r="F203" s="44">
        <v>602.51139999999998</v>
      </c>
    </row>
    <row r="204" spans="1:6">
      <c r="A204" s="42">
        <v>46242.125</v>
      </c>
      <c r="B204" s="43" t="s">
        <v>27</v>
      </c>
      <c r="C204" s="44">
        <v>0</v>
      </c>
      <c r="D204" s="44">
        <v>500</v>
      </c>
      <c r="E204" s="44">
        <v>319.31779999999998</v>
      </c>
      <c r="F204" s="44">
        <v>600.71140000000003</v>
      </c>
    </row>
    <row r="205" spans="1:6">
      <c r="A205" s="42">
        <v>46242.166666666664</v>
      </c>
      <c r="B205" s="43" t="s">
        <v>27</v>
      </c>
      <c r="C205" s="44">
        <v>0</v>
      </c>
      <c r="D205" s="44">
        <v>500</v>
      </c>
      <c r="E205" s="44">
        <v>319.27280000000002</v>
      </c>
      <c r="F205" s="44">
        <v>598.91139999999996</v>
      </c>
    </row>
    <row r="206" spans="1:6">
      <c r="A206" s="42">
        <v>46242.208333333336</v>
      </c>
      <c r="B206" s="43" t="s">
        <v>27</v>
      </c>
      <c r="C206" s="44">
        <v>0</v>
      </c>
      <c r="D206" s="44">
        <v>500</v>
      </c>
      <c r="E206" s="44">
        <v>319.2278</v>
      </c>
      <c r="F206" s="44">
        <v>597.1114</v>
      </c>
    </row>
    <row r="207" spans="1:6">
      <c r="A207" s="42">
        <v>46242.25</v>
      </c>
      <c r="B207" s="43" t="s">
        <v>27</v>
      </c>
      <c r="C207" s="44">
        <v>0</v>
      </c>
      <c r="D207" s="44">
        <v>500</v>
      </c>
      <c r="E207" s="44">
        <v>319.18279999999999</v>
      </c>
      <c r="F207" s="44">
        <v>595.31140000000005</v>
      </c>
    </row>
    <row r="208" spans="1:6">
      <c r="A208" s="42">
        <v>46242.291666666664</v>
      </c>
      <c r="B208" s="43" t="s">
        <v>27</v>
      </c>
      <c r="C208" s="44">
        <v>0</v>
      </c>
      <c r="D208" s="44">
        <v>500</v>
      </c>
      <c r="E208" s="44">
        <v>319.13780000000003</v>
      </c>
      <c r="F208" s="44">
        <v>593.51139999999998</v>
      </c>
    </row>
    <row r="209" spans="1:6">
      <c r="A209" s="42">
        <v>46242.333333333336</v>
      </c>
      <c r="B209" s="43" t="s">
        <v>27</v>
      </c>
      <c r="C209" s="44">
        <v>0</v>
      </c>
      <c r="D209" s="44">
        <v>500</v>
      </c>
      <c r="E209" s="44">
        <v>319.09280000000001</v>
      </c>
      <c r="F209" s="44">
        <v>591.71140000000003</v>
      </c>
    </row>
    <row r="210" spans="1:6">
      <c r="A210" s="42">
        <v>46242.375</v>
      </c>
      <c r="B210" s="43" t="s">
        <v>27</v>
      </c>
      <c r="C210" s="44">
        <v>0</v>
      </c>
      <c r="D210" s="44">
        <v>500</v>
      </c>
      <c r="E210" s="44">
        <v>319.0478</v>
      </c>
      <c r="F210" s="44">
        <v>589.91139999999996</v>
      </c>
    </row>
    <row r="211" spans="1:6">
      <c r="A211" s="42">
        <v>46242.416666666664</v>
      </c>
      <c r="B211" s="43" t="s">
        <v>27</v>
      </c>
      <c r="C211" s="44">
        <v>0</v>
      </c>
      <c r="D211" s="44">
        <v>500</v>
      </c>
      <c r="E211" s="44">
        <v>319.00279999999998</v>
      </c>
      <c r="F211" s="44">
        <v>588.11149999999998</v>
      </c>
    </row>
    <row r="212" spans="1:6">
      <c r="A212" s="42">
        <v>46242.458333333336</v>
      </c>
      <c r="B212" s="43" t="s">
        <v>27</v>
      </c>
      <c r="C212" s="44">
        <v>0</v>
      </c>
      <c r="D212" s="44">
        <v>500</v>
      </c>
      <c r="E212" s="44">
        <v>318.95780000000002</v>
      </c>
      <c r="F212" s="44">
        <v>586.31150000000002</v>
      </c>
    </row>
    <row r="213" spans="1:6">
      <c r="A213" s="42">
        <v>46242.5</v>
      </c>
      <c r="B213" s="43" t="s">
        <v>27</v>
      </c>
      <c r="C213" s="44">
        <v>0</v>
      </c>
      <c r="D213" s="44">
        <v>500</v>
      </c>
      <c r="E213" s="44">
        <v>318.9128</v>
      </c>
      <c r="F213" s="44">
        <v>584.51149999999996</v>
      </c>
    </row>
    <row r="214" spans="1:6">
      <c r="A214" s="42">
        <v>46242.541666666664</v>
      </c>
      <c r="B214" s="43" t="s">
        <v>27</v>
      </c>
      <c r="C214" s="44">
        <v>0</v>
      </c>
      <c r="D214" s="44">
        <v>500</v>
      </c>
      <c r="E214" s="44">
        <v>318.86779999999999</v>
      </c>
      <c r="F214" s="44">
        <v>582.7115</v>
      </c>
    </row>
    <row r="215" spans="1:6">
      <c r="A215" s="42">
        <v>46242.583333333336</v>
      </c>
      <c r="B215" s="43" t="s">
        <v>27</v>
      </c>
      <c r="C215" s="44">
        <v>0</v>
      </c>
      <c r="D215" s="44">
        <v>500</v>
      </c>
      <c r="E215" s="44">
        <v>318.82279999999997</v>
      </c>
      <c r="F215" s="44">
        <v>580.91150000000005</v>
      </c>
    </row>
    <row r="216" spans="1:6">
      <c r="A216" s="42">
        <v>46242.625</v>
      </c>
      <c r="B216" s="43" t="s">
        <v>27</v>
      </c>
      <c r="C216" s="44">
        <v>0</v>
      </c>
      <c r="D216" s="44">
        <v>500</v>
      </c>
      <c r="E216" s="44">
        <v>318.77780000000001</v>
      </c>
      <c r="F216" s="44">
        <v>579.11149999999998</v>
      </c>
    </row>
    <row r="217" spans="1:6">
      <c r="A217" s="42">
        <v>46242.666666666664</v>
      </c>
      <c r="B217" s="43" t="s">
        <v>27</v>
      </c>
      <c r="C217" s="44">
        <v>0</v>
      </c>
      <c r="D217" s="44">
        <v>500</v>
      </c>
      <c r="E217" s="44">
        <v>318.7328</v>
      </c>
      <c r="F217" s="44">
        <v>577.31150000000002</v>
      </c>
    </row>
    <row r="218" spans="1:6">
      <c r="A218" s="42">
        <v>46242.708333333336</v>
      </c>
      <c r="B218" s="43" t="s">
        <v>27</v>
      </c>
      <c r="C218" s="44">
        <v>0</v>
      </c>
      <c r="D218" s="44">
        <v>500</v>
      </c>
      <c r="E218" s="44">
        <v>318.68779999999998</v>
      </c>
      <c r="F218" s="44">
        <v>575.51149999999996</v>
      </c>
    </row>
    <row r="219" spans="1:6">
      <c r="A219" s="42">
        <v>46242.75</v>
      </c>
      <c r="B219" s="43" t="s">
        <v>27</v>
      </c>
      <c r="C219" s="44">
        <v>0</v>
      </c>
      <c r="D219" s="44">
        <v>500</v>
      </c>
      <c r="E219" s="44">
        <v>318.64280000000002</v>
      </c>
      <c r="F219" s="44">
        <v>573.7115</v>
      </c>
    </row>
    <row r="220" spans="1:6">
      <c r="A220" s="42">
        <v>46242.791666666664</v>
      </c>
      <c r="B220" s="43" t="s">
        <v>27</v>
      </c>
      <c r="C220" s="44">
        <v>0</v>
      </c>
      <c r="D220" s="44">
        <v>500</v>
      </c>
      <c r="E220" s="44">
        <v>318.59780000000001</v>
      </c>
      <c r="F220" s="44">
        <v>571.91160000000002</v>
      </c>
    </row>
    <row r="221" spans="1:6">
      <c r="A221" s="42">
        <v>46242.833333333336</v>
      </c>
      <c r="B221" s="43" t="s">
        <v>27</v>
      </c>
      <c r="C221" s="44">
        <v>0</v>
      </c>
      <c r="D221" s="44">
        <v>500</v>
      </c>
      <c r="E221" s="44">
        <v>318.55279999999999</v>
      </c>
      <c r="F221" s="44">
        <v>570.11159999999995</v>
      </c>
    </row>
    <row r="222" spans="1:6">
      <c r="A222" s="42">
        <v>46242.875</v>
      </c>
      <c r="B222" s="43" t="s">
        <v>27</v>
      </c>
      <c r="C222" s="44">
        <v>0</v>
      </c>
      <c r="D222" s="44">
        <v>500</v>
      </c>
      <c r="E222" s="44">
        <v>318.50779999999997</v>
      </c>
      <c r="F222" s="44">
        <v>568.3116</v>
      </c>
    </row>
    <row r="223" spans="1:6">
      <c r="A223" s="42">
        <v>46242.916666666664</v>
      </c>
      <c r="B223" s="43" t="s">
        <v>27</v>
      </c>
      <c r="C223" s="44">
        <v>0</v>
      </c>
      <c r="D223" s="44">
        <v>500</v>
      </c>
      <c r="E223" s="44">
        <v>318.46280000000002</v>
      </c>
      <c r="F223" s="44">
        <v>566.51160000000004</v>
      </c>
    </row>
    <row r="224" spans="1:6">
      <c r="A224" s="42">
        <v>46242.958333333336</v>
      </c>
      <c r="B224" s="43" t="s">
        <v>27</v>
      </c>
      <c r="C224" s="44">
        <v>0</v>
      </c>
      <c r="D224" s="44">
        <v>500</v>
      </c>
      <c r="E224" s="44">
        <v>318.4178</v>
      </c>
      <c r="F224" s="44">
        <v>564.71159999999998</v>
      </c>
    </row>
    <row r="225" spans="1:6">
      <c r="A225" s="42">
        <v>46243</v>
      </c>
      <c r="B225" s="43" t="s">
        <v>27</v>
      </c>
      <c r="C225" s="44">
        <v>0</v>
      </c>
      <c r="D225" s="44">
        <v>500</v>
      </c>
      <c r="E225" s="44">
        <v>318.37279999999998</v>
      </c>
      <c r="F225" s="44">
        <v>562.91160000000002</v>
      </c>
    </row>
    <row r="226" spans="1:6">
      <c r="A226" s="42">
        <v>46243.041666666664</v>
      </c>
      <c r="B226" s="43" t="s">
        <v>27</v>
      </c>
      <c r="C226" s="44">
        <v>0</v>
      </c>
      <c r="D226" s="44">
        <v>500</v>
      </c>
      <c r="E226" s="44">
        <v>318.32780000000002</v>
      </c>
      <c r="F226" s="44">
        <v>561.11159999999995</v>
      </c>
    </row>
    <row r="227" spans="1:6">
      <c r="A227" s="42">
        <v>46243.083333333336</v>
      </c>
      <c r="B227" s="43" t="s">
        <v>27</v>
      </c>
      <c r="C227" s="44">
        <v>0</v>
      </c>
      <c r="D227" s="44">
        <v>500</v>
      </c>
      <c r="E227" s="44">
        <v>318.28280000000001</v>
      </c>
      <c r="F227" s="44">
        <v>559.3116</v>
      </c>
    </row>
    <row r="228" spans="1:6">
      <c r="A228" s="42">
        <v>46243.125</v>
      </c>
      <c r="B228" s="43" t="s">
        <v>27</v>
      </c>
      <c r="C228" s="44">
        <v>0</v>
      </c>
      <c r="D228" s="44">
        <v>500</v>
      </c>
      <c r="E228" s="44">
        <v>318.23779999999999</v>
      </c>
      <c r="F228" s="44">
        <v>557.51170000000002</v>
      </c>
    </row>
    <row r="229" spans="1:6">
      <c r="A229" s="42">
        <v>46243.166666666664</v>
      </c>
      <c r="B229" s="43" t="s">
        <v>27</v>
      </c>
      <c r="C229" s="44">
        <v>0</v>
      </c>
      <c r="D229" s="44">
        <v>500</v>
      </c>
      <c r="E229" s="44">
        <v>318.19279999999998</v>
      </c>
      <c r="F229" s="44">
        <v>555.71169999999995</v>
      </c>
    </row>
    <row r="230" spans="1:6">
      <c r="A230" s="42">
        <v>46243.208333333336</v>
      </c>
      <c r="B230" s="43" t="s">
        <v>27</v>
      </c>
      <c r="C230" s="44">
        <v>0</v>
      </c>
      <c r="D230" s="44">
        <v>500</v>
      </c>
      <c r="E230" s="44">
        <v>318.14780000000002</v>
      </c>
      <c r="F230" s="44">
        <v>553.9117</v>
      </c>
    </row>
    <row r="231" spans="1:6">
      <c r="A231" s="42">
        <v>46243.25</v>
      </c>
      <c r="B231" s="43" t="s">
        <v>27</v>
      </c>
      <c r="C231" s="44">
        <v>0</v>
      </c>
      <c r="D231" s="44">
        <v>500</v>
      </c>
      <c r="E231" s="44">
        <v>318.1028</v>
      </c>
      <c r="F231" s="44">
        <v>552.11170000000004</v>
      </c>
    </row>
    <row r="232" spans="1:6">
      <c r="A232" s="42">
        <v>46243.291666666664</v>
      </c>
      <c r="B232" s="43" t="s">
        <v>27</v>
      </c>
      <c r="C232" s="44">
        <v>0</v>
      </c>
      <c r="D232" s="44">
        <v>500</v>
      </c>
      <c r="E232" s="44">
        <v>318.05779999999999</v>
      </c>
      <c r="F232" s="44">
        <v>550.31169999999997</v>
      </c>
    </row>
    <row r="233" spans="1:6">
      <c r="A233" s="42">
        <v>46243.333333333336</v>
      </c>
      <c r="B233" s="43" t="s">
        <v>27</v>
      </c>
      <c r="C233" s="44">
        <v>0</v>
      </c>
      <c r="D233" s="44">
        <v>500</v>
      </c>
      <c r="E233" s="44">
        <v>318.01280000000003</v>
      </c>
      <c r="F233" s="44">
        <v>548.51170000000002</v>
      </c>
    </row>
    <row r="234" spans="1:6">
      <c r="A234" s="42">
        <v>46243.375</v>
      </c>
      <c r="B234" s="43" t="s">
        <v>27</v>
      </c>
      <c r="C234" s="44">
        <v>0</v>
      </c>
      <c r="D234" s="44">
        <v>500</v>
      </c>
      <c r="E234" s="44">
        <v>317.96660000000003</v>
      </c>
      <c r="F234" s="44">
        <v>546.71169999999995</v>
      </c>
    </row>
    <row r="235" spans="1:6">
      <c r="A235" s="42">
        <v>46243.416666666664</v>
      </c>
      <c r="B235" s="43" t="s">
        <v>27</v>
      </c>
      <c r="C235" s="44">
        <v>0</v>
      </c>
      <c r="D235" s="44">
        <v>500</v>
      </c>
      <c r="E235" s="44">
        <v>317.91980000000001</v>
      </c>
      <c r="F235" s="44">
        <v>544.9117</v>
      </c>
    </row>
    <row r="236" spans="1:6">
      <c r="A236" s="42">
        <v>46243.458333333336</v>
      </c>
      <c r="B236" s="43" t="s">
        <v>27</v>
      </c>
      <c r="C236" s="44">
        <v>0</v>
      </c>
      <c r="D236" s="44">
        <v>500</v>
      </c>
      <c r="E236" s="44">
        <v>317.87299999999999</v>
      </c>
      <c r="F236" s="44">
        <v>543.11180000000002</v>
      </c>
    </row>
    <row r="237" spans="1:6">
      <c r="A237" s="42">
        <v>46243.5</v>
      </c>
      <c r="B237" s="43" t="s">
        <v>27</v>
      </c>
      <c r="C237" s="44">
        <v>0</v>
      </c>
      <c r="D237" s="44">
        <v>500</v>
      </c>
      <c r="E237" s="44">
        <v>317.8263</v>
      </c>
      <c r="F237" s="44">
        <v>541.31179999999995</v>
      </c>
    </row>
    <row r="238" spans="1:6">
      <c r="A238" s="42">
        <v>46243.541666666664</v>
      </c>
      <c r="B238" s="43" t="s">
        <v>27</v>
      </c>
      <c r="C238" s="44">
        <v>0</v>
      </c>
      <c r="D238" s="44">
        <v>500</v>
      </c>
      <c r="E238" s="44">
        <v>317.77949999999998</v>
      </c>
      <c r="F238" s="44">
        <v>539.51179999999999</v>
      </c>
    </row>
    <row r="239" spans="1:6">
      <c r="A239" s="42">
        <v>46243.583333333336</v>
      </c>
      <c r="B239" s="43" t="s">
        <v>27</v>
      </c>
      <c r="C239" s="44">
        <v>0</v>
      </c>
      <c r="D239" s="44">
        <v>500</v>
      </c>
      <c r="E239" s="44">
        <v>317.7328</v>
      </c>
      <c r="F239" s="44">
        <v>537.71180000000004</v>
      </c>
    </row>
    <row r="240" spans="1:6">
      <c r="A240" s="42">
        <v>46243.625</v>
      </c>
      <c r="B240" s="43" t="s">
        <v>27</v>
      </c>
      <c r="C240" s="44">
        <v>0</v>
      </c>
      <c r="D240" s="44">
        <v>500</v>
      </c>
      <c r="E240" s="44">
        <v>317.68599999999998</v>
      </c>
      <c r="F240" s="44">
        <v>535.91179999999997</v>
      </c>
    </row>
    <row r="241" spans="1:6">
      <c r="A241" s="42">
        <v>46243.666666666664</v>
      </c>
      <c r="B241" s="43" t="s">
        <v>27</v>
      </c>
      <c r="C241" s="44">
        <v>0</v>
      </c>
      <c r="D241" s="44">
        <v>500</v>
      </c>
      <c r="E241" s="44">
        <v>317.63929999999999</v>
      </c>
      <c r="F241" s="44">
        <v>534.11180000000002</v>
      </c>
    </row>
    <row r="242" spans="1:6">
      <c r="A242" s="42">
        <v>46243.708333333336</v>
      </c>
      <c r="B242" s="43" t="s">
        <v>27</v>
      </c>
      <c r="C242" s="44">
        <v>0</v>
      </c>
      <c r="D242" s="44">
        <v>500</v>
      </c>
      <c r="E242" s="44">
        <v>317.59249999999997</v>
      </c>
      <c r="F242" s="44">
        <v>532.31179999999995</v>
      </c>
    </row>
    <row r="243" spans="1:6">
      <c r="A243" s="42">
        <v>46243.75</v>
      </c>
      <c r="B243" s="43" t="s">
        <v>27</v>
      </c>
      <c r="C243" s="44">
        <v>0</v>
      </c>
      <c r="D243" s="44">
        <v>500</v>
      </c>
      <c r="E243" s="44">
        <v>317.54579999999999</v>
      </c>
      <c r="F243" s="44">
        <v>530.51179999999999</v>
      </c>
    </row>
    <row r="244" spans="1:6">
      <c r="A244" s="42">
        <v>46243.791666666664</v>
      </c>
      <c r="B244" s="43" t="s">
        <v>27</v>
      </c>
      <c r="C244" s="44">
        <v>0</v>
      </c>
      <c r="D244" s="44">
        <v>500</v>
      </c>
      <c r="E244" s="44">
        <v>317.49900000000002</v>
      </c>
      <c r="F244" s="44">
        <v>528.71190000000001</v>
      </c>
    </row>
    <row r="245" spans="1:6">
      <c r="A245" s="42">
        <v>46243.833333333336</v>
      </c>
      <c r="B245" s="43" t="s">
        <v>27</v>
      </c>
      <c r="C245" s="44">
        <v>0</v>
      </c>
      <c r="D245" s="44">
        <v>500</v>
      </c>
      <c r="E245" s="44">
        <v>317.45229999999998</v>
      </c>
      <c r="F245" s="44">
        <v>526.91189999999995</v>
      </c>
    </row>
    <row r="246" spans="1:6">
      <c r="A246" s="42">
        <v>46243.875</v>
      </c>
      <c r="B246" s="43" t="s">
        <v>27</v>
      </c>
      <c r="C246" s="44">
        <v>0</v>
      </c>
      <c r="D246" s="44">
        <v>500</v>
      </c>
      <c r="E246" s="44">
        <v>317.40550000000002</v>
      </c>
      <c r="F246" s="44">
        <v>525.11189999999999</v>
      </c>
    </row>
    <row r="247" spans="1:6">
      <c r="A247" s="42">
        <v>46243.916666666664</v>
      </c>
      <c r="B247" s="43" t="s">
        <v>27</v>
      </c>
      <c r="C247" s="44">
        <v>0</v>
      </c>
      <c r="D247" s="44">
        <v>500</v>
      </c>
      <c r="E247" s="44">
        <v>317.35879999999997</v>
      </c>
      <c r="F247" s="44">
        <v>523.31190000000004</v>
      </c>
    </row>
    <row r="248" spans="1:6">
      <c r="A248" s="42">
        <v>46243.958333333336</v>
      </c>
      <c r="B248" s="43" t="s">
        <v>27</v>
      </c>
      <c r="C248" s="44">
        <v>0</v>
      </c>
      <c r="D248" s="44">
        <v>500</v>
      </c>
      <c r="E248" s="44">
        <v>317.31200000000001</v>
      </c>
      <c r="F248" s="44">
        <v>521.51189999999997</v>
      </c>
    </row>
    <row r="249" spans="1:6">
      <c r="A249" s="42">
        <v>46244</v>
      </c>
      <c r="B249" s="43" t="s">
        <v>27</v>
      </c>
      <c r="C249" s="44">
        <v>0</v>
      </c>
      <c r="D249" s="44">
        <v>500</v>
      </c>
      <c r="E249" s="44">
        <v>317.26530000000002</v>
      </c>
      <c r="F249" s="44">
        <v>519.71190000000001</v>
      </c>
    </row>
    <row r="250" spans="1:6">
      <c r="A250" s="42">
        <v>46244.041666666664</v>
      </c>
      <c r="B250" s="43" t="s">
        <v>27</v>
      </c>
      <c r="C250" s="44">
        <v>0</v>
      </c>
      <c r="D250" s="44">
        <v>500</v>
      </c>
      <c r="E250" s="44">
        <v>317.21850000000001</v>
      </c>
      <c r="F250" s="44">
        <v>517.91189999999995</v>
      </c>
    </row>
    <row r="251" spans="1:6">
      <c r="A251" s="42">
        <v>46244.083333333336</v>
      </c>
      <c r="B251" s="43" t="s">
        <v>27</v>
      </c>
      <c r="C251" s="44">
        <v>0</v>
      </c>
      <c r="D251" s="44">
        <v>500</v>
      </c>
      <c r="E251" s="44">
        <v>317.17180000000002</v>
      </c>
      <c r="F251" s="44">
        <v>516.11189999999999</v>
      </c>
    </row>
    <row r="252" spans="1:6">
      <c r="A252" s="42">
        <v>46244.125</v>
      </c>
      <c r="B252" s="43" t="s">
        <v>27</v>
      </c>
      <c r="C252" s="44">
        <v>0</v>
      </c>
      <c r="D252" s="44">
        <v>500</v>
      </c>
      <c r="E252" s="44">
        <v>317.125</v>
      </c>
      <c r="F252" s="44">
        <v>514.31200000000001</v>
      </c>
    </row>
    <row r="253" spans="1:6">
      <c r="A253" s="42">
        <v>46244.166666666664</v>
      </c>
      <c r="B253" s="43" t="s">
        <v>27</v>
      </c>
      <c r="C253" s="44">
        <v>0</v>
      </c>
      <c r="D253" s="44">
        <v>500</v>
      </c>
      <c r="E253" s="44">
        <v>317.07819999999998</v>
      </c>
      <c r="F253" s="44">
        <v>512.51199999999994</v>
      </c>
    </row>
    <row r="254" spans="1:6">
      <c r="A254" s="42">
        <v>46244.208333333336</v>
      </c>
      <c r="B254" s="43" t="s">
        <v>27</v>
      </c>
      <c r="C254" s="44">
        <v>0</v>
      </c>
      <c r="D254" s="44">
        <v>500</v>
      </c>
      <c r="E254" s="44">
        <v>317.03149999999999</v>
      </c>
      <c r="F254" s="44">
        <v>510.71199999999999</v>
      </c>
    </row>
    <row r="255" spans="1:6">
      <c r="A255" s="42">
        <v>46244.25</v>
      </c>
      <c r="B255" s="43" t="s">
        <v>27</v>
      </c>
      <c r="C255" s="44">
        <v>0</v>
      </c>
      <c r="D255" s="44">
        <v>86.659750000000003</v>
      </c>
      <c r="E255" s="44">
        <v>317.00409999999999</v>
      </c>
      <c r="F255" s="44">
        <v>509.65600000000001</v>
      </c>
    </row>
    <row r="256" spans="1:6">
      <c r="A256" s="42">
        <v>46244.291666666664</v>
      </c>
      <c r="B256" s="43" t="s">
        <v>27</v>
      </c>
      <c r="C256" s="44">
        <v>0</v>
      </c>
      <c r="D256" s="44">
        <v>0</v>
      </c>
      <c r="E256" s="44">
        <v>317</v>
      </c>
      <c r="F256" s="44">
        <v>509.5</v>
      </c>
    </row>
    <row r="257" spans="1:6">
      <c r="A257" s="42">
        <v>46244.333333333336</v>
      </c>
      <c r="B257" s="43" t="s">
        <v>27</v>
      </c>
      <c r="C257" s="44">
        <v>0</v>
      </c>
      <c r="D257" s="44">
        <v>0</v>
      </c>
      <c r="E257" s="44">
        <v>317</v>
      </c>
      <c r="F257" s="44">
        <v>509.5</v>
      </c>
    </row>
    <row r="258" spans="1:6">
      <c r="A258" s="42">
        <v>46244.375</v>
      </c>
      <c r="B258" s="43" t="s">
        <v>27</v>
      </c>
      <c r="C258" s="44">
        <v>0</v>
      </c>
      <c r="D258" s="44">
        <v>0</v>
      </c>
      <c r="E258" s="44">
        <v>317</v>
      </c>
      <c r="F258" s="44">
        <v>509.5</v>
      </c>
    </row>
    <row r="259" spans="1:6">
      <c r="A259" s="42">
        <v>46244.416666666664</v>
      </c>
      <c r="B259" s="43" t="s">
        <v>27</v>
      </c>
      <c r="C259" s="44">
        <v>0</v>
      </c>
      <c r="D259" s="44">
        <v>0</v>
      </c>
      <c r="E259" s="44">
        <v>317</v>
      </c>
      <c r="F259" s="44">
        <v>509.5</v>
      </c>
    </row>
    <row r="260" spans="1:6">
      <c r="A260" s="42">
        <v>46244.458333333336</v>
      </c>
      <c r="B260" s="43" t="s">
        <v>27</v>
      </c>
      <c r="C260" s="44">
        <v>0</v>
      </c>
      <c r="D260" s="44">
        <v>0</v>
      </c>
      <c r="E260" s="44">
        <v>317</v>
      </c>
      <c r="F260" s="44">
        <v>509.5</v>
      </c>
    </row>
    <row r="261" spans="1:6">
      <c r="A261" s="42">
        <v>46244.5</v>
      </c>
      <c r="B261" s="43" t="s">
        <v>27</v>
      </c>
      <c r="C261" s="44">
        <v>0</v>
      </c>
      <c r="D261" s="44">
        <v>0</v>
      </c>
      <c r="E261" s="44">
        <v>317</v>
      </c>
      <c r="F261" s="44">
        <v>509.5</v>
      </c>
    </row>
    <row r="262" spans="1:6">
      <c r="A262" s="42">
        <v>46244.541666666664</v>
      </c>
      <c r="B262" s="43" t="s">
        <v>27</v>
      </c>
      <c r="C262" s="44">
        <v>0</v>
      </c>
      <c r="D262" s="44">
        <v>0</v>
      </c>
      <c r="E262" s="44">
        <v>317</v>
      </c>
      <c r="F262" s="44">
        <v>509.5</v>
      </c>
    </row>
    <row r="263" spans="1:6">
      <c r="A263" s="42">
        <v>46244.583333333336</v>
      </c>
      <c r="B263" s="43" t="s">
        <v>27</v>
      </c>
      <c r="C263" s="44">
        <v>0</v>
      </c>
      <c r="D263" s="44">
        <v>0</v>
      </c>
      <c r="E263" s="44">
        <v>317</v>
      </c>
      <c r="F263" s="44">
        <v>509.5</v>
      </c>
    </row>
    <row r="264" spans="1:6">
      <c r="A264" s="42">
        <v>46244.625</v>
      </c>
      <c r="B264" s="43" t="s">
        <v>27</v>
      </c>
      <c r="C264" s="44">
        <v>0</v>
      </c>
      <c r="D264" s="44">
        <v>0</v>
      </c>
      <c r="E264" s="44">
        <v>317</v>
      </c>
      <c r="F264" s="44">
        <v>509.5</v>
      </c>
    </row>
    <row r="265" spans="1:6">
      <c r="A265" s="42">
        <v>46244.666666666664</v>
      </c>
      <c r="B265" s="43" t="s">
        <v>27</v>
      </c>
      <c r="C265" s="44">
        <v>0</v>
      </c>
      <c r="D265" s="44">
        <v>0</v>
      </c>
      <c r="E265" s="44">
        <v>317</v>
      </c>
      <c r="F265" s="44">
        <v>509.5</v>
      </c>
    </row>
    <row r="266" spans="1:6">
      <c r="A266" s="42">
        <v>46244.708333333336</v>
      </c>
      <c r="B266" s="43" t="s">
        <v>27</v>
      </c>
      <c r="C266" s="44">
        <v>0</v>
      </c>
      <c r="D266" s="44">
        <v>0</v>
      </c>
      <c r="E266" s="44">
        <v>317</v>
      </c>
      <c r="F266" s="44">
        <v>509.5</v>
      </c>
    </row>
    <row r="267" spans="1:6">
      <c r="A267" s="42">
        <v>46244.75</v>
      </c>
      <c r="B267" s="43" t="s">
        <v>27</v>
      </c>
      <c r="C267" s="44">
        <v>0</v>
      </c>
      <c r="D267" s="44">
        <v>0</v>
      </c>
      <c r="E267" s="44">
        <v>317</v>
      </c>
      <c r="F267" s="44">
        <v>509.5</v>
      </c>
    </row>
    <row r="268" spans="1:6">
      <c r="A268" s="42">
        <v>46244.791666666664</v>
      </c>
      <c r="B268" s="43" t="s">
        <v>27</v>
      </c>
      <c r="C268" s="44">
        <v>0</v>
      </c>
      <c r="D268" s="44">
        <v>0</v>
      </c>
      <c r="E268" s="44">
        <v>317</v>
      </c>
      <c r="F268" s="44">
        <v>509.5</v>
      </c>
    </row>
    <row r="269" spans="1:6">
      <c r="A269" s="42">
        <v>46244.833333333336</v>
      </c>
      <c r="B269" s="43" t="s">
        <v>27</v>
      </c>
      <c r="C269" s="44">
        <v>0</v>
      </c>
      <c r="D269" s="44">
        <v>0</v>
      </c>
      <c r="E269" s="44">
        <v>317</v>
      </c>
      <c r="F269" s="44">
        <v>509.5</v>
      </c>
    </row>
    <row r="270" spans="1:6">
      <c r="A270" s="42">
        <v>46244.875</v>
      </c>
      <c r="B270" s="43" t="s">
        <v>27</v>
      </c>
      <c r="C270" s="44">
        <v>0</v>
      </c>
      <c r="D270" s="44">
        <v>0</v>
      </c>
      <c r="E270" s="44">
        <v>317</v>
      </c>
      <c r="F270" s="44">
        <v>509.5</v>
      </c>
    </row>
    <row r="271" spans="1:6">
      <c r="A271" s="42">
        <v>46244.916666666664</v>
      </c>
      <c r="B271" s="43" t="s">
        <v>27</v>
      </c>
      <c r="C271" s="44">
        <v>0</v>
      </c>
      <c r="D271" s="44">
        <v>0</v>
      </c>
      <c r="E271" s="44">
        <v>317</v>
      </c>
      <c r="F271" s="44">
        <v>509.5</v>
      </c>
    </row>
    <row r="272" spans="1:6">
      <c r="A272" s="42">
        <v>46244.958333333336</v>
      </c>
      <c r="B272" s="43" t="s">
        <v>27</v>
      </c>
      <c r="C272" s="44">
        <v>0</v>
      </c>
      <c r="D272" s="44">
        <v>0</v>
      </c>
      <c r="E272" s="44">
        <v>317</v>
      </c>
      <c r="F272" s="44">
        <v>509.5</v>
      </c>
    </row>
    <row r="273" spans="1:6">
      <c r="A273" s="42">
        <v>46245</v>
      </c>
      <c r="B273" s="43" t="s">
        <v>27</v>
      </c>
      <c r="C273" s="44">
        <v>0</v>
      </c>
      <c r="D273" s="44">
        <v>0</v>
      </c>
      <c r="E273" s="44">
        <v>317</v>
      </c>
      <c r="F273" s="44">
        <v>509.5</v>
      </c>
    </row>
    <row r="274" spans="1:6">
      <c r="A274" s="42">
        <v>46245.041666666664</v>
      </c>
      <c r="B274" s="43" t="s">
        <v>27</v>
      </c>
      <c r="C274" s="44">
        <v>0</v>
      </c>
      <c r="D274" s="44">
        <v>0</v>
      </c>
      <c r="E274" s="44">
        <v>317</v>
      </c>
      <c r="F274" s="44">
        <v>509.5</v>
      </c>
    </row>
    <row r="275" spans="1:6">
      <c r="A275" s="42">
        <v>46245.083333333336</v>
      </c>
      <c r="B275" s="43" t="s">
        <v>27</v>
      </c>
      <c r="C275" s="44">
        <v>0</v>
      </c>
      <c r="D275" s="44">
        <v>0</v>
      </c>
      <c r="E275" s="44">
        <v>317</v>
      </c>
      <c r="F275" s="44">
        <v>509.5</v>
      </c>
    </row>
    <row r="276" spans="1:6">
      <c r="A276" s="42">
        <v>46245.125</v>
      </c>
      <c r="B276" s="43" t="s">
        <v>27</v>
      </c>
      <c r="C276" s="44">
        <v>0</v>
      </c>
      <c r="D276" s="44">
        <v>0</v>
      </c>
      <c r="E276" s="44">
        <v>317</v>
      </c>
      <c r="F276" s="44">
        <v>509.5</v>
      </c>
    </row>
    <row r="277" spans="1:6">
      <c r="A277" s="42">
        <v>46245.166666666664</v>
      </c>
      <c r="B277" s="43" t="s">
        <v>27</v>
      </c>
      <c r="C277" s="44">
        <v>0</v>
      </c>
      <c r="D277" s="44">
        <v>0</v>
      </c>
      <c r="E277" s="44">
        <v>317</v>
      </c>
      <c r="F277" s="44">
        <v>509.5</v>
      </c>
    </row>
    <row r="278" spans="1:6">
      <c r="A278" s="42">
        <v>46245.208333333336</v>
      </c>
      <c r="B278" s="43" t="s">
        <v>27</v>
      </c>
      <c r="C278" s="44">
        <v>0</v>
      </c>
      <c r="D278" s="44">
        <v>0</v>
      </c>
      <c r="E278" s="44">
        <v>317</v>
      </c>
      <c r="F278" s="44">
        <v>509.5</v>
      </c>
    </row>
    <row r="279" spans="1:6">
      <c r="A279" s="42">
        <v>46245.25</v>
      </c>
      <c r="B279" s="43" t="s">
        <v>27</v>
      </c>
      <c r="C279" s="44">
        <v>0</v>
      </c>
      <c r="D279" s="44">
        <v>0</v>
      </c>
      <c r="E279" s="44">
        <v>317</v>
      </c>
      <c r="F279" s="44">
        <v>509.5</v>
      </c>
    </row>
    <row r="280" spans="1:6">
      <c r="A280" s="42">
        <v>46245.291666666664</v>
      </c>
      <c r="B280" s="43" t="s">
        <v>27</v>
      </c>
      <c r="C280" s="44">
        <v>0</v>
      </c>
      <c r="D280" s="44">
        <v>0</v>
      </c>
      <c r="E280" s="44">
        <v>317</v>
      </c>
      <c r="F280" s="44">
        <v>509.5</v>
      </c>
    </row>
    <row r="281" spans="1:6">
      <c r="A281" s="42">
        <v>46245.333333333336</v>
      </c>
      <c r="B281" s="43" t="s">
        <v>27</v>
      </c>
      <c r="C281" s="44">
        <v>0</v>
      </c>
      <c r="D281" s="44">
        <v>0</v>
      </c>
      <c r="E281" s="44">
        <v>317</v>
      </c>
      <c r="F281" s="44">
        <v>509.5</v>
      </c>
    </row>
    <row r="282" spans="1:6">
      <c r="A282" s="42">
        <v>46245.375</v>
      </c>
      <c r="B282" s="43" t="s">
        <v>27</v>
      </c>
      <c r="C282" s="44">
        <v>0</v>
      </c>
      <c r="D282" s="44">
        <v>0</v>
      </c>
      <c r="E282" s="44">
        <v>317</v>
      </c>
      <c r="F282" s="44">
        <v>509.5</v>
      </c>
    </row>
    <row r="283" spans="1:6">
      <c r="A283" s="42">
        <v>46245.416666666664</v>
      </c>
      <c r="B283" s="43" t="s">
        <v>27</v>
      </c>
      <c r="C283" s="44">
        <v>0</v>
      </c>
      <c r="D283" s="44">
        <v>0</v>
      </c>
      <c r="E283" s="44">
        <v>317</v>
      </c>
      <c r="F283" s="44">
        <v>509.5</v>
      </c>
    </row>
    <row r="284" spans="1:6">
      <c r="A284" s="42">
        <v>46245.458333333336</v>
      </c>
      <c r="B284" s="43" t="s">
        <v>27</v>
      </c>
      <c r="C284" s="44">
        <v>0</v>
      </c>
      <c r="D284" s="44">
        <v>0</v>
      </c>
      <c r="E284" s="44">
        <v>317</v>
      </c>
      <c r="F284" s="44">
        <v>509.5</v>
      </c>
    </row>
    <row r="285" spans="1:6">
      <c r="A285" s="42">
        <v>46245.5</v>
      </c>
      <c r="B285" s="43" t="s">
        <v>27</v>
      </c>
      <c r="C285" s="44">
        <v>0</v>
      </c>
      <c r="D285" s="44">
        <v>0</v>
      </c>
      <c r="E285" s="44">
        <v>317</v>
      </c>
      <c r="F285" s="44">
        <v>509.5</v>
      </c>
    </row>
    <row r="286" spans="1:6">
      <c r="A286" s="42">
        <v>46245.541666666664</v>
      </c>
      <c r="B286" s="43" t="s">
        <v>27</v>
      </c>
      <c r="C286" s="44">
        <v>0</v>
      </c>
      <c r="D286" s="44">
        <v>0</v>
      </c>
      <c r="E286" s="44">
        <v>317</v>
      </c>
      <c r="F286" s="44">
        <v>509.5</v>
      </c>
    </row>
    <row r="287" spans="1:6">
      <c r="A287" s="42">
        <v>46245.583333333336</v>
      </c>
      <c r="B287" s="43" t="s">
        <v>27</v>
      </c>
      <c r="C287" s="44">
        <v>0</v>
      </c>
      <c r="D287" s="44">
        <v>0</v>
      </c>
      <c r="E287" s="44">
        <v>317</v>
      </c>
      <c r="F287" s="44">
        <v>509.5</v>
      </c>
    </row>
    <row r="288" spans="1:6">
      <c r="A288" s="42">
        <v>46245.625</v>
      </c>
      <c r="B288" s="43" t="s">
        <v>27</v>
      </c>
      <c r="C288" s="44">
        <v>0</v>
      </c>
      <c r="D288" s="44">
        <v>0</v>
      </c>
      <c r="E288" s="44">
        <v>317</v>
      </c>
      <c r="F288" s="44">
        <v>509.5</v>
      </c>
    </row>
    <row r="289" spans="1:6">
      <c r="A289" s="42">
        <v>46245.666666666664</v>
      </c>
      <c r="B289" s="43" t="s">
        <v>27</v>
      </c>
      <c r="C289" s="44">
        <v>0</v>
      </c>
      <c r="D289" s="44">
        <v>0</v>
      </c>
      <c r="E289" s="44">
        <v>317</v>
      </c>
      <c r="F289" s="44">
        <v>509.5</v>
      </c>
    </row>
    <row r="290" spans="1:6">
      <c r="A290" s="42">
        <v>46245.708333333336</v>
      </c>
      <c r="B290" s="43" t="s">
        <v>27</v>
      </c>
      <c r="C290" s="44">
        <v>0</v>
      </c>
      <c r="D290" s="44">
        <v>0</v>
      </c>
      <c r="E290" s="44">
        <v>317</v>
      </c>
      <c r="F290" s="44">
        <v>509.5</v>
      </c>
    </row>
    <row r="291" spans="1:6">
      <c r="A291" s="42">
        <v>46245.75</v>
      </c>
      <c r="B291" s="43" t="s">
        <v>27</v>
      </c>
      <c r="C291" s="44">
        <v>0</v>
      </c>
      <c r="D291" s="44">
        <v>0</v>
      </c>
      <c r="E291" s="44">
        <v>317</v>
      </c>
      <c r="F291" s="44">
        <v>509.5</v>
      </c>
    </row>
    <row r="292" spans="1:6">
      <c r="A292" s="42">
        <v>46245.791666666664</v>
      </c>
      <c r="B292" s="43" t="s">
        <v>27</v>
      </c>
      <c r="C292" s="44">
        <v>0</v>
      </c>
      <c r="D292" s="44">
        <v>0</v>
      </c>
      <c r="E292" s="44">
        <v>317</v>
      </c>
      <c r="F292" s="44">
        <v>509.5</v>
      </c>
    </row>
    <row r="293" spans="1:6">
      <c r="A293" s="42">
        <v>46245.833333333336</v>
      </c>
      <c r="B293" s="43" t="s">
        <v>27</v>
      </c>
      <c r="C293" s="44">
        <v>0</v>
      </c>
      <c r="D293" s="44">
        <v>0</v>
      </c>
      <c r="E293" s="44">
        <v>317</v>
      </c>
      <c r="F293" s="44">
        <v>509.5</v>
      </c>
    </row>
    <row r="294" spans="1:6">
      <c r="A294" s="42">
        <v>46245.875</v>
      </c>
      <c r="B294" s="43" t="s">
        <v>27</v>
      </c>
      <c r="C294" s="44">
        <v>0</v>
      </c>
      <c r="D294" s="44">
        <v>0</v>
      </c>
      <c r="E294" s="44">
        <v>317</v>
      </c>
      <c r="F294" s="44">
        <v>509.5</v>
      </c>
    </row>
    <row r="295" spans="1:6">
      <c r="A295" s="42">
        <v>46245.916666666664</v>
      </c>
      <c r="B295" s="43" t="s">
        <v>27</v>
      </c>
      <c r="C295" s="44">
        <v>0</v>
      </c>
      <c r="D295" s="44">
        <v>0</v>
      </c>
      <c r="E295" s="44">
        <v>317</v>
      </c>
      <c r="F295" s="44">
        <v>509.5</v>
      </c>
    </row>
    <row r="296" spans="1:6">
      <c r="A296" s="42">
        <v>46245.958333333336</v>
      </c>
      <c r="B296" s="43" t="s">
        <v>27</v>
      </c>
      <c r="C296" s="44">
        <v>0</v>
      </c>
      <c r="D296" s="44">
        <v>0</v>
      </c>
      <c r="E296" s="44">
        <v>317</v>
      </c>
      <c r="F296" s="44">
        <v>509.5</v>
      </c>
    </row>
    <row r="297" spans="1:6">
      <c r="A297" s="42">
        <v>46246</v>
      </c>
      <c r="B297" s="43" t="s">
        <v>27</v>
      </c>
      <c r="C297" s="44">
        <v>0</v>
      </c>
      <c r="D297" s="44">
        <v>0</v>
      </c>
      <c r="E297" s="44">
        <v>317</v>
      </c>
      <c r="F297" s="44">
        <v>509.5</v>
      </c>
    </row>
    <row r="298" spans="1:6">
      <c r="A298" s="42">
        <v>46246.041666666664</v>
      </c>
      <c r="B298" s="43" t="s">
        <v>27</v>
      </c>
      <c r="C298" s="44">
        <v>0</v>
      </c>
      <c r="D298" s="44">
        <v>0</v>
      </c>
      <c r="E298" s="44">
        <v>317</v>
      </c>
      <c r="F298" s="44">
        <v>509.5</v>
      </c>
    </row>
    <row r="299" spans="1:6">
      <c r="A299" s="42">
        <v>46246.083333333336</v>
      </c>
      <c r="B299" s="43" t="s">
        <v>27</v>
      </c>
      <c r="C299" s="44">
        <v>0</v>
      </c>
      <c r="D299" s="44">
        <v>0</v>
      </c>
      <c r="E299" s="44">
        <v>317</v>
      </c>
      <c r="F299" s="44">
        <v>509.5</v>
      </c>
    </row>
    <row r="300" spans="1:6">
      <c r="A300" s="42">
        <v>46246.125</v>
      </c>
      <c r="B300" s="43" t="s">
        <v>27</v>
      </c>
      <c r="C300" s="44">
        <v>0</v>
      </c>
      <c r="D300" s="44">
        <v>0</v>
      </c>
      <c r="E300" s="44">
        <v>317</v>
      </c>
      <c r="F300" s="44">
        <v>509.5</v>
      </c>
    </row>
    <row r="301" spans="1:6">
      <c r="A301" s="42">
        <v>46246.166666666664</v>
      </c>
      <c r="B301" s="43" t="s">
        <v>27</v>
      </c>
      <c r="C301" s="44">
        <v>0</v>
      </c>
      <c r="D301" s="44">
        <v>0</v>
      </c>
      <c r="E301" s="44">
        <v>317</v>
      </c>
      <c r="F301" s="44">
        <v>509.5</v>
      </c>
    </row>
    <row r="302" spans="1:6">
      <c r="A302" s="42">
        <v>46246.208333333336</v>
      </c>
      <c r="B302" s="43" t="s">
        <v>27</v>
      </c>
      <c r="C302" s="44">
        <v>0</v>
      </c>
      <c r="D302" s="44">
        <v>0</v>
      </c>
      <c r="E302" s="44">
        <v>317</v>
      </c>
      <c r="F302" s="44">
        <v>509.5</v>
      </c>
    </row>
    <row r="303" spans="1:6">
      <c r="A303" s="42">
        <v>46246.25</v>
      </c>
      <c r="B303" s="43" t="s">
        <v>27</v>
      </c>
      <c r="C303" s="44">
        <v>0</v>
      </c>
      <c r="D303" s="44">
        <v>0</v>
      </c>
      <c r="E303" s="44">
        <v>317</v>
      </c>
      <c r="F303" s="44">
        <v>509.5</v>
      </c>
    </row>
    <row r="304" spans="1:6">
      <c r="A304" s="42">
        <v>46246.291666666664</v>
      </c>
      <c r="B304" s="43" t="s">
        <v>27</v>
      </c>
      <c r="C304" s="44">
        <v>0</v>
      </c>
      <c r="D304" s="44">
        <v>0</v>
      </c>
      <c r="E304" s="44">
        <v>317</v>
      </c>
      <c r="F304" s="44">
        <v>509.5</v>
      </c>
    </row>
    <row r="305" spans="1:6">
      <c r="A305" s="42">
        <v>46246.333333333336</v>
      </c>
      <c r="B305" s="43" t="s">
        <v>27</v>
      </c>
      <c r="C305" s="44">
        <v>0</v>
      </c>
      <c r="D305" s="44">
        <v>0</v>
      </c>
      <c r="E305" s="44">
        <v>317</v>
      </c>
      <c r="F305" s="44">
        <v>509.5</v>
      </c>
    </row>
    <row r="306" spans="1:6">
      <c r="A306" s="42">
        <v>46246.375</v>
      </c>
      <c r="B306" s="43" t="s">
        <v>27</v>
      </c>
      <c r="C306" s="44">
        <v>0</v>
      </c>
      <c r="D306" s="44">
        <v>0</v>
      </c>
      <c r="E306" s="44">
        <v>317</v>
      </c>
      <c r="F306" s="44">
        <v>509.5</v>
      </c>
    </row>
    <row r="307" spans="1:6">
      <c r="A307" s="42">
        <v>46246.416666666664</v>
      </c>
      <c r="B307" s="43" t="s">
        <v>27</v>
      </c>
      <c r="C307" s="44">
        <v>0</v>
      </c>
      <c r="D307" s="44">
        <v>0</v>
      </c>
      <c r="E307" s="44">
        <v>317</v>
      </c>
      <c r="F307" s="44">
        <v>509.5</v>
      </c>
    </row>
    <row r="308" spans="1:6">
      <c r="A308" s="42">
        <v>46246.458333333336</v>
      </c>
      <c r="B308" s="43" t="s">
        <v>27</v>
      </c>
      <c r="C308" s="44">
        <v>0</v>
      </c>
      <c r="D308" s="44">
        <v>0</v>
      </c>
      <c r="E308" s="44">
        <v>317</v>
      </c>
      <c r="F308" s="44">
        <v>509.5</v>
      </c>
    </row>
    <row r="309" spans="1:6">
      <c r="A309" s="42">
        <v>46246.5</v>
      </c>
      <c r="B309" s="43" t="s">
        <v>27</v>
      </c>
      <c r="C309" s="44">
        <v>0</v>
      </c>
      <c r="D309" s="44">
        <v>0</v>
      </c>
      <c r="E309" s="44">
        <v>317</v>
      </c>
      <c r="F309" s="44">
        <v>509.5</v>
      </c>
    </row>
    <row r="310" spans="1:6">
      <c r="A310" s="42">
        <v>46246.541666666664</v>
      </c>
      <c r="B310" s="43" t="s">
        <v>27</v>
      </c>
      <c r="C310" s="44">
        <v>0</v>
      </c>
      <c r="D310" s="44">
        <v>0</v>
      </c>
      <c r="E310" s="44">
        <v>317</v>
      </c>
      <c r="F310" s="44">
        <v>509.5</v>
      </c>
    </row>
    <row r="311" spans="1:6">
      <c r="A311" s="42">
        <v>46246.583333333336</v>
      </c>
      <c r="B311" s="43" t="s">
        <v>27</v>
      </c>
      <c r="C311" s="44">
        <v>0</v>
      </c>
      <c r="D311" s="44">
        <v>0</v>
      </c>
      <c r="E311" s="44">
        <v>317</v>
      </c>
      <c r="F311" s="44">
        <v>509.5</v>
      </c>
    </row>
    <row r="312" spans="1:6">
      <c r="A312" s="42">
        <v>46246.625</v>
      </c>
      <c r="B312" s="43" t="s">
        <v>27</v>
      </c>
      <c r="C312" s="44">
        <v>0</v>
      </c>
      <c r="D312" s="44">
        <v>0</v>
      </c>
      <c r="E312" s="44">
        <v>317</v>
      </c>
      <c r="F312" s="44">
        <v>509.5</v>
      </c>
    </row>
    <row r="313" spans="1:6">
      <c r="A313" s="42">
        <v>46246.666666666664</v>
      </c>
      <c r="B313" s="43" t="s">
        <v>27</v>
      </c>
      <c r="C313" s="44">
        <v>0</v>
      </c>
      <c r="D313" s="44">
        <v>0</v>
      </c>
      <c r="E313" s="44">
        <v>317</v>
      </c>
      <c r="F313" s="44">
        <v>509.5</v>
      </c>
    </row>
    <row r="314" spans="1:6">
      <c r="A314" s="42">
        <v>46246.708333333336</v>
      </c>
      <c r="B314" s="43" t="s">
        <v>27</v>
      </c>
      <c r="C314" s="44">
        <v>0</v>
      </c>
      <c r="D314" s="44">
        <v>0</v>
      </c>
      <c r="E314" s="44">
        <v>317</v>
      </c>
      <c r="F314" s="44">
        <v>509.5</v>
      </c>
    </row>
    <row r="315" spans="1:6">
      <c r="A315" s="42">
        <v>46246.75</v>
      </c>
      <c r="B315" s="43" t="s">
        <v>27</v>
      </c>
      <c r="C315" s="44">
        <v>0</v>
      </c>
      <c r="D315" s="44">
        <v>0</v>
      </c>
      <c r="E315" s="44">
        <v>317</v>
      </c>
      <c r="F315" s="44">
        <v>509.5</v>
      </c>
    </row>
    <row r="316" spans="1:6">
      <c r="A316" s="42">
        <v>46246.791666666664</v>
      </c>
      <c r="B316" s="43" t="s">
        <v>27</v>
      </c>
      <c r="C316" s="44">
        <v>0</v>
      </c>
      <c r="D316" s="44">
        <v>0</v>
      </c>
      <c r="E316" s="44">
        <v>317</v>
      </c>
      <c r="F316" s="44">
        <v>509.5</v>
      </c>
    </row>
    <row r="317" spans="1:6">
      <c r="A317" s="42">
        <v>46246.833333333336</v>
      </c>
      <c r="B317" s="43" t="s">
        <v>27</v>
      </c>
      <c r="C317" s="44">
        <v>0</v>
      </c>
      <c r="D317" s="44">
        <v>0</v>
      </c>
      <c r="E317" s="44">
        <v>317</v>
      </c>
      <c r="F317" s="44">
        <v>509.5</v>
      </c>
    </row>
    <row r="318" spans="1:6">
      <c r="A318" s="42">
        <v>46246.875</v>
      </c>
      <c r="B318" s="43" t="s">
        <v>27</v>
      </c>
      <c r="C318" s="44">
        <v>0</v>
      </c>
      <c r="D318" s="44">
        <v>0</v>
      </c>
      <c r="E318" s="44">
        <v>317</v>
      </c>
      <c r="F318" s="44">
        <v>509.5</v>
      </c>
    </row>
    <row r="319" spans="1:6">
      <c r="A319" s="42">
        <v>46246.916666666664</v>
      </c>
      <c r="B319" s="43" t="s">
        <v>27</v>
      </c>
      <c r="C319" s="44">
        <v>0</v>
      </c>
      <c r="D319" s="44">
        <v>0</v>
      </c>
      <c r="E319" s="44">
        <v>317</v>
      </c>
      <c r="F319" s="44">
        <v>509.5</v>
      </c>
    </row>
    <row r="320" spans="1:6">
      <c r="A320" s="42">
        <v>46246.958333333336</v>
      </c>
      <c r="B320" s="43" t="s">
        <v>27</v>
      </c>
      <c r="C320" s="44">
        <v>0</v>
      </c>
      <c r="D320" s="44">
        <v>0</v>
      </c>
      <c r="E320" s="44">
        <v>317</v>
      </c>
      <c r="F320" s="44">
        <v>509.5</v>
      </c>
    </row>
    <row r="321" spans="1:6">
      <c r="A321" s="42">
        <v>46247</v>
      </c>
      <c r="B321" s="43" t="s">
        <v>27</v>
      </c>
      <c r="C321" s="44">
        <v>0</v>
      </c>
      <c r="D321" s="44">
        <v>0</v>
      </c>
      <c r="E321" s="44">
        <v>317</v>
      </c>
      <c r="F321" s="44">
        <v>509.5</v>
      </c>
    </row>
    <row r="322" spans="1:6">
      <c r="A322" s="42">
        <v>46247.041666666664</v>
      </c>
      <c r="B322" s="43" t="s">
        <v>27</v>
      </c>
      <c r="C322" s="44">
        <v>0</v>
      </c>
      <c r="D322" s="44">
        <v>0</v>
      </c>
      <c r="E322" s="44">
        <v>317</v>
      </c>
      <c r="F322" s="44">
        <v>509.5</v>
      </c>
    </row>
    <row r="323" spans="1:6">
      <c r="A323" s="42">
        <v>46247.083333333336</v>
      </c>
      <c r="B323" s="43" t="s">
        <v>27</v>
      </c>
      <c r="C323" s="44">
        <v>0</v>
      </c>
      <c r="D323" s="44">
        <v>0</v>
      </c>
      <c r="E323" s="44">
        <v>317</v>
      </c>
      <c r="F323" s="44">
        <v>509.5</v>
      </c>
    </row>
    <row r="324" spans="1:6">
      <c r="A324" s="42">
        <v>46247.125</v>
      </c>
      <c r="B324" s="43" t="s">
        <v>27</v>
      </c>
      <c r="C324" s="44">
        <v>0</v>
      </c>
      <c r="D324" s="44">
        <v>0</v>
      </c>
      <c r="E324" s="44">
        <v>317</v>
      </c>
      <c r="F324" s="44">
        <v>509.5</v>
      </c>
    </row>
    <row r="325" spans="1:6">
      <c r="A325" s="42">
        <v>46247.166666666664</v>
      </c>
      <c r="B325" s="43" t="s">
        <v>27</v>
      </c>
      <c r="C325" s="44">
        <v>0</v>
      </c>
      <c r="D325" s="44">
        <v>0</v>
      </c>
      <c r="E325" s="44">
        <v>317</v>
      </c>
      <c r="F325" s="44">
        <v>509.5</v>
      </c>
    </row>
    <row r="326" spans="1:6">
      <c r="A326" s="42">
        <v>46247.208333333336</v>
      </c>
      <c r="B326" s="43" t="s">
        <v>27</v>
      </c>
      <c r="C326" s="44">
        <v>0</v>
      </c>
      <c r="D326" s="44">
        <v>0</v>
      </c>
      <c r="E326" s="44">
        <v>317</v>
      </c>
      <c r="F326" s="44">
        <v>509.5</v>
      </c>
    </row>
    <row r="327" spans="1:6">
      <c r="A327" s="42">
        <v>46247.25</v>
      </c>
      <c r="B327" s="43" t="s">
        <v>27</v>
      </c>
      <c r="C327" s="44">
        <v>0</v>
      </c>
      <c r="D327" s="44">
        <v>0</v>
      </c>
      <c r="E327" s="44">
        <v>317</v>
      </c>
      <c r="F327" s="44">
        <v>509.5</v>
      </c>
    </row>
    <row r="328" spans="1:6">
      <c r="A328" s="42">
        <v>46247.291666666664</v>
      </c>
      <c r="B328" s="43" t="s">
        <v>27</v>
      </c>
      <c r="C328" s="44">
        <v>0</v>
      </c>
      <c r="D328" s="44">
        <v>0</v>
      </c>
      <c r="E328" s="44">
        <v>317</v>
      </c>
      <c r="F328" s="44">
        <v>509.5</v>
      </c>
    </row>
    <row r="329" spans="1:6">
      <c r="A329" s="42">
        <v>46247.333333333336</v>
      </c>
      <c r="B329" s="43" t="s">
        <v>27</v>
      </c>
      <c r="C329" s="44">
        <v>0</v>
      </c>
      <c r="D329" s="44">
        <v>0</v>
      </c>
      <c r="E329" s="44">
        <v>317</v>
      </c>
      <c r="F329" s="44">
        <v>509.5</v>
      </c>
    </row>
    <row r="330" spans="1:6">
      <c r="A330" s="42">
        <v>46247.375</v>
      </c>
      <c r="B330" s="43" t="s">
        <v>27</v>
      </c>
      <c r="C330" s="44">
        <v>0</v>
      </c>
      <c r="D330" s="44">
        <v>0</v>
      </c>
      <c r="E330" s="44">
        <v>317</v>
      </c>
      <c r="F330" s="44">
        <v>509.5</v>
      </c>
    </row>
    <row r="331" spans="1:6">
      <c r="A331" s="42">
        <v>46247.416666666664</v>
      </c>
      <c r="B331" s="43" t="s">
        <v>27</v>
      </c>
      <c r="C331" s="44">
        <v>0</v>
      </c>
      <c r="D331" s="44">
        <v>0</v>
      </c>
      <c r="E331" s="44">
        <v>317</v>
      </c>
      <c r="F331" s="44">
        <v>509.5</v>
      </c>
    </row>
    <row r="332" spans="1:6">
      <c r="A332" s="42">
        <v>46247.458333333336</v>
      </c>
      <c r="B332" s="43" t="s">
        <v>27</v>
      </c>
      <c r="C332" s="44">
        <v>0</v>
      </c>
      <c r="D332" s="44">
        <v>0</v>
      </c>
      <c r="E332" s="44">
        <v>317</v>
      </c>
      <c r="F332" s="44">
        <v>509.5</v>
      </c>
    </row>
    <row r="333" spans="1:6">
      <c r="A333" s="42">
        <v>46247.5</v>
      </c>
      <c r="B333" s="43" t="s">
        <v>27</v>
      </c>
      <c r="C333" s="44">
        <v>0</v>
      </c>
      <c r="D333" s="44">
        <v>0</v>
      </c>
      <c r="E333" s="44">
        <v>317</v>
      </c>
      <c r="F333" s="44">
        <v>509.5</v>
      </c>
    </row>
    <row r="334" spans="1:6">
      <c r="A334" s="42">
        <v>46247.541666666664</v>
      </c>
      <c r="B334" s="43" t="s">
        <v>27</v>
      </c>
      <c r="C334" s="44">
        <v>0</v>
      </c>
      <c r="D334" s="44">
        <v>0</v>
      </c>
      <c r="E334" s="44">
        <v>317</v>
      </c>
      <c r="F334" s="44">
        <v>509.5</v>
      </c>
    </row>
    <row r="335" spans="1:6">
      <c r="A335" s="42">
        <v>46247.583333333336</v>
      </c>
      <c r="B335" s="43" t="s">
        <v>27</v>
      </c>
      <c r="C335" s="44">
        <v>0</v>
      </c>
      <c r="D335" s="44">
        <v>0</v>
      </c>
      <c r="E335" s="44">
        <v>317</v>
      </c>
      <c r="F335" s="44">
        <v>509.5</v>
      </c>
    </row>
    <row r="336" spans="1:6">
      <c r="A336" s="42">
        <v>46247.625</v>
      </c>
      <c r="B336" s="43" t="s">
        <v>27</v>
      </c>
      <c r="C336" s="44">
        <v>0</v>
      </c>
      <c r="D336" s="44">
        <v>0</v>
      </c>
      <c r="E336" s="44">
        <v>317</v>
      </c>
      <c r="F336" s="44">
        <v>509.5</v>
      </c>
    </row>
    <row r="337" spans="1:6">
      <c r="A337" s="42">
        <v>46247.666666666664</v>
      </c>
      <c r="B337" s="43" t="s">
        <v>27</v>
      </c>
      <c r="C337" s="44">
        <v>0</v>
      </c>
      <c r="D337" s="44">
        <v>0</v>
      </c>
      <c r="E337" s="44">
        <v>317</v>
      </c>
      <c r="F337" s="44">
        <v>509.5</v>
      </c>
    </row>
    <row r="338" spans="1:6">
      <c r="A338" s="42">
        <v>46247.708333333336</v>
      </c>
      <c r="B338" s="43" t="s">
        <v>27</v>
      </c>
      <c r="C338" s="44">
        <v>0</v>
      </c>
      <c r="D338" s="44">
        <v>0</v>
      </c>
      <c r="E338" s="44">
        <v>317</v>
      </c>
      <c r="F338" s="44">
        <v>509.5</v>
      </c>
    </row>
    <row r="339" spans="1:6">
      <c r="A339" s="42">
        <v>46247.75</v>
      </c>
      <c r="B339" s="43" t="s">
        <v>27</v>
      </c>
      <c r="C339" s="44">
        <v>0</v>
      </c>
      <c r="D339" s="44">
        <v>0</v>
      </c>
      <c r="E339" s="44">
        <v>317</v>
      </c>
      <c r="F339" s="44">
        <v>509.5</v>
      </c>
    </row>
    <row r="340" spans="1:6">
      <c r="A340" s="42">
        <v>46247.791666666664</v>
      </c>
      <c r="B340" s="43" t="s">
        <v>27</v>
      </c>
      <c r="C340" s="44">
        <v>0</v>
      </c>
      <c r="D340" s="44">
        <v>0</v>
      </c>
      <c r="E340" s="44">
        <v>317</v>
      </c>
      <c r="F340" s="44">
        <v>509.5</v>
      </c>
    </row>
    <row r="341" spans="1:6">
      <c r="A341" s="42">
        <v>46247.833333333336</v>
      </c>
      <c r="B341" s="43" t="s">
        <v>27</v>
      </c>
      <c r="C341" s="44">
        <v>0</v>
      </c>
      <c r="D341" s="44">
        <v>0</v>
      </c>
      <c r="E341" s="44">
        <v>317</v>
      </c>
      <c r="F341" s="44">
        <v>509.5</v>
      </c>
    </row>
    <row r="342" spans="1:6">
      <c r="A342" s="42">
        <v>46247.875</v>
      </c>
      <c r="B342" s="43" t="s">
        <v>27</v>
      </c>
      <c r="C342" s="44">
        <v>0</v>
      </c>
      <c r="D342" s="44">
        <v>0</v>
      </c>
      <c r="E342" s="44">
        <v>317</v>
      </c>
      <c r="F342" s="44">
        <v>509.5</v>
      </c>
    </row>
    <row r="343" spans="1:6">
      <c r="A343" s="42">
        <v>46247.916666666664</v>
      </c>
      <c r="B343" s="43" t="s">
        <v>27</v>
      </c>
      <c r="C343" s="44">
        <v>0</v>
      </c>
      <c r="D343" s="44">
        <v>0</v>
      </c>
      <c r="E343" s="44">
        <v>317</v>
      </c>
      <c r="F343" s="44">
        <v>509.5</v>
      </c>
    </row>
    <row r="344" spans="1:6">
      <c r="A344" s="42">
        <v>46247.958333333336</v>
      </c>
      <c r="B344" s="43" t="s">
        <v>27</v>
      </c>
      <c r="C344" s="44">
        <v>0</v>
      </c>
      <c r="D344" s="44">
        <v>0</v>
      </c>
      <c r="E344" s="44">
        <v>317</v>
      </c>
      <c r="F344" s="44">
        <v>509.5</v>
      </c>
    </row>
    <row r="345" spans="1:6">
      <c r="A345" s="42">
        <v>46248</v>
      </c>
      <c r="B345" s="43" t="s">
        <v>27</v>
      </c>
      <c r="C345" s="44">
        <v>0</v>
      </c>
      <c r="D345" s="44">
        <v>0</v>
      </c>
      <c r="E345" s="44">
        <v>317</v>
      </c>
      <c r="F345" s="44">
        <v>509.5</v>
      </c>
    </row>
    <row r="346" spans="1:6">
      <c r="A346" s="42">
        <v>46248.041666666664</v>
      </c>
      <c r="B346" s="43" t="s">
        <v>27</v>
      </c>
      <c r="C346" s="44">
        <v>0</v>
      </c>
      <c r="D346" s="44">
        <v>0</v>
      </c>
      <c r="E346" s="44">
        <v>317</v>
      </c>
      <c r="F346" s="44">
        <v>509.5</v>
      </c>
    </row>
    <row r="347" spans="1:6">
      <c r="A347" s="42">
        <v>46248.083333333336</v>
      </c>
      <c r="B347" s="43" t="s">
        <v>27</v>
      </c>
      <c r="C347" s="44">
        <v>0</v>
      </c>
      <c r="D347" s="44">
        <v>0</v>
      </c>
      <c r="E347" s="44">
        <v>317</v>
      </c>
      <c r="F347" s="44">
        <v>509.5</v>
      </c>
    </row>
    <row r="348" spans="1:6">
      <c r="A348" s="42">
        <v>46248.125</v>
      </c>
      <c r="B348" s="43" t="s">
        <v>27</v>
      </c>
      <c r="C348" s="44">
        <v>0</v>
      </c>
      <c r="D348" s="44">
        <v>0</v>
      </c>
      <c r="E348" s="44">
        <v>317</v>
      </c>
      <c r="F348" s="44">
        <v>509.5</v>
      </c>
    </row>
    <row r="349" spans="1:6">
      <c r="A349" s="42">
        <v>46248.166666666664</v>
      </c>
      <c r="B349" s="43" t="s">
        <v>27</v>
      </c>
      <c r="C349" s="44">
        <v>0</v>
      </c>
      <c r="D349" s="44">
        <v>0</v>
      </c>
      <c r="E349" s="44">
        <v>317</v>
      </c>
      <c r="F349" s="44">
        <v>509.5</v>
      </c>
    </row>
    <row r="350" spans="1:6">
      <c r="A350" s="42">
        <v>46248.208333333336</v>
      </c>
      <c r="B350" s="43" t="s">
        <v>27</v>
      </c>
      <c r="C350" s="44">
        <v>0</v>
      </c>
      <c r="D350" s="44">
        <v>0</v>
      </c>
      <c r="E350" s="44">
        <v>317</v>
      </c>
      <c r="F350" s="44">
        <v>509.5</v>
      </c>
    </row>
    <row r="351" spans="1:6">
      <c r="A351" s="42">
        <v>46248.25</v>
      </c>
      <c r="B351" s="43" t="s">
        <v>27</v>
      </c>
      <c r="C351" s="44">
        <v>0</v>
      </c>
      <c r="D351" s="44">
        <v>0</v>
      </c>
      <c r="E351" s="44">
        <v>317</v>
      </c>
      <c r="F351" s="44">
        <v>509.5</v>
      </c>
    </row>
    <row r="352" spans="1:6">
      <c r="A352" s="42">
        <v>46248.291666666664</v>
      </c>
      <c r="B352" s="43" t="s">
        <v>27</v>
      </c>
      <c r="C352" s="44">
        <v>0</v>
      </c>
      <c r="D352" s="44">
        <v>0</v>
      </c>
      <c r="E352" s="44">
        <v>317</v>
      </c>
      <c r="F352" s="44">
        <v>509.5</v>
      </c>
    </row>
    <row r="353" spans="1:6">
      <c r="A353" s="42">
        <v>46248.333333333336</v>
      </c>
      <c r="B353" s="43" t="s">
        <v>27</v>
      </c>
      <c r="C353" s="44">
        <v>0</v>
      </c>
      <c r="D353" s="44">
        <v>0</v>
      </c>
      <c r="E353" s="44">
        <v>317</v>
      </c>
      <c r="F353" s="44">
        <v>509.5</v>
      </c>
    </row>
    <row r="354" spans="1:6">
      <c r="A354" s="42">
        <v>46248.375</v>
      </c>
      <c r="B354" s="43" t="s">
        <v>27</v>
      </c>
      <c r="C354" s="44">
        <v>0</v>
      </c>
      <c r="D354" s="44">
        <v>0</v>
      </c>
      <c r="E354" s="44">
        <v>317</v>
      </c>
      <c r="F354" s="44">
        <v>509.5</v>
      </c>
    </row>
    <row r="355" spans="1:6">
      <c r="A355" s="42">
        <v>46248.416666666664</v>
      </c>
      <c r="B355" s="43" t="s">
        <v>27</v>
      </c>
      <c r="C355" s="44">
        <v>0</v>
      </c>
      <c r="D355" s="44">
        <v>0</v>
      </c>
      <c r="E355" s="44">
        <v>317</v>
      </c>
      <c r="F355" s="44">
        <v>509.5</v>
      </c>
    </row>
    <row r="356" spans="1:6">
      <c r="A356" s="42">
        <v>46248.458333333336</v>
      </c>
      <c r="B356" s="43" t="s">
        <v>27</v>
      </c>
      <c r="C356" s="44">
        <v>0</v>
      </c>
      <c r="D356" s="44">
        <v>0</v>
      </c>
      <c r="E356" s="44">
        <v>317</v>
      </c>
      <c r="F356" s="44">
        <v>509.5</v>
      </c>
    </row>
    <row r="357" spans="1:6">
      <c r="A357" s="42">
        <v>46248.5</v>
      </c>
      <c r="B357" s="43" t="s">
        <v>27</v>
      </c>
      <c r="C357" s="44">
        <v>0</v>
      </c>
      <c r="D357" s="44">
        <v>0</v>
      </c>
      <c r="E357" s="44">
        <v>317</v>
      </c>
      <c r="F357" s="44">
        <v>509.5</v>
      </c>
    </row>
    <row r="358" spans="1:6">
      <c r="A358" s="42">
        <v>46248.541666666664</v>
      </c>
      <c r="B358" s="43" t="s">
        <v>27</v>
      </c>
      <c r="C358" s="44">
        <v>0</v>
      </c>
      <c r="D358" s="44">
        <v>0</v>
      </c>
      <c r="E358" s="44">
        <v>317</v>
      </c>
      <c r="F358" s="44">
        <v>509.5</v>
      </c>
    </row>
    <row r="359" spans="1:6">
      <c r="A359" s="42">
        <v>46248.583333333336</v>
      </c>
      <c r="B359" s="43" t="s">
        <v>27</v>
      </c>
      <c r="C359" s="44">
        <v>0</v>
      </c>
      <c r="D359" s="44">
        <v>0</v>
      </c>
      <c r="E359" s="44">
        <v>317</v>
      </c>
      <c r="F359" s="44">
        <v>509.5</v>
      </c>
    </row>
    <row r="360" spans="1:6">
      <c r="A360" s="42">
        <v>46248.625</v>
      </c>
      <c r="B360" s="43" t="s">
        <v>27</v>
      </c>
      <c r="C360" s="44">
        <v>0</v>
      </c>
      <c r="D360" s="44">
        <v>0</v>
      </c>
      <c r="E360" s="44">
        <v>317</v>
      </c>
      <c r="F360" s="44">
        <v>509.5</v>
      </c>
    </row>
    <row r="361" spans="1:6">
      <c r="A361" s="42">
        <v>46248.666666666664</v>
      </c>
      <c r="B361" s="43" t="s">
        <v>27</v>
      </c>
      <c r="C361" s="44">
        <v>0</v>
      </c>
      <c r="D361" s="44">
        <v>0</v>
      </c>
      <c r="E361" s="44">
        <v>317</v>
      </c>
      <c r="F361" s="44">
        <v>509.5</v>
      </c>
    </row>
    <row r="362" spans="1:6">
      <c r="A362" s="42">
        <v>46248.708333333336</v>
      </c>
      <c r="B362" s="43" t="s">
        <v>27</v>
      </c>
      <c r="C362" s="44">
        <v>0</v>
      </c>
      <c r="D362" s="44">
        <v>0</v>
      </c>
      <c r="E362" s="44">
        <v>317</v>
      </c>
      <c r="F362" s="44">
        <v>509.5</v>
      </c>
    </row>
    <row r="363" spans="1:6">
      <c r="A363" s="42">
        <v>46248.75</v>
      </c>
      <c r="B363" s="43" t="s">
        <v>27</v>
      </c>
      <c r="C363" s="44">
        <v>0</v>
      </c>
      <c r="D363" s="44">
        <v>0</v>
      </c>
      <c r="E363" s="44">
        <v>317</v>
      </c>
      <c r="F363" s="44">
        <v>509.5</v>
      </c>
    </row>
    <row r="364" spans="1:6">
      <c r="A364" s="42">
        <v>46248.791666666664</v>
      </c>
      <c r="B364" s="43" t="s">
        <v>27</v>
      </c>
      <c r="C364" s="44">
        <v>0</v>
      </c>
      <c r="D364" s="44">
        <v>0</v>
      </c>
      <c r="E364" s="44">
        <v>317</v>
      </c>
      <c r="F364" s="44">
        <v>509.5</v>
      </c>
    </row>
    <row r="365" spans="1:6">
      <c r="A365" s="42">
        <v>46248.833333333336</v>
      </c>
      <c r="B365" s="43" t="s">
        <v>27</v>
      </c>
      <c r="C365" s="44">
        <v>0</v>
      </c>
      <c r="D365" s="44">
        <v>0</v>
      </c>
      <c r="E365" s="44">
        <v>317</v>
      </c>
      <c r="F365" s="44">
        <v>509.5</v>
      </c>
    </row>
    <row r="366" spans="1:6">
      <c r="A366" s="42">
        <v>46248.875</v>
      </c>
      <c r="B366" s="43" t="s">
        <v>27</v>
      </c>
      <c r="C366" s="44">
        <v>0</v>
      </c>
      <c r="D366" s="44">
        <v>0</v>
      </c>
      <c r="E366" s="44">
        <v>317</v>
      </c>
      <c r="F366" s="44">
        <v>509.5</v>
      </c>
    </row>
    <row r="367" spans="1:6">
      <c r="A367" s="42">
        <v>46248.916666666664</v>
      </c>
      <c r="B367" s="43" t="s">
        <v>27</v>
      </c>
      <c r="C367" s="44">
        <v>0</v>
      </c>
      <c r="D367" s="44">
        <v>0</v>
      </c>
      <c r="E367" s="44">
        <v>317</v>
      </c>
      <c r="F367" s="44">
        <v>509.5</v>
      </c>
    </row>
    <row r="368" spans="1:6">
      <c r="A368" s="42">
        <v>46248.958333333336</v>
      </c>
      <c r="B368" s="43" t="s">
        <v>27</v>
      </c>
      <c r="C368" s="44">
        <v>0</v>
      </c>
      <c r="D368" s="44">
        <v>0</v>
      </c>
      <c r="E368" s="44">
        <v>317</v>
      </c>
      <c r="F368" s="44">
        <v>509.5</v>
      </c>
    </row>
    <row r="369" spans="1:6">
      <c r="A369" s="42">
        <v>46249</v>
      </c>
      <c r="B369" s="43" t="s">
        <v>27</v>
      </c>
      <c r="C369" s="44">
        <v>0</v>
      </c>
      <c r="D369" s="44">
        <v>0</v>
      </c>
      <c r="E369" s="44">
        <v>317</v>
      </c>
      <c r="F369" s="44">
        <v>509.5</v>
      </c>
    </row>
    <row r="370" spans="1:6">
      <c r="A370" s="42">
        <v>46249.041666666664</v>
      </c>
      <c r="B370" s="43" t="s">
        <v>27</v>
      </c>
      <c r="C370" s="44">
        <v>0</v>
      </c>
      <c r="D370" s="44">
        <v>0</v>
      </c>
      <c r="E370" s="44">
        <v>317</v>
      </c>
      <c r="F370" s="44">
        <v>509.5</v>
      </c>
    </row>
    <row r="371" spans="1:6">
      <c r="A371" s="42">
        <v>46249.083333333336</v>
      </c>
      <c r="B371" s="43" t="s">
        <v>27</v>
      </c>
      <c r="C371" s="44">
        <v>0</v>
      </c>
      <c r="D371" s="44">
        <v>0</v>
      </c>
      <c r="E371" s="44">
        <v>317</v>
      </c>
      <c r="F371" s="44">
        <v>509.5</v>
      </c>
    </row>
    <row r="372" spans="1:6">
      <c r="A372" s="42">
        <v>46249.125</v>
      </c>
      <c r="B372" s="43" t="s">
        <v>27</v>
      </c>
      <c r="C372" s="44">
        <v>0</v>
      </c>
      <c r="D372" s="44">
        <v>0</v>
      </c>
      <c r="E372" s="44">
        <v>317</v>
      </c>
      <c r="F372" s="44">
        <v>509.5</v>
      </c>
    </row>
    <row r="373" spans="1:6">
      <c r="A373" s="42">
        <v>46249.166666666664</v>
      </c>
      <c r="B373" s="43" t="s">
        <v>27</v>
      </c>
      <c r="C373" s="44">
        <v>0</v>
      </c>
      <c r="D373" s="44">
        <v>0</v>
      </c>
      <c r="E373" s="44">
        <v>317</v>
      </c>
      <c r="F373" s="44">
        <v>509.5</v>
      </c>
    </row>
    <row r="374" spans="1:6">
      <c r="A374" s="42">
        <v>46249.208333333336</v>
      </c>
      <c r="B374" s="43" t="s">
        <v>27</v>
      </c>
      <c r="C374" s="44">
        <v>0</v>
      </c>
      <c r="D374" s="44">
        <v>0</v>
      </c>
      <c r="E374" s="44">
        <v>317</v>
      </c>
      <c r="F374" s="44">
        <v>509.5</v>
      </c>
    </row>
    <row r="375" spans="1:6">
      <c r="A375" s="42">
        <v>46249.25</v>
      </c>
      <c r="B375" s="43" t="s">
        <v>27</v>
      </c>
      <c r="C375" s="44">
        <v>0</v>
      </c>
      <c r="D375" s="44">
        <v>0</v>
      </c>
      <c r="E375" s="44">
        <v>317</v>
      </c>
      <c r="F375" s="44">
        <v>509.5</v>
      </c>
    </row>
    <row r="376" spans="1:6">
      <c r="A376" s="42">
        <v>46249.291666666664</v>
      </c>
      <c r="B376" s="43" t="s">
        <v>27</v>
      </c>
      <c r="C376" s="44">
        <v>0</v>
      </c>
      <c r="D376" s="44">
        <v>0</v>
      </c>
      <c r="E376" s="44">
        <v>317</v>
      </c>
      <c r="F376" s="44">
        <v>509.5</v>
      </c>
    </row>
    <row r="377" spans="1:6">
      <c r="A377" s="42">
        <v>46249.333333333336</v>
      </c>
      <c r="B377" s="43" t="s">
        <v>27</v>
      </c>
      <c r="C377" s="44">
        <v>0</v>
      </c>
      <c r="D377" s="44">
        <v>0</v>
      </c>
      <c r="E377" s="44">
        <v>317</v>
      </c>
      <c r="F377" s="44">
        <v>509.5</v>
      </c>
    </row>
    <row r="378" spans="1:6">
      <c r="A378" s="42">
        <v>46249.375</v>
      </c>
      <c r="B378" s="43" t="s">
        <v>27</v>
      </c>
      <c r="C378" s="44">
        <v>0</v>
      </c>
      <c r="D378" s="44">
        <v>0</v>
      </c>
      <c r="E378" s="44">
        <v>317</v>
      </c>
      <c r="F378" s="44">
        <v>509.5</v>
      </c>
    </row>
    <row r="379" spans="1:6">
      <c r="A379" s="42">
        <v>46249.416666666664</v>
      </c>
      <c r="B379" s="43" t="s">
        <v>27</v>
      </c>
      <c r="C379" s="44">
        <v>0</v>
      </c>
      <c r="D379" s="44">
        <v>0</v>
      </c>
      <c r="E379" s="44">
        <v>317</v>
      </c>
      <c r="F379" s="44">
        <v>509.5</v>
      </c>
    </row>
    <row r="380" spans="1:6">
      <c r="A380" s="42">
        <v>46249.458333333336</v>
      </c>
      <c r="B380" s="43" t="s">
        <v>27</v>
      </c>
      <c r="C380" s="44">
        <v>0</v>
      </c>
      <c r="D380" s="44">
        <v>0</v>
      </c>
      <c r="E380" s="44">
        <v>317</v>
      </c>
      <c r="F380" s="44">
        <v>509.5</v>
      </c>
    </row>
    <row r="381" spans="1:6">
      <c r="A381" s="42">
        <v>46249.5</v>
      </c>
      <c r="B381" s="43" t="s">
        <v>27</v>
      </c>
      <c r="C381" s="44">
        <v>0</v>
      </c>
      <c r="D381" s="44">
        <v>0</v>
      </c>
      <c r="E381" s="44">
        <v>317</v>
      </c>
      <c r="F381" s="44">
        <v>509.5</v>
      </c>
    </row>
    <row r="382" spans="1:6">
      <c r="A382" s="42">
        <v>46249.541666666664</v>
      </c>
      <c r="B382" s="43" t="s">
        <v>27</v>
      </c>
      <c r="C382" s="44">
        <v>0</v>
      </c>
      <c r="D382" s="44">
        <v>0</v>
      </c>
      <c r="E382" s="44">
        <v>317</v>
      </c>
      <c r="F382" s="44">
        <v>509.5</v>
      </c>
    </row>
    <row r="383" spans="1:6">
      <c r="A383" s="42">
        <v>46249.583333333336</v>
      </c>
      <c r="B383" s="43" t="s">
        <v>27</v>
      </c>
      <c r="C383" s="44">
        <v>0</v>
      </c>
      <c r="D383" s="44">
        <v>0</v>
      </c>
      <c r="E383" s="44">
        <v>317</v>
      </c>
      <c r="F383" s="44">
        <v>509.5</v>
      </c>
    </row>
    <row r="384" spans="1:6">
      <c r="A384" s="42">
        <v>46249.625</v>
      </c>
      <c r="B384" s="43" t="s">
        <v>27</v>
      </c>
      <c r="C384" s="44">
        <v>0</v>
      </c>
      <c r="D384" s="44">
        <v>0</v>
      </c>
      <c r="E384" s="44">
        <v>317</v>
      </c>
      <c r="F384" s="44">
        <v>509.5</v>
      </c>
    </row>
    <row r="385" spans="1:6">
      <c r="A385" s="42">
        <v>46249.666666666664</v>
      </c>
      <c r="B385" s="43" t="s">
        <v>27</v>
      </c>
      <c r="C385" s="44">
        <v>0</v>
      </c>
      <c r="D385" s="44">
        <v>0</v>
      </c>
      <c r="E385" s="44">
        <v>317</v>
      </c>
      <c r="F385" s="44">
        <v>509.5</v>
      </c>
    </row>
    <row r="386" spans="1:6">
      <c r="A386" s="42">
        <v>46249.708333333336</v>
      </c>
      <c r="B386" s="43" t="s">
        <v>27</v>
      </c>
      <c r="C386" s="44">
        <v>0</v>
      </c>
      <c r="D386" s="44">
        <v>0</v>
      </c>
      <c r="E386" s="44">
        <v>317</v>
      </c>
      <c r="F386" s="44">
        <v>509.5</v>
      </c>
    </row>
    <row r="387" spans="1:6">
      <c r="A387" s="42">
        <v>46249.75</v>
      </c>
      <c r="B387" s="43" t="s">
        <v>27</v>
      </c>
      <c r="C387" s="44">
        <v>0</v>
      </c>
      <c r="D387" s="44">
        <v>0</v>
      </c>
      <c r="E387" s="44">
        <v>317</v>
      </c>
      <c r="F387" s="44">
        <v>509.5</v>
      </c>
    </row>
    <row r="388" spans="1:6">
      <c r="A388" s="42">
        <v>46249.791666666664</v>
      </c>
      <c r="B388" s="43" t="s">
        <v>27</v>
      </c>
      <c r="C388" s="44">
        <v>0</v>
      </c>
      <c r="D388" s="44">
        <v>0</v>
      </c>
      <c r="E388" s="44">
        <v>317</v>
      </c>
      <c r="F388" s="44">
        <v>509.5</v>
      </c>
    </row>
    <row r="389" spans="1:6">
      <c r="A389" s="42">
        <v>46249.833333333336</v>
      </c>
      <c r="B389" s="43" t="s">
        <v>27</v>
      </c>
      <c r="C389" s="44">
        <v>0</v>
      </c>
      <c r="D389" s="44">
        <v>0</v>
      </c>
      <c r="E389" s="44">
        <v>317</v>
      </c>
      <c r="F389" s="44">
        <v>509.5</v>
      </c>
    </row>
    <row r="390" spans="1:6">
      <c r="A390" s="42">
        <v>46249.875</v>
      </c>
      <c r="B390" s="43" t="s">
        <v>27</v>
      </c>
      <c r="C390" s="44">
        <v>0</v>
      </c>
      <c r="D390" s="44">
        <v>0</v>
      </c>
      <c r="E390" s="44">
        <v>317</v>
      </c>
      <c r="F390" s="44">
        <v>509.5</v>
      </c>
    </row>
    <row r="391" spans="1:6">
      <c r="A391" s="42">
        <v>46249.916666666664</v>
      </c>
      <c r="B391" s="43" t="s">
        <v>27</v>
      </c>
      <c r="C391" s="44">
        <v>0</v>
      </c>
      <c r="D391" s="44">
        <v>0</v>
      </c>
      <c r="E391" s="44">
        <v>317</v>
      </c>
      <c r="F391" s="44">
        <v>509.5</v>
      </c>
    </row>
    <row r="392" spans="1:6">
      <c r="A392" s="42">
        <v>46249.958333333336</v>
      </c>
      <c r="B392" s="43" t="s">
        <v>27</v>
      </c>
      <c r="C392" s="44">
        <v>0</v>
      </c>
      <c r="D392" s="44">
        <v>0</v>
      </c>
      <c r="E392" s="44">
        <v>317</v>
      </c>
      <c r="F392" s="44">
        <v>509.5</v>
      </c>
    </row>
    <row r="393" spans="1:6">
      <c r="A393" s="42">
        <v>46250</v>
      </c>
      <c r="B393" s="43" t="s">
        <v>27</v>
      </c>
      <c r="C393" s="44">
        <v>0</v>
      </c>
      <c r="D393" s="44">
        <v>0</v>
      </c>
      <c r="E393" s="44">
        <v>317</v>
      </c>
      <c r="F393" s="44">
        <v>509.5</v>
      </c>
    </row>
    <row r="394" spans="1:6">
      <c r="A394" s="42">
        <v>46250.041666666664</v>
      </c>
      <c r="B394" s="43" t="s">
        <v>27</v>
      </c>
      <c r="C394" s="44">
        <v>0</v>
      </c>
      <c r="D394" s="44">
        <v>0</v>
      </c>
      <c r="E394" s="44">
        <v>317</v>
      </c>
      <c r="F394" s="44">
        <v>509.5</v>
      </c>
    </row>
    <row r="395" spans="1:6">
      <c r="A395" s="42">
        <v>46250.083333333336</v>
      </c>
      <c r="B395" s="43" t="s">
        <v>27</v>
      </c>
      <c r="C395" s="44">
        <v>0</v>
      </c>
      <c r="D395" s="44">
        <v>0</v>
      </c>
      <c r="E395" s="44">
        <v>317</v>
      </c>
      <c r="F395" s="44">
        <v>509.5</v>
      </c>
    </row>
    <row r="396" spans="1:6">
      <c r="A396" s="42">
        <v>46250.125</v>
      </c>
      <c r="B396" s="43" t="s">
        <v>27</v>
      </c>
      <c r="C396" s="44">
        <v>0</v>
      </c>
      <c r="D396" s="44">
        <v>0</v>
      </c>
      <c r="E396" s="44">
        <v>317</v>
      </c>
      <c r="F396" s="44">
        <v>509.5</v>
      </c>
    </row>
    <row r="397" spans="1:6">
      <c r="A397" s="42">
        <v>46250.166666666664</v>
      </c>
      <c r="B397" s="43" t="s">
        <v>27</v>
      </c>
      <c r="C397" s="44">
        <v>0</v>
      </c>
      <c r="D397" s="44">
        <v>0</v>
      </c>
      <c r="E397" s="44">
        <v>317</v>
      </c>
      <c r="F397" s="44">
        <v>509.5</v>
      </c>
    </row>
    <row r="398" spans="1:6">
      <c r="A398" s="42">
        <v>46250.208333333336</v>
      </c>
      <c r="B398" s="43" t="s">
        <v>27</v>
      </c>
      <c r="C398" s="44">
        <v>0</v>
      </c>
      <c r="D398" s="44">
        <v>0</v>
      </c>
      <c r="E398" s="44">
        <v>317</v>
      </c>
      <c r="F398" s="44">
        <v>509.5</v>
      </c>
    </row>
    <row r="399" spans="1:6">
      <c r="A399" s="42">
        <v>46250.25</v>
      </c>
      <c r="B399" s="43" t="s">
        <v>27</v>
      </c>
      <c r="C399" s="44">
        <v>0</v>
      </c>
      <c r="D399" s="44">
        <v>0</v>
      </c>
      <c r="E399" s="44">
        <v>317</v>
      </c>
      <c r="F399" s="44">
        <v>509.5</v>
      </c>
    </row>
    <row r="400" spans="1:6">
      <c r="A400" s="42">
        <v>46250.291666666664</v>
      </c>
      <c r="B400" s="43" t="s">
        <v>27</v>
      </c>
      <c r="C400" s="44">
        <v>0</v>
      </c>
      <c r="D400" s="44">
        <v>0</v>
      </c>
      <c r="E400" s="44">
        <v>317</v>
      </c>
      <c r="F400" s="44">
        <v>509.5</v>
      </c>
    </row>
    <row r="401" spans="1:6">
      <c r="A401" s="42">
        <v>46250.333333333336</v>
      </c>
      <c r="B401" s="43" t="s">
        <v>27</v>
      </c>
      <c r="C401" s="44">
        <v>0</v>
      </c>
      <c r="D401" s="44">
        <v>0</v>
      </c>
      <c r="E401" s="44">
        <v>317</v>
      </c>
      <c r="F401" s="44">
        <v>509.5</v>
      </c>
    </row>
    <row r="402" spans="1:6">
      <c r="A402" s="42">
        <v>46250.375</v>
      </c>
      <c r="B402" s="43" t="s">
        <v>27</v>
      </c>
      <c r="C402" s="44">
        <v>0</v>
      </c>
      <c r="D402" s="44">
        <v>0</v>
      </c>
      <c r="E402" s="44">
        <v>317</v>
      </c>
      <c r="F402" s="44">
        <v>509.5</v>
      </c>
    </row>
    <row r="403" spans="1:6">
      <c r="A403" s="42">
        <v>46250.416666666664</v>
      </c>
      <c r="B403" s="43" t="s">
        <v>27</v>
      </c>
      <c r="C403" s="44">
        <v>0</v>
      </c>
      <c r="D403" s="44">
        <v>0</v>
      </c>
      <c r="E403" s="44">
        <v>317</v>
      </c>
      <c r="F403" s="44">
        <v>509.5</v>
      </c>
    </row>
    <row r="404" spans="1:6">
      <c r="A404" s="42">
        <v>46250.458333333336</v>
      </c>
      <c r="B404" s="43" t="s">
        <v>27</v>
      </c>
      <c r="C404" s="44">
        <v>0</v>
      </c>
      <c r="D404" s="44">
        <v>0</v>
      </c>
      <c r="E404" s="44">
        <v>317</v>
      </c>
      <c r="F404" s="44">
        <v>509.5</v>
      </c>
    </row>
    <row r="405" spans="1:6">
      <c r="A405" s="42">
        <v>46250.5</v>
      </c>
      <c r="B405" s="43" t="s">
        <v>27</v>
      </c>
      <c r="C405" s="44">
        <v>0</v>
      </c>
      <c r="D405" s="44">
        <v>0</v>
      </c>
      <c r="E405" s="44">
        <v>317</v>
      </c>
      <c r="F405" s="44">
        <v>509.5</v>
      </c>
    </row>
    <row r="406" spans="1:6">
      <c r="A406" s="42">
        <v>46250.541666666664</v>
      </c>
      <c r="B406" s="43" t="s">
        <v>27</v>
      </c>
      <c r="C406" s="44">
        <v>0</v>
      </c>
      <c r="D406" s="44">
        <v>0</v>
      </c>
      <c r="E406" s="44">
        <v>317</v>
      </c>
      <c r="F406" s="44">
        <v>509.5</v>
      </c>
    </row>
    <row r="407" spans="1:6">
      <c r="A407" s="42">
        <v>46250.583333333336</v>
      </c>
      <c r="B407" s="43" t="s">
        <v>27</v>
      </c>
      <c r="C407" s="44">
        <v>0</v>
      </c>
      <c r="D407" s="44">
        <v>0</v>
      </c>
      <c r="E407" s="44">
        <v>317</v>
      </c>
      <c r="F407" s="44">
        <v>509.5</v>
      </c>
    </row>
    <row r="408" spans="1:6">
      <c r="A408" s="42">
        <v>46250.625</v>
      </c>
      <c r="B408" s="43" t="s">
        <v>27</v>
      </c>
      <c r="C408" s="44">
        <v>0</v>
      </c>
      <c r="D408" s="44">
        <v>0</v>
      </c>
      <c r="E408" s="44">
        <v>317</v>
      </c>
      <c r="F408" s="44">
        <v>509.5</v>
      </c>
    </row>
    <row r="409" spans="1:6">
      <c r="A409" s="42">
        <v>46250.666666666664</v>
      </c>
      <c r="B409" s="43" t="s">
        <v>27</v>
      </c>
      <c r="C409" s="44">
        <v>0</v>
      </c>
      <c r="D409" s="44">
        <v>0</v>
      </c>
      <c r="E409" s="44">
        <v>317</v>
      </c>
      <c r="F409" s="44">
        <v>509.5</v>
      </c>
    </row>
    <row r="410" spans="1:6">
      <c r="A410" s="42">
        <v>46250.708333333336</v>
      </c>
      <c r="B410" s="43" t="s">
        <v>27</v>
      </c>
      <c r="C410" s="44">
        <v>0</v>
      </c>
      <c r="D410" s="44">
        <v>0</v>
      </c>
      <c r="E410" s="44">
        <v>317</v>
      </c>
      <c r="F410" s="44">
        <v>509.5</v>
      </c>
    </row>
    <row r="411" spans="1:6">
      <c r="A411" s="42">
        <v>46250.75</v>
      </c>
      <c r="B411" s="43" t="s">
        <v>27</v>
      </c>
      <c r="C411" s="44">
        <v>0</v>
      </c>
      <c r="D411" s="44">
        <v>0</v>
      </c>
      <c r="E411" s="44">
        <v>317</v>
      </c>
      <c r="F411" s="44">
        <v>509.5</v>
      </c>
    </row>
    <row r="412" spans="1:6">
      <c r="A412" s="42">
        <v>46250.791666666664</v>
      </c>
      <c r="B412" s="43" t="s">
        <v>27</v>
      </c>
      <c r="C412" s="44">
        <v>0</v>
      </c>
      <c r="D412" s="44">
        <v>0</v>
      </c>
      <c r="E412" s="44">
        <v>317</v>
      </c>
      <c r="F412" s="44">
        <v>509.5</v>
      </c>
    </row>
    <row r="413" spans="1:6">
      <c r="A413" s="42">
        <v>46250.833333333336</v>
      </c>
      <c r="B413" s="43" t="s">
        <v>27</v>
      </c>
      <c r="C413" s="44">
        <v>0</v>
      </c>
      <c r="D413" s="44">
        <v>0</v>
      </c>
      <c r="E413" s="44">
        <v>317</v>
      </c>
      <c r="F413" s="44">
        <v>509.5</v>
      </c>
    </row>
    <row r="414" spans="1:6">
      <c r="A414" s="42">
        <v>46250.875</v>
      </c>
      <c r="B414" s="43" t="s">
        <v>27</v>
      </c>
      <c r="C414" s="44">
        <v>0</v>
      </c>
      <c r="D414" s="44">
        <v>0</v>
      </c>
      <c r="E414" s="44">
        <v>317</v>
      </c>
      <c r="F414" s="44">
        <v>509.5</v>
      </c>
    </row>
    <row r="415" spans="1:6">
      <c r="A415" s="42">
        <v>46250.916666666664</v>
      </c>
      <c r="B415" s="43" t="s">
        <v>27</v>
      </c>
      <c r="C415" s="44">
        <v>0</v>
      </c>
      <c r="D415" s="44">
        <v>0</v>
      </c>
      <c r="E415" s="44">
        <v>317</v>
      </c>
      <c r="F415" s="44">
        <v>509.5</v>
      </c>
    </row>
    <row r="416" spans="1:6">
      <c r="A416" s="42">
        <v>46250.958333333336</v>
      </c>
      <c r="B416" s="43" t="s">
        <v>27</v>
      </c>
      <c r="C416" s="44">
        <v>0</v>
      </c>
      <c r="D416" s="44">
        <v>0</v>
      </c>
      <c r="E416" s="44">
        <v>317</v>
      </c>
      <c r="F416" s="44">
        <v>509.5</v>
      </c>
    </row>
    <row r="417" spans="1:6">
      <c r="A417" s="42">
        <v>46251</v>
      </c>
      <c r="B417" s="43" t="s">
        <v>27</v>
      </c>
      <c r="C417" s="44">
        <v>0</v>
      </c>
      <c r="D417" s="44">
        <v>0</v>
      </c>
      <c r="E417" s="44">
        <v>317</v>
      </c>
      <c r="F417" s="44">
        <v>509.5</v>
      </c>
    </row>
    <row r="418" spans="1:6">
      <c r="A418" s="42">
        <v>46251.041666666664</v>
      </c>
      <c r="B418" s="43" t="s">
        <v>27</v>
      </c>
      <c r="C418" s="44">
        <v>0</v>
      </c>
      <c r="D418" s="44">
        <v>0</v>
      </c>
      <c r="E418" s="44">
        <v>317</v>
      </c>
      <c r="F418" s="44">
        <v>509.5</v>
      </c>
    </row>
    <row r="419" spans="1:6">
      <c r="A419" s="42">
        <v>46251.083333333336</v>
      </c>
      <c r="B419" s="43" t="s">
        <v>27</v>
      </c>
      <c r="C419" s="44">
        <v>0</v>
      </c>
      <c r="D419" s="44">
        <v>0</v>
      </c>
      <c r="E419" s="44">
        <v>317</v>
      </c>
      <c r="F419" s="44">
        <v>509.5</v>
      </c>
    </row>
    <row r="420" spans="1:6">
      <c r="A420" s="42">
        <v>46251.125</v>
      </c>
      <c r="B420" s="43" t="s">
        <v>27</v>
      </c>
      <c r="C420" s="44">
        <v>0</v>
      </c>
      <c r="D420" s="44">
        <v>0</v>
      </c>
      <c r="E420" s="44">
        <v>317</v>
      </c>
      <c r="F420" s="44">
        <v>509.5</v>
      </c>
    </row>
    <row r="421" spans="1:6">
      <c r="A421" s="42">
        <v>46251.166666666664</v>
      </c>
      <c r="B421" s="43" t="s">
        <v>27</v>
      </c>
      <c r="C421" s="44">
        <v>0</v>
      </c>
      <c r="D421" s="44">
        <v>0</v>
      </c>
      <c r="E421" s="44">
        <v>317</v>
      </c>
      <c r="F421" s="44">
        <v>509.5</v>
      </c>
    </row>
    <row r="422" spans="1:6">
      <c r="A422" s="42">
        <v>46251.208333333336</v>
      </c>
      <c r="B422" s="43" t="s">
        <v>27</v>
      </c>
      <c r="C422" s="44">
        <v>0</v>
      </c>
      <c r="D422" s="44">
        <v>0</v>
      </c>
      <c r="E422" s="44">
        <v>317</v>
      </c>
      <c r="F422" s="44">
        <v>509.5</v>
      </c>
    </row>
    <row r="423" spans="1:6">
      <c r="A423" s="42">
        <v>46251.25</v>
      </c>
      <c r="B423" s="43" t="s">
        <v>27</v>
      </c>
      <c r="C423" s="44">
        <v>0</v>
      </c>
      <c r="D423" s="44">
        <v>0</v>
      </c>
      <c r="E423" s="44">
        <v>317</v>
      </c>
      <c r="F423" s="44">
        <v>509.5</v>
      </c>
    </row>
    <row r="424" spans="1:6">
      <c r="A424" s="42">
        <v>46251.291666666664</v>
      </c>
      <c r="B424" s="43" t="s">
        <v>27</v>
      </c>
      <c r="C424" s="44">
        <v>0</v>
      </c>
      <c r="D424" s="44">
        <v>0</v>
      </c>
      <c r="E424" s="44">
        <v>317</v>
      </c>
      <c r="F424" s="44">
        <v>509.5</v>
      </c>
    </row>
    <row r="425" spans="1:6">
      <c r="A425" s="42">
        <v>46251.333333333336</v>
      </c>
      <c r="B425" s="43" t="s">
        <v>27</v>
      </c>
      <c r="C425" s="44">
        <v>0</v>
      </c>
      <c r="D425" s="44">
        <v>0</v>
      </c>
      <c r="E425" s="44">
        <v>317</v>
      </c>
      <c r="F425" s="44">
        <v>509.5</v>
      </c>
    </row>
    <row r="426" spans="1:6">
      <c r="A426" s="42">
        <v>46251.375</v>
      </c>
      <c r="B426" s="43" t="s">
        <v>27</v>
      </c>
      <c r="C426" s="44">
        <v>0</v>
      </c>
      <c r="D426" s="44">
        <v>0</v>
      </c>
      <c r="E426" s="44">
        <v>317</v>
      </c>
      <c r="F426" s="44">
        <v>509.5</v>
      </c>
    </row>
    <row r="427" spans="1:6">
      <c r="A427" s="42">
        <v>46251.416666666664</v>
      </c>
      <c r="B427" s="43" t="s">
        <v>27</v>
      </c>
      <c r="C427" s="44">
        <v>0</v>
      </c>
      <c r="D427" s="44">
        <v>0</v>
      </c>
      <c r="E427" s="44">
        <v>317</v>
      </c>
      <c r="F427" s="44">
        <v>509.5</v>
      </c>
    </row>
    <row r="428" spans="1:6">
      <c r="A428" s="42">
        <v>46251.458333333336</v>
      </c>
      <c r="B428" s="43" t="s">
        <v>27</v>
      </c>
      <c r="C428" s="44">
        <v>0</v>
      </c>
      <c r="D428" s="44">
        <v>0</v>
      </c>
      <c r="E428" s="44">
        <v>317</v>
      </c>
      <c r="F428" s="44">
        <v>509.5</v>
      </c>
    </row>
    <row r="429" spans="1:6">
      <c r="A429" s="42">
        <v>46251.5</v>
      </c>
      <c r="B429" s="43" t="s">
        <v>27</v>
      </c>
      <c r="C429" s="44">
        <v>0</v>
      </c>
      <c r="D429" s="44">
        <v>0</v>
      </c>
      <c r="E429" s="44">
        <v>317</v>
      </c>
      <c r="F429" s="44">
        <v>509.5</v>
      </c>
    </row>
    <row r="430" spans="1:6">
      <c r="A430" s="42">
        <v>46251.541666666664</v>
      </c>
      <c r="B430" s="43" t="s">
        <v>27</v>
      </c>
      <c r="C430" s="44">
        <v>0</v>
      </c>
      <c r="D430" s="44">
        <v>0</v>
      </c>
      <c r="E430" s="44">
        <v>317</v>
      </c>
      <c r="F430" s="44">
        <v>509.5</v>
      </c>
    </row>
    <row r="431" spans="1:6">
      <c r="A431" s="42">
        <v>46251.583333333336</v>
      </c>
      <c r="B431" s="43" t="s">
        <v>27</v>
      </c>
      <c r="C431" s="44">
        <v>0</v>
      </c>
      <c r="D431" s="44">
        <v>0</v>
      </c>
      <c r="E431" s="44">
        <v>317</v>
      </c>
      <c r="F431" s="44">
        <v>509.5</v>
      </c>
    </row>
    <row r="432" spans="1:6">
      <c r="A432" s="42">
        <v>46251.625</v>
      </c>
      <c r="B432" s="43" t="s">
        <v>27</v>
      </c>
      <c r="C432" s="44">
        <v>0</v>
      </c>
      <c r="D432" s="44">
        <v>0</v>
      </c>
      <c r="E432" s="44">
        <v>317</v>
      </c>
      <c r="F432" s="44">
        <v>509.5</v>
      </c>
    </row>
    <row r="433" spans="1:6">
      <c r="A433" s="42">
        <v>46251.666666666664</v>
      </c>
      <c r="B433" s="43" t="s">
        <v>27</v>
      </c>
      <c r="C433" s="44">
        <v>0</v>
      </c>
      <c r="D433" s="44">
        <v>0</v>
      </c>
      <c r="E433" s="44">
        <v>317</v>
      </c>
      <c r="F433" s="44">
        <v>509.5</v>
      </c>
    </row>
    <row r="434" spans="1:6">
      <c r="A434" s="42">
        <v>46251.708333333336</v>
      </c>
      <c r="B434" s="43" t="s">
        <v>27</v>
      </c>
      <c r="C434" s="44">
        <v>0</v>
      </c>
      <c r="D434" s="44">
        <v>0</v>
      </c>
      <c r="E434" s="44">
        <v>317</v>
      </c>
      <c r="F434" s="44">
        <v>509.5</v>
      </c>
    </row>
    <row r="435" spans="1:6">
      <c r="A435" s="42">
        <v>46251.75</v>
      </c>
      <c r="B435" s="43" t="s">
        <v>27</v>
      </c>
      <c r="C435" s="44">
        <v>0</v>
      </c>
      <c r="D435" s="44">
        <v>0</v>
      </c>
      <c r="E435" s="44">
        <v>317</v>
      </c>
      <c r="F435" s="44">
        <v>509.5</v>
      </c>
    </row>
    <row r="436" spans="1:6">
      <c r="A436" s="42">
        <v>46251.791666666664</v>
      </c>
      <c r="B436" s="43" t="s">
        <v>27</v>
      </c>
      <c r="C436" s="44">
        <v>0</v>
      </c>
      <c r="D436" s="44">
        <v>0</v>
      </c>
      <c r="E436" s="44">
        <v>317</v>
      </c>
      <c r="F436" s="44">
        <v>509.5</v>
      </c>
    </row>
    <row r="437" spans="1:6">
      <c r="A437" s="42">
        <v>46251.833333333336</v>
      </c>
      <c r="B437" s="43" t="s">
        <v>27</v>
      </c>
      <c r="C437" s="44">
        <v>0</v>
      </c>
      <c r="D437" s="44">
        <v>0</v>
      </c>
      <c r="E437" s="44">
        <v>317</v>
      </c>
      <c r="F437" s="44">
        <v>509.5</v>
      </c>
    </row>
    <row r="438" spans="1:6">
      <c r="A438" s="42">
        <v>46251.875</v>
      </c>
      <c r="B438" s="43" t="s">
        <v>27</v>
      </c>
      <c r="C438" s="44">
        <v>0</v>
      </c>
      <c r="D438" s="44">
        <v>0</v>
      </c>
      <c r="E438" s="44">
        <v>317</v>
      </c>
      <c r="F438" s="44">
        <v>509.5</v>
      </c>
    </row>
    <row r="439" spans="1:6">
      <c r="A439" s="42">
        <v>46251.916666666664</v>
      </c>
      <c r="B439" s="43" t="s">
        <v>27</v>
      </c>
      <c r="C439" s="44">
        <v>0</v>
      </c>
      <c r="D439" s="44">
        <v>0</v>
      </c>
      <c r="E439" s="44">
        <v>317</v>
      </c>
      <c r="F439" s="44">
        <v>509.5</v>
      </c>
    </row>
    <row r="440" spans="1:6">
      <c r="A440" s="42">
        <v>46251.958333333336</v>
      </c>
      <c r="B440" s="43" t="s">
        <v>27</v>
      </c>
      <c r="C440" s="44">
        <v>0</v>
      </c>
      <c r="D440" s="44">
        <v>0</v>
      </c>
      <c r="E440" s="44">
        <v>317</v>
      </c>
      <c r="F440" s="44">
        <v>509.5</v>
      </c>
    </row>
    <row r="441" spans="1:6">
      <c r="A441" s="42">
        <v>46252</v>
      </c>
      <c r="B441" s="43" t="s">
        <v>27</v>
      </c>
      <c r="C441" s="44">
        <v>0</v>
      </c>
      <c r="D441" s="44">
        <v>0</v>
      </c>
      <c r="E441" s="44">
        <v>317</v>
      </c>
      <c r="F441" s="44">
        <v>509.5</v>
      </c>
    </row>
    <row r="442" spans="1:6">
      <c r="A442" s="42">
        <v>46252.041666666664</v>
      </c>
      <c r="B442" s="43" t="s">
        <v>27</v>
      </c>
      <c r="C442" s="44">
        <v>0</v>
      </c>
      <c r="D442" s="44">
        <v>0</v>
      </c>
      <c r="E442" s="44">
        <v>317</v>
      </c>
      <c r="F442" s="44">
        <v>509.5</v>
      </c>
    </row>
    <row r="443" spans="1:6">
      <c r="A443" s="42">
        <v>46252.083333333336</v>
      </c>
      <c r="B443" s="43" t="s">
        <v>27</v>
      </c>
      <c r="C443" s="44">
        <v>0</v>
      </c>
      <c r="D443" s="44">
        <v>0</v>
      </c>
      <c r="E443" s="44">
        <v>317</v>
      </c>
      <c r="F443" s="44">
        <v>509.5</v>
      </c>
    </row>
    <row r="444" spans="1:6">
      <c r="A444" s="42">
        <v>46252.125</v>
      </c>
      <c r="B444" s="43" t="s">
        <v>27</v>
      </c>
      <c r="C444" s="44">
        <v>0</v>
      </c>
      <c r="D444" s="44">
        <v>0</v>
      </c>
      <c r="E444" s="44">
        <v>317</v>
      </c>
      <c r="F444" s="44">
        <v>509.5</v>
      </c>
    </row>
    <row r="445" spans="1:6">
      <c r="A445" s="42">
        <v>46252.166666666664</v>
      </c>
      <c r="B445" s="43" t="s">
        <v>27</v>
      </c>
      <c r="C445" s="44">
        <v>0</v>
      </c>
      <c r="D445" s="44">
        <v>0</v>
      </c>
      <c r="E445" s="44">
        <v>317</v>
      </c>
      <c r="F445" s="44">
        <v>509.5</v>
      </c>
    </row>
    <row r="446" spans="1:6">
      <c r="A446" s="42">
        <v>46252.208333333336</v>
      </c>
      <c r="B446" s="43" t="s">
        <v>27</v>
      </c>
      <c r="C446" s="44">
        <v>0</v>
      </c>
      <c r="D446" s="44">
        <v>0</v>
      </c>
      <c r="E446" s="44">
        <v>317</v>
      </c>
      <c r="F446" s="44">
        <v>509.5</v>
      </c>
    </row>
    <row r="447" spans="1:6">
      <c r="A447" s="42">
        <v>46252.25</v>
      </c>
      <c r="B447" s="43" t="s">
        <v>27</v>
      </c>
      <c r="C447" s="44">
        <v>0</v>
      </c>
      <c r="D447" s="44">
        <v>0</v>
      </c>
      <c r="E447" s="44">
        <v>317</v>
      </c>
      <c r="F447" s="44">
        <v>509.5</v>
      </c>
    </row>
    <row r="448" spans="1:6">
      <c r="A448" s="42">
        <v>46252.291666666664</v>
      </c>
      <c r="B448" s="43" t="s">
        <v>27</v>
      </c>
      <c r="C448" s="44">
        <v>0</v>
      </c>
      <c r="D448" s="44">
        <v>0</v>
      </c>
      <c r="E448" s="44">
        <v>317</v>
      </c>
      <c r="F448" s="44">
        <v>509.5</v>
      </c>
    </row>
    <row r="449" spans="1:6">
      <c r="A449" s="42">
        <v>46252.333333333336</v>
      </c>
      <c r="B449" s="43" t="s">
        <v>27</v>
      </c>
      <c r="C449" s="44">
        <v>0</v>
      </c>
      <c r="D449" s="44">
        <v>0</v>
      </c>
      <c r="E449" s="44">
        <v>317</v>
      </c>
      <c r="F449" s="44">
        <v>509.5</v>
      </c>
    </row>
    <row r="450" spans="1:6">
      <c r="A450" s="42">
        <v>46252.375</v>
      </c>
      <c r="B450" s="43" t="s">
        <v>27</v>
      </c>
      <c r="C450" s="44">
        <v>0</v>
      </c>
      <c r="D450" s="44">
        <v>0</v>
      </c>
      <c r="E450" s="44">
        <v>317</v>
      </c>
      <c r="F450" s="44">
        <v>509.5</v>
      </c>
    </row>
    <row r="451" spans="1:6">
      <c r="A451" s="42">
        <v>46252.416666666664</v>
      </c>
      <c r="B451" s="43" t="s">
        <v>27</v>
      </c>
      <c r="C451" s="44">
        <v>0</v>
      </c>
      <c r="D451" s="44">
        <v>0</v>
      </c>
      <c r="E451" s="44">
        <v>317</v>
      </c>
      <c r="F451" s="44">
        <v>509.5</v>
      </c>
    </row>
    <row r="452" spans="1:6">
      <c r="A452" s="42">
        <v>46252.458333333336</v>
      </c>
      <c r="B452" s="43" t="s">
        <v>27</v>
      </c>
      <c r="C452" s="44">
        <v>0</v>
      </c>
      <c r="D452" s="44">
        <v>0</v>
      </c>
      <c r="E452" s="44">
        <v>317</v>
      </c>
      <c r="F452" s="44">
        <v>509.5</v>
      </c>
    </row>
    <row r="453" spans="1:6">
      <c r="A453" s="42">
        <v>46252.5</v>
      </c>
      <c r="B453" s="43" t="s">
        <v>27</v>
      </c>
      <c r="C453" s="44">
        <v>0</v>
      </c>
      <c r="D453" s="44">
        <v>0</v>
      </c>
      <c r="E453" s="44">
        <v>317</v>
      </c>
      <c r="F453" s="44">
        <v>509.5</v>
      </c>
    </row>
    <row r="454" spans="1:6">
      <c r="A454" s="42">
        <v>46252.541666666664</v>
      </c>
      <c r="B454" s="43" t="s">
        <v>27</v>
      </c>
      <c r="C454" s="44">
        <v>0</v>
      </c>
      <c r="D454" s="44">
        <v>0</v>
      </c>
      <c r="E454" s="44">
        <v>317</v>
      </c>
      <c r="F454" s="44">
        <v>509.5</v>
      </c>
    </row>
    <row r="455" spans="1:6">
      <c r="A455" s="42">
        <v>46252.583333333336</v>
      </c>
      <c r="B455" s="43" t="s">
        <v>27</v>
      </c>
      <c r="C455" s="44">
        <v>0</v>
      </c>
      <c r="D455" s="44">
        <v>0</v>
      </c>
      <c r="E455" s="44">
        <v>317</v>
      </c>
      <c r="F455" s="44">
        <v>509.5</v>
      </c>
    </row>
    <row r="456" spans="1:6">
      <c r="A456" s="42">
        <v>46252.625</v>
      </c>
      <c r="B456" s="43" t="s">
        <v>27</v>
      </c>
      <c r="C456" s="44">
        <v>0</v>
      </c>
      <c r="D456" s="44">
        <v>0</v>
      </c>
      <c r="E456" s="44">
        <v>317</v>
      </c>
      <c r="F456" s="44">
        <v>509.5</v>
      </c>
    </row>
    <row r="457" spans="1:6">
      <c r="A457" s="42">
        <v>46252.666666666664</v>
      </c>
      <c r="B457" s="43" t="s">
        <v>27</v>
      </c>
      <c r="C457" s="44">
        <v>0</v>
      </c>
      <c r="D457" s="44">
        <v>0</v>
      </c>
      <c r="E457" s="44">
        <v>317</v>
      </c>
      <c r="F457" s="44">
        <v>509.5</v>
      </c>
    </row>
    <row r="458" spans="1:6">
      <c r="A458" s="42">
        <v>46252.708333333336</v>
      </c>
      <c r="B458" s="43" t="s">
        <v>27</v>
      </c>
      <c r="C458" s="44">
        <v>0</v>
      </c>
      <c r="D458" s="44">
        <v>0</v>
      </c>
      <c r="E458" s="44">
        <v>317</v>
      </c>
      <c r="F458" s="44">
        <v>509.5</v>
      </c>
    </row>
    <row r="459" spans="1:6">
      <c r="A459" s="42">
        <v>46252.75</v>
      </c>
      <c r="B459" s="43" t="s">
        <v>27</v>
      </c>
      <c r="C459" s="44">
        <v>0</v>
      </c>
      <c r="D459" s="44">
        <v>0</v>
      </c>
      <c r="E459" s="44">
        <v>317</v>
      </c>
      <c r="F459" s="44">
        <v>509.5</v>
      </c>
    </row>
    <row r="460" spans="1:6">
      <c r="A460" s="42">
        <v>46252.791666666664</v>
      </c>
      <c r="B460" s="43" t="s">
        <v>27</v>
      </c>
      <c r="C460" s="44">
        <v>0</v>
      </c>
      <c r="D460" s="44">
        <v>0</v>
      </c>
      <c r="E460" s="44">
        <v>317</v>
      </c>
      <c r="F460" s="44">
        <v>509.5</v>
      </c>
    </row>
    <row r="461" spans="1:6">
      <c r="A461" s="42">
        <v>46252.833333333336</v>
      </c>
      <c r="B461" s="43" t="s">
        <v>27</v>
      </c>
      <c r="C461" s="44">
        <v>0</v>
      </c>
      <c r="D461" s="44">
        <v>0</v>
      </c>
      <c r="E461" s="44">
        <v>317</v>
      </c>
      <c r="F461" s="44">
        <v>509.5</v>
      </c>
    </row>
    <row r="462" spans="1:6">
      <c r="A462" s="42">
        <v>46252.875</v>
      </c>
      <c r="B462" s="43" t="s">
        <v>27</v>
      </c>
      <c r="C462" s="44">
        <v>0</v>
      </c>
      <c r="D462" s="44">
        <v>0</v>
      </c>
      <c r="E462" s="44">
        <v>317</v>
      </c>
      <c r="F462" s="44">
        <v>509.5</v>
      </c>
    </row>
    <row r="463" spans="1:6">
      <c r="A463" s="42">
        <v>46252.916666666664</v>
      </c>
      <c r="B463" s="43" t="s">
        <v>27</v>
      </c>
      <c r="C463" s="44">
        <v>0</v>
      </c>
      <c r="D463" s="44">
        <v>0</v>
      </c>
      <c r="E463" s="44">
        <v>317</v>
      </c>
      <c r="F463" s="44">
        <v>509.5</v>
      </c>
    </row>
    <row r="464" spans="1:6">
      <c r="A464" s="42">
        <v>46252.958333333336</v>
      </c>
      <c r="B464" s="43" t="s">
        <v>27</v>
      </c>
      <c r="C464" s="44">
        <v>0</v>
      </c>
      <c r="D464" s="44">
        <v>0</v>
      </c>
      <c r="E464" s="44">
        <v>317</v>
      </c>
      <c r="F464" s="44">
        <v>509.5</v>
      </c>
    </row>
    <row r="465" spans="1:6">
      <c r="A465" s="42">
        <v>46253</v>
      </c>
      <c r="B465" s="43" t="s">
        <v>27</v>
      </c>
      <c r="C465" s="44">
        <v>0</v>
      </c>
      <c r="D465" s="44">
        <v>0</v>
      </c>
      <c r="E465" s="44">
        <v>317</v>
      </c>
      <c r="F465" s="44">
        <v>509.5</v>
      </c>
    </row>
    <row r="466" spans="1:6">
      <c r="A466" s="42">
        <v>46253.041666666664</v>
      </c>
      <c r="B466" s="43" t="s">
        <v>27</v>
      </c>
      <c r="C466" s="44">
        <v>0</v>
      </c>
      <c r="D466" s="44">
        <v>0</v>
      </c>
      <c r="E466" s="44">
        <v>317</v>
      </c>
      <c r="F466" s="44">
        <v>509.5</v>
      </c>
    </row>
    <row r="467" spans="1:6">
      <c r="A467" s="42">
        <v>46253.083333333336</v>
      </c>
      <c r="B467" s="43" t="s">
        <v>27</v>
      </c>
      <c r="C467" s="44">
        <v>0</v>
      </c>
      <c r="D467" s="44">
        <v>0</v>
      </c>
      <c r="E467" s="44">
        <v>317</v>
      </c>
      <c r="F467" s="44">
        <v>509.5</v>
      </c>
    </row>
    <row r="468" spans="1:6">
      <c r="A468" s="42">
        <v>46253.125</v>
      </c>
      <c r="B468" s="43" t="s">
        <v>27</v>
      </c>
      <c r="C468" s="44">
        <v>0</v>
      </c>
      <c r="D468" s="44">
        <v>0</v>
      </c>
      <c r="E468" s="44">
        <v>317</v>
      </c>
      <c r="F468" s="44">
        <v>509.5</v>
      </c>
    </row>
    <row r="469" spans="1:6">
      <c r="A469" s="42">
        <v>46253.166666666664</v>
      </c>
      <c r="B469" s="43" t="s">
        <v>27</v>
      </c>
      <c r="C469" s="44">
        <v>0</v>
      </c>
      <c r="D469" s="44">
        <v>0</v>
      </c>
      <c r="E469" s="44">
        <v>317</v>
      </c>
      <c r="F469" s="44">
        <v>509.5</v>
      </c>
    </row>
    <row r="470" spans="1:6">
      <c r="A470" s="42">
        <v>46253.208333333336</v>
      </c>
      <c r="B470" s="43" t="s">
        <v>27</v>
      </c>
      <c r="C470" s="44">
        <v>0</v>
      </c>
      <c r="D470" s="44">
        <v>0</v>
      </c>
      <c r="E470" s="44">
        <v>317</v>
      </c>
      <c r="F470" s="44">
        <v>509.5</v>
      </c>
    </row>
    <row r="471" spans="1:6">
      <c r="A471" s="42">
        <v>46253.25</v>
      </c>
      <c r="B471" s="43" t="s">
        <v>27</v>
      </c>
      <c r="C471" s="44">
        <v>0</v>
      </c>
      <c r="D471" s="44">
        <v>0</v>
      </c>
      <c r="E471" s="44">
        <v>317</v>
      </c>
      <c r="F471" s="44">
        <v>509.5</v>
      </c>
    </row>
    <row r="472" spans="1:6">
      <c r="A472" s="42">
        <v>46253.291666666664</v>
      </c>
      <c r="B472" s="43" t="s">
        <v>27</v>
      </c>
      <c r="C472" s="44">
        <v>0</v>
      </c>
      <c r="D472" s="44">
        <v>0</v>
      </c>
      <c r="E472" s="44">
        <v>317</v>
      </c>
      <c r="F472" s="44">
        <v>509.5</v>
      </c>
    </row>
    <row r="473" spans="1:6">
      <c r="A473" s="42">
        <v>46253.333333333336</v>
      </c>
      <c r="B473" s="43" t="s">
        <v>27</v>
      </c>
      <c r="C473" s="44">
        <v>0</v>
      </c>
      <c r="D473" s="44">
        <v>0</v>
      </c>
      <c r="E473" s="44">
        <v>317</v>
      </c>
      <c r="F473" s="44">
        <v>509.5</v>
      </c>
    </row>
    <row r="474" spans="1:6">
      <c r="A474" s="42">
        <v>46253.375</v>
      </c>
      <c r="B474" s="43" t="s">
        <v>27</v>
      </c>
      <c r="C474" s="44">
        <v>0</v>
      </c>
      <c r="D474" s="44">
        <v>0</v>
      </c>
      <c r="E474" s="44">
        <v>317</v>
      </c>
      <c r="F474" s="44">
        <v>509.5</v>
      </c>
    </row>
    <row r="475" spans="1:6">
      <c r="A475" s="42">
        <v>46253.416666666664</v>
      </c>
      <c r="B475" s="43" t="s">
        <v>27</v>
      </c>
      <c r="C475" s="44">
        <v>0</v>
      </c>
      <c r="D475" s="44">
        <v>0</v>
      </c>
      <c r="E475" s="44">
        <v>317</v>
      </c>
      <c r="F475" s="44">
        <v>509.5</v>
      </c>
    </row>
    <row r="476" spans="1:6">
      <c r="A476" s="42">
        <v>46253.458333333336</v>
      </c>
      <c r="B476" s="43" t="s">
        <v>27</v>
      </c>
      <c r="C476" s="44">
        <v>0</v>
      </c>
      <c r="D476" s="44">
        <v>0</v>
      </c>
      <c r="E476" s="44">
        <v>317</v>
      </c>
      <c r="F476" s="44">
        <v>509.5</v>
      </c>
    </row>
    <row r="477" spans="1:6">
      <c r="A477" s="42">
        <v>46253.5</v>
      </c>
      <c r="B477" s="43" t="s">
        <v>27</v>
      </c>
      <c r="C477" s="44">
        <v>0</v>
      </c>
      <c r="D477" s="44">
        <v>0</v>
      </c>
      <c r="E477" s="44">
        <v>317</v>
      </c>
      <c r="F477" s="44">
        <v>509.5</v>
      </c>
    </row>
    <row r="478" spans="1:6">
      <c r="A478" s="42">
        <v>46253.541666666664</v>
      </c>
      <c r="B478" s="43" t="s">
        <v>27</v>
      </c>
      <c r="C478" s="44">
        <v>0</v>
      </c>
      <c r="D478" s="44">
        <v>0</v>
      </c>
      <c r="E478" s="44">
        <v>317</v>
      </c>
      <c r="F478" s="44">
        <v>509.5</v>
      </c>
    </row>
    <row r="479" spans="1:6">
      <c r="A479" s="42">
        <v>46253.583333333336</v>
      </c>
      <c r="B479" s="43" t="s">
        <v>27</v>
      </c>
      <c r="C479" s="44">
        <v>0</v>
      </c>
      <c r="D479" s="44">
        <v>0</v>
      </c>
      <c r="E479" s="44">
        <v>317</v>
      </c>
      <c r="F479" s="44">
        <v>509.5</v>
      </c>
    </row>
    <row r="480" spans="1:6">
      <c r="A480" s="42">
        <v>46253.625</v>
      </c>
      <c r="B480" s="43" t="s">
        <v>27</v>
      </c>
      <c r="C480" s="44">
        <v>0</v>
      </c>
      <c r="D480" s="44">
        <v>0</v>
      </c>
      <c r="E480" s="44">
        <v>317</v>
      </c>
      <c r="F480" s="44">
        <v>509.5</v>
      </c>
    </row>
    <row r="481" spans="1:6">
      <c r="A481" s="42">
        <v>46253.666666666664</v>
      </c>
      <c r="B481" s="43" t="s">
        <v>27</v>
      </c>
      <c r="C481" s="44">
        <v>0</v>
      </c>
      <c r="D481" s="44">
        <v>0</v>
      </c>
      <c r="E481" s="44">
        <v>317</v>
      </c>
      <c r="F481" s="44">
        <v>509.5</v>
      </c>
    </row>
    <row r="482" spans="1:6">
      <c r="A482" s="42">
        <v>46253.708333333336</v>
      </c>
      <c r="B482" s="43" t="s">
        <v>27</v>
      </c>
      <c r="C482" s="44">
        <v>0</v>
      </c>
      <c r="D482" s="44">
        <v>0</v>
      </c>
      <c r="E482" s="44">
        <v>317</v>
      </c>
      <c r="F482" s="44">
        <v>509.5</v>
      </c>
    </row>
    <row r="483" spans="1:6">
      <c r="A483" s="42">
        <v>46253.75</v>
      </c>
      <c r="B483" s="43" t="s">
        <v>27</v>
      </c>
      <c r="C483" s="44">
        <v>0</v>
      </c>
      <c r="D483" s="44">
        <v>0</v>
      </c>
      <c r="E483" s="44">
        <v>317</v>
      </c>
      <c r="F483" s="44">
        <v>509.5</v>
      </c>
    </row>
    <row r="484" spans="1:6">
      <c r="A484" s="42">
        <v>46253.791666666664</v>
      </c>
      <c r="B484" s="43" t="s">
        <v>27</v>
      </c>
      <c r="C484" s="44">
        <v>0</v>
      </c>
      <c r="D484" s="44">
        <v>0</v>
      </c>
      <c r="E484" s="44">
        <v>317</v>
      </c>
      <c r="F484" s="44">
        <v>509.5</v>
      </c>
    </row>
    <row r="485" spans="1:6">
      <c r="A485" s="42">
        <v>46253.833333333336</v>
      </c>
      <c r="B485" s="43" t="s">
        <v>27</v>
      </c>
      <c r="C485" s="44">
        <v>0</v>
      </c>
      <c r="D485" s="44">
        <v>0</v>
      </c>
      <c r="E485" s="44">
        <v>317</v>
      </c>
      <c r="F485" s="44">
        <v>509.5</v>
      </c>
    </row>
    <row r="486" spans="1:6">
      <c r="A486" s="42">
        <v>46253.875</v>
      </c>
      <c r="B486" s="43" t="s">
        <v>27</v>
      </c>
      <c r="C486" s="44">
        <v>0</v>
      </c>
      <c r="D486" s="44">
        <v>0</v>
      </c>
      <c r="E486" s="44">
        <v>317</v>
      </c>
      <c r="F486" s="44">
        <v>509.5</v>
      </c>
    </row>
    <row r="487" spans="1:6">
      <c r="A487" s="42">
        <v>46253.916666666664</v>
      </c>
      <c r="B487" s="43" t="s">
        <v>27</v>
      </c>
      <c r="C487" s="44">
        <v>0</v>
      </c>
      <c r="D487" s="44">
        <v>0</v>
      </c>
      <c r="E487" s="44">
        <v>317</v>
      </c>
      <c r="F487" s="44">
        <v>509.5</v>
      </c>
    </row>
    <row r="488" spans="1:6">
      <c r="A488" s="42">
        <v>46253.958333333336</v>
      </c>
      <c r="B488" s="43" t="s">
        <v>27</v>
      </c>
      <c r="C488" s="44">
        <v>0</v>
      </c>
      <c r="D488" s="44">
        <v>0</v>
      </c>
      <c r="E488" s="44">
        <v>317</v>
      </c>
      <c r="F488" s="44">
        <v>509.5</v>
      </c>
    </row>
    <row r="489" spans="1:6">
      <c r="A489" s="42">
        <v>46254</v>
      </c>
      <c r="B489" s="43" t="s">
        <v>27</v>
      </c>
      <c r="C489" s="44">
        <v>0</v>
      </c>
      <c r="D489" s="44">
        <v>0</v>
      </c>
      <c r="E489" s="44">
        <v>317</v>
      </c>
      <c r="F489" s="44">
        <v>509.5</v>
      </c>
    </row>
    <row r="490" spans="1:6">
      <c r="A490" s="42">
        <v>46254.041666666664</v>
      </c>
      <c r="B490" s="43" t="s">
        <v>27</v>
      </c>
      <c r="C490" s="44">
        <v>0</v>
      </c>
      <c r="D490" s="44">
        <v>0</v>
      </c>
      <c r="E490" s="44">
        <v>317</v>
      </c>
      <c r="F490" s="44">
        <v>509.5</v>
      </c>
    </row>
    <row r="491" spans="1:6">
      <c r="A491" s="42">
        <v>46254.083333333336</v>
      </c>
      <c r="B491" s="43" t="s">
        <v>27</v>
      </c>
      <c r="C491" s="44">
        <v>0</v>
      </c>
      <c r="D491" s="44">
        <v>0</v>
      </c>
      <c r="E491" s="44">
        <v>317</v>
      </c>
      <c r="F491" s="44">
        <v>509.5</v>
      </c>
    </row>
    <row r="492" spans="1:6">
      <c r="A492" s="42">
        <v>46254.125</v>
      </c>
      <c r="B492" s="43" t="s">
        <v>27</v>
      </c>
      <c r="C492" s="44">
        <v>0</v>
      </c>
      <c r="D492" s="44">
        <v>0</v>
      </c>
      <c r="E492" s="44">
        <v>317</v>
      </c>
      <c r="F492" s="44">
        <v>509.5</v>
      </c>
    </row>
    <row r="493" spans="1:6">
      <c r="A493" s="42">
        <v>46254.166666666664</v>
      </c>
      <c r="B493" s="43" t="s">
        <v>27</v>
      </c>
      <c r="C493" s="44">
        <v>0</v>
      </c>
      <c r="D493" s="44">
        <v>0</v>
      </c>
      <c r="E493" s="44">
        <v>317</v>
      </c>
      <c r="F493" s="44">
        <v>509.5</v>
      </c>
    </row>
    <row r="494" spans="1:6">
      <c r="A494" s="42">
        <v>46254.208333333336</v>
      </c>
      <c r="B494" s="43" t="s">
        <v>27</v>
      </c>
      <c r="C494" s="44">
        <v>0</v>
      </c>
      <c r="D494" s="44">
        <v>0</v>
      </c>
      <c r="E494" s="44">
        <v>317</v>
      </c>
      <c r="F494" s="44">
        <v>509.5</v>
      </c>
    </row>
    <row r="495" spans="1:6">
      <c r="A495" s="42">
        <v>46254.25</v>
      </c>
      <c r="B495" s="43" t="s">
        <v>27</v>
      </c>
      <c r="C495" s="44">
        <v>0</v>
      </c>
      <c r="D495" s="44">
        <v>0</v>
      </c>
      <c r="E495" s="44">
        <v>317</v>
      </c>
      <c r="F495" s="44">
        <v>509.5</v>
      </c>
    </row>
    <row r="496" spans="1:6">
      <c r="A496" s="42">
        <v>46254.291666666664</v>
      </c>
      <c r="B496" s="43" t="s">
        <v>27</v>
      </c>
      <c r="C496" s="44">
        <v>0</v>
      </c>
      <c r="D496" s="44">
        <v>0</v>
      </c>
      <c r="E496" s="44">
        <v>317</v>
      </c>
      <c r="F496" s="44">
        <v>509.5</v>
      </c>
    </row>
    <row r="497" spans="1:6">
      <c r="A497" s="42">
        <v>46254.333333333336</v>
      </c>
      <c r="B497" s="43" t="s">
        <v>27</v>
      </c>
      <c r="C497" s="44">
        <v>0</v>
      </c>
      <c r="D497" s="44">
        <v>0</v>
      </c>
      <c r="E497" s="44">
        <v>317</v>
      </c>
      <c r="F497" s="44">
        <v>509.5</v>
      </c>
    </row>
    <row r="498" spans="1:6">
      <c r="A498" s="42">
        <v>46254.375</v>
      </c>
      <c r="B498" s="43" t="s">
        <v>27</v>
      </c>
      <c r="C498" s="44">
        <v>0</v>
      </c>
      <c r="D498" s="44">
        <v>0</v>
      </c>
      <c r="E498" s="44">
        <v>317</v>
      </c>
      <c r="F498" s="44">
        <v>509.5</v>
      </c>
    </row>
    <row r="499" spans="1:6">
      <c r="A499" s="42">
        <v>46254.416666666664</v>
      </c>
      <c r="B499" s="43" t="s">
        <v>27</v>
      </c>
      <c r="C499" s="44">
        <v>0</v>
      </c>
      <c r="D499" s="44">
        <v>0</v>
      </c>
      <c r="E499" s="44">
        <v>317</v>
      </c>
      <c r="F499" s="44">
        <v>509.5</v>
      </c>
    </row>
    <row r="500" spans="1:6">
      <c r="A500" s="42">
        <v>46254.458333333336</v>
      </c>
      <c r="B500" s="43" t="s">
        <v>27</v>
      </c>
      <c r="C500" s="44">
        <v>0</v>
      </c>
      <c r="D500" s="44">
        <v>0</v>
      </c>
      <c r="E500" s="44">
        <v>317</v>
      </c>
      <c r="F500" s="44">
        <v>509.5</v>
      </c>
    </row>
    <row r="501" spans="1:6">
      <c r="A501" s="42">
        <v>46254.5</v>
      </c>
      <c r="B501" s="43" t="s">
        <v>27</v>
      </c>
      <c r="C501" s="44">
        <v>0</v>
      </c>
      <c r="D501" s="44">
        <v>0</v>
      </c>
      <c r="E501" s="44">
        <v>317</v>
      </c>
      <c r="F501" s="44">
        <v>509.5</v>
      </c>
    </row>
    <row r="502" spans="1:6">
      <c r="A502" s="42">
        <v>46254.541666666664</v>
      </c>
      <c r="B502" s="43" t="s">
        <v>27</v>
      </c>
      <c r="C502" s="44">
        <v>0</v>
      </c>
      <c r="D502" s="44">
        <v>0</v>
      </c>
      <c r="E502" s="44">
        <v>317</v>
      </c>
      <c r="F502" s="44">
        <v>509.5</v>
      </c>
    </row>
    <row r="503" spans="1:6">
      <c r="A503" s="42">
        <v>46254.583333333336</v>
      </c>
      <c r="B503" s="43" t="s">
        <v>27</v>
      </c>
      <c r="C503" s="44">
        <v>0</v>
      </c>
      <c r="D503" s="44">
        <v>0</v>
      </c>
      <c r="E503" s="44">
        <v>317</v>
      </c>
      <c r="F503" s="44">
        <v>509.5</v>
      </c>
    </row>
    <row r="504" spans="1:6">
      <c r="A504" s="42">
        <v>46254.625</v>
      </c>
      <c r="B504" s="43" t="s">
        <v>27</v>
      </c>
      <c r="C504" s="44">
        <v>0</v>
      </c>
      <c r="D504" s="44">
        <v>0</v>
      </c>
      <c r="E504" s="44">
        <v>317</v>
      </c>
      <c r="F504" s="44">
        <v>509.5</v>
      </c>
    </row>
    <row r="505" spans="1:6">
      <c r="A505" s="42">
        <v>46254.666666666664</v>
      </c>
      <c r="B505" s="43" t="s">
        <v>27</v>
      </c>
      <c r="C505" s="44">
        <v>0</v>
      </c>
      <c r="D505" s="44">
        <v>0</v>
      </c>
      <c r="E505" s="44">
        <v>317</v>
      </c>
      <c r="F505" s="44">
        <v>509.5</v>
      </c>
    </row>
    <row r="506" spans="1:6">
      <c r="A506" s="42">
        <v>46254.708333333336</v>
      </c>
      <c r="B506" s="43" t="s">
        <v>27</v>
      </c>
      <c r="C506" s="44">
        <v>0</v>
      </c>
      <c r="D506" s="44">
        <v>0</v>
      </c>
      <c r="E506" s="44">
        <v>317</v>
      </c>
      <c r="F506" s="44">
        <v>509.5</v>
      </c>
    </row>
    <row r="507" spans="1:6">
      <c r="A507" s="42">
        <v>46254.75</v>
      </c>
      <c r="B507" s="43" t="s">
        <v>27</v>
      </c>
      <c r="C507" s="44">
        <v>0</v>
      </c>
      <c r="D507" s="44">
        <v>0</v>
      </c>
      <c r="E507" s="44">
        <v>317</v>
      </c>
      <c r="F507" s="44">
        <v>509.5</v>
      </c>
    </row>
    <row r="508" spans="1:6">
      <c r="A508" s="42">
        <v>46254.791666666664</v>
      </c>
      <c r="B508" s="43" t="s">
        <v>27</v>
      </c>
      <c r="C508" s="44">
        <v>0</v>
      </c>
      <c r="D508" s="44">
        <v>0</v>
      </c>
      <c r="E508" s="44">
        <v>317</v>
      </c>
      <c r="F508" s="44">
        <v>509.5</v>
      </c>
    </row>
    <row r="509" spans="1:6">
      <c r="A509" s="42">
        <v>46254.833333333336</v>
      </c>
      <c r="B509" s="43" t="s">
        <v>27</v>
      </c>
      <c r="C509" s="44">
        <v>0</v>
      </c>
      <c r="D509" s="44">
        <v>0</v>
      </c>
      <c r="E509" s="44">
        <v>317</v>
      </c>
      <c r="F509" s="44">
        <v>509.5</v>
      </c>
    </row>
    <row r="510" spans="1:6">
      <c r="A510" s="42">
        <v>46254.875</v>
      </c>
      <c r="B510" s="43" t="s">
        <v>27</v>
      </c>
      <c r="C510" s="44">
        <v>0</v>
      </c>
      <c r="D510" s="44">
        <v>0</v>
      </c>
      <c r="E510" s="44">
        <v>317</v>
      </c>
      <c r="F510" s="44">
        <v>509.5</v>
      </c>
    </row>
    <row r="511" spans="1:6">
      <c r="A511" s="42">
        <v>46254.916666666664</v>
      </c>
      <c r="B511" s="43" t="s">
        <v>27</v>
      </c>
      <c r="C511" s="44">
        <v>0</v>
      </c>
      <c r="D511" s="44">
        <v>0</v>
      </c>
      <c r="E511" s="44">
        <v>317</v>
      </c>
      <c r="F511" s="44">
        <v>509.5</v>
      </c>
    </row>
    <row r="512" spans="1:6">
      <c r="A512" s="42">
        <v>46254.958333333336</v>
      </c>
      <c r="B512" s="43" t="s">
        <v>27</v>
      </c>
      <c r="C512" s="44">
        <v>0</v>
      </c>
      <c r="D512" s="44">
        <v>0</v>
      </c>
      <c r="E512" s="44">
        <v>317</v>
      </c>
      <c r="F512" s="44">
        <v>509.5</v>
      </c>
    </row>
    <row r="513" spans="1:6">
      <c r="A513" s="42">
        <v>46255</v>
      </c>
      <c r="B513" s="43" t="s">
        <v>27</v>
      </c>
      <c r="C513" s="44">
        <v>0</v>
      </c>
      <c r="D513" s="44">
        <v>0</v>
      </c>
      <c r="E513" s="44">
        <v>317</v>
      </c>
      <c r="F513" s="44">
        <v>509.5</v>
      </c>
    </row>
    <row r="514" spans="1:6">
      <c r="A514" s="42">
        <v>46255.041666666664</v>
      </c>
      <c r="B514" s="43" t="s">
        <v>27</v>
      </c>
      <c r="C514" s="44">
        <v>0</v>
      </c>
      <c r="D514" s="44">
        <v>0</v>
      </c>
      <c r="E514" s="44">
        <v>317</v>
      </c>
      <c r="F514" s="44">
        <v>509.5</v>
      </c>
    </row>
    <row r="515" spans="1:6">
      <c r="A515" s="42">
        <v>46255.083333333336</v>
      </c>
      <c r="B515" s="43" t="s">
        <v>27</v>
      </c>
      <c r="C515" s="44">
        <v>0</v>
      </c>
      <c r="D515" s="44">
        <v>0</v>
      </c>
      <c r="E515" s="44">
        <v>317</v>
      </c>
      <c r="F515" s="44">
        <v>509.5</v>
      </c>
    </row>
    <row r="516" spans="1:6">
      <c r="A516" s="42">
        <v>46255.125</v>
      </c>
      <c r="B516" s="43" t="s">
        <v>27</v>
      </c>
      <c r="C516" s="44">
        <v>0</v>
      </c>
      <c r="D516" s="44">
        <v>0</v>
      </c>
      <c r="E516" s="44">
        <v>317</v>
      </c>
      <c r="F516" s="44">
        <v>509.5</v>
      </c>
    </row>
    <row r="517" spans="1:6">
      <c r="A517" s="42">
        <v>46255.166666666664</v>
      </c>
      <c r="B517" s="43" t="s">
        <v>27</v>
      </c>
      <c r="C517" s="44">
        <v>0</v>
      </c>
      <c r="D517" s="44">
        <v>0</v>
      </c>
      <c r="E517" s="44">
        <v>317</v>
      </c>
      <c r="F517" s="44">
        <v>509.5</v>
      </c>
    </row>
    <row r="518" spans="1:6">
      <c r="A518" s="42">
        <v>46255.208333333336</v>
      </c>
      <c r="B518" s="43" t="s">
        <v>27</v>
      </c>
      <c r="C518" s="44">
        <v>0</v>
      </c>
      <c r="D518" s="44">
        <v>0</v>
      </c>
      <c r="E518" s="44">
        <v>317</v>
      </c>
      <c r="F518" s="44">
        <v>509.5</v>
      </c>
    </row>
    <row r="519" spans="1:6">
      <c r="A519" s="42">
        <v>46255.25</v>
      </c>
      <c r="B519" s="43" t="s">
        <v>27</v>
      </c>
      <c r="C519" s="44">
        <v>0</v>
      </c>
      <c r="D519" s="44">
        <v>0</v>
      </c>
      <c r="E519" s="44">
        <v>317</v>
      </c>
      <c r="F519" s="44">
        <v>509.5</v>
      </c>
    </row>
    <row r="520" spans="1:6">
      <c r="A520" s="42">
        <v>46255.291666666664</v>
      </c>
      <c r="B520" s="43" t="s">
        <v>27</v>
      </c>
      <c r="C520" s="44">
        <v>0</v>
      </c>
      <c r="D520" s="44">
        <v>0</v>
      </c>
      <c r="E520" s="44">
        <v>317</v>
      </c>
      <c r="F520" s="44">
        <v>509.5</v>
      </c>
    </row>
    <row r="521" spans="1:6">
      <c r="A521" s="42">
        <v>46255.333333333336</v>
      </c>
      <c r="B521" s="43" t="s">
        <v>27</v>
      </c>
      <c r="C521" s="44">
        <v>0</v>
      </c>
      <c r="D521" s="44">
        <v>0</v>
      </c>
      <c r="E521" s="44">
        <v>317</v>
      </c>
      <c r="F521" s="44">
        <v>509.5</v>
      </c>
    </row>
    <row r="522" spans="1:6">
      <c r="A522" s="42">
        <v>46255.375</v>
      </c>
      <c r="B522" s="43" t="s">
        <v>27</v>
      </c>
      <c r="C522" s="44">
        <v>0</v>
      </c>
      <c r="D522" s="44">
        <v>0</v>
      </c>
      <c r="E522" s="44">
        <v>317</v>
      </c>
      <c r="F522" s="44">
        <v>509.5</v>
      </c>
    </row>
    <row r="523" spans="1:6">
      <c r="A523" s="42">
        <v>46255.416666666664</v>
      </c>
      <c r="B523" s="43" t="s">
        <v>27</v>
      </c>
      <c r="C523" s="44">
        <v>0</v>
      </c>
      <c r="D523" s="44">
        <v>0</v>
      </c>
      <c r="E523" s="44">
        <v>317</v>
      </c>
      <c r="F523" s="44">
        <v>509.5</v>
      </c>
    </row>
    <row r="524" spans="1:6">
      <c r="A524" s="42">
        <v>46255.458333333336</v>
      </c>
      <c r="B524" s="43" t="s">
        <v>27</v>
      </c>
      <c r="C524" s="44">
        <v>0</v>
      </c>
      <c r="D524" s="44">
        <v>0</v>
      </c>
      <c r="E524" s="44">
        <v>317</v>
      </c>
      <c r="F524" s="44">
        <v>509.5</v>
      </c>
    </row>
    <row r="525" spans="1:6">
      <c r="A525" s="42">
        <v>46255.5</v>
      </c>
      <c r="B525" s="43" t="s">
        <v>27</v>
      </c>
      <c r="C525" s="44">
        <v>0</v>
      </c>
      <c r="D525" s="44">
        <v>0</v>
      </c>
      <c r="E525" s="44">
        <v>317</v>
      </c>
      <c r="F525" s="44">
        <v>509.5</v>
      </c>
    </row>
    <row r="526" spans="1:6">
      <c r="A526" s="42">
        <v>46255.541666666664</v>
      </c>
      <c r="B526" s="43" t="s">
        <v>27</v>
      </c>
      <c r="C526" s="44">
        <v>0</v>
      </c>
      <c r="D526" s="44">
        <v>0</v>
      </c>
      <c r="E526" s="44">
        <v>317</v>
      </c>
      <c r="F526" s="44">
        <v>509.5</v>
      </c>
    </row>
    <row r="527" spans="1:6">
      <c r="A527" s="42">
        <v>46255.583333333336</v>
      </c>
      <c r="B527" s="43" t="s">
        <v>27</v>
      </c>
      <c r="C527" s="44">
        <v>0</v>
      </c>
      <c r="D527" s="44">
        <v>0</v>
      </c>
      <c r="E527" s="44">
        <v>317</v>
      </c>
      <c r="F527" s="44">
        <v>509.5</v>
      </c>
    </row>
    <row r="528" spans="1:6">
      <c r="A528" s="42">
        <v>46255.625</v>
      </c>
      <c r="B528" s="43" t="s">
        <v>27</v>
      </c>
      <c r="C528" s="44">
        <v>0</v>
      </c>
      <c r="D528" s="44">
        <v>0</v>
      </c>
      <c r="E528" s="44">
        <v>317</v>
      </c>
      <c r="F528" s="44">
        <v>509.5</v>
      </c>
    </row>
    <row r="529" spans="1:6">
      <c r="A529" s="42">
        <v>46255.666666666664</v>
      </c>
      <c r="B529" s="43" t="s">
        <v>27</v>
      </c>
      <c r="C529" s="44">
        <v>0</v>
      </c>
      <c r="D529" s="44">
        <v>0</v>
      </c>
      <c r="E529" s="44">
        <v>317</v>
      </c>
      <c r="F529" s="44">
        <v>509.5</v>
      </c>
    </row>
    <row r="530" spans="1:6">
      <c r="A530" s="42">
        <v>46255.708333333336</v>
      </c>
      <c r="B530" s="43" t="s">
        <v>27</v>
      </c>
      <c r="C530" s="44">
        <v>0</v>
      </c>
      <c r="D530" s="44">
        <v>0</v>
      </c>
      <c r="E530" s="44">
        <v>317</v>
      </c>
      <c r="F530" s="44">
        <v>509.5</v>
      </c>
    </row>
    <row r="531" spans="1:6">
      <c r="A531" s="42">
        <v>46255.75</v>
      </c>
      <c r="B531" s="43" t="s">
        <v>27</v>
      </c>
      <c r="C531" s="44">
        <v>0</v>
      </c>
      <c r="D531" s="44">
        <v>0</v>
      </c>
      <c r="E531" s="44">
        <v>317</v>
      </c>
      <c r="F531" s="44">
        <v>509.5</v>
      </c>
    </row>
    <row r="532" spans="1:6">
      <c r="A532" s="42">
        <v>46255.791666666664</v>
      </c>
      <c r="B532" s="43" t="s">
        <v>27</v>
      </c>
      <c r="C532" s="44">
        <v>0</v>
      </c>
      <c r="D532" s="44">
        <v>0</v>
      </c>
      <c r="E532" s="44">
        <v>317</v>
      </c>
      <c r="F532" s="44">
        <v>509.5</v>
      </c>
    </row>
    <row r="533" spans="1:6">
      <c r="A533" s="42">
        <v>46255.833333333336</v>
      </c>
      <c r="B533" s="43" t="s">
        <v>27</v>
      </c>
      <c r="C533" s="44">
        <v>0</v>
      </c>
      <c r="D533" s="44">
        <v>0</v>
      </c>
      <c r="E533" s="44">
        <v>317</v>
      </c>
      <c r="F533" s="44">
        <v>509.5</v>
      </c>
    </row>
    <row r="534" spans="1:6">
      <c r="A534" s="42">
        <v>46255.875</v>
      </c>
      <c r="B534" s="43" t="s">
        <v>27</v>
      </c>
      <c r="C534" s="44">
        <v>0</v>
      </c>
      <c r="D534" s="44">
        <v>0</v>
      </c>
      <c r="E534" s="44">
        <v>317</v>
      </c>
      <c r="F534" s="44">
        <v>509.5</v>
      </c>
    </row>
    <row r="535" spans="1:6">
      <c r="A535" s="42">
        <v>46255.916666666664</v>
      </c>
      <c r="B535" s="43" t="s">
        <v>27</v>
      </c>
      <c r="C535" s="44">
        <v>0</v>
      </c>
      <c r="D535" s="44">
        <v>0</v>
      </c>
      <c r="E535" s="44">
        <v>317</v>
      </c>
      <c r="F535" s="44">
        <v>509.5</v>
      </c>
    </row>
    <row r="536" spans="1:6">
      <c r="A536" s="42">
        <v>46255.958333333336</v>
      </c>
      <c r="B536" s="43" t="s">
        <v>27</v>
      </c>
      <c r="C536" s="44">
        <v>0</v>
      </c>
      <c r="D536" s="44">
        <v>0</v>
      </c>
      <c r="E536" s="44">
        <v>317</v>
      </c>
      <c r="F536" s="44">
        <v>509.5</v>
      </c>
    </row>
    <row r="537" spans="1:6">
      <c r="A537" s="42">
        <v>46256</v>
      </c>
      <c r="B537" s="43" t="s">
        <v>27</v>
      </c>
      <c r="C537" s="44">
        <v>0</v>
      </c>
      <c r="D537" s="44">
        <v>0</v>
      </c>
      <c r="E537" s="44">
        <v>317</v>
      </c>
      <c r="F537" s="44">
        <v>509.5</v>
      </c>
    </row>
    <row r="538" spans="1:6">
      <c r="A538" s="42">
        <v>46256.041666666664</v>
      </c>
      <c r="B538" s="43" t="s">
        <v>27</v>
      </c>
      <c r="C538" s="44">
        <v>0</v>
      </c>
      <c r="D538" s="44">
        <v>0</v>
      </c>
      <c r="E538" s="44">
        <v>317</v>
      </c>
      <c r="F538" s="44">
        <v>509.5</v>
      </c>
    </row>
    <row r="539" spans="1:6">
      <c r="A539" s="42">
        <v>46256.083333333336</v>
      </c>
      <c r="B539" s="43" t="s">
        <v>27</v>
      </c>
      <c r="C539" s="44">
        <v>0</v>
      </c>
      <c r="D539" s="44">
        <v>0</v>
      </c>
      <c r="E539" s="44">
        <v>317</v>
      </c>
      <c r="F539" s="44">
        <v>509.5</v>
      </c>
    </row>
    <row r="540" spans="1:6">
      <c r="A540" s="42">
        <v>46256.125</v>
      </c>
      <c r="B540" s="43" t="s">
        <v>27</v>
      </c>
      <c r="C540" s="44">
        <v>0</v>
      </c>
      <c r="D540" s="44">
        <v>0</v>
      </c>
      <c r="E540" s="44">
        <v>317</v>
      </c>
      <c r="F540" s="44">
        <v>509.5</v>
      </c>
    </row>
    <row r="541" spans="1:6">
      <c r="A541" s="42">
        <v>46256.166666666664</v>
      </c>
      <c r="B541" s="43" t="s">
        <v>27</v>
      </c>
      <c r="C541" s="44">
        <v>0</v>
      </c>
      <c r="D541" s="44">
        <v>0</v>
      </c>
      <c r="E541" s="44">
        <v>317</v>
      </c>
      <c r="F541" s="44">
        <v>509.5</v>
      </c>
    </row>
    <row r="542" spans="1:6">
      <c r="A542" s="42">
        <v>46256.208333333336</v>
      </c>
      <c r="B542" s="43" t="s">
        <v>27</v>
      </c>
      <c r="C542" s="44">
        <v>0</v>
      </c>
      <c r="D542" s="44">
        <v>0</v>
      </c>
      <c r="E542" s="44">
        <v>317</v>
      </c>
      <c r="F542" s="44">
        <v>509.5</v>
      </c>
    </row>
    <row r="543" spans="1:6">
      <c r="A543" s="42">
        <v>46256.25</v>
      </c>
      <c r="B543" s="43" t="s">
        <v>27</v>
      </c>
      <c r="C543" s="44">
        <v>0</v>
      </c>
      <c r="D543" s="44">
        <v>0</v>
      </c>
      <c r="E543" s="44">
        <v>317</v>
      </c>
      <c r="F543" s="44">
        <v>509.5</v>
      </c>
    </row>
    <row r="544" spans="1:6">
      <c r="A544" s="42">
        <v>46256.291666666664</v>
      </c>
      <c r="B544" s="43" t="s">
        <v>27</v>
      </c>
      <c r="C544" s="44">
        <v>0</v>
      </c>
      <c r="D544" s="44">
        <v>0</v>
      </c>
      <c r="E544" s="44">
        <v>317</v>
      </c>
      <c r="F544" s="44">
        <v>509.5</v>
      </c>
    </row>
    <row r="545" spans="1:6">
      <c r="A545" s="42">
        <v>46256.333333333336</v>
      </c>
      <c r="B545" s="43" t="s">
        <v>27</v>
      </c>
      <c r="C545" s="44">
        <v>0</v>
      </c>
      <c r="D545" s="44">
        <v>0</v>
      </c>
      <c r="E545" s="44">
        <v>317</v>
      </c>
      <c r="F545" s="44">
        <v>509.5</v>
      </c>
    </row>
    <row r="546" spans="1:6">
      <c r="A546" s="42">
        <v>46256.375</v>
      </c>
      <c r="B546" s="43" t="s">
        <v>27</v>
      </c>
      <c r="C546" s="44">
        <v>0</v>
      </c>
      <c r="D546" s="44">
        <v>0</v>
      </c>
      <c r="E546" s="44">
        <v>317</v>
      </c>
      <c r="F546" s="44">
        <v>509.5</v>
      </c>
    </row>
    <row r="547" spans="1:6">
      <c r="A547" s="42">
        <v>46256.416666666664</v>
      </c>
      <c r="B547" s="43" t="s">
        <v>27</v>
      </c>
      <c r="C547" s="44">
        <v>0</v>
      </c>
      <c r="D547" s="44">
        <v>0</v>
      </c>
      <c r="E547" s="44">
        <v>317</v>
      </c>
      <c r="F547" s="44">
        <v>509.5</v>
      </c>
    </row>
    <row r="548" spans="1:6">
      <c r="A548" s="42">
        <v>46256.458333333336</v>
      </c>
      <c r="B548" s="43" t="s">
        <v>27</v>
      </c>
      <c r="C548" s="44">
        <v>0</v>
      </c>
      <c r="D548" s="44">
        <v>0</v>
      </c>
      <c r="E548" s="44">
        <v>317</v>
      </c>
      <c r="F548" s="44">
        <v>509.5</v>
      </c>
    </row>
    <row r="549" spans="1:6">
      <c r="A549" s="42">
        <v>46256.5</v>
      </c>
      <c r="B549" s="43" t="s">
        <v>27</v>
      </c>
      <c r="C549" s="44">
        <v>0</v>
      </c>
      <c r="D549" s="44">
        <v>0</v>
      </c>
      <c r="E549" s="44">
        <v>317</v>
      </c>
      <c r="F549" s="44">
        <v>509.5</v>
      </c>
    </row>
    <row r="550" spans="1:6">
      <c r="A550" s="42">
        <v>46256.541666666664</v>
      </c>
      <c r="B550" s="43" t="s">
        <v>27</v>
      </c>
      <c r="C550" s="44">
        <v>0</v>
      </c>
      <c r="D550" s="44">
        <v>0</v>
      </c>
      <c r="E550" s="44">
        <v>317</v>
      </c>
      <c r="F550" s="44">
        <v>509.5</v>
      </c>
    </row>
    <row r="551" spans="1:6">
      <c r="A551" s="42">
        <v>46256.583333333336</v>
      </c>
      <c r="B551" s="43" t="s">
        <v>27</v>
      </c>
      <c r="C551" s="44">
        <v>0</v>
      </c>
      <c r="D551" s="44">
        <v>0</v>
      </c>
      <c r="E551" s="44">
        <v>317</v>
      </c>
      <c r="F551" s="44">
        <v>509.5</v>
      </c>
    </row>
    <row r="552" spans="1:6">
      <c r="A552" s="42">
        <v>46256.625</v>
      </c>
      <c r="B552" s="43" t="s">
        <v>27</v>
      </c>
      <c r="C552" s="44">
        <v>0</v>
      </c>
      <c r="D552" s="44">
        <v>0</v>
      </c>
      <c r="E552" s="44">
        <v>317</v>
      </c>
      <c r="F552" s="44">
        <v>509.5</v>
      </c>
    </row>
    <row r="553" spans="1:6">
      <c r="A553" s="42">
        <v>46256.666666666664</v>
      </c>
      <c r="B553" s="43" t="s">
        <v>27</v>
      </c>
      <c r="C553" s="44">
        <v>0</v>
      </c>
      <c r="D553" s="44">
        <v>0</v>
      </c>
      <c r="E553" s="44">
        <v>317</v>
      </c>
      <c r="F553" s="44">
        <v>509.5</v>
      </c>
    </row>
    <row r="554" spans="1:6">
      <c r="A554" s="42">
        <v>46256.708333333336</v>
      </c>
      <c r="B554" s="43" t="s">
        <v>27</v>
      </c>
      <c r="C554" s="44">
        <v>0</v>
      </c>
      <c r="D554" s="44">
        <v>0</v>
      </c>
      <c r="E554" s="44">
        <v>317</v>
      </c>
      <c r="F554" s="44">
        <v>509.5</v>
      </c>
    </row>
    <row r="555" spans="1:6">
      <c r="A555" s="42">
        <v>46256.75</v>
      </c>
      <c r="B555" s="43" t="s">
        <v>27</v>
      </c>
      <c r="C555" s="44">
        <v>0</v>
      </c>
      <c r="D555" s="44">
        <v>0</v>
      </c>
      <c r="E555" s="44">
        <v>317</v>
      </c>
      <c r="F555" s="44">
        <v>509.5</v>
      </c>
    </row>
    <row r="556" spans="1:6">
      <c r="A556" s="42">
        <v>46256.791666666664</v>
      </c>
      <c r="B556" s="43" t="s">
        <v>27</v>
      </c>
      <c r="C556" s="44">
        <v>0</v>
      </c>
      <c r="D556" s="44">
        <v>0</v>
      </c>
      <c r="E556" s="44">
        <v>317</v>
      </c>
      <c r="F556" s="44">
        <v>509.5</v>
      </c>
    </row>
    <row r="557" spans="1:6">
      <c r="A557" s="42">
        <v>46256.833333333336</v>
      </c>
      <c r="B557" s="43" t="s">
        <v>27</v>
      </c>
      <c r="C557" s="44">
        <v>0</v>
      </c>
      <c r="D557" s="44">
        <v>0</v>
      </c>
      <c r="E557" s="44">
        <v>317</v>
      </c>
      <c r="F557" s="44">
        <v>509.5</v>
      </c>
    </row>
    <row r="558" spans="1:6">
      <c r="A558" s="42">
        <v>46256.875</v>
      </c>
      <c r="B558" s="43" t="s">
        <v>27</v>
      </c>
      <c r="C558" s="44">
        <v>0</v>
      </c>
      <c r="D558" s="44">
        <v>0</v>
      </c>
      <c r="E558" s="44">
        <v>317</v>
      </c>
      <c r="F558" s="44">
        <v>509.5</v>
      </c>
    </row>
    <row r="559" spans="1:6">
      <c r="A559" s="42">
        <v>46256.916666666664</v>
      </c>
      <c r="B559" s="43" t="s">
        <v>27</v>
      </c>
      <c r="C559" s="44">
        <v>0</v>
      </c>
      <c r="D559" s="44">
        <v>0</v>
      </c>
      <c r="E559" s="44">
        <v>317</v>
      </c>
      <c r="F559" s="44">
        <v>509.5</v>
      </c>
    </row>
    <row r="560" spans="1:6">
      <c r="A560" s="42">
        <v>46256.958333333336</v>
      </c>
      <c r="B560" s="43" t="s">
        <v>27</v>
      </c>
      <c r="C560" s="44">
        <v>0</v>
      </c>
      <c r="D560" s="44">
        <v>0</v>
      </c>
      <c r="E560" s="44">
        <v>317</v>
      </c>
      <c r="F560" s="44">
        <v>509.5</v>
      </c>
    </row>
    <row r="561" spans="1:6">
      <c r="A561" s="42">
        <v>46257</v>
      </c>
      <c r="B561" s="43" t="s">
        <v>27</v>
      </c>
      <c r="C561" s="44">
        <v>0</v>
      </c>
      <c r="D561" s="44">
        <v>0</v>
      </c>
      <c r="E561" s="44">
        <v>317</v>
      </c>
      <c r="F561" s="44">
        <v>509.5</v>
      </c>
    </row>
    <row r="562" spans="1:6">
      <c r="A562" s="42">
        <v>46257.041666666664</v>
      </c>
      <c r="B562" s="43" t="s">
        <v>27</v>
      </c>
      <c r="C562" s="44">
        <v>0</v>
      </c>
      <c r="D562" s="44">
        <v>0</v>
      </c>
      <c r="E562" s="44">
        <v>317</v>
      </c>
      <c r="F562" s="44">
        <v>509.5</v>
      </c>
    </row>
    <row r="563" spans="1:6">
      <c r="A563" s="42">
        <v>46257.083333333336</v>
      </c>
      <c r="B563" s="43" t="s">
        <v>27</v>
      </c>
      <c r="C563" s="44">
        <v>0</v>
      </c>
      <c r="D563" s="44">
        <v>0</v>
      </c>
      <c r="E563" s="44">
        <v>317</v>
      </c>
      <c r="F563" s="44">
        <v>509.5</v>
      </c>
    </row>
    <row r="564" spans="1:6">
      <c r="A564" s="42">
        <v>46257.125</v>
      </c>
      <c r="B564" s="43" t="s">
        <v>27</v>
      </c>
      <c r="C564" s="44">
        <v>0</v>
      </c>
      <c r="D564" s="44">
        <v>0</v>
      </c>
      <c r="E564" s="44">
        <v>317</v>
      </c>
      <c r="F564" s="44">
        <v>509.5</v>
      </c>
    </row>
    <row r="565" spans="1:6">
      <c r="A565" s="42">
        <v>46257.166666666664</v>
      </c>
      <c r="B565" s="43" t="s">
        <v>27</v>
      </c>
      <c r="C565" s="44">
        <v>0</v>
      </c>
      <c r="D565" s="44">
        <v>0</v>
      </c>
      <c r="E565" s="44">
        <v>317</v>
      </c>
      <c r="F565" s="44">
        <v>509.5</v>
      </c>
    </row>
    <row r="566" spans="1:6">
      <c r="A566" s="42">
        <v>46257.208333333336</v>
      </c>
      <c r="B566" s="43" t="s">
        <v>27</v>
      </c>
      <c r="C566" s="44">
        <v>0</v>
      </c>
      <c r="D566" s="44">
        <v>0</v>
      </c>
      <c r="E566" s="44">
        <v>317</v>
      </c>
      <c r="F566" s="44">
        <v>509.5</v>
      </c>
    </row>
    <row r="567" spans="1:6">
      <c r="A567" s="42">
        <v>46257.25</v>
      </c>
      <c r="B567" s="43" t="s">
        <v>27</v>
      </c>
      <c r="C567" s="44">
        <v>0</v>
      </c>
      <c r="D567" s="44">
        <v>0</v>
      </c>
      <c r="E567" s="44">
        <v>317</v>
      </c>
      <c r="F567" s="44">
        <v>509.5</v>
      </c>
    </row>
    <row r="568" spans="1:6">
      <c r="A568" s="42">
        <v>46257.291666666664</v>
      </c>
      <c r="B568" s="43" t="s">
        <v>27</v>
      </c>
      <c r="C568" s="44">
        <v>0</v>
      </c>
      <c r="D568" s="44">
        <v>0</v>
      </c>
      <c r="E568" s="44">
        <v>317</v>
      </c>
      <c r="F568" s="44">
        <v>509.5</v>
      </c>
    </row>
    <row r="569" spans="1:6">
      <c r="A569" s="42">
        <v>46257.333333333336</v>
      </c>
      <c r="B569" s="43" t="s">
        <v>27</v>
      </c>
      <c r="C569" s="44">
        <v>0</v>
      </c>
      <c r="D569" s="44">
        <v>0</v>
      </c>
      <c r="E569" s="44">
        <v>317</v>
      </c>
      <c r="F569" s="44">
        <v>509.5</v>
      </c>
    </row>
    <row r="570" spans="1:6">
      <c r="A570" s="42">
        <v>46257.375</v>
      </c>
      <c r="B570" s="43" t="s">
        <v>27</v>
      </c>
      <c r="C570" s="44">
        <v>0</v>
      </c>
      <c r="D570" s="44">
        <v>0</v>
      </c>
      <c r="E570" s="44">
        <v>317</v>
      </c>
      <c r="F570" s="44">
        <v>509.5</v>
      </c>
    </row>
    <row r="571" spans="1:6">
      <c r="A571" s="42">
        <v>46257.416666666664</v>
      </c>
      <c r="B571" s="43" t="s">
        <v>27</v>
      </c>
      <c r="C571" s="44">
        <v>0</v>
      </c>
      <c r="D571" s="44">
        <v>0</v>
      </c>
      <c r="E571" s="44">
        <v>317</v>
      </c>
      <c r="F571" s="44">
        <v>509.5</v>
      </c>
    </row>
    <row r="572" spans="1:6">
      <c r="A572" s="42">
        <v>46257.458333333336</v>
      </c>
      <c r="B572" s="43" t="s">
        <v>27</v>
      </c>
      <c r="C572" s="44">
        <v>0</v>
      </c>
      <c r="D572" s="44">
        <v>0</v>
      </c>
      <c r="E572" s="44">
        <v>317</v>
      </c>
      <c r="F572" s="44">
        <v>509.5</v>
      </c>
    </row>
    <row r="573" spans="1:6">
      <c r="A573" s="42">
        <v>46257.5</v>
      </c>
      <c r="B573" s="43" t="s">
        <v>27</v>
      </c>
      <c r="C573" s="44">
        <v>0</v>
      </c>
      <c r="D573" s="44">
        <v>0</v>
      </c>
      <c r="E573" s="44">
        <v>317</v>
      </c>
      <c r="F573" s="44">
        <v>509.5</v>
      </c>
    </row>
    <row r="574" spans="1:6">
      <c r="A574" s="42">
        <v>46257.541666666664</v>
      </c>
      <c r="B574" s="43" t="s">
        <v>27</v>
      </c>
      <c r="C574" s="44">
        <v>0</v>
      </c>
      <c r="D574" s="44">
        <v>0</v>
      </c>
      <c r="E574" s="44">
        <v>317</v>
      </c>
      <c r="F574" s="44">
        <v>509.5</v>
      </c>
    </row>
    <row r="575" spans="1:6">
      <c r="A575" s="42">
        <v>46257.583333333336</v>
      </c>
      <c r="B575" s="43" t="s">
        <v>27</v>
      </c>
      <c r="C575" s="44">
        <v>0</v>
      </c>
      <c r="D575" s="44">
        <v>0</v>
      </c>
      <c r="E575" s="44">
        <v>317</v>
      </c>
      <c r="F575" s="44">
        <v>509.5</v>
      </c>
    </row>
    <row r="576" spans="1:6">
      <c r="A576" s="42">
        <v>46257.625</v>
      </c>
      <c r="B576" s="43" t="s">
        <v>27</v>
      </c>
      <c r="C576" s="44">
        <v>0</v>
      </c>
      <c r="D576" s="44">
        <v>0</v>
      </c>
      <c r="E576" s="44">
        <v>317</v>
      </c>
      <c r="F576" s="44">
        <v>509.5</v>
      </c>
    </row>
    <row r="577" spans="1:6">
      <c r="A577" s="42">
        <v>46257.666666666664</v>
      </c>
      <c r="B577" s="43" t="s">
        <v>27</v>
      </c>
      <c r="C577" s="44">
        <v>0</v>
      </c>
      <c r="D577" s="44">
        <v>0</v>
      </c>
      <c r="E577" s="44">
        <v>317</v>
      </c>
      <c r="F577" s="44">
        <v>509.5</v>
      </c>
    </row>
    <row r="578" spans="1:6">
      <c r="A578" s="42">
        <v>46257.708333333336</v>
      </c>
      <c r="B578" s="43" t="s">
        <v>27</v>
      </c>
      <c r="C578" s="44">
        <v>0</v>
      </c>
      <c r="D578" s="44">
        <v>0</v>
      </c>
      <c r="E578" s="44">
        <v>317</v>
      </c>
      <c r="F578" s="44">
        <v>509.5</v>
      </c>
    </row>
    <row r="579" spans="1:6">
      <c r="A579" s="42">
        <v>46257.75</v>
      </c>
      <c r="B579" s="43" t="s">
        <v>27</v>
      </c>
      <c r="C579" s="44">
        <v>0</v>
      </c>
      <c r="D579" s="44">
        <v>0</v>
      </c>
      <c r="E579" s="44">
        <v>317</v>
      </c>
      <c r="F579" s="44">
        <v>509.5</v>
      </c>
    </row>
    <row r="580" spans="1:6">
      <c r="A580" s="42">
        <v>46257.791666666664</v>
      </c>
      <c r="B580" s="43" t="s">
        <v>27</v>
      </c>
      <c r="C580" s="44">
        <v>0</v>
      </c>
      <c r="D580" s="44">
        <v>0</v>
      </c>
      <c r="E580" s="44">
        <v>317</v>
      </c>
      <c r="F580" s="44">
        <v>509.5</v>
      </c>
    </row>
    <row r="581" spans="1:6">
      <c r="A581" s="42">
        <v>46257.833333333336</v>
      </c>
      <c r="B581" s="43" t="s">
        <v>27</v>
      </c>
      <c r="C581" s="44">
        <v>0</v>
      </c>
      <c r="D581" s="44">
        <v>0</v>
      </c>
      <c r="E581" s="44">
        <v>317</v>
      </c>
      <c r="F581" s="44">
        <v>509.5</v>
      </c>
    </row>
    <row r="582" spans="1:6">
      <c r="A582" s="42">
        <v>46257.875</v>
      </c>
      <c r="B582" s="43" t="s">
        <v>27</v>
      </c>
      <c r="C582" s="44">
        <v>0</v>
      </c>
      <c r="D582" s="44">
        <v>0</v>
      </c>
      <c r="E582" s="44">
        <v>317</v>
      </c>
      <c r="F582" s="44">
        <v>509.5</v>
      </c>
    </row>
    <row r="583" spans="1:6">
      <c r="A583" s="42">
        <v>46257.916666666664</v>
      </c>
      <c r="B583" s="43" t="s">
        <v>27</v>
      </c>
      <c r="C583" s="44">
        <v>0</v>
      </c>
      <c r="D583" s="44">
        <v>0</v>
      </c>
      <c r="E583" s="44">
        <v>317</v>
      </c>
      <c r="F583" s="44">
        <v>509.5</v>
      </c>
    </row>
    <row r="584" spans="1:6">
      <c r="A584" s="42">
        <v>46257.958333333336</v>
      </c>
      <c r="B584" s="43" t="s">
        <v>27</v>
      </c>
      <c r="C584" s="44">
        <v>0</v>
      </c>
      <c r="D584" s="44">
        <v>0</v>
      </c>
      <c r="E584" s="44">
        <v>317</v>
      </c>
      <c r="F584" s="44">
        <v>509.5</v>
      </c>
    </row>
    <row r="585" spans="1:6">
      <c r="A585" s="42">
        <v>46258</v>
      </c>
      <c r="B585" s="43" t="s">
        <v>27</v>
      </c>
      <c r="C585" s="44">
        <v>0</v>
      </c>
      <c r="D585" s="44">
        <v>0</v>
      </c>
      <c r="E585" s="44">
        <v>317</v>
      </c>
      <c r="F585" s="44">
        <v>509.5</v>
      </c>
    </row>
    <row r="586" spans="1:6">
      <c r="A586" s="42">
        <v>46258.041666666664</v>
      </c>
      <c r="B586" s="43" t="s">
        <v>27</v>
      </c>
      <c r="C586" s="44">
        <v>0</v>
      </c>
      <c r="D586" s="44">
        <v>0</v>
      </c>
      <c r="E586" s="44">
        <v>317</v>
      </c>
      <c r="F586" s="44">
        <v>509.5</v>
      </c>
    </row>
    <row r="587" spans="1:6">
      <c r="A587" s="42">
        <v>46258.083333333336</v>
      </c>
      <c r="B587" s="43" t="s">
        <v>27</v>
      </c>
      <c r="C587" s="44">
        <v>0</v>
      </c>
      <c r="D587" s="44">
        <v>0</v>
      </c>
      <c r="E587" s="44">
        <v>317</v>
      </c>
      <c r="F587" s="44">
        <v>509.5</v>
      </c>
    </row>
    <row r="588" spans="1:6">
      <c r="A588" s="42">
        <v>46258.125</v>
      </c>
      <c r="B588" s="43" t="s">
        <v>27</v>
      </c>
      <c r="C588" s="44">
        <v>0</v>
      </c>
      <c r="D588" s="44">
        <v>0</v>
      </c>
      <c r="E588" s="44">
        <v>317</v>
      </c>
      <c r="F588" s="44">
        <v>509.5</v>
      </c>
    </row>
    <row r="589" spans="1:6">
      <c r="A589" s="42">
        <v>46258.166666666664</v>
      </c>
      <c r="B589" s="43" t="s">
        <v>27</v>
      </c>
      <c r="C589" s="44">
        <v>0</v>
      </c>
      <c r="D589" s="44">
        <v>0</v>
      </c>
      <c r="E589" s="44">
        <v>317</v>
      </c>
      <c r="F589" s="44">
        <v>509.5</v>
      </c>
    </row>
    <row r="590" spans="1:6">
      <c r="A590" s="42">
        <v>46258.208333333336</v>
      </c>
      <c r="B590" s="43" t="s">
        <v>27</v>
      </c>
      <c r="C590" s="44">
        <v>0</v>
      </c>
      <c r="D590" s="44">
        <v>0</v>
      </c>
      <c r="E590" s="44">
        <v>317</v>
      </c>
      <c r="F590" s="44">
        <v>509.5</v>
      </c>
    </row>
    <row r="591" spans="1:6">
      <c r="A591" s="42">
        <v>46258.25</v>
      </c>
      <c r="B591" s="43" t="s">
        <v>27</v>
      </c>
      <c r="C591" s="44">
        <v>0</v>
      </c>
      <c r="D591" s="44">
        <v>0</v>
      </c>
      <c r="E591" s="44">
        <v>317</v>
      </c>
      <c r="F591" s="44">
        <v>509.5</v>
      </c>
    </row>
    <row r="592" spans="1:6">
      <c r="A592" s="42">
        <v>46258.291666666664</v>
      </c>
      <c r="B592" s="43" t="s">
        <v>27</v>
      </c>
      <c r="C592" s="44">
        <v>0</v>
      </c>
      <c r="D592" s="44">
        <v>0</v>
      </c>
      <c r="E592" s="44">
        <v>317</v>
      </c>
      <c r="F592" s="44">
        <v>509.5</v>
      </c>
    </row>
    <row r="593" spans="1:6">
      <c r="A593" s="42">
        <v>46258.333333333336</v>
      </c>
      <c r="B593" s="43" t="s">
        <v>27</v>
      </c>
      <c r="C593" s="44">
        <v>0</v>
      </c>
      <c r="D593" s="44">
        <v>0</v>
      </c>
      <c r="E593" s="44">
        <v>317</v>
      </c>
      <c r="F593" s="44">
        <v>509.5</v>
      </c>
    </row>
    <row r="594" spans="1:6">
      <c r="A594" s="42">
        <v>46258.375</v>
      </c>
      <c r="B594" s="43" t="s">
        <v>27</v>
      </c>
      <c r="C594" s="44">
        <v>0</v>
      </c>
      <c r="D594" s="44">
        <v>0</v>
      </c>
      <c r="E594" s="44">
        <v>317</v>
      </c>
      <c r="F594" s="44">
        <v>509.5</v>
      </c>
    </row>
    <row r="595" spans="1:6">
      <c r="A595" s="42">
        <v>46258.416666666664</v>
      </c>
      <c r="B595" s="43" t="s">
        <v>27</v>
      </c>
      <c r="C595" s="44">
        <v>0</v>
      </c>
      <c r="D595" s="44">
        <v>0</v>
      </c>
      <c r="E595" s="44">
        <v>317</v>
      </c>
      <c r="F595" s="44">
        <v>509.5</v>
      </c>
    </row>
    <row r="596" spans="1:6">
      <c r="A596" s="42">
        <v>46258.458333333336</v>
      </c>
      <c r="B596" s="43" t="s">
        <v>27</v>
      </c>
      <c r="C596" s="44">
        <v>0</v>
      </c>
      <c r="D596" s="44">
        <v>0</v>
      </c>
      <c r="E596" s="44">
        <v>317</v>
      </c>
      <c r="F596" s="44">
        <v>509.5</v>
      </c>
    </row>
    <row r="597" spans="1:6">
      <c r="A597" s="42">
        <v>46258.5</v>
      </c>
      <c r="B597" s="43" t="s">
        <v>27</v>
      </c>
      <c r="C597" s="44">
        <v>0</v>
      </c>
      <c r="D597" s="44">
        <v>0</v>
      </c>
      <c r="E597" s="44">
        <v>317</v>
      </c>
      <c r="F597" s="44">
        <v>509.5</v>
      </c>
    </row>
    <row r="598" spans="1:6">
      <c r="A598" s="42">
        <v>46258.541666666664</v>
      </c>
      <c r="B598" s="43" t="s">
        <v>27</v>
      </c>
      <c r="C598" s="44">
        <v>0</v>
      </c>
      <c r="D598" s="44">
        <v>0</v>
      </c>
      <c r="E598" s="44">
        <v>317</v>
      </c>
      <c r="F598" s="44">
        <v>509.5</v>
      </c>
    </row>
    <row r="599" spans="1:6">
      <c r="A599" s="42">
        <v>46258.583333333336</v>
      </c>
      <c r="B599" s="43" t="s">
        <v>27</v>
      </c>
      <c r="C599" s="44">
        <v>0</v>
      </c>
      <c r="D599" s="44">
        <v>0</v>
      </c>
      <c r="E599" s="44">
        <v>317</v>
      </c>
      <c r="F599" s="44">
        <v>509.5</v>
      </c>
    </row>
    <row r="600" spans="1:6">
      <c r="A600" s="42">
        <v>46258.625</v>
      </c>
      <c r="B600" s="43" t="s">
        <v>27</v>
      </c>
      <c r="C600" s="44">
        <v>0</v>
      </c>
      <c r="D600" s="44">
        <v>0</v>
      </c>
      <c r="E600" s="44">
        <v>317</v>
      </c>
      <c r="F600" s="44">
        <v>509.5</v>
      </c>
    </row>
    <row r="601" spans="1:6">
      <c r="A601" s="42">
        <v>46258.666666666664</v>
      </c>
      <c r="B601" s="43" t="s">
        <v>27</v>
      </c>
      <c r="C601" s="44">
        <v>0</v>
      </c>
      <c r="D601" s="44">
        <v>0</v>
      </c>
      <c r="E601" s="44">
        <v>317</v>
      </c>
      <c r="F601" s="44">
        <v>509.5</v>
      </c>
    </row>
    <row r="602" spans="1:6">
      <c r="A602" s="42">
        <v>46258.708333333336</v>
      </c>
      <c r="B602" s="43" t="s">
        <v>27</v>
      </c>
      <c r="C602" s="44">
        <v>0</v>
      </c>
      <c r="D602" s="44">
        <v>0</v>
      </c>
      <c r="E602" s="44">
        <v>317</v>
      </c>
      <c r="F602" s="44">
        <v>509.5</v>
      </c>
    </row>
    <row r="603" spans="1:6">
      <c r="A603" s="42">
        <v>46258.75</v>
      </c>
      <c r="B603" s="43" t="s">
        <v>27</v>
      </c>
      <c r="C603" s="44">
        <v>0</v>
      </c>
      <c r="D603" s="44">
        <v>0</v>
      </c>
      <c r="E603" s="44">
        <v>317</v>
      </c>
      <c r="F603" s="44">
        <v>509.5</v>
      </c>
    </row>
    <row r="604" spans="1:6">
      <c r="A604" s="42">
        <v>46258.791666666664</v>
      </c>
      <c r="B604" s="43" t="s">
        <v>27</v>
      </c>
      <c r="C604" s="44">
        <v>0</v>
      </c>
      <c r="D604" s="44">
        <v>0</v>
      </c>
      <c r="E604" s="44">
        <v>317</v>
      </c>
      <c r="F604" s="44">
        <v>509.5</v>
      </c>
    </row>
    <row r="605" spans="1:6">
      <c r="A605" s="42">
        <v>46258.833333333336</v>
      </c>
      <c r="B605" s="43" t="s">
        <v>27</v>
      </c>
      <c r="C605" s="44">
        <v>0</v>
      </c>
      <c r="D605" s="44">
        <v>0</v>
      </c>
      <c r="E605" s="44">
        <v>317</v>
      </c>
      <c r="F605" s="44">
        <v>509.5</v>
      </c>
    </row>
    <row r="606" spans="1:6">
      <c r="A606" s="42">
        <v>46258.875</v>
      </c>
      <c r="B606" s="43" t="s">
        <v>27</v>
      </c>
      <c r="C606" s="44">
        <v>0</v>
      </c>
      <c r="D606" s="44">
        <v>0</v>
      </c>
      <c r="E606" s="44">
        <v>317</v>
      </c>
      <c r="F606" s="44">
        <v>509.5</v>
      </c>
    </row>
    <row r="607" spans="1:6">
      <c r="A607" s="42">
        <v>46258.916666666664</v>
      </c>
      <c r="B607" s="43" t="s">
        <v>27</v>
      </c>
      <c r="C607" s="44">
        <v>0</v>
      </c>
      <c r="D607" s="44">
        <v>0</v>
      </c>
      <c r="E607" s="44">
        <v>317</v>
      </c>
      <c r="F607" s="44">
        <v>509.5</v>
      </c>
    </row>
    <row r="608" spans="1:6">
      <c r="A608" s="42">
        <v>46258.958333333336</v>
      </c>
      <c r="B608" s="43" t="s">
        <v>27</v>
      </c>
      <c r="C608" s="44">
        <v>0</v>
      </c>
      <c r="D608" s="44">
        <v>0</v>
      </c>
      <c r="E608" s="44">
        <v>317</v>
      </c>
      <c r="F608" s="44">
        <v>509.5</v>
      </c>
    </row>
    <row r="609" spans="1:6">
      <c r="A609" s="42">
        <v>46259</v>
      </c>
      <c r="B609" s="43" t="s">
        <v>27</v>
      </c>
      <c r="C609" s="44">
        <v>0</v>
      </c>
      <c r="D609" s="44">
        <v>0</v>
      </c>
      <c r="E609" s="44">
        <v>317</v>
      </c>
      <c r="F609" s="44">
        <v>509.5</v>
      </c>
    </row>
    <row r="610" spans="1:6">
      <c r="A610" s="42">
        <v>46259.041666666664</v>
      </c>
      <c r="B610" s="43" t="s">
        <v>27</v>
      </c>
      <c r="C610" s="44">
        <v>0</v>
      </c>
      <c r="D610" s="44">
        <v>0</v>
      </c>
      <c r="E610" s="44">
        <v>317</v>
      </c>
      <c r="F610" s="44">
        <v>509.5</v>
      </c>
    </row>
    <row r="611" spans="1:6">
      <c r="A611" s="42">
        <v>46259.083333333336</v>
      </c>
      <c r="B611" s="43" t="s">
        <v>27</v>
      </c>
      <c r="C611" s="44">
        <v>0</v>
      </c>
      <c r="D611" s="44">
        <v>0</v>
      </c>
      <c r="E611" s="44">
        <v>317</v>
      </c>
      <c r="F611" s="44">
        <v>509.5</v>
      </c>
    </row>
    <row r="612" spans="1:6">
      <c r="A612" s="42">
        <v>46259.125</v>
      </c>
      <c r="B612" s="43" t="s">
        <v>27</v>
      </c>
      <c r="C612" s="44">
        <v>0</v>
      </c>
      <c r="D612" s="44">
        <v>0</v>
      </c>
      <c r="E612" s="44">
        <v>317</v>
      </c>
      <c r="F612" s="44">
        <v>509.5</v>
      </c>
    </row>
    <row r="613" spans="1:6">
      <c r="A613" s="42">
        <v>46259.166666666664</v>
      </c>
      <c r="B613" s="43" t="s">
        <v>27</v>
      </c>
      <c r="C613" s="44">
        <v>0</v>
      </c>
      <c r="D613" s="44">
        <v>0</v>
      </c>
      <c r="E613" s="44">
        <v>317</v>
      </c>
      <c r="F613" s="44">
        <v>509.5</v>
      </c>
    </row>
    <row r="614" spans="1:6">
      <c r="A614" s="42">
        <v>46259.208333333336</v>
      </c>
      <c r="B614" s="43" t="s">
        <v>27</v>
      </c>
      <c r="C614" s="44">
        <v>0</v>
      </c>
      <c r="D614" s="44">
        <v>0</v>
      </c>
      <c r="E614" s="44">
        <v>317</v>
      </c>
      <c r="F614" s="44">
        <v>509.5</v>
      </c>
    </row>
    <row r="615" spans="1:6">
      <c r="A615" s="42">
        <v>46259.25</v>
      </c>
      <c r="B615" s="43" t="s">
        <v>27</v>
      </c>
      <c r="C615" s="44">
        <v>0</v>
      </c>
      <c r="D615" s="44">
        <v>0</v>
      </c>
      <c r="E615" s="44">
        <v>317</v>
      </c>
      <c r="F615" s="44">
        <v>509.5</v>
      </c>
    </row>
    <row r="616" spans="1:6">
      <c r="A616" s="42">
        <v>46259.291666666664</v>
      </c>
      <c r="B616" s="43" t="s">
        <v>27</v>
      </c>
      <c r="C616" s="44">
        <v>0</v>
      </c>
      <c r="D616" s="44">
        <v>0</v>
      </c>
      <c r="E616" s="44">
        <v>317</v>
      </c>
      <c r="F616" s="44">
        <v>509.5</v>
      </c>
    </row>
    <row r="617" spans="1:6">
      <c r="A617" s="42">
        <v>46259.333333333336</v>
      </c>
      <c r="B617" s="43" t="s">
        <v>27</v>
      </c>
      <c r="C617" s="44">
        <v>0</v>
      </c>
      <c r="D617" s="44">
        <v>0</v>
      </c>
      <c r="E617" s="44">
        <v>317</v>
      </c>
      <c r="F617" s="44">
        <v>509.5</v>
      </c>
    </row>
    <row r="618" spans="1:6">
      <c r="A618" s="42">
        <v>46259.375</v>
      </c>
      <c r="B618" s="43" t="s">
        <v>27</v>
      </c>
      <c r="C618" s="44">
        <v>0</v>
      </c>
      <c r="D618" s="44">
        <v>0</v>
      </c>
      <c r="E618" s="44">
        <v>317</v>
      </c>
      <c r="F618" s="44">
        <v>509.5</v>
      </c>
    </row>
    <row r="619" spans="1:6">
      <c r="A619" s="42">
        <v>46259.416666666664</v>
      </c>
      <c r="B619" s="43" t="s">
        <v>27</v>
      </c>
      <c r="C619" s="44">
        <v>0</v>
      </c>
      <c r="D619" s="44">
        <v>0</v>
      </c>
      <c r="E619" s="44">
        <v>317</v>
      </c>
      <c r="F619" s="44">
        <v>509.5</v>
      </c>
    </row>
    <row r="620" spans="1:6">
      <c r="A620" s="42">
        <v>46259.458333333336</v>
      </c>
      <c r="B620" s="43" t="s">
        <v>27</v>
      </c>
      <c r="C620" s="44">
        <v>0</v>
      </c>
      <c r="D620" s="44">
        <v>0</v>
      </c>
      <c r="E620" s="44">
        <v>317</v>
      </c>
      <c r="F620" s="44">
        <v>509.5</v>
      </c>
    </row>
    <row r="621" spans="1:6">
      <c r="A621" s="42">
        <v>46259.5</v>
      </c>
      <c r="B621" s="43" t="s">
        <v>27</v>
      </c>
      <c r="C621" s="44">
        <v>0</v>
      </c>
      <c r="D621" s="44">
        <v>0</v>
      </c>
      <c r="E621" s="44">
        <v>317</v>
      </c>
      <c r="F621" s="44">
        <v>509.5</v>
      </c>
    </row>
    <row r="622" spans="1:6">
      <c r="A622" s="42">
        <v>46259.541666666664</v>
      </c>
      <c r="B622" s="43" t="s">
        <v>27</v>
      </c>
      <c r="C622" s="44">
        <v>0</v>
      </c>
      <c r="D622" s="44">
        <v>0</v>
      </c>
      <c r="E622" s="44">
        <v>317</v>
      </c>
      <c r="F622" s="44">
        <v>509.5</v>
      </c>
    </row>
    <row r="623" spans="1:6">
      <c r="A623" s="42">
        <v>46259.583333333336</v>
      </c>
      <c r="B623" s="43" t="s">
        <v>27</v>
      </c>
      <c r="C623" s="44">
        <v>0</v>
      </c>
      <c r="D623" s="44">
        <v>0</v>
      </c>
      <c r="E623" s="44">
        <v>317</v>
      </c>
      <c r="F623" s="44">
        <v>509.5</v>
      </c>
    </row>
    <row r="624" spans="1:6">
      <c r="A624" s="42">
        <v>46259.625</v>
      </c>
      <c r="B624" s="43" t="s">
        <v>27</v>
      </c>
      <c r="C624" s="44">
        <v>0</v>
      </c>
      <c r="D624" s="44">
        <v>0</v>
      </c>
      <c r="E624" s="44">
        <v>317</v>
      </c>
      <c r="F624" s="44">
        <v>509.5</v>
      </c>
    </row>
    <row r="625" spans="1:6">
      <c r="A625" s="42">
        <v>46259.666666666664</v>
      </c>
      <c r="B625" s="43" t="s">
        <v>27</v>
      </c>
      <c r="C625" s="44">
        <v>0</v>
      </c>
      <c r="D625" s="44">
        <v>0</v>
      </c>
      <c r="E625" s="44">
        <v>317</v>
      </c>
      <c r="F625" s="44">
        <v>509.5</v>
      </c>
    </row>
    <row r="626" spans="1:6">
      <c r="A626" s="42">
        <v>46259.708333333336</v>
      </c>
      <c r="B626" s="43" t="s">
        <v>27</v>
      </c>
      <c r="C626" s="44">
        <v>0</v>
      </c>
      <c r="D626" s="44">
        <v>0</v>
      </c>
      <c r="E626" s="44">
        <v>317</v>
      </c>
      <c r="F626" s="44">
        <v>509.5</v>
      </c>
    </row>
    <row r="627" spans="1:6">
      <c r="A627" s="42">
        <v>46259.75</v>
      </c>
      <c r="B627" s="43" t="s">
        <v>27</v>
      </c>
      <c r="C627" s="44">
        <v>0</v>
      </c>
      <c r="D627" s="44">
        <v>0</v>
      </c>
      <c r="E627" s="44">
        <v>317</v>
      </c>
      <c r="F627" s="44">
        <v>509.5</v>
      </c>
    </row>
    <row r="628" spans="1:6">
      <c r="A628" s="42">
        <v>46259.791666666664</v>
      </c>
      <c r="B628" s="43" t="s">
        <v>27</v>
      </c>
      <c r="C628" s="44">
        <v>0</v>
      </c>
      <c r="D628" s="44">
        <v>0</v>
      </c>
      <c r="E628" s="44">
        <v>317</v>
      </c>
      <c r="F628" s="44">
        <v>509.5</v>
      </c>
    </row>
    <row r="629" spans="1:6">
      <c r="A629" s="42">
        <v>46259.833333333336</v>
      </c>
      <c r="B629" s="43" t="s">
        <v>27</v>
      </c>
      <c r="C629" s="44">
        <v>0</v>
      </c>
      <c r="D629" s="44">
        <v>0</v>
      </c>
      <c r="E629" s="44">
        <v>317</v>
      </c>
      <c r="F629" s="44">
        <v>509.5</v>
      </c>
    </row>
    <row r="630" spans="1:6">
      <c r="A630" s="42">
        <v>46259.875</v>
      </c>
      <c r="B630" s="43" t="s">
        <v>27</v>
      </c>
      <c r="C630" s="44">
        <v>0</v>
      </c>
      <c r="D630" s="44">
        <v>0</v>
      </c>
      <c r="E630" s="44">
        <v>317</v>
      </c>
      <c r="F630" s="44">
        <v>509.5</v>
      </c>
    </row>
    <row r="631" spans="1:6">
      <c r="A631" s="42">
        <v>46259.916666666664</v>
      </c>
      <c r="B631" s="43" t="s">
        <v>27</v>
      </c>
      <c r="C631" s="44">
        <v>0</v>
      </c>
      <c r="D631" s="44">
        <v>0</v>
      </c>
      <c r="E631" s="44">
        <v>317</v>
      </c>
      <c r="F631" s="44">
        <v>509.5</v>
      </c>
    </row>
    <row r="632" spans="1:6">
      <c r="A632" s="42">
        <v>46259.958333333336</v>
      </c>
      <c r="B632" s="43" t="s">
        <v>27</v>
      </c>
      <c r="C632" s="44">
        <v>0</v>
      </c>
      <c r="D632" s="44">
        <v>0</v>
      </c>
      <c r="E632" s="44">
        <v>317</v>
      </c>
      <c r="F632" s="44">
        <v>509.5</v>
      </c>
    </row>
    <row r="633" spans="1:6">
      <c r="A633" s="42">
        <v>46260</v>
      </c>
      <c r="B633" s="43" t="s">
        <v>27</v>
      </c>
      <c r="C633" s="44">
        <v>0</v>
      </c>
      <c r="D633" s="44">
        <v>0</v>
      </c>
      <c r="E633" s="44">
        <v>317</v>
      </c>
      <c r="F633" s="44">
        <v>509.5</v>
      </c>
    </row>
    <row r="634" spans="1:6">
      <c r="A634" s="42">
        <v>46260.041666666664</v>
      </c>
      <c r="B634" s="43" t="s">
        <v>27</v>
      </c>
      <c r="C634" s="44">
        <v>0</v>
      </c>
      <c r="D634" s="44">
        <v>0</v>
      </c>
      <c r="E634" s="44">
        <v>317</v>
      </c>
      <c r="F634" s="44">
        <v>509.5</v>
      </c>
    </row>
    <row r="635" spans="1:6">
      <c r="A635" s="42">
        <v>46260.083333333336</v>
      </c>
      <c r="B635" s="43" t="s">
        <v>27</v>
      </c>
      <c r="C635" s="44">
        <v>0</v>
      </c>
      <c r="D635" s="44">
        <v>0</v>
      </c>
      <c r="E635" s="44">
        <v>317</v>
      </c>
      <c r="F635" s="44">
        <v>509.5</v>
      </c>
    </row>
    <row r="636" spans="1:6">
      <c r="A636" s="42">
        <v>46260.125</v>
      </c>
      <c r="B636" s="43" t="s">
        <v>27</v>
      </c>
      <c r="C636" s="44">
        <v>0</v>
      </c>
      <c r="D636" s="44">
        <v>0</v>
      </c>
      <c r="E636" s="44">
        <v>317</v>
      </c>
      <c r="F636" s="44">
        <v>509.5</v>
      </c>
    </row>
    <row r="637" spans="1:6">
      <c r="A637" s="42">
        <v>46260.166666666664</v>
      </c>
      <c r="B637" s="43" t="s">
        <v>27</v>
      </c>
      <c r="C637" s="44">
        <v>0</v>
      </c>
      <c r="D637" s="44">
        <v>0</v>
      </c>
      <c r="E637" s="44">
        <v>317</v>
      </c>
      <c r="F637" s="44">
        <v>509.5</v>
      </c>
    </row>
    <row r="638" spans="1:6">
      <c r="A638" s="42">
        <v>46260.208333333336</v>
      </c>
      <c r="B638" s="43" t="s">
        <v>27</v>
      </c>
      <c r="C638" s="44">
        <v>0</v>
      </c>
      <c r="D638" s="44">
        <v>0</v>
      </c>
      <c r="E638" s="44">
        <v>317</v>
      </c>
      <c r="F638" s="44">
        <v>509.5</v>
      </c>
    </row>
    <row r="639" spans="1:6">
      <c r="A639" s="42">
        <v>46260.25</v>
      </c>
      <c r="B639" s="43" t="s">
        <v>27</v>
      </c>
      <c r="C639" s="44">
        <v>0</v>
      </c>
      <c r="D639" s="44">
        <v>0</v>
      </c>
      <c r="E639" s="44">
        <v>317</v>
      </c>
      <c r="F639" s="44">
        <v>509.5</v>
      </c>
    </row>
    <row r="640" spans="1:6">
      <c r="A640" s="42">
        <v>46260.291666666664</v>
      </c>
      <c r="B640" s="43" t="s">
        <v>27</v>
      </c>
      <c r="C640" s="44">
        <v>0</v>
      </c>
      <c r="D640" s="44">
        <v>0</v>
      </c>
      <c r="E640" s="44">
        <v>317</v>
      </c>
      <c r="F640" s="44">
        <v>509.5</v>
      </c>
    </row>
    <row r="641" spans="1:6">
      <c r="A641" s="42">
        <v>46260.333333333336</v>
      </c>
      <c r="B641" s="43" t="s">
        <v>27</v>
      </c>
      <c r="C641" s="44">
        <v>0</v>
      </c>
      <c r="D641" s="44">
        <v>0</v>
      </c>
      <c r="E641" s="44">
        <v>317</v>
      </c>
      <c r="F641" s="44">
        <v>509.5</v>
      </c>
    </row>
    <row r="642" spans="1:6">
      <c r="A642" s="42">
        <v>46260.375</v>
      </c>
      <c r="B642" s="43" t="s">
        <v>27</v>
      </c>
      <c r="C642" s="44">
        <v>0</v>
      </c>
      <c r="D642" s="44">
        <v>0</v>
      </c>
      <c r="E642" s="44">
        <v>317</v>
      </c>
      <c r="F642" s="44">
        <v>509.5</v>
      </c>
    </row>
    <row r="643" spans="1:6">
      <c r="A643" s="42">
        <v>46260.416666666664</v>
      </c>
      <c r="B643" s="43" t="s">
        <v>27</v>
      </c>
      <c r="C643" s="44">
        <v>0</v>
      </c>
      <c r="D643" s="44">
        <v>0</v>
      </c>
      <c r="E643" s="44">
        <v>317</v>
      </c>
      <c r="F643" s="44">
        <v>509.5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43"/>
  <sheetViews>
    <sheetView workbookViewId="0">
      <selection activeCell="K5" sqref="K5"/>
    </sheetView>
  </sheetViews>
  <sheetFormatPr defaultRowHeight="13.5"/>
  <cols>
    <col min="1" max="1" width="18.875" style="14" customWidth="1"/>
  </cols>
  <sheetData>
    <row r="1" spans="1:9">
      <c r="A1" s="18" t="s">
        <v>30</v>
      </c>
      <c r="B1" s="27" t="s">
        <v>20</v>
      </c>
      <c r="C1" s="27" t="s">
        <v>21</v>
      </c>
      <c r="D1" s="27" t="s">
        <v>22</v>
      </c>
      <c r="E1" s="27" t="s">
        <v>23</v>
      </c>
      <c r="F1" s="27" t="s">
        <v>24</v>
      </c>
    </row>
    <row r="2" spans="1:9" ht="33">
      <c r="A2" s="42">
        <v>46233.708333333336</v>
      </c>
      <c r="B2" s="43" t="s">
        <v>28</v>
      </c>
      <c r="C2" s="44">
        <v>0</v>
      </c>
      <c r="D2" s="44">
        <v>300</v>
      </c>
      <c r="E2" s="44">
        <v>524.12030000000004</v>
      </c>
      <c r="F2" s="44">
        <v>488.86509999999998</v>
      </c>
      <c r="H2" s="2" t="s">
        <v>3</v>
      </c>
      <c r="I2">
        <f>MAX(C:C)</f>
        <v>955</v>
      </c>
    </row>
    <row r="3" spans="1:9" ht="33">
      <c r="A3" s="42">
        <v>46233.75</v>
      </c>
      <c r="B3" s="43" t="s">
        <v>28</v>
      </c>
      <c r="C3" s="44">
        <v>0</v>
      </c>
      <c r="D3" s="44">
        <v>300</v>
      </c>
      <c r="E3" s="44">
        <v>524.05070000000001</v>
      </c>
      <c r="F3" s="44">
        <v>487.7851</v>
      </c>
      <c r="H3" s="3" t="s">
        <v>4</v>
      </c>
      <c r="I3">
        <f>MAX(D:D)</f>
        <v>509</v>
      </c>
    </row>
    <row r="4" spans="1:9" ht="33">
      <c r="A4" s="42">
        <v>46233.791666666664</v>
      </c>
      <c r="B4" s="43" t="s">
        <v>28</v>
      </c>
      <c r="C4" s="44">
        <v>0</v>
      </c>
      <c r="D4" s="44">
        <v>300</v>
      </c>
      <c r="E4" s="44">
        <v>523.98099999999999</v>
      </c>
      <c r="F4" s="44">
        <v>486.70510000000002</v>
      </c>
      <c r="H4" s="2" t="s">
        <v>5</v>
      </c>
      <c r="I4">
        <f>I6-F2</f>
        <v>87.316400000000044</v>
      </c>
    </row>
    <row r="5" spans="1:9" ht="33">
      <c r="A5" s="42">
        <v>46233.833333333336</v>
      </c>
      <c r="B5" s="43" t="s">
        <v>28</v>
      </c>
      <c r="C5" s="44">
        <v>0</v>
      </c>
      <c r="D5" s="44">
        <v>300</v>
      </c>
      <c r="E5" s="44">
        <v>523.91129999999998</v>
      </c>
      <c r="F5" s="44">
        <v>485.62509999999997</v>
      </c>
      <c r="H5" s="2" t="s">
        <v>6</v>
      </c>
      <c r="I5">
        <f>MAX(E:E)</f>
        <v>529.75369999999998</v>
      </c>
    </row>
    <row r="6" spans="1:9" ht="33">
      <c r="A6" s="42">
        <v>46233.875</v>
      </c>
      <c r="B6" s="43" t="s">
        <v>28</v>
      </c>
      <c r="C6" s="44">
        <v>0</v>
      </c>
      <c r="D6" s="44">
        <v>300</v>
      </c>
      <c r="E6" s="44">
        <v>523.84159999999997</v>
      </c>
      <c r="F6" s="44">
        <v>484.54509999999999</v>
      </c>
      <c r="H6" s="2" t="s">
        <v>7</v>
      </c>
      <c r="I6">
        <f>MAX(F:F)</f>
        <v>576.18150000000003</v>
      </c>
    </row>
    <row r="7" spans="1:9">
      <c r="A7" s="42">
        <v>46233.916666666664</v>
      </c>
      <c r="B7" s="43" t="s">
        <v>28</v>
      </c>
      <c r="C7" s="44">
        <v>0</v>
      </c>
      <c r="D7" s="44">
        <v>300</v>
      </c>
      <c r="E7" s="44">
        <v>523.77200000000005</v>
      </c>
      <c r="F7" s="44">
        <v>483.46510000000001</v>
      </c>
    </row>
    <row r="8" spans="1:9">
      <c r="A8" s="42">
        <v>46233.958333333336</v>
      </c>
      <c r="B8" s="43" t="s">
        <v>28</v>
      </c>
      <c r="C8" s="44">
        <v>0</v>
      </c>
      <c r="D8" s="44">
        <v>300</v>
      </c>
      <c r="E8" s="44">
        <v>523.70230000000004</v>
      </c>
      <c r="F8" s="44">
        <v>482.38510000000002</v>
      </c>
    </row>
    <row r="9" spans="1:9">
      <c r="A9" s="42">
        <v>46234</v>
      </c>
      <c r="B9" s="43" t="s">
        <v>28</v>
      </c>
      <c r="C9" s="44">
        <v>0</v>
      </c>
      <c r="D9" s="44">
        <v>300</v>
      </c>
      <c r="E9" s="44">
        <v>523.63260000000002</v>
      </c>
      <c r="F9" s="44">
        <v>481.30509999999998</v>
      </c>
    </row>
    <row r="10" spans="1:9">
      <c r="A10" s="42">
        <v>46234.041666666664</v>
      </c>
      <c r="B10" s="43" t="s">
        <v>28</v>
      </c>
      <c r="C10" s="44">
        <v>0</v>
      </c>
      <c r="D10" s="44">
        <v>300</v>
      </c>
      <c r="E10" s="44">
        <v>523.56290000000001</v>
      </c>
      <c r="F10" s="44">
        <v>480.22519999999997</v>
      </c>
    </row>
    <row r="11" spans="1:9">
      <c r="A11" s="42">
        <v>46234.083333333336</v>
      </c>
      <c r="B11" s="43" t="s">
        <v>28</v>
      </c>
      <c r="C11" s="44">
        <v>0</v>
      </c>
      <c r="D11" s="44">
        <v>300</v>
      </c>
      <c r="E11" s="44">
        <v>523.4932</v>
      </c>
      <c r="F11" s="44">
        <v>479.14519999999999</v>
      </c>
    </row>
    <row r="12" spans="1:9">
      <c r="A12" s="42">
        <v>46234.125</v>
      </c>
      <c r="B12" s="43" t="s">
        <v>28</v>
      </c>
      <c r="C12" s="44">
        <v>0</v>
      </c>
      <c r="D12" s="44">
        <v>300</v>
      </c>
      <c r="E12" s="44">
        <v>523.42359999999996</v>
      </c>
      <c r="F12" s="44">
        <v>478.0652</v>
      </c>
    </row>
    <row r="13" spans="1:9">
      <c r="A13" s="42">
        <v>46234.166666666664</v>
      </c>
      <c r="B13" s="43" t="s">
        <v>28</v>
      </c>
      <c r="C13" s="44">
        <v>0</v>
      </c>
      <c r="D13" s="44">
        <v>300</v>
      </c>
      <c r="E13" s="44">
        <v>523.35389999999995</v>
      </c>
      <c r="F13" s="44">
        <v>476.98520000000002</v>
      </c>
    </row>
    <row r="14" spans="1:9">
      <c r="A14" s="42">
        <v>46234.208333333336</v>
      </c>
      <c r="B14" s="43" t="s">
        <v>28</v>
      </c>
      <c r="C14" s="44">
        <v>0</v>
      </c>
      <c r="D14" s="44">
        <v>300</v>
      </c>
      <c r="E14" s="44">
        <v>523.28420000000006</v>
      </c>
      <c r="F14" s="44">
        <v>475.90519999999998</v>
      </c>
    </row>
    <row r="15" spans="1:9">
      <c r="A15" s="42">
        <v>46234.25</v>
      </c>
      <c r="B15" s="43" t="s">
        <v>28</v>
      </c>
      <c r="C15" s="44">
        <v>0</v>
      </c>
      <c r="D15" s="44">
        <v>300</v>
      </c>
      <c r="E15" s="44">
        <v>523.21450000000004</v>
      </c>
      <c r="F15" s="44">
        <v>474.8252</v>
      </c>
    </row>
    <row r="16" spans="1:9">
      <c r="A16" s="42">
        <v>46234.291666666664</v>
      </c>
      <c r="B16" s="43" t="s">
        <v>28</v>
      </c>
      <c r="C16" s="44">
        <v>0.5</v>
      </c>
      <c r="D16" s="44">
        <v>300</v>
      </c>
      <c r="E16" s="44">
        <v>523.14490000000001</v>
      </c>
      <c r="F16" s="44">
        <v>473.74610000000001</v>
      </c>
    </row>
    <row r="17" spans="1:19">
      <c r="A17" s="42">
        <v>46234.333333333336</v>
      </c>
      <c r="B17" s="43" t="s">
        <v>28</v>
      </c>
      <c r="C17" s="44">
        <v>1</v>
      </c>
      <c r="D17" s="44">
        <v>300</v>
      </c>
      <c r="E17" s="44">
        <v>523.07539999999995</v>
      </c>
      <c r="F17" s="44">
        <v>472.66879999999998</v>
      </c>
    </row>
    <row r="18" spans="1:19">
      <c r="A18" s="42">
        <v>46234.375</v>
      </c>
      <c r="B18" s="43" t="s">
        <v>28</v>
      </c>
      <c r="C18" s="44">
        <v>1.5</v>
      </c>
      <c r="D18" s="44">
        <v>300</v>
      </c>
      <c r="E18" s="44">
        <v>523.00599999999997</v>
      </c>
      <c r="F18" s="44">
        <v>471.5933</v>
      </c>
    </row>
    <row r="19" spans="1:19" s="7" customFormat="1">
      <c r="A19" s="42">
        <v>46234.416666666664</v>
      </c>
      <c r="B19" s="43" t="s">
        <v>28</v>
      </c>
      <c r="C19" s="44">
        <v>2</v>
      </c>
      <c r="D19" s="44">
        <v>300</v>
      </c>
      <c r="E19" s="44">
        <v>522.93679999999995</v>
      </c>
      <c r="F19" s="44">
        <v>470.51960000000003</v>
      </c>
      <c r="P19"/>
      <c r="Q19"/>
      <c r="R19"/>
      <c r="S19"/>
    </row>
    <row r="20" spans="1:19">
      <c r="A20" s="42">
        <v>46234.458333333336</v>
      </c>
      <c r="B20" s="43" t="s">
        <v>28</v>
      </c>
      <c r="C20" s="44">
        <v>5.5</v>
      </c>
      <c r="D20" s="44">
        <v>300</v>
      </c>
      <c r="E20" s="44">
        <v>522.86789999999996</v>
      </c>
      <c r="F20" s="44">
        <v>469.45310000000001</v>
      </c>
    </row>
    <row r="21" spans="1:19">
      <c r="A21" s="42">
        <v>46234.5</v>
      </c>
      <c r="B21" s="43" t="s">
        <v>28</v>
      </c>
      <c r="C21" s="44">
        <v>9</v>
      </c>
      <c r="D21" s="44">
        <v>300</v>
      </c>
      <c r="E21" s="44">
        <v>522.79989999999998</v>
      </c>
      <c r="F21" s="44">
        <v>468.39920000000001</v>
      </c>
    </row>
    <row r="22" spans="1:19">
      <c r="A22" s="42">
        <v>46234.541666666664</v>
      </c>
      <c r="B22" s="43" t="s">
        <v>28</v>
      </c>
      <c r="C22" s="44">
        <v>14.5</v>
      </c>
      <c r="D22" s="44">
        <v>300</v>
      </c>
      <c r="E22" s="44">
        <v>522.73299999999995</v>
      </c>
      <c r="F22" s="44">
        <v>467.36149999999998</v>
      </c>
    </row>
    <row r="23" spans="1:19">
      <c r="A23" s="42">
        <v>46234.583333333336</v>
      </c>
      <c r="B23" s="43" t="s">
        <v>28</v>
      </c>
      <c r="C23" s="44">
        <v>20</v>
      </c>
      <c r="D23" s="44">
        <v>300</v>
      </c>
      <c r="E23" s="44">
        <v>522.66740000000004</v>
      </c>
      <c r="F23" s="44">
        <v>466.34359999999998</v>
      </c>
    </row>
    <row r="24" spans="1:19">
      <c r="A24" s="42">
        <v>46234.625</v>
      </c>
      <c r="B24" s="43" t="s">
        <v>28</v>
      </c>
      <c r="C24" s="44">
        <v>25.5</v>
      </c>
      <c r="D24" s="44">
        <v>300</v>
      </c>
      <c r="E24" s="44">
        <v>522.60299999999995</v>
      </c>
      <c r="F24" s="44">
        <v>465.34550000000002</v>
      </c>
    </row>
    <row r="25" spans="1:19">
      <c r="A25" s="42">
        <v>46234.666666666664</v>
      </c>
      <c r="B25" s="43" t="s">
        <v>28</v>
      </c>
      <c r="C25" s="44">
        <v>31</v>
      </c>
      <c r="D25" s="44">
        <v>300</v>
      </c>
      <c r="E25" s="44">
        <v>522.53980000000001</v>
      </c>
      <c r="F25" s="44">
        <v>464.36720000000003</v>
      </c>
    </row>
    <row r="26" spans="1:19">
      <c r="A26" s="42">
        <v>46234.708333333336</v>
      </c>
      <c r="B26" s="43" t="s">
        <v>28</v>
      </c>
      <c r="C26" s="44">
        <v>35.5</v>
      </c>
      <c r="D26" s="44">
        <v>300</v>
      </c>
      <c r="E26" s="44">
        <v>522.4778</v>
      </c>
      <c r="F26" s="44">
        <v>463.40690000000001</v>
      </c>
    </row>
    <row r="27" spans="1:19">
      <c r="A27" s="42">
        <v>46234.75</v>
      </c>
      <c r="B27" s="43" t="s">
        <v>28</v>
      </c>
      <c r="C27" s="44">
        <v>40</v>
      </c>
      <c r="D27" s="44">
        <v>300</v>
      </c>
      <c r="E27" s="44">
        <v>522.41690000000006</v>
      </c>
      <c r="F27" s="44">
        <v>462.46280000000002</v>
      </c>
    </row>
    <row r="28" spans="1:19">
      <c r="A28" s="42">
        <v>46234.791666666664</v>
      </c>
      <c r="B28" s="43" t="s">
        <v>28</v>
      </c>
      <c r="C28" s="44">
        <v>44.5</v>
      </c>
      <c r="D28" s="44">
        <v>300</v>
      </c>
      <c r="E28" s="44">
        <v>522.35709999999995</v>
      </c>
      <c r="F28" s="44">
        <v>461.53489999999999</v>
      </c>
    </row>
    <row r="29" spans="1:19">
      <c r="A29" s="42">
        <v>46234.833333333336</v>
      </c>
      <c r="B29" s="43" t="s">
        <v>28</v>
      </c>
      <c r="C29" s="44">
        <v>49</v>
      </c>
      <c r="D29" s="44">
        <v>300</v>
      </c>
      <c r="E29" s="44">
        <v>522.29830000000004</v>
      </c>
      <c r="F29" s="44">
        <v>460.6232</v>
      </c>
    </row>
    <row r="30" spans="1:19">
      <c r="A30" s="42">
        <v>46234.875</v>
      </c>
      <c r="B30" s="43" t="s">
        <v>28</v>
      </c>
      <c r="C30" s="44">
        <v>52</v>
      </c>
      <c r="D30" s="44">
        <v>90</v>
      </c>
      <c r="E30" s="44">
        <v>522.26469999999995</v>
      </c>
      <c r="F30" s="44">
        <v>460.10300000000001</v>
      </c>
    </row>
    <row r="31" spans="1:19">
      <c r="A31" s="42">
        <v>46234.916666666664</v>
      </c>
      <c r="B31" s="43" t="s">
        <v>28</v>
      </c>
      <c r="C31" s="44">
        <v>55</v>
      </c>
      <c r="D31" s="44">
        <v>90</v>
      </c>
      <c r="E31" s="44">
        <v>522.25620000000004</v>
      </c>
      <c r="F31" s="44">
        <v>459.97160000000002</v>
      </c>
    </row>
    <row r="32" spans="1:19">
      <c r="A32" s="42">
        <v>46234.958333333336</v>
      </c>
      <c r="B32" s="43" t="s">
        <v>28</v>
      </c>
      <c r="C32" s="44">
        <v>58</v>
      </c>
      <c r="D32" s="44">
        <v>90</v>
      </c>
      <c r="E32" s="44">
        <v>522.24850000000004</v>
      </c>
      <c r="F32" s="44">
        <v>459.851</v>
      </c>
    </row>
    <row r="33" spans="1:6">
      <c r="A33" s="42">
        <v>46235</v>
      </c>
      <c r="B33" s="43" t="s">
        <v>28</v>
      </c>
      <c r="C33" s="44">
        <v>61</v>
      </c>
      <c r="D33" s="44">
        <v>90</v>
      </c>
      <c r="E33" s="44">
        <v>522.2414</v>
      </c>
      <c r="F33" s="44">
        <v>459.74119999999999</v>
      </c>
    </row>
    <row r="34" spans="1:6">
      <c r="A34" s="42">
        <v>46235.041666666664</v>
      </c>
      <c r="B34" s="43" t="s">
        <v>28</v>
      </c>
      <c r="C34" s="44">
        <v>62.5</v>
      </c>
      <c r="D34" s="44">
        <v>90</v>
      </c>
      <c r="E34" s="44">
        <v>522.23479999999995</v>
      </c>
      <c r="F34" s="44">
        <v>459.6395</v>
      </c>
    </row>
    <row r="35" spans="1:6">
      <c r="A35" s="42">
        <v>46235.083333333336</v>
      </c>
      <c r="B35" s="43" t="s">
        <v>28</v>
      </c>
      <c r="C35" s="44">
        <v>64</v>
      </c>
      <c r="D35" s="44">
        <v>90</v>
      </c>
      <c r="E35" s="44">
        <v>522.22860000000003</v>
      </c>
      <c r="F35" s="44">
        <v>459.54320000000001</v>
      </c>
    </row>
    <row r="36" spans="1:6">
      <c r="A36" s="42">
        <v>46235.125</v>
      </c>
      <c r="B36" s="43" t="s">
        <v>28</v>
      </c>
      <c r="C36" s="44">
        <v>65</v>
      </c>
      <c r="D36" s="44">
        <v>90</v>
      </c>
      <c r="E36" s="44">
        <v>522.22270000000003</v>
      </c>
      <c r="F36" s="44">
        <v>459.45139999999998</v>
      </c>
    </row>
    <row r="37" spans="1:6">
      <c r="A37" s="42">
        <v>46235.166666666664</v>
      </c>
      <c r="B37" s="43" t="s">
        <v>28</v>
      </c>
      <c r="C37" s="44">
        <v>66</v>
      </c>
      <c r="D37" s="44">
        <v>90</v>
      </c>
      <c r="E37" s="44">
        <v>522.21699999999998</v>
      </c>
      <c r="F37" s="44">
        <v>459.36320000000001</v>
      </c>
    </row>
    <row r="38" spans="1:6">
      <c r="A38" s="42">
        <v>46235.208333333336</v>
      </c>
      <c r="B38" s="43" t="s">
        <v>28</v>
      </c>
      <c r="C38" s="44">
        <v>66.5</v>
      </c>
      <c r="D38" s="44">
        <v>90</v>
      </c>
      <c r="E38" s="44">
        <v>522.2115</v>
      </c>
      <c r="F38" s="44">
        <v>459.27769999999998</v>
      </c>
    </row>
    <row r="39" spans="1:6">
      <c r="A39" s="42">
        <v>46235.25</v>
      </c>
      <c r="B39" s="43" t="s">
        <v>28</v>
      </c>
      <c r="C39" s="44">
        <v>67</v>
      </c>
      <c r="D39" s="44">
        <v>90</v>
      </c>
      <c r="E39" s="44">
        <v>522.20609999999999</v>
      </c>
      <c r="F39" s="44">
        <v>459.19400000000002</v>
      </c>
    </row>
    <row r="40" spans="1:6">
      <c r="A40" s="42">
        <v>46235.291666666664</v>
      </c>
      <c r="B40" s="43" t="s">
        <v>28</v>
      </c>
      <c r="C40" s="44">
        <v>67.5</v>
      </c>
      <c r="D40" s="44">
        <v>90</v>
      </c>
      <c r="E40" s="44">
        <v>522.20079999999996</v>
      </c>
      <c r="F40" s="44">
        <v>459.1121</v>
      </c>
    </row>
    <row r="41" spans="1:6">
      <c r="A41" s="42">
        <v>46235.333333333336</v>
      </c>
      <c r="B41" s="43" t="s">
        <v>28</v>
      </c>
      <c r="C41" s="44">
        <v>68</v>
      </c>
      <c r="D41" s="44">
        <v>90</v>
      </c>
      <c r="E41" s="44">
        <v>522.19560000000001</v>
      </c>
      <c r="F41" s="44">
        <v>459.03199999999998</v>
      </c>
    </row>
    <row r="42" spans="1:6">
      <c r="A42" s="42">
        <v>46235.375</v>
      </c>
      <c r="B42" s="43" t="s">
        <v>28</v>
      </c>
      <c r="C42" s="44">
        <v>68</v>
      </c>
      <c r="D42" s="44">
        <v>90</v>
      </c>
      <c r="E42" s="44">
        <v>522.19050000000004</v>
      </c>
      <c r="F42" s="44">
        <v>458.95280000000002</v>
      </c>
    </row>
    <row r="43" spans="1:6">
      <c r="A43" s="42">
        <v>46235.416666666664</v>
      </c>
      <c r="B43" s="43" t="s">
        <v>28</v>
      </c>
      <c r="C43" s="44">
        <v>68</v>
      </c>
      <c r="D43" s="44">
        <v>90</v>
      </c>
      <c r="E43" s="44">
        <v>522.18539999999996</v>
      </c>
      <c r="F43" s="44">
        <v>458.87360000000001</v>
      </c>
    </row>
    <row r="44" spans="1:6">
      <c r="A44" s="42">
        <v>46235.458333333336</v>
      </c>
      <c r="B44" s="43" t="s">
        <v>28</v>
      </c>
      <c r="C44" s="44">
        <v>69</v>
      </c>
      <c r="D44" s="44">
        <v>90</v>
      </c>
      <c r="E44" s="44">
        <v>522.18039999999996</v>
      </c>
      <c r="F44" s="44">
        <v>458.7962</v>
      </c>
    </row>
    <row r="45" spans="1:6">
      <c r="A45" s="42">
        <v>46235.5</v>
      </c>
      <c r="B45" s="43" t="s">
        <v>28</v>
      </c>
      <c r="C45" s="44">
        <v>70</v>
      </c>
      <c r="D45" s="44">
        <v>90</v>
      </c>
      <c r="E45" s="44">
        <v>522.17570000000001</v>
      </c>
      <c r="F45" s="44">
        <v>458.72239999999999</v>
      </c>
    </row>
    <row r="46" spans="1:6">
      <c r="A46" s="42">
        <v>46235.541666666664</v>
      </c>
      <c r="B46" s="43" t="s">
        <v>28</v>
      </c>
      <c r="C46" s="44">
        <v>71.5</v>
      </c>
      <c r="D46" s="44">
        <v>90</v>
      </c>
      <c r="E46" s="44">
        <v>522.17110000000002</v>
      </c>
      <c r="F46" s="44">
        <v>458.65309999999999</v>
      </c>
    </row>
    <row r="47" spans="1:6">
      <c r="A47" s="42">
        <v>46235.583333333336</v>
      </c>
      <c r="B47" s="43" t="s">
        <v>28</v>
      </c>
      <c r="C47" s="44">
        <v>73</v>
      </c>
      <c r="D47" s="44">
        <v>90</v>
      </c>
      <c r="E47" s="44">
        <v>522.1671</v>
      </c>
      <c r="F47" s="44">
        <v>458.58920000000001</v>
      </c>
    </row>
    <row r="48" spans="1:6">
      <c r="A48" s="42">
        <v>46235.625</v>
      </c>
      <c r="B48" s="43" t="s">
        <v>28</v>
      </c>
      <c r="C48" s="44">
        <v>75.5</v>
      </c>
      <c r="D48" s="44">
        <v>90</v>
      </c>
      <c r="E48" s="44">
        <v>522.16340000000002</v>
      </c>
      <c r="F48" s="44">
        <v>458.53250000000003</v>
      </c>
    </row>
    <row r="49" spans="1:6">
      <c r="A49" s="42">
        <v>46235.666666666664</v>
      </c>
      <c r="B49" s="43" t="s">
        <v>28</v>
      </c>
      <c r="C49" s="44">
        <v>78</v>
      </c>
      <c r="D49" s="44">
        <v>90</v>
      </c>
      <c r="E49" s="44">
        <v>522.16030000000001</v>
      </c>
      <c r="F49" s="44">
        <v>458.48480000000001</v>
      </c>
    </row>
    <row r="50" spans="1:6">
      <c r="A50" s="42">
        <v>46235.708333333336</v>
      </c>
      <c r="B50" s="43" t="s">
        <v>28</v>
      </c>
      <c r="C50" s="44">
        <v>82</v>
      </c>
      <c r="D50" s="44">
        <v>90</v>
      </c>
      <c r="E50" s="44">
        <v>522.15800000000002</v>
      </c>
      <c r="F50" s="44">
        <v>458.44880000000001</v>
      </c>
    </row>
    <row r="51" spans="1:6">
      <c r="A51" s="42">
        <v>46235.75</v>
      </c>
      <c r="B51" s="43" t="s">
        <v>28</v>
      </c>
      <c r="C51" s="44">
        <v>86</v>
      </c>
      <c r="D51" s="44">
        <v>90</v>
      </c>
      <c r="E51" s="44">
        <v>522.15660000000003</v>
      </c>
      <c r="F51" s="44">
        <v>458.42720000000003</v>
      </c>
    </row>
    <row r="52" spans="1:6">
      <c r="A52" s="42">
        <v>46235.791666666664</v>
      </c>
      <c r="B52" s="43" t="s">
        <v>28</v>
      </c>
      <c r="C52" s="44">
        <v>93.5</v>
      </c>
      <c r="D52" s="44">
        <v>90</v>
      </c>
      <c r="E52" s="44">
        <v>522.15660000000003</v>
      </c>
      <c r="F52" s="44">
        <v>458.42630000000003</v>
      </c>
    </row>
    <row r="53" spans="1:6">
      <c r="A53" s="42">
        <v>46235.833333333336</v>
      </c>
      <c r="B53" s="43" t="s">
        <v>28</v>
      </c>
      <c r="C53" s="44">
        <v>101</v>
      </c>
      <c r="D53" s="44">
        <v>90</v>
      </c>
      <c r="E53" s="44">
        <v>522.15819999999997</v>
      </c>
      <c r="F53" s="44">
        <v>458.45240000000001</v>
      </c>
    </row>
    <row r="54" spans="1:6">
      <c r="A54" s="42">
        <v>46235.875</v>
      </c>
      <c r="B54" s="43" t="s">
        <v>28</v>
      </c>
      <c r="C54" s="44">
        <v>116</v>
      </c>
      <c r="D54" s="44">
        <v>90</v>
      </c>
      <c r="E54" s="44">
        <v>522.16250000000002</v>
      </c>
      <c r="F54" s="44">
        <v>458.51900000000001</v>
      </c>
    </row>
    <row r="55" spans="1:6">
      <c r="A55" s="42">
        <v>46235.916666666664</v>
      </c>
      <c r="B55" s="43" t="s">
        <v>28</v>
      </c>
      <c r="C55" s="44">
        <v>131</v>
      </c>
      <c r="D55" s="44">
        <v>90</v>
      </c>
      <c r="E55" s="44">
        <v>522.1703</v>
      </c>
      <c r="F55" s="44">
        <v>458.63959999999997</v>
      </c>
    </row>
    <row r="56" spans="1:6">
      <c r="A56" s="42">
        <v>46235.958333333336</v>
      </c>
      <c r="B56" s="43" t="s">
        <v>28</v>
      </c>
      <c r="C56" s="44">
        <v>168</v>
      </c>
      <c r="D56" s="44">
        <v>90</v>
      </c>
      <c r="E56" s="44">
        <v>522.18409999999994</v>
      </c>
      <c r="F56" s="44">
        <v>458.85379999999998</v>
      </c>
    </row>
    <row r="57" spans="1:6">
      <c r="A57" s="42">
        <v>46236</v>
      </c>
      <c r="B57" s="43" t="s">
        <v>28</v>
      </c>
      <c r="C57" s="44">
        <v>205</v>
      </c>
      <c r="D57" s="44">
        <v>90</v>
      </c>
      <c r="E57" s="44">
        <v>522.20650000000001</v>
      </c>
      <c r="F57" s="44">
        <v>459.20119999999997</v>
      </c>
    </row>
    <row r="58" spans="1:6">
      <c r="A58" s="42">
        <v>46236.041666666664</v>
      </c>
      <c r="B58" s="43" t="s">
        <v>28</v>
      </c>
      <c r="C58" s="44">
        <v>254.5</v>
      </c>
      <c r="D58" s="44">
        <v>90</v>
      </c>
      <c r="E58" s="44">
        <v>522.23900000000003</v>
      </c>
      <c r="F58" s="44">
        <v>459.70429999999999</v>
      </c>
    </row>
    <row r="59" spans="1:6">
      <c r="A59" s="42">
        <v>46236.083333333336</v>
      </c>
      <c r="B59" s="43" t="s">
        <v>28</v>
      </c>
      <c r="C59" s="44">
        <v>304</v>
      </c>
      <c r="D59" s="44">
        <v>90</v>
      </c>
      <c r="E59" s="44">
        <v>522.28300000000002</v>
      </c>
      <c r="F59" s="44">
        <v>460.38560000000001</v>
      </c>
    </row>
    <row r="60" spans="1:6">
      <c r="A60" s="42">
        <v>46236.125</v>
      </c>
      <c r="B60" s="43" t="s">
        <v>28</v>
      </c>
      <c r="C60" s="44">
        <v>358</v>
      </c>
      <c r="D60" s="44">
        <v>90</v>
      </c>
      <c r="E60" s="44">
        <v>522.33889999999997</v>
      </c>
      <c r="F60" s="44">
        <v>461.25319999999999</v>
      </c>
    </row>
    <row r="61" spans="1:6">
      <c r="A61" s="42">
        <v>46236.166666666664</v>
      </c>
      <c r="B61" s="43" t="s">
        <v>28</v>
      </c>
      <c r="C61" s="44">
        <v>412</v>
      </c>
      <c r="D61" s="44">
        <v>90</v>
      </c>
      <c r="E61" s="44">
        <v>522.40740000000005</v>
      </c>
      <c r="F61" s="44">
        <v>462.3152</v>
      </c>
    </row>
    <row r="62" spans="1:6">
      <c r="A62" s="42">
        <v>46236.208333333336</v>
      </c>
      <c r="B62" s="43" t="s">
        <v>28</v>
      </c>
      <c r="C62" s="44">
        <v>467</v>
      </c>
      <c r="D62" s="44">
        <v>90</v>
      </c>
      <c r="E62" s="44">
        <v>522.48860000000002</v>
      </c>
      <c r="F62" s="44">
        <v>463.57339999999999</v>
      </c>
    </row>
    <row r="63" spans="1:6">
      <c r="A63" s="42">
        <v>46236.25</v>
      </c>
      <c r="B63" s="43" t="s">
        <v>28</v>
      </c>
      <c r="C63" s="44">
        <v>522</v>
      </c>
      <c r="D63" s="44">
        <v>90</v>
      </c>
      <c r="E63" s="44">
        <v>522.58259999999996</v>
      </c>
      <c r="F63" s="44">
        <v>465.02960000000002</v>
      </c>
    </row>
    <row r="64" spans="1:6">
      <c r="A64" s="42">
        <v>46236.291666666664</v>
      </c>
      <c r="B64" s="43" t="s">
        <v>28</v>
      </c>
      <c r="C64" s="44">
        <v>575</v>
      </c>
      <c r="D64" s="44">
        <v>90</v>
      </c>
      <c r="E64" s="44">
        <v>522.68899999999996</v>
      </c>
      <c r="F64" s="44">
        <v>466.68020000000001</v>
      </c>
    </row>
    <row r="65" spans="1:6">
      <c r="A65" s="42">
        <v>46236.333333333336</v>
      </c>
      <c r="B65" s="43" t="s">
        <v>28</v>
      </c>
      <c r="C65" s="44">
        <v>628</v>
      </c>
      <c r="D65" s="44">
        <v>90</v>
      </c>
      <c r="E65" s="44">
        <v>522.80790000000002</v>
      </c>
      <c r="F65" s="44">
        <v>468.52159999999998</v>
      </c>
    </row>
    <row r="66" spans="1:6">
      <c r="A66" s="42">
        <v>46236.375</v>
      </c>
      <c r="B66" s="43" t="s">
        <v>28</v>
      </c>
      <c r="C66" s="44">
        <v>677</v>
      </c>
      <c r="D66" s="44">
        <v>90</v>
      </c>
      <c r="E66" s="44">
        <v>522.93849999999998</v>
      </c>
      <c r="F66" s="44">
        <v>470.54660000000001</v>
      </c>
    </row>
    <row r="67" spans="1:6">
      <c r="A67" s="42">
        <v>46236.416666666664</v>
      </c>
      <c r="B67" s="43" t="s">
        <v>28</v>
      </c>
      <c r="C67" s="44">
        <v>726</v>
      </c>
      <c r="D67" s="44">
        <v>90</v>
      </c>
      <c r="E67" s="44">
        <v>523.08050000000003</v>
      </c>
      <c r="F67" s="44">
        <v>472.74799999999999</v>
      </c>
    </row>
    <row r="68" spans="1:6">
      <c r="A68" s="42">
        <v>46236.458333333336</v>
      </c>
      <c r="B68" s="43" t="s">
        <v>28</v>
      </c>
      <c r="C68" s="44">
        <v>765</v>
      </c>
      <c r="D68" s="44">
        <v>90</v>
      </c>
      <c r="E68" s="44">
        <v>523.2328</v>
      </c>
      <c r="F68" s="44">
        <v>475.1078</v>
      </c>
    </row>
    <row r="69" spans="1:6">
      <c r="A69" s="42">
        <v>46236.5</v>
      </c>
      <c r="B69" s="43" t="s">
        <v>28</v>
      </c>
      <c r="C69" s="44">
        <v>804</v>
      </c>
      <c r="D69" s="44">
        <v>90</v>
      </c>
      <c r="E69" s="44">
        <v>523.39400000000001</v>
      </c>
      <c r="F69" s="44">
        <v>477.608</v>
      </c>
    </row>
    <row r="70" spans="1:6">
      <c r="A70" s="42">
        <v>46236.541666666664</v>
      </c>
      <c r="B70" s="43" t="s">
        <v>28</v>
      </c>
      <c r="C70" s="44">
        <v>831.5</v>
      </c>
      <c r="D70" s="44">
        <v>90</v>
      </c>
      <c r="E70" s="44">
        <v>523.56309999999996</v>
      </c>
      <c r="F70" s="44">
        <v>480.22789999999998</v>
      </c>
    </row>
    <row r="71" spans="1:6">
      <c r="A71" s="42">
        <v>46236.583333333336</v>
      </c>
      <c r="B71" s="43" t="s">
        <v>28</v>
      </c>
      <c r="C71" s="44">
        <v>859</v>
      </c>
      <c r="D71" s="44">
        <v>90</v>
      </c>
      <c r="E71" s="44">
        <v>523.73850000000004</v>
      </c>
      <c r="F71" s="44">
        <v>482.9468</v>
      </c>
    </row>
    <row r="72" spans="1:6">
      <c r="A72" s="42">
        <v>46236.625</v>
      </c>
      <c r="B72" s="43" t="s">
        <v>28</v>
      </c>
      <c r="C72" s="44">
        <v>874</v>
      </c>
      <c r="D72" s="44">
        <v>90</v>
      </c>
      <c r="E72" s="44">
        <v>523.91890000000001</v>
      </c>
      <c r="F72" s="44">
        <v>485.74220000000003</v>
      </c>
    </row>
    <row r="73" spans="1:6">
      <c r="A73" s="42">
        <v>46236.666666666664</v>
      </c>
      <c r="B73" s="43" t="s">
        <v>28</v>
      </c>
      <c r="C73" s="44">
        <v>889</v>
      </c>
      <c r="D73" s="44">
        <v>90</v>
      </c>
      <c r="E73" s="44">
        <v>524.10270000000003</v>
      </c>
      <c r="F73" s="44">
        <v>488.59160000000003</v>
      </c>
    </row>
    <row r="74" spans="1:6">
      <c r="A74" s="42">
        <v>46236.708333333336</v>
      </c>
      <c r="B74" s="43" t="s">
        <v>28</v>
      </c>
      <c r="C74" s="44">
        <v>893.5</v>
      </c>
      <c r="D74" s="44">
        <v>90</v>
      </c>
      <c r="E74" s="44">
        <v>524.28880000000004</v>
      </c>
      <c r="F74" s="44">
        <v>491.47609999999997</v>
      </c>
    </row>
    <row r="75" spans="1:6">
      <c r="A75" s="42">
        <v>46236.75</v>
      </c>
      <c r="B75" s="43" t="s">
        <v>28</v>
      </c>
      <c r="C75" s="44">
        <v>898</v>
      </c>
      <c r="D75" s="44">
        <v>90</v>
      </c>
      <c r="E75" s="44">
        <v>524.476</v>
      </c>
      <c r="F75" s="44">
        <v>494.3768</v>
      </c>
    </row>
    <row r="76" spans="1:6">
      <c r="A76" s="42">
        <v>46236.791666666664</v>
      </c>
      <c r="B76" s="43" t="s">
        <v>28</v>
      </c>
      <c r="C76" s="44">
        <v>890.5</v>
      </c>
      <c r="D76" s="44">
        <v>90</v>
      </c>
      <c r="E76" s="44">
        <v>524.66269999999997</v>
      </c>
      <c r="F76" s="44">
        <v>497.27210000000002</v>
      </c>
    </row>
    <row r="77" spans="1:6">
      <c r="A77" s="42">
        <v>46236.833333333336</v>
      </c>
      <c r="B77" s="43" t="s">
        <v>28</v>
      </c>
      <c r="C77" s="44">
        <v>883</v>
      </c>
      <c r="D77" s="44">
        <v>90</v>
      </c>
      <c r="E77" s="44">
        <v>524.84780000000001</v>
      </c>
      <c r="F77" s="44">
        <v>500.1404</v>
      </c>
    </row>
    <row r="78" spans="1:6">
      <c r="A78" s="42">
        <v>46236.875</v>
      </c>
      <c r="B78" s="43" t="s">
        <v>28</v>
      </c>
      <c r="C78" s="44">
        <v>866</v>
      </c>
      <c r="D78" s="44">
        <v>90</v>
      </c>
      <c r="E78" s="44">
        <v>525.03</v>
      </c>
      <c r="F78" s="44">
        <v>502.96460000000002</v>
      </c>
    </row>
    <row r="79" spans="1:6">
      <c r="A79" s="42">
        <v>46236.916666666664</v>
      </c>
      <c r="B79" s="43" t="s">
        <v>28</v>
      </c>
      <c r="C79" s="44">
        <v>849</v>
      </c>
      <c r="D79" s="44">
        <v>90</v>
      </c>
      <c r="E79" s="44">
        <v>525.20830000000001</v>
      </c>
      <c r="F79" s="44">
        <v>505.7276</v>
      </c>
    </row>
    <row r="80" spans="1:6">
      <c r="A80" s="42">
        <v>46236.958333333336</v>
      </c>
      <c r="B80" s="43" t="s">
        <v>28</v>
      </c>
      <c r="C80" s="44">
        <v>825</v>
      </c>
      <c r="D80" s="44">
        <v>90</v>
      </c>
      <c r="E80" s="44">
        <v>525.38170000000002</v>
      </c>
      <c r="F80" s="44">
        <v>508.41680000000002</v>
      </c>
    </row>
    <row r="81" spans="1:6">
      <c r="A81" s="42">
        <v>46237</v>
      </c>
      <c r="B81" s="43" t="s">
        <v>28</v>
      </c>
      <c r="C81" s="44">
        <v>801</v>
      </c>
      <c r="D81" s="44">
        <v>90</v>
      </c>
      <c r="E81" s="44">
        <v>525.54970000000003</v>
      </c>
      <c r="F81" s="44">
        <v>511.01960000000003</v>
      </c>
    </row>
    <row r="82" spans="1:6">
      <c r="A82" s="42">
        <v>46237.041666666664</v>
      </c>
      <c r="B82" s="43" t="s">
        <v>28</v>
      </c>
      <c r="C82" s="44">
        <v>776</v>
      </c>
      <c r="D82" s="44">
        <v>90</v>
      </c>
      <c r="E82" s="44">
        <v>525.71190000000001</v>
      </c>
      <c r="F82" s="44">
        <v>513.53420000000006</v>
      </c>
    </row>
    <row r="83" spans="1:6">
      <c r="A83" s="42">
        <v>46237.083333333336</v>
      </c>
      <c r="B83" s="43" t="s">
        <v>28</v>
      </c>
      <c r="C83" s="44">
        <v>751</v>
      </c>
      <c r="D83" s="44">
        <v>90</v>
      </c>
      <c r="E83" s="44">
        <v>525.86829999999998</v>
      </c>
      <c r="F83" s="44">
        <v>515.95889999999997</v>
      </c>
    </row>
    <row r="84" spans="1:6">
      <c r="A84" s="42">
        <v>46237.125</v>
      </c>
      <c r="B84" s="43" t="s">
        <v>28</v>
      </c>
      <c r="C84" s="44">
        <v>744.5</v>
      </c>
      <c r="D84" s="44">
        <v>90</v>
      </c>
      <c r="E84" s="44">
        <v>526.02110000000005</v>
      </c>
      <c r="F84" s="44">
        <v>518.32680000000005</v>
      </c>
    </row>
    <row r="85" spans="1:6">
      <c r="A85" s="42">
        <v>46237.166666666664</v>
      </c>
      <c r="B85" s="43" t="s">
        <v>28</v>
      </c>
      <c r="C85" s="44">
        <v>738</v>
      </c>
      <c r="D85" s="44">
        <v>90</v>
      </c>
      <c r="E85" s="44">
        <v>526.17240000000004</v>
      </c>
      <c r="F85" s="44">
        <v>520.67129999999997</v>
      </c>
    </row>
    <row r="86" spans="1:6">
      <c r="A86" s="42">
        <v>46237.208333333336</v>
      </c>
      <c r="B86" s="43" t="s">
        <v>28</v>
      </c>
      <c r="C86" s="44">
        <v>783</v>
      </c>
      <c r="D86" s="44">
        <v>90</v>
      </c>
      <c r="E86" s="44">
        <v>526.32809999999995</v>
      </c>
      <c r="F86" s="44">
        <v>523.08510000000001</v>
      </c>
    </row>
    <row r="87" spans="1:6">
      <c r="A87" s="42">
        <v>46237.25</v>
      </c>
      <c r="B87" s="43" t="s">
        <v>28</v>
      </c>
      <c r="C87" s="44">
        <v>828</v>
      </c>
      <c r="D87" s="44">
        <v>90</v>
      </c>
      <c r="E87" s="44">
        <v>526.49429999999995</v>
      </c>
      <c r="F87" s="44">
        <v>525.66089999999997</v>
      </c>
    </row>
    <row r="88" spans="1:6">
      <c r="A88" s="42">
        <v>46237.291666666664</v>
      </c>
      <c r="B88" s="43" t="s">
        <v>28</v>
      </c>
      <c r="C88" s="44">
        <v>880</v>
      </c>
      <c r="D88" s="44">
        <v>90</v>
      </c>
      <c r="E88" s="44">
        <v>526.67169999999999</v>
      </c>
      <c r="F88" s="44">
        <v>528.41129999999998</v>
      </c>
    </row>
    <row r="89" spans="1:6">
      <c r="A89" s="42">
        <v>46237.333333333336</v>
      </c>
      <c r="B89" s="43" t="s">
        <v>28</v>
      </c>
      <c r="C89" s="44">
        <v>932</v>
      </c>
      <c r="D89" s="44">
        <v>90</v>
      </c>
      <c r="E89" s="44">
        <v>526.86120000000005</v>
      </c>
      <c r="F89" s="44">
        <v>531.34889999999996</v>
      </c>
    </row>
    <row r="90" spans="1:6">
      <c r="A90" s="42">
        <v>46237.375</v>
      </c>
      <c r="B90" s="43" t="s">
        <v>28</v>
      </c>
      <c r="C90" s="44">
        <v>943.5</v>
      </c>
      <c r="D90" s="44">
        <v>90</v>
      </c>
      <c r="E90" s="44">
        <v>527.05809999999997</v>
      </c>
      <c r="F90" s="44">
        <v>534.4008</v>
      </c>
    </row>
    <row r="91" spans="1:6">
      <c r="A91" s="42">
        <v>46237.416666666664</v>
      </c>
      <c r="B91" s="43" t="s">
        <v>28</v>
      </c>
      <c r="C91" s="44">
        <v>955</v>
      </c>
      <c r="D91" s="44">
        <v>90</v>
      </c>
      <c r="E91" s="44">
        <v>527.2577</v>
      </c>
      <c r="F91" s="44">
        <v>537.4941</v>
      </c>
    </row>
    <row r="92" spans="1:6">
      <c r="A92" s="42">
        <v>46237.458333333336</v>
      </c>
      <c r="B92" s="43" t="s">
        <v>28</v>
      </c>
      <c r="C92" s="44">
        <v>936</v>
      </c>
      <c r="D92" s="44">
        <v>90</v>
      </c>
      <c r="E92" s="44">
        <v>527.45640000000003</v>
      </c>
      <c r="F92" s="44">
        <v>540.57389999999998</v>
      </c>
    </row>
    <row r="93" spans="1:6">
      <c r="A93" s="42">
        <v>46237.5</v>
      </c>
      <c r="B93" s="43" t="s">
        <v>28</v>
      </c>
      <c r="C93" s="44">
        <v>917</v>
      </c>
      <c r="D93" s="44">
        <v>90</v>
      </c>
      <c r="E93" s="44">
        <v>527.65070000000003</v>
      </c>
      <c r="F93" s="44">
        <v>543.58529999999996</v>
      </c>
    </row>
    <row r="94" spans="1:6">
      <c r="A94" s="42">
        <v>46237.541666666664</v>
      </c>
      <c r="B94" s="43" t="s">
        <v>28</v>
      </c>
      <c r="C94" s="44">
        <v>884.5</v>
      </c>
      <c r="D94" s="44">
        <v>90</v>
      </c>
      <c r="E94" s="44">
        <v>527.83900000000006</v>
      </c>
      <c r="F94" s="44">
        <v>546.50400000000002</v>
      </c>
    </row>
    <row r="95" spans="1:6">
      <c r="A95" s="42">
        <v>46237.583333333336</v>
      </c>
      <c r="B95" s="43" t="s">
        <v>28</v>
      </c>
      <c r="C95" s="44">
        <v>852</v>
      </c>
      <c r="D95" s="44">
        <v>90</v>
      </c>
      <c r="E95" s="44">
        <v>528.01969999999994</v>
      </c>
      <c r="F95" s="44">
        <v>549.3057</v>
      </c>
    </row>
    <row r="96" spans="1:6">
      <c r="A96" s="42">
        <v>46237.625</v>
      </c>
      <c r="B96" s="43" t="s">
        <v>28</v>
      </c>
      <c r="C96" s="44">
        <v>813.5</v>
      </c>
      <c r="D96" s="44">
        <v>90</v>
      </c>
      <c r="E96" s="44">
        <v>528.19230000000005</v>
      </c>
      <c r="F96" s="44">
        <v>551.9796</v>
      </c>
    </row>
    <row r="97" spans="1:6">
      <c r="A97" s="42">
        <v>46237.666666666664</v>
      </c>
      <c r="B97" s="43" t="s">
        <v>28</v>
      </c>
      <c r="C97" s="44">
        <v>775</v>
      </c>
      <c r="D97" s="44">
        <v>90</v>
      </c>
      <c r="E97" s="44">
        <v>528.35580000000004</v>
      </c>
      <c r="F97" s="44">
        <v>554.51490000000001</v>
      </c>
    </row>
    <row r="98" spans="1:6">
      <c r="A98" s="42">
        <v>46237.708333333336</v>
      </c>
      <c r="B98" s="43" t="s">
        <v>28</v>
      </c>
      <c r="C98" s="44">
        <v>734.5</v>
      </c>
      <c r="D98" s="44">
        <v>90</v>
      </c>
      <c r="E98" s="44">
        <v>528.51020000000005</v>
      </c>
      <c r="F98" s="44">
        <v>556.90800000000002</v>
      </c>
    </row>
    <row r="99" spans="1:6">
      <c r="A99" s="42">
        <v>46237.75</v>
      </c>
      <c r="B99" s="43" t="s">
        <v>28</v>
      </c>
      <c r="C99" s="44">
        <v>694</v>
      </c>
      <c r="D99" s="44">
        <v>90</v>
      </c>
      <c r="E99" s="44">
        <v>528.65520000000004</v>
      </c>
      <c r="F99" s="44">
        <v>559.15530000000001</v>
      </c>
    </row>
    <row r="100" spans="1:6">
      <c r="A100" s="42">
        <v>46237.791666666664</v>
      </c>
      <c r="B100" s="43" t="s">
        <v>28</v>
      </c>
      <c r="C100" s="44">
        <v>654</v>
      </c>
      <c r="D100" s="44">
        <v>90</v>
      </c>
      <c r="E100" s="44">
        <v>528.79079999999999</v>
      </c>
      <c r="F100" s="44">
        <v>561.25779999999997</v>
      </c>
    </row>
    <row r="101" spans="1:6">
      <c r="A101" s="42">
        <v>46237.833333333336</v>
      </c>
      <c r="B101" s="43" t="s">
        <v>28</v>
      </c>
      <c r="C101" s="44">
        <v>614</v>
      </c>
      <c r="D101" s="44">
        <v>90</v>
      </c>
      <c r="E101" s="44">
        <v>528.91719999999998</v>
      </c>
      <c r="F101" s="44">
        <v>563.21609999999998</v>
      </c>
    </row>
    <row r="102" spans="1:6">
      <c r="A102" s="42">
        <v>46237.875</v>
      </c>
      <c r="B102" s="43" t="s">
        <v>28</v>
      </c>
      <c r="C102" s="44">
        <v>579</v>
      </c>
      <c r="D102" s="44">
        <v>90</v>
      </c>
      <c r="E102" s="44">
        <v>529.03480000000002</v>
      </c>
      <c r="F102" s="44">
        <v>565.03959999999995</v>
      </c>
    </row>
    <row r="103" spans="1:6">
      <c r="A103" s="42">
        <v>46237.916666666664</v>
      </c>
      <c r="B103" s="43" t="s">
        <v>28</v>
      </c>
      <c r="C103" s="44">
        <v>544</v>
      </c>
      <c r="D103" s="44">
        <v>90</v>
      </c>
      <c r="E103" s="44">
        <v>529.14430000000004</v>
      </c>
      <c r="F103" s="44">
        <v>566.73689999999999</v>
      </c>
    </row>
    <row r="104" spans="1:6">
      <c r="A104" s="42">
        <v>46237.958333333336</v>
      </c>
      <c r="B104" s="43" t="s">
        <v>28</v>
      </c>
      <c r="C104" s="44">
        <v>516.5</v>
      </c>
      <c r="D104" s="44">
        <v>90</v>
      </c>
      <c r="E104" s="44">
        <v>529.24659999999994</v>
      </c>
      <c r="F104" s="44">
        <v>568.32180000000005</v>
      </c>
    </row>
    <row r="105" spans="1:6">
      <c r="A105" s="42">
        <v>46238</v>
      </c>
      <c r="B105" s="43" t="s">
        <v>28</v>
      </c>
      <c r="C105" s="44">
        <v>489</v>
      </c>
      <c r="D105" s="44">
        <v>90</v>
      </c>
      <c r="E105" s="44">
        <v>529.3424</v>
      </c>
      <c r="F105" s="44">
        <v>569.80769999999995</v>
      </c>
    </row>
    <row r="106" spans="1:6">
      <c r="A106" s="42">
        <v>46238.041666666664</v>
      </c>
      <c r="B106" s="43" t="s">
        <v>28</v>
      </c>
      <c r="C106" s="44">
        <v>480.5</v>
      </c>
      <c r="D106" s="44">
        <v>90</v>
      </c>
      <c r="E106" s="44">
        <v>529.43409999999994</v>
      </c>
      <c r="F106" s="44">
        <v>571.22879999999998</v>
      </c>
    </row>
    <row r="107" spans="1:6">
      <c r="A107" s="42">
        <v>46238.083333333336</v>
      </c>
      <c r="B107" s="43" t="s">
        <v>28</v>
      </c>
      <c r="C107" s="44">
        <v>472</v>
      </c>
      <c r="D107" s="44">
        <v>90</v>
      </c>
      <c r="E107" s="44">
        <v>529.52380000000005</v>
      </c>
      <c r="F107" s="44">
        <v>572.61929999999995</v>
      </c>
    </row>
    <row r="108" spans="1:6">
      <c r="A108" s="42">
        <v>46238.125</v>
      </c>
      <c r="B108" s="43" t="s">
        <v>28</v>
      </c>
      <c r="C108" s="44">
        <v>483.5</v>
      </c>
      <c r="D108" s="44">
        <v>90</v>
      </c>
      <c r="E108" s="44">
        <v>529.61389999999994</v>
      </c>
      <c r="F108" s="44">
        <v>574.01520000000005</v>
      </c>
    </row>
    <row r="109" spans="1:6">
      <c r="A109" s="42">
        <v>46238.166666666664</v>
      </c>
      <c r="B109" s="43" t="s">
        <v>28</v>
      </c>
      <c r="C109" s="44">
        <v>495</v>
      </c>
      <c r="D109" s="44">
        <v>90</v>
      </c>
      <c r="E109" s="44">
        <v>529.70659999999998</v>
      </c>
      <c r="F109" s="44">
        <v>575.45249999999999</v>
      </c>
    </row>
    <row r="110" spans="1:6">
      <c r="A110" s="42">
        <v>46238.208333333336</v>
      </c>
      <c r="B110" s="43" t="s">
        <v>28</v>
      </c>
      <c r="C110" s="44">
        <v>502</v>
      </c>
      <c r="D110" s="44">
        <v>502</v>
      </c>
      <c r="E110" s="44">
        <v>529.75369999999998</v>
      </c>
      <c r="F110" s="44">
        <v>576.18150000000003</v>
      </c>
    </row>
    <row r="111" spans="1:6">
      <c r="A111" s="42">
        <v>46238.25</v>
      </c>
      <c r="B111" s="43" t="s">
        <v>28</v>
      </c>
      <c r="C111" s="44">
        <v>509</v>
      </c>
      <c r="D111" s="44">
        <v>509</v>
      </c>
      <c r="E111" s="44">
        <v>529.75369999999998</v>
      </c>
      <c r="F111" s="44">
        <v>576.18150000000003</v>
      </c>
    </row>
    <row r="112" spans="1:6">
      <c r="A112" s="42">
        <v>46238.291666666664</v>
      </c>
      <c r="B112" s="43" t="s">
        <v>28</v>
      </c>
      <c r="C112" s="44">
        <v>509</v>
      </c>
      <c r="D112" s="44">
        <v>509</v>
      </c>
      <c r="E112" s="44">
        <v>529.75369999999998</v>
      </c>
      <c r="F112" s="44">
        <v>576.18150000000003</v>
      </c>
    </row>
    <row r="113" spans="1:6">
      <c r="A113" s="42">
        <v>46238.333333333336</v>
      </c>
      <c r="B113" s="43" t="s">
        <v>28</v>
      </c>
      <c r="C113" s="44">
        <v>509</v>
      </c>
      <c r="D113" s="44">
        <v>509</v>
      </c>
      <c r="E113" s="44">
        <v>529.75369999999998</v>
      </c>
      <c r="F113" s="44">
        <v>576.18150000000003</v>
      </c>
    </row>
    <row r="114" spans="1:6">
      <c r="A114" s="42">
        <v>46238.375</v>
      </c>
      <c r="B114" s="43" t="s">
        <v>28</v>
      </c>
      <c r="C114" s="44">
        <v>503.5</v>
      </c>
      <c r="D114" s="44">
        <v>503.5</v>
      </c>
      <c r="E114" s="44">
        <v>529.75369999999998</v>
      </c>
      <c r="F114" s="44">
        <v>576.18150000000003</v>
      </c>
    </row>
    <row r="115" spans="1:6">
      <c r="A115" s="42">
        <v>46238.416666666664</v>
      </c>
      <c r="B115" s="43" t="s">
        <v>28</v>
      </c>
      <c r="C115" s="44">
        <v>498</v>
      </c>
      <c r="D115" s="44">
        <v>498</v>
      </c>
      <c r="E115" s="44">
        <v>529.75369999999998</v>
      </c>
      <c r="F115" s="44">
        <v>576.18150000000003</v>
      </c>
    </row>
    <row r="116" spans="1:6">
      <c r="A116" s="42">
        <v>46238.458333333336</v>
      </c>
      <c r="B116" s="43" t="s">
        <v>28</v>
      </c>
      <c r="C116" s="44">
        <v>484</v>
      </c>
      <c r="D116" s="44">
        <v>484</v>
      </c>
      <c r="E116" s="44">
        <v>529.75369999999998</v>
      </c>
      <c r="F116" s="44">
        <v>576.18150000000003</v>
      </c>
    </row>
    <row r="117" spans="1:6">
      <c r="A117" s="42">
        <v>46238.5</v>
      </c>
      <c r="B117" s="43" t="s">
        <v>28</v>
      </c>
      <c r="C117" s="44">
        <v>470</v>
      </c>
      <c r="D117" s="44">
        <v>470</v>
      </c>
      <c r="E117" s="44">
        <v>529.75369999999998</v>
      </c>
      <c r="F117" s="44">
        <v>576.18150000000003</v>
      </c>
    </row>
    <row r="118" spans="1:6">
      <c r="A118" s="42">
        <v>46238.541666666664</v>
      </c>
      <c r="B118" s="43" t="s">
        <v>28</v>
      </c>
      <c r="C118" s="44">
        <v>450.5</v>
      </c>
      <c r="D118" s="44">
        <v>450.5</v>
      </c>
      <c r="E118" s="44">
        <v>529.75369999999998</v>
      </c>
      <c r="F118" s="44">
        <v>576.18150000000003</v>
      </c>
    </row>
    <row r="119" spans="1:6">
      <c r="A119" s="42">
        <v>46238.583333333336</v>
      </c>
      <c r="B119" s="43" t="s">
        <v>28</v>
      </c>
      <c r="C119" s="44">
        <v>431</v>
      </c>
      <c r="D119" s="44">
        <v>431</v>
      </c>
      <c r="E119" s="44">
        <v>529.75369999999998</v>
      </c>
      <c r="F119" s="44">
        <v>576.18150000000003</v>
      </c>
    </row>
    <row r="120" spans="1:6">
      <c r="A120" s="42">
        <v>46238.625</v>
      </c>
      <c r="B120" s="43" t="s">
        <v>28</v>
      </c>
      <c r="C120" s="44">
        <v>409.5</v>
      </c>
      <c r="D120" s="44">
        <v>409.5</v>
      </c>
      <c r="E120" s="44">
        <v>529.75369999999998</v>
      </c>
      <c r="F120" s="44">
        <v>576.18150000000003</v>
      </c>
    </row>
    <row r="121" spans="1:6">
      <c r="A121" s="42">
        <v>46238.666666666664</v>
      </c>
      <c r="B121" s="43" t="s">
        <v>28</v>
      </c>
      <c r="C121" s="44">
        <v>388</v>
      </c>
      <c r="D121" s="44">
        <v>388</v>
      </c>
      <c r="E121" s="44">
        <v>529.75369999999998</v>
      </c>
      <c r="F121" s="44">
        <v>576.18150000000003</v>
      </c>
    </row>
    <row r="122" spans="1:6">
      <c r="A122" s="42">
        <v>46238.708333333336</v>
      </c>
      <c r="B122" s="43" t="s">
        <v>28</v>
      </c>
      <c r="C122" s="44">
        <v>366</v>
      </c>
      <c r="D122" s="44">
        <v>366</v>
      </c>
      <c r="E122" s="44">
        <v>529.75369999999998</v>
      </c>
      <c r="F122" s="44">
        <v>576.18150000000003</v>
      </c>
    </row>
    <row r="123" spans="1:6">
      <c r="A123" s="42">
        <v>46238.75</v>
      </c>
      <c r="B123" s="43" t="s">
        <v>28</v>
      </c>
      <c r="C123" s="44">
        <v>344</v>
      </c>
      <c r="D123" s="44">
        <v>344</v>
      </c>
      <c r="E123" s="44">
        <v>529.75369999999998</v>
      </c>
      <c r="F123" s="44">
        <v>576.18150000000003</v>
      </c>
    </row>
    <row r="124" spans="1:6">
      <c r="A124" s="42">
        <v>46238.791666666664</v>
      </c>
      <c r="B124" s="43" t="s">
        <v>28</v>
      </c>
      <c r="C124" s="44">
        <v>324.5</v>
      </c>
      <c r="D124" s="44">
        <v>324.5</v>
      </c>
      <c r="E124" s="44">
        <v>529.75369999999998</v>
      </c>
      <c r="F124" s="44">
        <v>576.18150000000003</v>
      </c>
    </row>
    <row r="125" spans="1:6">
      <c r="A125" s="42">
        <v>46238.833333333336</v>
      </c>
      <c r="B125" s="43" t="s">
        <v>28</v>
      </c>
      <c r="C125" s="44">
        <v>305</v>
      </c>
      <c r="D125" s="44">
        <v>305</v>
      </c>
      <c r="E125" s="44">
        <v>529.75369999999998</v>
      </c>
      <c r="F125" s="44">
        <v>576.18150000000003</v>
      </c>
    </row>
    <row r="126" spans="1:6">
      <c r="A126" s="42">
        <v>46238.875</v>
      </c>
      <c r="B126" s="43" t="s">
        <v>28</v>
      </c>
      <c r="C126" s="44">
        <v>287</v>
      </c>
      <c r="D126" s="44">
        <v>287</v>
      </c>
      <c r="E126" s="44">
        <v>529.75369999999998</v>
      </c>
      <c r="F126" s="44">
        <v>576.18150000000003</v>
      </c>
    </row>
    <row r="127" spans="1:6">
      <c r="A127" s="42">
        <v>46238.916666666664</v>
      </c>
      <c r="B127" s="43" t="s">
        <v>28</v>
      </c>
      <c r="C127" s="44">
        <v>269</v>
      </c>
      <c r="D127" s="44">
        <v>269</v>
      </c>
      <c r="E127" s="44">
        <v>529.75369999999998</v>
      </c>
      <c r="F127" s="44">
        <v>576.18150000000003</v>
      </c>
    </row>
    <row r="128" spans="1:6">
      <c r="A128" s="42">
        <v>46238.958333333336</v>
      </c>
      <c r="B128" s="43" t="s">
        <v>28</v>
      </c>
      <c r="C128" s="44">
        <v>253.5</v>
      </c>
      <c r="D128" s="44">
        <v>253.5</v>
      </c>
      <c r="E128" s="44">
        <v>529.75369999999998</v>
      </c>
      <c r="F128" s="44">
        <v>576.18150000000003</v>
      </c>
    </row>
    <row r="129" spans="1:6">
      <c r="A129" s="42">
        <v>46239</v>
      </c>
      <c r="B129" s="43" t="s">
        <v>28</v>
      </c>
      <c r="C129" s="44">
        <v>238</v>
      </c>
      <c r="D129" s="44">
        <v>238</v>
      </c>
      <c r="E129" s="44">
        <v>529.75369999999998</v>
      </c>
      <c r="F129" s="44">
        <v>576.18150000000003</v>
      </c>
    </row>
    <row r="130" spans="1:6">
      <c r="A130" s="42">
        <v>46239.041666666664</v>
      </c>
      <c r="B130" s="43" t="s">
        <v>28</v>
      </c>
      <c r="C130" s="44">
        <v>223.5</v>
      </c>
      <c r="D130" s="44">
        <v>223.5</v>
      </c>
      <c r="E130" s="44">
        <v>529.75369999999998</v>
      </c>
      <c r="F130" s="44">
        <v>576.18150000000003</v>
      </c>
    </row>
    <row r="131" spans="1:6">
      <c r="A131" s="42">
        <v>46239.083333333336</v>
      </c>
      <c r="B131" s="43" t="s">
        <v>28</v>
      </c>
      <c r="C131" s="44">
        <v>209</v>
      </c>
      <c r="D131" s="44">
        <v>209</v>
      </c>
      <c r="E131" s="44">
        <v>529.75369999999998</v>
      </c>
      <c r="F131" s="44">
        <v>576.18150000000003</v>
      </c>
    </row>
    <row r="132" spans="1:6">
      <c r="A132" s="42">
        <v>46239.125</v>
      </c>
      <c r="B132" s="43" t="s">
        <v>28</v>
      </c>
      <c r="C132" s="44">
        <v>196</v>
      </c>
      <c r="D132" s="44">
        <v>196</v>
      </c>
      <c r="E132" s="44">
        <v>529.75369999999998</v>
      </c>
      <c r="F132" s="44">
        <v>576.18150000000003</v>
      </c>
    </row>
    <row r="133" spans="1:6">
      <c r="A133" s="42">
        <v>46239.166666666664</v>
      </c>
      <c r="B133" s="43" t="s">
        <v>28</v>
      </c>
      <c r="C133" s="44">
        <v>183</v>
      </c>
      <c r="D133" s="44">
        <v>183</v>
      </c>
      <c r="E133" s="44">
        <v>529.75369999999998</v>
      </c>
      <c r="F133" s="44">
        <v>576.18150000000003</v>
      </c>
    </row>
    <row r="134" spans="1:6">
      <c r="A134" s="42">
        <v>46239.208333333336</v>
      </c>
      <c r="B134" s="43" t="s">
        <v>28</v>
      </c>
      <c r="C134" s="44">
        <v>171.5</v>
      </c>
      <c r="D134" s="44">
        <v>171.5</v>
      </c>
      <c r="E134" s="44">
        <v>529.75369999999998</v>
      </c>
      <c r="F134" s="44">
        <v>576.18150000000003</v>
      </c>
    </row>
    <row r="135" spans="1:6">
      <c r="A135" s="42">
        <v>46239.25</v>
      </c>
      <c r="B135" s="43" t="s">
        <v>28</v>
      </c>
      <c r="C135" s="44">
        <v>160</v>
      </c>
      <c r="D135" s="44">
        <v>160</v>
      </c>
      <c r="E135" s="44">
        <v>529.75369999999998</v>
      </c>
      <c r="F135" s="44">
        <v>576.18150000000003</v>
      </c>
    </row>
    <row r="136" spans="1:6">
      <c r="A136" s="42">
        <v>46239.291666666664</v>
      </c>
      <c r="B136" s="43" t="s">
        <v>28</v>
      </c>
      <c r="C136" s="44">
        <v>150</v>
      </c>
      <c r="D136" s="44">
        <v>150</v>
      </c>
      <c r="E136" s="44">
        <v>529.75369999999998</v>
      </c>
      <c r="F136" s="44">
        <v>576.18150000000003</v>
      </c>
    </row>
    <row r="137" spans="1:6">
      <c r="A137" s="42">
        <v>46239.333333333336</v>
      </c>
      <c r="B137" s="43" t="s">
        <v>28</v>
      </c>
      <c r="C137" s="44">
        <v>140</v>
      </c>
      <c r="D137" s="44">
        <v>150</v>
      </c>
      <c r="E137" s="44">
        <v>529.75250000000005</v>
      </c>
      <c r="F137" s="44">
        <v>576.1635</v>
      </c>
    </row>
    <row r="138" spans="1:6">
      <c r="A138" s="42">
        <v>46239.375</v>
      </c>
      <c r="B138" s="43" t="s">
        <v>28</v>
      </c>
      <c r="C138" s="44">
        <v>131</v>
      </c>
      <c r="D138" s="44">
        <v>150</v>
      </c>
      <c r="E138" s="44">
        <v>529.7491</v>
      </c>
      <c r="F138" s="44">
        <v>576.11130000000003</v>
      </c>
    </row>
    <row r="139" spans="1:6">
      <c r="A139" s="42">
        <v>46239.416666666664</v>
      </c>
      <c r="B139" s="43" t="s">
        <v>28</v>
      </c>
      <c r="C139" s="44">
        <v>122</v>
      </c>
      <c r="D139" s="44">
        <v>150</v>
      </c>
      <c r="E139" s="44">
        <v>529.74369999999999</v>
      </c>
      <c r="F139" s="44">
        <v>576.02670000000001</v>
      </c>
    </row>
    <row r="140" spans="1:6">
      <c r="A140" s="42">
        <v>46239.458333333336</v>
      </c>
      <c r="B140" s="43" t="s">
        <v>28</v>
      </c>
      <c r="C140" s="44">
        <v>114.5</v>
      </c>
      <c r="D140" s="44">
        <v>150</v>
      </c>
      <c r="E140" s="44">
        <v>529.73630000000003</v>
      </c>
      <c r="F140" s="44">
        <v>575.91240000000005</v>
      </c>
    </row>
    <row r="141" spans="1:6">
      <c r="A141" s="42">
        <v>46239.5</v>
      </c>
      <c r="B141" s="43" t="s">
        <v>28</v>
      </c>
      <c r="C141" s="44">
        <v>107</v>
      </c>
      <c r="D141" s="44">
        <v>150</v>
      </c>
      <c r="E141" s="44">
        <v>529.72720000000004</v>
      </c>
      <c r="F141" s="44">
        <v>575.77110000000005</v>
      </c>
    </row>
    <row r="142" spans="1:6">
      <c r="A142" s="42">
        <v>46239.541666666664</v>
      </c>
      <c r="B142" s="43" t="s">
        <v>28</v>
      </c>
      <c r="C142" s="44">
        <v>100.5</v>
      </c>
      <c r="D142" s="44">
        <v>150</v>
      </c>
      <c r="E142" s="44">
        <v>529.71640000000002</v>
      </c>
      <c r="F142" s="44">
        <v>575.6046</v>
      </c>
    </row>
    <row r="143" spans="1:6">
      <c r="A143" s="42">
        <v>46239.583333333336</v>
      </c>
      <c r="B143" s="43" t="s">
        <v>28</v>
      </c>
      <c r="C143" s="44">
        <v>94</v>
      </c>
      <c r="D143" s="44">
        <v>150</v>
      </c>
      <c r="E143" s="44">
        <v>529.70420000000001</v>
      </c>
      <c r="F143" s="44">
        <v>575.41470000000004</v>
      </c>
    </row>
    <row r="144" spans="1:6">
      <c r="A144" s="42">
        <v>46239.625</v>
      </c>
      <c r="B144" s="43" t="s">
        <v>28</v>
      </c>
      <c r="C144" s="44">
        <v>88</v>
      </c>
      <c r="D144" s="44">
        <v>150</v>
      </c>
      <c r="E144" s="44">
        <v>529.69050000000004</v>
      </c>
      <c r="F144" s="44">
        <v>575.20230000000004</v>
      </c>
    </row>
    <row r="145" spans="1:6">
      <c r="A145" s="42">
        <v>46239.666666666664</v>
      </c>
      <c r="B145" s="43" t="s">
        <v>28</v>
      </c>
      <c r="C145" s="44">
        <v>82</v>
      </c>
      <c r="D145" s="44">
        <v>150</v>
      </c>
      <c r="E145" s="44">
        <v>529.67539999999997</v>
      </c>
      <c r="F145" s="44">
        <v>574.9683</v>
      </c>
    </row>
    <row r="146" spans="1:6">
      <c r="A146" s="42">
        <v>46239.708333333336</v>
      </c>
      <c r="B146" s="43" t="s">
        <v>28</v>
      </c>
      <c r="C146" s="44">
        <v>77</v>
      </c>
      <c r="D146" s="44">
        <v>150</v>
      </c>
      <c r="E146" s="44">
        <v>529.65899999999999</v>
      </c>
      <c r="F146" s="44">
        <v>574.71450000000004</v>
      </c>
    </row>
    <row r="147" spans="1:6">
      <c r="A147" s="42">
        <v>46239.75</v>
      </c>
      <c r="B147" s="43" t="s">
        <v>28</v>
      </c>
      <c r="C147" s="44">
        <v>72</v>
      </c>
      <c r="D147" s="44">
        <v>150</v>
      </c>
      <c r="E147" s="44">
        <v>529.64149999999995</v>
      </c>
      <c r="F147" s="44">
        <v>574.44269999999995</v>
      </c>
    </row>
    <row r="148" spans="1:6">
      <c r="A148" s="42">
        <v>46239.791666666664</v>
      </c>
      <c r="B148" s="43" t="s">
        <v>28</v>
      </c>
      <c r="C148" s="44">
        <v>68</v>
      </c>
      <c r="D148" s="44">
        <v>150</v>
      </c>
      <c r="E148" s="44">
        <v>529.62289999999996</v>
      </c>
      <c r="F148" s="44">
        <v>574.15470000000005</v>
      </c>
    </row>
    <row r="149" spans="1:6">
      <c r="A149" s="42">
        <v>46239.833333333336</v>
      </c>
      <c r="B149" s="43" t="s">
        <v>28</v>
      </c>
      <c r="C149" s="44">
        <v>64</v>
      </c>
      <c r="D149" s="44">
        <v>150</v>
      </c>
      <c r="E149" s="44">
        <v>529.60339999999997</v>
      </c>
      <c r="F149" s="44">
        <v>573.85230000000001</v>
      </c>
    </row>
    <row r="150" spans="1:6">
      <c r="A150" s="42">
        <v>46239.875</v>
      </c>
      <c r="B150" s="43" t="s">
        <v>28</v>
      </c>
      <c r="C150" s="44">
        <v>60</v>
      </c>
      <c r="D150" s="44">
        <v>150</v>
      </c>
      <c r="E150" s="44">
        <v>529.5829</v>
      </c>
      <c r="F150" s="44">
        <v>573.53549999999996</v>
      </c>
    </row>
    <row r="151" spans="1:6">
      <c r="A151" s="42">
        <v>46239.916666666664</v>
      </c>
      <c r="B151" s="43" t="s">
        <v>28</v>
      </c>
      <c r="C151" s="44">
        <v>56</v>
      </c>
      <c r="D151" s="44">
        <v>150</v>
      </c>
      <c r="E151" s="44">
        <v>529.5616</v>
      </c>
      <c r="F151" s="44">
        <v>573.20429999999999</v>
      </c>
    </row>
    <row r="152" spans="1:6">
      <c r="A152" s="42">
        <v>46239.958333333336</v>
      </c>
      <c r="B152" s="43" t="s">
        <v>28</v>
      </c>
      <c r="C152" s="44">
        <v>52.5</v>
      </c>
      <c r="D152" s="44">
        <v>150</v>
      </c>
      <c r="E152" s="44">
        <v>529.53930000000003</v>
      </c>
      <c r="F152" s="44">
        <v>572.8596</v>
      </c>
    </row>
    <row r="153" spans="1:6">
      <c r="A153" s="42">
        <v>46240</v>
      </c>
      <c r="B153" s="43" t="s">
        <v>28</v>
      </c>
      <c r="C153" s="44">
        <v>49</v>
      </c>
      <c r="D153" s="44">
        <v>150</v>
      </c>
      <c r="E153" s="44">
        <v>529.5163</v>
      </c>
      <c r="F153" s="44">
        <v>572.50229999999999</v>
      </c>
    </row>
    <row r="154" spans="1:6">
      <c r="A154" s="42">
        <v>46240.041666666664</v>
      </c>
      <c r="B154" s="43" t="s">
        <v>28</v>
      </c>
      <c r="C154" s="44">
        <v>46.5</v>
      </c>
      <c r="D154" s="44">
        <v>150</v>
      </c>
      <c r="E154" s="44">
        <v>529.49260000000004</v>
      </c>
      <c r="F154" s="44">
        <v>572.13419999999996</v>
      </c>
    </row>
    <row r="155" spans="1:6">
      <c r="A155" s="42">
        <v>46240.083333333336</v>
      </c>
      <c r="B155" s="43" t="s">
        <v>28</v>
      </c>
      <c r="C155" s="44">
        <v>44</v>
      </c>
      <c r="D155" s="44">
        <v>150</v>
      </c>
      <c r="E155" s="44">
        <v>529.46820000000002</v>
      </c>
      <c r="F155" s="44">
        <v>571.75710000000004</v>
      </c>
    </row>
    <row r="156" spans="1:6">
      <c r="A156" s="42">
        <v>46240.125</v>
      </c>
      <c r="B156" s="43" t="s">
        <v>28</v>
      </c>
      <c r="C156" s="44">
        <v>41</v>
      </c>
      <c r="D156" s="44">
        <v>150</v>
      </c>
      <c r="E156" s="44">
        <v>529.44320000000005</v>
      </c>
      <c r="F156" s="44">
        <v>571.37009999999998</v>
      </c>
    </row>
    <row r="157" spans="1:6">
      <c r="A157" s="42">
        <v>46240.166666666664</v>
      </c>
      <c r="B157" s="43" t="s">
        <v>28</v>
      </c>
      <c r="C157" s="44">
        <v>38</v>
      </c>
      <c r="D157" s="44">
        <v>150</v>
      </c>
      <c r="E157" s="44">
        <v>529.41750000000002</v>
      </c>
      <c r="F157" s="44">
        <v>570.97230000000002</v>
      </c>
    </row>
    <row r="158" spans="1:6">
      <c r="A158" s="42">
        <v>46240.208333333336</v>
      </c>
      <c r="B158" s="43" t="s">
        <v>28</v>
      </c>
      <c r="C158" s="44">
        <v>35.5</v>
      </c>
      <c r="D158" s="44">
        <v>150</v>
      </c>
      <c r="E158" s="44">
        <v>529.39120000000003</v>
      </c>
      <c r="F158" s="44">
        <v>570.56460000000004</v>
      </c>
    </row>
    <row r="159" spans="1:6">
      <c r="A159" s="42">
        <v>46240.25</v>
      </c>
      <c r="B159" s="43" t="s">
        <v>28</v>
      </c>
      <c r="C159" s="44">
        <v>33</v>
      </c>
      <c r="D159" s="44">
        <v>150</v>
      </c>
      <c r="E159" s="44">
        <v>529.36440000000005</v>
      </c>
      <c r="F159" s="44">
        <v>570.14790000000005</v>
      </c>
    </row>
    <row r="160" spans="1:6">
      <c r="A160" s="42">
        <v>46240.291666666664</v>
      </c>
      <c r="B160" s="43" t="s">
        <v>28</v>
      </c>
      <c r="C160" s="44">
        <v>31</v>
      </c>
      <c r="D160" s="44">
        <v>150</v>
      </c>
      <c r="E160" s="44">
        <v>529.33699999999999</v>
      </c>
      <c r="F160" s="44">
        <v>569.72310000000004</v>
      </c>
    </row>
    <row r="161" spans="1:6">
      <c r="A161" s="42">
        <v>46240.333333333336</v>
      </c>
      <c r="B161" s="43" t="s">
        <v>28</v>
      </c>
      <c r="C161" s="44">
        <v>29</v>
      </c>
      <c r="D161" s="44">
        <v>150</v>
      </c>
      <c r="E161" s="44">
        <v>529.30909999999994</v>
      </c>
      <c r="F161" s="44">
        <v>569.29110000000003</v>
      </c>
    </row>
    <row r="162" spans="1:6">
      <c r="A162" s="42">
        <v>46240.375</v>
      </c>
      <c r="B162" s="43" t="s">
        <v>28</v>
      </c>
      <c r="C162" s="44">
        <v>27.5</v>
      </c>
      <c r="D162" s="44">
        <v>150</v>
      </c>
      <c r="E162" s="44">
        <v>529.2808</v>
      </c>
      <c r="F162" s="44">
        <v>568.8528</v>
      </c>
    </row>
    <row r="163" spans="1:6">
      <c r="A163" s="42">
        <v>46240.416666666664</v>
      </c>
      <c r="B163" s="43" t="s">
        <v>28</v>
      </c>
      <c r="C163" s="44">
        <v>26</v>
      </c>
      <c r="D163" s="44">
        <v>150</v>
      </c>
      <c r="E163" s="44">
        <v>529.25220000000002</v>
      </c>
      <c r="F163" s="44">
        <v>568.40909999999997</v>
      </c>
    </row>
    <row r="164" spans="1:6">
      <c r="A164" s="42">
        <v>46240.458333333336</v>
      </c>
      <c r="B164" s="43" t="s">
        <v>28</v>
      </c>
      <c r="C164" s="44">
        <v>24</v>
      </c>
      <c r="D164" s="44">
        <v>150</v>
      </c>
      <c r="E164" s="44">
        <v>529.22310000000004</v>
      </c>
      <c r="F164" s="44">
        <v>567.95899999999995</v>
      </c>
    </row>
    <row r="165" spans="1:6">
      <c r="A165" s="42">
        <v>46240.5</v>
      </c>
      <c r="B165" s="43" t="s">
        <v>28</v>
      </c>
      <c r="C165" s="44">
        <v>22</v>
      </c>
      <c r="D165" s="44">
        <v>150</v>
      </c>
      <c r="E165" s="44">
        <v>529.19370000000004</v>
      </c>
      <c r="F165" s="44">
        <v>567.5018</v>
      </c>
    </row>
    <row r="166" spans="1:6">
      <c r="A166" s="42">
        <v>46240.541666666664</v>
      </c>
      <c r="B166" s="43" t="s">
        <v>28</v>
      </c>
      <c r="C166" s="44">
        <v>21</v>
      </c>
      <c r="D166" s="44">
        <v>150</v>
      </c>
      <c r="E166" s="44">
        <v>529.16380000000004</v>
      </c>
      <c r="F166" s="44">
        <v>567.03920000000005</v>
      </c>
    </row>
    <row r="167" spans="1:6">
      <c r="A167" s="42">
        <v>46240.583333333336</v>
      </c>
      <c r="B167" s="43" t="s">
        <v>28</v>
      </c>
      <c r="C167" s="44">
        <v>20</v>
      </c>
      <c r="D167" s="44">
        <v>150</v>
      </c>
      <c r="E167" s="44">
        <v>529.13369999999998</v>
      </c>
      <c r="F167" s="44">
        <v>566.57309999999995</v>
      </c>
    </row>
    <row r="168" spans="1:6">
      <c r="A168" s="42">
        <v>46240.625</v>
      </c>
      <c r="B168" s="43" t="s">
        <v>28</v>
      </c>
      <c r="C168" s="44">
        <v>18.5</v>
      </c>
      <c r="D168" s="44">
        <v>150</v>
      </c>
      <c r="E168" s="44">
        <v>529.10339999999997</v>
      </c>
      <c r="F168" s="44">
        <v>566.10239999999999</v>
      </c>
    </row>
    <row r="169" spans="1:6">
      <c r="A169" s="42">
        <v>46240.666666666664</v>
      </c>
      <c r="B169" s="43" t="s">
        <v>28</v>
      </c>
      <c r="C169" s="44">
        <v>17</v>
      </c>
      <c r="D169" s="44">
        <v>150</v>
      </c>
      <c r="E169" s="44">
        <v>529.07270000000005</v>
      </c>
      <c r="F169" s="44">
        <v>565.62630000000001</v>
      </c>
    </row>
    <row r="170" spans="1:6">
      <c r="A170" s="42">
        <v>46240.708333333336</v>
      </c>
      <c r="B170" s="43" t="s">
        <v>28</v>
      </c>
      <c r="C170" s="44">
        <v>16</v>
      </c>
      <c r="D170" s="44">
        <v>150</v>
      </c>
      <c r="E170" s="44">
        <v>529.04169999999999</v>
      </c>
      <c r="F170" s="44">
        <v>565.14570000000003</v>
      </c>
    </row>
    <row r="171" spans="1:6">
      <c r="A171" s="42">
        <v>46240.75</v>
      </c>
      <c r="B171" s="43" t="s">
        <v>28</v>
      </c>
      <c r="C171" s="44">
        <v>15</v>
      </c>
      <c r="D171" s="44">
        <v>150</v>
      </c>
      <c r="E171" s="44">
        <v>529.0104</v>
      </c>
      <c r="F171" s="44">
        <v>564.66150000000005</v>
      </c>
    </row>
    <row r="172" spans="1:6">
      <c r="A172" s="42">
        <v>46240.791666666664</v>
      </c>
      <c r="B172" s="43" t="s">
        <v>28</v>
      </c>
      <c r="C172" s="44">
        <v>14</v>
      </c>
      <c r="D172" s="44">
        <v>150</v>
      </c>
      <c r="E172" s="44">
        <v>528.97889999999995</v>
      </c>
      <c r="F172" s="44">
        <v>564.17370000000005</v>
      </c>
    </row>
    <row r="173" spans="1:6">
      <c r="A173" s="42">
        <v>46240.833333333336</v>
      </c>
      <c r="B173" s="43" t="s">
        <v>28</v>
      </c>
      <c r="C173" s="44">
        <v>13</v>
      </c>
      <c r="D173" s="44">
        <v>150</v>
      </c>
      <c r="E173" s="44">
        <v>528.94730000000004</v>
      </c>
      <c r="F173" s="44">
        <v>563.68230000000005</v>
      </c>
    </row>
    <row r="174" spans="1:6">
      <c r="A174" s="42">
        <v>46240.875</v>
      </c>
      <c r="B174" s="43" t="s">
        <v>28</v>
      </c>
      <c r="C174" s="44">
        <v>12</v>
      </c>
      <c r="D174" s="44">
        <v>150</v>
      </c>
      <c r="E174" s="44">
        <v>528.9153</v>
      </c>
      <c r="F174" s="44">
        <v>563.18730000000005</v>
      </c>
    </row>
    <row r="175" spans="1:6">
      <c r="A175" s="42">
        <v>46240.916666666664</v>
      </c>
      <c r="B175" s="43" t="s">
        <v>28</v>
      </c>
      <c r="C175" s="44">
        <v>11</v>
      </c>
      <c r="D175" s="44">
        <v>150</v>
      </c>
      <c r="E175" s="44">
        <v>528.88310000000001</v>
      </c>
      <c r="F175" s="44">
        <v>562.68870000000004</v>
      </c>
    </row>
    <row r="176" spans="1:6">
      <c r="A176" s="42">
        <v>46240.958333333336</v>
      </c>
      <c r="B176" s="43" t="s">
        <v>28</v>
      </c>
      <c r="C176" s="44">
        <v>10.5</v>
      </c>
      <c r="D176" s="44">
        <v>150</v>
      </c>
      <c r="E176" s="44">
        <v>528.85080000000005</v>
      </c>
      <c r="F176" s="44">
        <v>562.18740000000003</v>
      </c>
    </row>
    <row r="177" spans="1:6">
      <c r="A177" s="42">
        <v>46241</v>
      </c>
      <c r="B177" s="43" t="s">
        <v>28</v>
      </c>
      <c r="C177" s="44">
        <v>10</v>
      </c>
      <c r="D177" s="44">
        <v>150</v>
      </c>
      <c r="E177" s="44">
        <v>528.8184</v>
      </c>
      <c r="F177" s="44">
        <v>561.68430000000001</v>
      </c>
    </row>
    <row r="178" spans="1:6">
      <c r="A178" s="42">
        <v>46241.041666666664</v>
      </c>
      <c r="B178" s="43" t="s">
        <v>28</v>
      </c>
      <c r="C178" s="44">
        <v>9</v>
      </c>
      <c r="D178" s="44">
        <v>150</v>
      </c>
      <c r="E178" s="44">
        <v>528.78570000000002</v>
      </c>
      <c r="F178" s="44">
        <v>561.17849999999999</v>
      </c>
    </row>
    <row r="179" spans="1:6">
      <c r="A179" s="42">
        <v>46241.083333333336</v>
      </c>
      <c r="B179" s="43" t="s">
        <v>28</v>
      </c>
      <c r="C179" s="44">
        <v>8</v>
      </c>
      <c r="D179" s="44">
        <v>150</v>
      </c>
      <c r="E179" s="44">
        <v>528.75289999999995</v>
      </c>
      <c r="F179" s="44">
        <v>560.66909999999996</v>
      </c>
    </row>
    <row r="180" spans="1:6">
      <c r="A180" s="42">
        <v>46241.125</v>
      </c>
      <c r="B180" s="43" t="s">
        <v>28</v>
      </c>
      <c r="C180" s="44">
        <v>7.5</v>
      </c>
      <c r="D180" s="44">
        <v>150</v>
      </c>
      <c r="E180" s="44">
        <v>528.71979999999996</v>
      </c>
      <c r="F180" s="44">
        <v>560.15700000000004</v>
      </c>
    </row>
    <row r="181" spans="1:6">
      <c r="A181" s="42">
        <v>46241.166666666664</v>
      </c>
      <c r="B181" s="43" t="s">
        <v>28</v>
      </c>
      <c r="C181" s="44">
        <v>7</v>
      </c>
      <c r="D181" s="44">
        <v>150</v>
      </c>
      <c r="E181" s="44">
        <v>528.6866</v>
      </c>
      <c r="F181" s="44">
        <v>559.6431</v>
      </c>
    </row>
    <row r="182" spans="1:6">
      <c r="A182" s="42">
        <v>46241.208333333336</v>
      </c>
      <c r="B182" s="43" t="s">
        <v>28</v>
      </c>
      <c r="C182" s="44">
        <v>6.5</v>
      </c>
      <c r="D182" s="44">
        <v>150</v>
      </c>
      <c r="E182" s="44">
        <v>528.65340000000003</v>
      </c>
      <c r="F182" s="44">
        <v>559.12739999999997</v>
      </c>
    </row>
    <row r="183" spans="1:6">
      <c r="A183" s="42">
        <v>46241.25</v>
      </c>
      <c r="B183" s="43" t="s">
        <v>28</v>
      </c>
      <c r="C183" s="44">
        <v>6</v>
      </c>
      <c r="D183" s="44">
        <v>150</v>
      </c>
      <c r="E183" s="44">
        <v>528.62</v>
      </c>
      <c r="F183" s="44">
        <v>558.60990000000004</v>
      </c>
    </row>
    <row r="184" spans="1:6">
      <c r="A184" s="42">
        <v>46241.291666666664</v>
      </c>
      <c r="B184" s="43" t="s">
        <v>28</v>
      </c>
      <c r="C184" s="44">
        <v>5</v>
      </c>
      <c r="D184" s="44">
        <v>150</v>
      </c>
      <c r="E184" s="44">
        <v>528.58640000000003</v>
      </c>
      <c r="F184" s="44">
        <v>558.08969999999999</v>
      </c>
    </row>
    <row r="185" spans="1:6">
      <c r="A185" s="42">
        <v>46241.333333333336</v>
      </c>
      <c r="B185" s="43" t="s">
        <v>28</v>
      </c>
      <c r="C185" s="44">
        <v>4</v>
      </c>
      <c r="D185" s="44">
        <v>150</v>
      </c>
      <c r="E185" s="44">
        <v>528.55259999999998</v>
      </c>
      <c r="F185" s="44">
        <v>557.56590000000006</v>
      </c>
    </row>
    <row r="186" spans="1:6">
      <c r="A186" s="42">
        <v>46241.375</v>
      </c>
      <c r="B186" s="43" t="s">
        <v>28</v>
      </c>
      <c r="C186" s="44">
        <v>3.5</v>
      </c>
      <c r="D186" s="44">
        <v>150</v>
      </c>
      <c r="E186" s="44">
        <v>528.51869999999997</v>
      </c>
      <c r="F186" s="44">
        <v>557.0394</v>
      </c>
    </row>
    <row r="187" spans="1:6">
      <c r="A187" s="42">
        <v>46241.416666666664</v>
      </c>
      <c r="B187" s="43" t="s">
        <v>28</v>
      </c>
      <c r="C187" s="44">
        <v>3</v>
      </c>
      <c r="D187" s="44">
        <v>150</v>
      </c>
      <c r="E187" s="44">
        <v>528.4846</v>
      </c>
      <c r="F187" s="44">
        <v>556.51110000000006</v>
      </c>
    </row>
    <row r="188" spans="1:6">
      <c r="A188" s="42">
        <v>46241.458333333336</v>
      </c>
      <c r="B188" s="43" t="s">
        <v>28</v>
      </c>
      <c r="C188" s="44">
        <v>2.5</v>
      </c>
      <c r="D188" s="44">
        <v>150</v>
      </c>
      <c r="E188" s="44">
        <v>528.45039999999995</v>
      </c>
      <c r="F188" s="44">
        <v>555.98099999999999</v>
      </c>
    </row>
    <row r="189" spans="1:6">
      <c r="A189" s="42">
        <v>46241.5</v>
      </c>
      <c r="B189" s="43" t="s">
        <v>28</v>
      </c>
      <c r="C189" s="44">
        <v>2</v>
      </c>
      <c r="D189" s="44">
        <v>150</v>
      </c>
      <c r="E189" s="44">
        <v>528.41610000000003</v>
      </c>
      <c r="F189" s="44">
        <v>555.44910000000004</v>
      </c>
    </row>
    <row r="190" spans="1:6">
      <c r="A190" s="42">
        <v>46241.541666666664</v>
      </c>
      <c r="B190" s="43" t="s">
        <v>28</v>
      </c>
      <c r="C190" s="44">
        <v>1.5</v>
      </c>
      <c r="D190" s="44">
        <v>150</v>
      </c>
      <c r="E190" s="44">
        <v>528.38170000000002</v>
      </c>
      <c r="F190" s="44">
        <v>554.91539999999998</v>
      </c>
    </row>
    <row r="191" spans="1:6">
      <c r="A191" s="42">
        <v>46241.583333333336</v>
      </c>
      <c r="B191" s="43" t="s">
        <v>28</v>
      </c>
      <c r="C191" s="44">
        <v>1</v>
      </c>
      <c r="D191" s="44">
        <v>150</v>
      </c>
      <c r="E191" s="44">
        <v>528.34709999999995</v>
      </c>
      <c r="F191" s="44">
        <v>554.37990000000002</v>
      </c>
    </row>
    <row r="192" spans="1:6">
      <c r="A192" s="42">
        <v>46241.625</v>
      </c>
      <c r="B192" s="43" t="s">
        <v>28</v>
      </c>
      <c r="C192" s="44">
        <v>1</v>
      </c>
      <c r="D192" s="44">
        <v>150</v>
      </c>
      <c r="E192" s="44">
        <v>528.3125</v>
      </c>
      <c r="F192" s="44">
        <v>553.84349999999995</v>
      </c>
    </row>
    <row r="193" spans="1:6">
      <c r="A193" s="42">
        <v>46241.666666666664</v>
      </c>
      <c r="B193" s="43" t="s">
        <v>28</v>
      </c>
      <c r="C193" s="44">
        <v>1</v>
      </c>
      <c r="D193" s="44">
        <v>150</v>
      </c>
      <c r="E193" s="44">
        <v>528.27790000000005</v>
      </c>
      <c r="F193" s="44">
        <v>553.30709999999999</v>
      </c>
    </row>
    <row r="194" spans="1:6">
      <c r="A194" s="42">
        <v>46241.708333333336</v>
      </c>
      <c r="B194" s="43" t="s">
        <v>28</v>
      </c>
      <c r="C194" s="44">
        <v>1</v>
      </c>
      <c r="D194" s="44">
        <v>150</v>
      </c>
      <c r="E194" s="44">
        <v>528.24329999999998</v>
      </c>
      <c r="F194" s="44">
        <v>552.77080000000001</v>
      </c>
    </row>
    <row r="195" spans="1:6">
      <c r="A195" s="42">
        <v>46241.75</v>
      </c>
      <c r="B195" s="43" t="s">
        <v>28</v>
      </c>
      <c r="C195" s="44">
        <v>1</v>
      </c>
      <c r="D195" s="44">
        <v>150</v>
      </c>
      <c r="E195" s="44">
        <v>528.20870000000002</v>
      </c>
      <c r="F195" s="44">
        <v>552.23440000000005</v>
      </c>
    </row>
    <row r="196" spans="1:6">
      <c r="A196" s="42">
        <v>46241.791666666664</v>
      </c>
      <c r="B196" s="43" t="s">
        <v>28</v>
      </c>
      <c r="C196" s="44">
        <v>0.5</v>
      </c>
      <c r="D196" s="44">
        <v>150</v>
      </c>
      <c r="E196" s="44">
        <v>528.17399999999998</v>
      </c>
      <c r="F196" s="44">
        <v>551.69709999999998</v>
      </c>
    </row>
    <row r="197" spans="1:6">
      <c r="A197" s="42">
        <v>46241.833333333336</v>
      </c>
      <c r="B197" s="43" t="s">
        <v>28</v>
      </c>
      <c r="C197" s="47">
        <v>9.0799999999999993E-9</v>
      </c>
      <c r="D197" s="44">
        <v>150</v>
      </c>
      <c r="E197" s="44">
        <v>528.13919999999996</v>
      </c>
      <c r="F197" s="44">
        <v>551.15800000000002</v>
      </c>
    </row>
    <row r="198" spans="1:6">
      <c r="A198" s="42">
        <v>46241.875</v>
      </c>
      <c r="B198" s="43" t="s">
        <v>28</v>
      </c>
      <c r="C198" s="44">
        <v>0</v>
      </c>
      <c r="D198" s="44">
        <v>150</v>
      </c>
      <c r="E198" s="44">
        <v>528.10440000000006</v>
      </c>
      <c r="F198" s="44">
        <v>550.61800000000005</v>
      </c>
    </row>
    <row r="199" spans="1:6">
      <c r="A199" s="42">
        <v>46241.916666666664</v>
      </c>
      <c r="B199" s="43" t="s">
        <v>28</v>
      </c>
      <c r="C199" s="44">
        <v>0</v>
      </c>
      <c r="D199" s="44">
        <v>150</v>
      </c>
      <c r="E199" s="44">
        <v>528.06949999999995</v>
      </c>
      <c r="F199" s="44">
        <v>550.07799999999997</v>
      </c>
    </row>
    <row r="200" spans="1:6">
      <c r="A200" s="42">
        <v>46241.958333333336</v>
      </c>
      <c r="B200" s="43" t="s">
        <v>28</v>
      </c>
      <c r="C200" s="44">
        <v>0</v>
      </c>
      <c r="D200" s="44">
        <v>150</v>
      </c>
      <c r="E200" s="44">
        <v>528.03470000000004</v>
      </c>
      <c r="F200" s="44">
        <v>549.53800000000001</v>
      </c>
    </row>
    <row r="201" spans="1:6">
      <c r="A201" s="42">
        <v>46242</v>
      </c>
      <c r="B201" s="43" t="s">
        <v>28</v>
      </c>
      <c r="C201" s="44">
        <v>0</v>
      </c>
      <c r="D201" s="44">
        <v>150</v>
      </c>
      <c r="E201" s="44">
        <v>527.99990000000003</v>
      </c>
      <c r="F201" s="44">
        <v>548.99800000000005</v>
      </c>
    </row>
    <row r="202" spans="1:6">
      <c r="A202" s="42">
        <v>46242.041666666664</v>
      </c>
      <c r="B202" s="43" t="s">
        <v>28</v>
      </c>
      <c r="C202" s="44">
        <v>0</v>
      </c>
      <c r="D202" s="44">
        <v>150</v>
      </c>
      <c r="E202" s="44">
        <v>527.96500000000003</v>
      </c>
      <c r="F202" s="44">
        <v>548.45809999999994</v>
      </c>
    </row>
    <row r="203" spans="1:6">
      <c r="A203" s="42">
        <v>46242.083333333336</v>
      </c>
      <c r="B203" s="43" t="s">
        <v>28</v>
      </c>
      <c r="C203" s="44">
        <v>0</v>
      </c>
      <c r="D203" s="44">
        <v>150</v>
      </c>
      <c r="E203" s="44">
        <v>527.93020000000001</v>
      </c>
      <c r="F203" s="44">
        <v>547.91809999999998</v>
      </c>
    </row>
    <row r="204" spans="1:6">
      <c r="A204" s="42">
        <v>46242.125</v>
      </c>
      <c r="B204" s="43" t="s">
        <v>28</v>
      </c>
      <c r="C204" s="44">
        <v>0</v>
      </c>
      <c r="D204" s="44">
        <v>150</v>
      </c>
      <c r="E204" s="44">
        <v>527.8954</v>
      </c>
      <c r="F204" s="44">
        <v>547.37810000000002</v>
      </c>
    </row>
    <row r="205" spans="1:6">
      <c r="A205" s="42">
        <v>46242.166666666664</v>
      </c>
      <c r="B205" s="43" t="s">
        <v>28</v>
      </c>
      <c r="C205" s="44">
        <v>0</v>
      </c>
      <c r="D205" s="44">
        <v>150</v>
      </c>
      <c r="E205" s="44">
        <v>527.8605</v>
      </c>
      <c r="F205" s="44">
        <v>546.83810000000005</v>
      </c>
    </row>
    <row r="206" spans="1:6">
      <c r="A206" s="42">
        <v>46242.208333333336</v>
      </c>
      <c r="B206" s="43" t="s">
        <v>28</v>
      </c>
      <c r="C206" s="44">
        <v>0</v>
      </c>
      <c r="D206" s="44">
        <v>150</v>
      </c>
      <c r="E206" s="44">
        <v>527.82569999999998</v>
      </c>
      <c r="F206" s="44">
        <v>546.29819999999995</v>
      </c>
    </row>
    <row r="207" spans="1:6">
      <c r="A207" s="42">
        <v>46242.25</v>
      </c>
      <c r="B207" s="43" t="s">
        <v>28</v>
      </c>
      <c r="C207" s="44">
        <v>0</v>
      </c>
      <c r="D207" s="44">
        <v>150</v>
      </c>
      <c r="E207" s="44">
        <v>527.79079999999999</v>
      </c>
      <c r="F207" s="44">
        <v>545.75819999999999</v>
      </c>
    </row>
    <row r="208" spans="1:6">
      <c r="A208" s="42">
        <v>46242.291666666664</v>
      </c>
      <c r="B208" s="43" t="s">
        <v>28</v>
      </c>
      <c r="C208" s="44">
        <v>0</v>
      </c>
      <c r="D208" s="44">
        <v>150</v>
      </c>
      <c r="E208" s="44">
        <v>527.75599999999997</v>
      </c>
      <c r="F208" s="44">
        <v>545.21820000000002</v>
      </c>
    </row>
    <row r="209" spans="1:6">
      <c r="A209" s="42">
        <v>46242.333333333336</v>
      </c>
      <c r="B209" s="43" t="s">
        <v>28</v>
      </c>
      <c r="C209" s="44">
        <v>0</v>
      </c>
      <c r="D209" s="44">
        <v>150</v>
      </c>
      <c r="E209" s="44">
        <v>527.72119999999995</v>
      </c>
      <c r="F209" s="44">
        <v>544.67819999999995</v>
      </c>
    </row>
    <row r="210" spans="1:6">
      <c r="A210" s="42">
        <v>46242.375</v>
      </c>
      <c r="B210" s="43" t="s">
        <v>28</v>
      </c>
      <c r="C210" s="44">
        <v>0</v>
      </c>
      <c r="D210" s="44">
        <v>150</v>
      </c>
      <c r="E210" s="44">
        <v>527.68629999999996</v>
      </c>
      <c r="F210" s="44">
        <v>544.13819999999998</v>
      </c>
    </row>
    <row r="211" spans="1:6">
      <c r="A211" s="42">
        <v>46242.416666666664</v>
      </c>
      <c r="B211" s="43" t="s">
        <v>28</v>
      </c>
      <c r="C211" s="44">
        <v>0</v>
      </c>
      <c r="D211" s="44">
        <v>150</v>
      </c>
      <c r="E211" s="44">
        <v>527.65150000000006</v>
      </c>
      <c r="F211" s="44">
        <v>543.59829999999999</v>
      </c>
    </row>
    <row r="212" spans="1:6">
      <c r="A212" s="42">
        <v>46242.458333333336</v>
      </c>
      <c r="B212" s="43" t="s">
        <v>28</v>
      </c>
      <c r="C212" s="44">
        <v>0</v>
      </c>
      <c r="D212" s="44">
        <v>150</v>
      </c>
      <c r="E212" s="44">
        <v>527.61659999999995</v>
      </c>
      <c r="F212" s="44">
        <v>543.05830000000003</v>
      </c>
    </row>
    <row r="213" spans="1:6">
      <c r="A213" s="42">
        <v>46242.5</v>
      </c>
      <c r="B213" s="43" t="s">
        <v>28</v>
      </c>
      <c r="C213" s="44">
        <v>0</v>
      </c>
      <c r="D213" s="44">
        <v>150</v>
      </c>
      <c r="E213" s="44">
        <v>527.58180000000004</v>
      </c>
      <c r="F213" s="44">
        <v>542.51829999999995</v>
      </c>
    </row>
    <row r="214" spans="1:6">
      <c r="A214" s="42">
        <v>46242.541666666664</v>
      </c>
      <c r="B214" s="43" t="s">
        <v>28</v>
      </c>
      <c r="C214" s="44">
        <v>0</v>
      </c>
      <c r="D214" s="44">
        <v>150</v>
      </c>
      <c r="E214" s="44">
        <v>527.54700000000003</v>
      </c>
      <c r="F214" s="44">
        <v>541.97829999999999</v>
      </c>
    </row>
    <row r="215" spans="1:6">
      <c r="A215" s="42">
        <v>46242.583333333336</v>
      </c>
      <c r="B215" s="43" t="s">
        <v>28</v>
      </c>
      <c r="C215" s="44">
        <v>0</v>
      </c>
      <c r="D215" s="44">
        <v>150</v>
      </c>
      <c r="E215" s="44">
        <v>527.51210000000003</v>
      </c>
      <c r="F215" s="44">
        <v>541.4384</v>
      </c>
    </row>
    <row r="216" spans="1:6">
      <c r="A216" s="42">
        <v>46242.625</v>
      </c>
      <c r="B216" s="43" t="s">
        <v>28</v>
      </c>
      <c r="C216" s="44">
        <v>0</v>
      </c>
      <c r="D216" s="44">
        <v>150</v>
      </c>
      <c r="E216" s="44">
        <v>527.47730000000001</v>
      </c>
      <c r="F216" s="44">
        <v>540.89840000000004</v>
      </c>
    </row>
    <row r="217" spans="1:6">
      <c r="A217" s="42">
        <v>46242.666666666664</v>
      </c>
      <c r="B217" s="43" t="s">
        <v>28</v>
      </c>
      <c r="C217" s="44">
        <v>0</v>
      </c>
      <c r="D217" s="44">
        <v>150</v>
      </c>
      <c r="E217" s="44">
        <v>527.4425</v>
      </c>
      <c r="F217" s="44">
        <v>540.35839999999996</v>
      </c>
    </row>
    <row r="218" spans="1:6">
      <c r="A218" s="42">
        <v>46242.708333333336</v>
      </c>
      <c r="B218" s="43" t="s">
        <v>28</v>
      </c>
      <c r="C218" s="44">
        <v>0</v>
      </c>
      <c r="D218" s="44">
        <v>150</v>
      </c>
      <c r="E218" s="44">
        <v>527.40769999999998</v>
      </c>
      <c r="F218" s="44">
        <v>539.8184</v>
      </c>
    </row>
    <row r="219" spans="1:6">
      <c r="A219" s="42">
        <v>46242.75</v>
      </c>
      <c r="B219" s="43" t="s">
        <v>28</v>
      </c>
      <c r="C219" s="44">
        <v>0</v>
      </c>
      <c r="D219" s="44">
        <v>150</v>
      </c>
      <c r="E219" s="44">
        <v>527.37279999999998</v>
      </c>
      <c r="F219" s="44">
        <v>539.27840000000003</v>
      </c>
    </row>
    <row r="220" spans="1:6">
      <c r="A220" s="42">
        <v>46242.791666666664</v>
      </c>
      <c r="B220" s="43" t="s">
        <v>28</v>
      </c>
      <c r="C220" s="44">
        <v>0</v>
      </c>
      <c r="D220" s="44">
        <v>150</v>
      </c>
      <c r="E220" s="44">
        <v>527.33799999999997</v>
      </c>
      <c r="F220" s="44">
        <v>538.73850000000004</v>
      </c>
    </row>
    <row r="221" spans="1:6">
      <c r="A221" s="42">
        <v>46242.833333333336</v>
      </c>
      <c r="B221" s="43" t="s">
        <v>28</v>
      </c>
      <c r="C221" s="44">
        <v>0</v>
      </c>
      <c r="D221" s="44">
        <v>150</v>
      </c>
      <c r="E221" s="44">
        <v>527.30309999999997</v>
      </c>
      <c r="F221" s="44">
        <v>538.19849999999997</v>
      </c>
    </row>
    <row r="222" spans="1:6">
      <c r="A222" s="42">
        <v>46242.875</v>
      </c>
      <c r="B222" s="43" t="s">
        <v>28</v>
      </c>
      <c r="C222" s="44">
        <v>0</v>
      </c>
      <c r="D222" s="44">
        <v>150</v>
      </c>
      <c r="E222" s="44">
        <v>527.26829999999995</v>
      </c>
      <c r="F222" s="44">
        <v>537.6585</v>
      </c>
    </row>
    <row r="223" spans="1:6">
      <c r="A223" s="42">
        <v>46242.916666666664</v>
      </c>
      <c r="B223" s="43" t="s">
        <v>28</v>
      </c>
      <c r="C223" s="44">
        <v>0</v>
      </c>
      <c r="D223" s="44">
        <v>150</v>
      </c>
      <c r="E223" s="44">
        <v>527.23350000000005</v>
      </c>
      <c r="F223" s="44">
        <v>537.11850000000004</v>
      </c>
    </row>
    <row r="224" spans="1:6">
      <c r="A224" s="42">
        <v>46242.958333333336</v>
      </c>
      <c r="B224" s="43" t="s">
        <v>28</v>
      </c>
      <c r="C224" s="44">
        <v>0</v>
      </c>
      <c r="D224" s="44">
        <v>150</v>
      </c>
      <c r="E224" s="44">
        <v>527.19860000000006</v>
      </c>
      <c r="F224" s="44">
        <v>536.57860000000005</v>
      </c>
    </row>
    <row r="225" spans="1:6">
      <c r="A225" s="42">
        <v>46243</v>
      </c>
      <c r="B225" s="43" t="s">
        <v>28</v>
      </c>
      <c r="C225" s="44">
        <v>0</v>
      </c>
      <c r="D225" s="44">
        <v>150</v>
      </c>
      <c r="E225" s="44">
        <v>527.16380000000004</v>
      </c>
      <c r="F225" s="44">
        <v>536.03859999999997</v>
      </c>
    </row>
    <row r="226" spans="1:6">
      <c r="A226" s="42">
        <v>46243.041666666664</v>
      </c>
      <c r="B226" s="43" t="s">
        <v>28</v>
      </c>
      <c r="C226" s="44">
        <v>0</v>
      </c>
      <c r="D226" s="44">
        <v>150</v>
      </c>
      <c r="E226" s="44">
        <v>527.12900000000002</v>
      </c>
      <c r="F226" s="44">
        <v>535.49860000000001</v>
      </c>
    </row>
    <row r="227" spans="1:6">
      <c r="A227" s="42">
        <v>46243.083333333336</v>
      </c>
      <c r="B227" s="43" t="s">
        <v>28</v>
      </c>
      <c r="C227" s="44">
        <v>0</v>
      </c>
      <c r="D227" s="44">
        <v>150</v>
      </c>
      <c r="E227" s="44">
        <v>527.09410000000003</v>
      </c>
      <c r="F227" s="44">
        <v>534.95860000000005</v>
      </c>
    </row>
    <row r="228" spans="1:6">
      <c r="A228" s="42">
        <v>46243.125</v>
      </c>
      <c r="B228" s="43" t="s">
        <v>28</v>
      </c>
      <c r="C228" s="44">
        <v>0</v>
      </c>
      <c r="D228" s="44">
        <v>150</v>
      </c>
      <c r="E228" s="44">
        <v>527.05930000000001</v>
      </c>
      <c r="F228" s="44">
        <v>534.41859999999997</v>
      </c>
    </row>
    <row r="229" spans="1:6">
      <c r="A229" s="42">
        <v>46243.166666666664</v>
      </c>
      <c r="B229" s="43" t="s">
        <v>28</v>
      </c>
      <c r="C229" s="44">
        <v>0</v>
      </c>
      <c r="D229" s="44">
        <v>150</v>
      </c>
      <c r="E229" s="44">
        <v>527.02440000000001</v>
      </c>
      <c r="F229" s="44">
        <v>533.87869999999998</v>
      </c>
    </row>
    <row r="230" spans="1:6">
      <c r="A230" s="42">
        <v>46243.208333333336</v>
      </c>
      <c r="B230" s="43" t="s">
        <v>28</v>
      </c>
      <c r="C230" s="44">
        <v>0</v>
      </c>
      <c r="D230" s="44">
        <v>150</v>
      </c>
      <c r="E230" s="44">
        <v>526.9896</v>
      </c>
      <c r="F230" s="44">
        <v>533.33870000000002</v>
      </c>
    </row>
    <row r="231" spans="1:6">
      <c r="A231" s="42">
        <v>46243.25</v>
      </c>
      <c r="B231" s="43" t="s">
        <v>28</v>
      </c>
      <c r="C231" s="44">
        <v>0</v>
      </c>
      <c r="D231" s="44">
        <v>150</v>
      </c>
      <c r="E231" s="44">
        <v>526.95479999999998</v>
      </c>
      <c r="F231" s="44">
        <v>532.79870000000005</v>
      </c>
    </row>
    <row r="232" spans="1:6">
      <c r="A232" s="42">
        <v>46243.291666666664</v>
      </c>
      <c r="B232" s="43" t="s">
        <v>28</v>
      </c>
      <c r="C232" s="44">
        <v>0</v>
      </c>
      <c r="D232" s="44">
        <v>150</v>
      </c>
      <c r="E232" s="44">
        <v>526.91989999999998</v>
      </c>
      <c r="F232" s="44">
        <v>532.25869999999998</v>
      </c>
    </row>
    <row r="233" spans="1:6">
      <c r="A233" s="42">
        <v>46243.333333333336</v>
      </c>
      <c r="B233" s="43" t="s">
        <v>28</v>
      </c>
      <c r="C233" s="44">
        <v>0</v>
      </c>
      <c r="D233" s="44">
        <v>150</v>
      </c>
      <c r="E233" s="44">
        <v>526.88509999999997</v>
      </c>
      <c r="F233" s="44">
        <v>531.71879999999999</v>
      </c>
    </row>
    <row r="234" spans="1:6">
      <c r="A234" s="42">
        <v>46243.375</v>
      </c>
      <c r="B234" s="43" t="s">
        <v>28</v>
      </c>
      <c r="C234" s="44">
        <v>0</v>
      </c>
      <c r="D234" s="44">
        <v>150</v>
      </c>
      <c r="E234" s="44">
        <v>526.85019999999997</v>
      </c>
      <c r="F234" s="44">
        <v>531.17880000000002</v>
      </c>
    </row>
    <row r="235" spans="1:6">
      <c r="A235" s="42">
        <v>46243.416666666664</v>
      </c>
      <c r="B235" s="43" t="s">
        <v>28</v>
      </c>
      <c r="C235" s="44">
        <v>0</v>
      </c>
      <c r="D235" s="44">
        <v>150</v>
      </c>
      <c r="E235" s="44">
        <v>526.81539999999995</v>
      </c>
      <c r="F235" s="44">
        <v>530.63879999999995</v>
      </c>
    </row>
    <row r="236" spans="1:6">
      <c r="A236" s="42">
        <v>46243.458333333336</v>
      </c>
      <c r="B236" s="43" t="s">
        <v>28</v>
      </c>
      <c r="C236" s="44">
        <v>0</v>
      </c>
      <c r="D236" s="44">
        <v>150</v>
      </c>
      <c r="E236" s="44">
        <v>526.78060000000005</v>
      </c>
      <c r="F236" s="44">
        <v>530.09879999999998</v>
      </c>
    </row>
    <row r="237" spans="1:6">
      <c r="A237" s="42">
        <v>46243.5</v>
      </c>
      <c r="B237" s="43" t="s">
        <v>28</v>
      </c>
      <c r="C237" s="44">
        <v>0</v>
      </c>
      <c r="D237" s="44">
        <v>150</v>
      </c>
      <c r="E237" s="44">
        <v>526.74570000000006</v>
      </c>
      <c r="F237" s="44">
        <v>529.55880000000002</v>
      </c>
    </row>
    <row r="238" spans="1:6">
      <c r="A238" s="42">
        <v>46243.541666666664</v>
      </c>
      <c r="B238" s="43" t="s">
        <v>28</v>
      </c>
      <c r="C238" s="44">
        <v>0</v>
      </c>
      <c r="D238" s="44">
        <v>150</v>
      </c>
      <c r="E238" s="44">
        <v>526.71090000000004</v>
      </c>
      <c r="F238" s="44">
        <v>529.01890000000003</v>
      </c>
    </row>
    <row r="239" spans="1:6">
      <c r="A239" s="42">
        <v>46243.583333333336</v>
      </c>
      <c r="B239" s="43" t="s">
        <v>28</v>
      </c>
      <c r="C239" s="44">
        <v>0</v>
      </c>
      <c r="D239" s="44">
        <v>150</v>
      </c>
      <c r="E239" s="44">
        <v>526.67610000000002</v>
      </c>
      <c r="F239" s="44">
        <v>528.47889999999995</v>
      </c>
    </row>
    <row r="240" spans="1:6">
      <c r="A240" s="42">
        <v>46243.625</v>
      </c>
      <c r="B240" s="43" t="s">
        <v>28</v>
      </c>
      <c r="C240" s="44">
        <v>0</v>
      </c>
      <c r="D240" s="44">
        <v>150</v>
      </c>
      <c r="E240" s="44">
        <v>526.64120000000003</v>
      </c>
      <c r="F240" s="44">
        <v>527.93889999999999</v>
      </c>
    </row>
    <row r="241" spans="1:6">
      <c r="A241" s="42">
        <v>46243.666666666664</v>
      </c>
      <c r="B241" s="43" t="s">
        <v>28</v>
      </c>
      <c r="C241" s="44">
        <v>0</v>
      </c>
      <c r="D241" s="44">
        <v>150</v>
      </c>
      <c r="E241" s="44">
        <v>526.60640000000001</v>
      </c>
      <c r="F241" s="44">
        <v>527.39890000000003</v>
      </c>
    </row>
    <row r="242" spans="1:6">
      <c r="A242" s="42">
        <v>46243.708333333336</v>
      </c>
      <c r="B242" s="43" t="s">
        <v>28</v>
      </c>
      <c r="C242" s="44">
        <v>0</v>
      </c>
      <c r="D242" s="44">
        <v>150</v>
      </c>
      <c r="E242" s="44">
        <v>526.57150000000001</v>
      </c>
      <c r="F242" s="44">
        <v>526.85889999999995</v>
      </c>
    </row>
    <row r="243" spans="1:6">
      <c r="A243" s="42">
        <v>46243.75</v>
      </c>
      <c r="B243" s="43" t="s">
        <v>28</v>
      </c>
      <c r="C243" s="44">
        <v>0</v>
      </c>
      <c r="D243" s="44">
        <v>150</v>
      </c>
      <c r="E243" s="44">
        <v>526.5367</v>
      </c>
      <c r="F243" s="44">
        <v>526.31899999999996</v>
      </c>
    </row>
    <row r="244" spans="1:6">
      <c r="A244" s="42">
        <v>46243.791666666664</v>
      </c>
      <c r="B244" s="43" t="s">
        <v>28</v>
      </c>
      <c r="C244" s="44">
        <v>0</v>
      </c>
      <c r="D244" s="44">
        <v>150</v>
      </c>
      <c r="E244" s="44">
        <v>526.50189999999998</v>
      </c>
      <c r="F244" s="44">
        <v>525.779</v>
      </c>
    </row>
    <row r="245" spans="1:6">
      <c r="A245" s="42">
        <v>46243.833333333336</v>
      </c>
      <c r="B245" s="43" t="s">
        <v>28</v>
      </c>
      <c r="C245" s="44">
        <v>0</v>
      </c>
      <c r="D245" s="44">
        <v>150</v>
      </c>
      <c r="E245" s="44">
        <v>526.46699999999998</v>
      </c>
      <c r="F245" s="44">
        <v>525.23900000000003</v>
      </c>
    </row>
    <row r="246" spans="1:6">
      <c r="A246" s="42">
        <v>46243.875</v>
      </c>
      <c r="B246" s="43" t="s">
        <v>28</v>
      </c>
      <c r="C246" s="44">
        <v>0</v>
      </c>
      <c r="D246" s="44">
        <v>150</v>
      </c>
      <c r="E246" s="44">
        <v>526.43219999999997</v>
      </c>
      <c r="F246" s="44">
        <v>524.69899999999996</v>
      </c>
    </row>
    <row r="247" spans="1:6">
      <c r="A247" s="42">
        <v>46243.916666666664</v>
      </c>
      <c r="B247" s="43" t="s">
        <v>28</v>
      </c>
      <c r="C247" s="44">
        <v>0</v>
      </c>
      <c r="D247" s="44">
        <v>150</v>
      </c>
      <c r="E247" s="44">
        <v>526.39729999999997</v>
      </c>
      <c r="F247" s="44">
        <v>524.15909999999997</v>
      </c>
    </row>
    <row r="248" spans="1:6">
      <c r="A248" s="42">
        <v>46243.958333333336</v>
      </c>
      <c r="B248" s="43" t="s">
        <v>28</v>
      </c>
      <c r="C248" s="44">
        <v>0</v>
      </c>
      <c r="D248" s="44">
        <v>150</v>
      </c>
      <c r="E248" s="44">
        <v>526.36249999999995</v>
      </c>
      <c r="F248" s="44">
        <v>523.6191</v>
      </c>
    </row>
    <row r="249" spans="1:6">
      <c r="A249" s="42">
        <v>46244</v>
      </c>
      <c r="B249" s="43" t="s">
        <v>28</v>
      </c>
      <c r="C249" s="44">
        <v>0</v>
      </c>
      <c r="D249" s="44">
        <v>150</v>
      </c>
      <c r="E249" s="44">
        <v>526.32770000000005</v>
      </c>
      <c r="F249" s="44">
        <v>523.07910000000004</v>
      </c>
    </row>
    <row r="250" spans="1:6">
      <c r="A250" s="42">
        <v>46244.041666666664</v>
      </c>
      <c r="B250" s="43" t="s">
        <v>28</v>
      </c>
      <c r="C250" s="44">
        <v>0</v>
      </c>
      <c r="D250" s="44">
        <v>150</v>
      </c>
      <c r="E250" s="44">
        <v>526.29280000000006</v>
      </c>
      <c r="F250" s="44">
        <v>522.53909999999996</v>
      </c>
    </row>
    <row r="251" spans="1:6">
      <c r="A251" s="42">
        <v>46244.083333333336</v>
      </c>
      <c r="B251" s="43" t="s">
        <v>28</v>
      </c>
      <c r="C251" s="44">
        <v>0</v>
      </c>
      <c r="D251" s="44">
        <v>150</v>
      </c>
      <c r="E251" s="44">
        <v>526.25800000000004</v>
      </c>
      <c r="F251" s="44">
        <v>521.9991</v>
      </c>
    </row>
    <row r="252" spans="1:6">
      <c r="A252" s="42">
        <v>46244.125</v>
      </c>
      <c r="B252" s="43" t="s">
        <v>28</v>
      </c>
      <c r="C252" s="44">
        <v>0</v>
      </c>
      <c r="D252" s="44">
        <v>150</v>
      </c>
      <c r="E252" s="44">
        <v>526.22310000000004</v>
      </c>
      <c r="F252" s="44">
        <v>521.45920000000001</v>
      </c>
    </row>
    <row r="253" spans="1:6">
      <c r="A253" s="42">
        <v>46244.166666666664</v>
      </c>
      <c r="B253" s="43" t="s">
        <v>28</v>
      </c>
      <c r="C253" s="44">
        <v>0</v>
      </c>
      <c r="D253" s="44">
        <v>150</v>
      </c>
      <c r="E253" s="44">
        <v>526.1884</v>
      </c>
      <c r="F253" s="44">
        <v>520.91920000000005</v>
      </c>
    </row>
    <row r="254" spans="1:6">
      <c r="A254" s="42">
        <v>46244.208333333336</v>
      </c>
      <c r="B254" s="43" t="s">
        <v>28</v>
      </c>
      <c r="C254" s="44">
        <v>0</v>
      </c>
      <c r="D254" s="44">
        <v>133.04509999999999</v>
      </c>
      <c r="E254" s="44">
        <v>526.15549999999996</v>
      </c>
      <c r="F254" s="44">
        <v>520.40970000000004</v>
      </c>
    </row>
    <row r="255" spans="1:6">
      <c r="A255" s="42">
        <v>46244.25</v>
      </c>
      <c r="B255" s="43" t="s">
        <v>28</v>
      </c>
      <c r="C255" s="44">
        <v>0</v>
      </c>
      <c r="D255" s="44">
        <v>5.7679999999999997E-3</v>
      </c>
      <c r="E255" s="44">
        <v>526.14</v>
      </c>
      <c r="F255" s="44">
        <v>520.17020000000002</v>
      </c>
    </row>
    <row r="256" spans="1:6">
      <c r="A256" s="42">
        <v>46244.291666666664</v>
      </c>
      <c r="B256" s="43" t="s">
        <v>28</v>
      </c>
      <c r="C256" s="44">
        <v>0</v>
      </c>
      <c r="D256" s="44">
        <v>0</v>
      </c>
      <c r="E256" s="44">
        <v>526.14</v>
      </c>
      <c r="F256" s="44">
        <v>520.17020000000002</v>
      </c>
    </row>
    <row r="257" spans="1:6">
      <c r="A257" s="42">
        <v>46244.333333333336</v>
      </c>
      <c r="B257" s="43" t="s">
        <v>28</v>
      </c>
      <c r="C257" s="44">
        <v>0</v>
      </c>
      <c r="D257" s="44">
        <v>0</v>
      </c>
      <c r="E257" s="44">
        <v>526.14</v>
      </c>
      <c r="F257" s="44">
        <v>520.17020000000002</v>
      </c>
    </row>
    <row r="258" spans="1:6">
      <c r="A258" s="42">
        <v>46244.375</v>
      </c>
      <c r="B258" s="43" t="s">
        <v>28</v>
      </c>
      <c r="C258" s="44">
        <v>0</v>
      </c>
      <c r="D258" s="44">
        <v>0</v>
      </c>
      <c r="E258" s="44">
        <v>526.14</v>
      </c>
      <c r="F258" s="44">
        <v>520.17020000000002</v>
      </c>
    </row>
    <row r="259" spans="1:6">
      <c r="A259" s="42">
        <v>46244.416666666664</v>
      </c>
      <c r="B259" s="43" t="s">
        <v>28</v>
      </c>
      <c r="C259" s="44">
        <v>0</v>
      </c>
      <c r="D259" s="44">
        <v>0</v>
      </c>
      <c r="E259" s="44">
        <v>526.14</v>
      </c>
      <c r="F259" s="44">
        <v>520.17020000000002</v>
      </c>
    </row>
    <row r="260" spans="1:6">
      <c r="A260" s="42">
        <v>46244.458333333336</v>
      </c>
      <c r="B260" s="43" t="s">
        <v>28</v>
      </c>
      <c r="C260" s="44">
        <v>0</v>
      </c>
      <c r="D260" s="44">
        <v>0</v>
      </c>
      <c r="E260" s="44">
        <v>526.14</v>
      </c>
      <c r="F260" s="44">
        <v>520.17020000000002</v>
      </c>
    </row>
    <row r="261" spans="1:6">
      <c r="A261" s="42">
        <v>46244.5</v>
      </c>
      <c r="B261" s="43" t="s">
        <v>28</v>
      </c>
      <c r="C261" s="44">
        <v>0</v>
      </c>
      <c r="D261" s="44">
        <v>0</v>
      </c>
      <c r="E261" s="44">
        <v>526.14</v>
      </c>
      <c r="F261" s="44">
        <v>520.17020000000002</v>
      </c>
    </row>
    <row r="262" spans="1:6">
      <c r="A262" s="42">
        <v>46244.541666666664</v>
      </c>
      <c r="B262" s="43" t="s">
        <v>28</v>
      </c>
      <c r="C262" s="44">
        <v>0</v>
      </c>
      <c r="D262" s="44">
        <v>0</v>
      </c>
      <c r="E262" s="44">
        <v>526.14</v>
      </c>
      <c r="F262" s="44">
        <v>520.17020000000002</v>
      </c>
    </row>
    <row r="263" spans="1:6">
      <c r="A263" s="42">
        <v>46244.583333333336</v>
      </c>
      <c r="B263" s="43" t="s">
        <v>28</v>
      </c>
      <c r="C263" s="44">
        <v>0</v>
      </c>
      <c r="D263" s="44">
        <v>0</v>
      </c>
      <c r="E263" s="44">
        <v>526.14</v>
      </c>
      <c r="F263" s="44">
        <v>520.17020000000002</v>
      </c>
    </row>
    <row r="264" spans="1:6">
      <c r="A264" s="42">
        <v>46244.625</v>
      </c>
      <c r="B264" s="43" t="s">
        <v>28</v>
      </c>
      <c r="C264" s="44">
        <v>0</v>
      </c>
      <c r="D264" s="44">
        <v>0</v>
      </c>
      <c r="E264" s="44">
        <v>526.14</v>
      </c>
      <c r="F264" s="44">
        <v>520.17020000000002</v>
      </c>
    </row>
    <row r="265" spans="1:6">
      <c r="A265" s="42">
        <v>46244.666666666664</v>
      </c>
      <c r="B265" s="43" t="s">
        <v>28</v>
      </c>
      <c r="C265" s="44">
        <v>0</v>
      </c>
      <c r="D265" s="44">
        <v>0</v>
      </c>
      <c r="E265" s="44">
        <v>526.14</v>
      </c>
      <c r="F265" s="44">
        <v>520.17020000000002</v>
      </c>
    </row>
    <row r="266" spans="1:6">
      <c r="A266" s="42">
        <v>46244.708333333336</v>
      </c>
      <c r="B266" s="43" t="s">
        <v>28</v>
      </c>
      <c r="C266" s="44">
        <v>0</v>
      </c>
      <c r="D266" s="44">
        <v>0</v>
      </c>
      <c r="E266" s="44">
        <v>526.14</v>
      </c>
      <c r="F266" s="44">
        <v>520.17020000000002</v>
      </c>
    </row>
    <row r="267" spans="1:6">
      <c r="A267" s="42">
        <v>46244.75</v>
      </c>
      <c r="B267" s="43" t="s">
        <v>28</v>
      </c>
      <c r="C267" s="44">
        <v>0</v>
      </c>
      <c r="D267" s="44">
        <v>0</v>
      </c>
      <c r="E267" s="44">
        <v>526.14</v>
      </c>
      <c r="F267" s="44">
        <v>520.17020000000002</v>
      </c>
    </row>
    <row r="268" spans="1:6">
      <c r="A268" s="42">
        <v>46244.791666666664</v>
      </c>
      <c r="B268" s="43" t="s">
        <v>28</v>
      </c>
      <c r="C268" s="44">
        <v>0</v>
      </c>
      <c r="D268" s="44">
        <v>0</v>
      </c>
      <c r="E268" s="44">
        <v>526.14</v>
      </c>
      <c r="F268" s="44">
        <v>520.17020000000002</v>
      </c>
    </row>
    <row r="269" spans="1:6">
      <c r="A269" s="42">
        <v>46244.833333333336</v>
      </c>
      <c r="B269" s="43" t="s">
        <v>28</v>
      </c>
      <c r="C269" s="44">
        <v>0</v>
      </c>
      <c r="D269" s="44">
        <v>0</v>
      </c>
      <c r="E269" s="44">
        <v>526.14</v>
      </c>
      <c r="F269" s="44">
        <v>520.17020000000002</v>
      </c>
    </row>
    <row r="270" spans="1:6">
      <c r="A270" s="42">
        <v>46244.875</v>
      </c>
      <c r="B270" s="43" t="s">
        <v>28</v>
      </c>
      <c r="C270" s="44">
        <v>0</v>
      </c>
      <c r="D270" s="44">
        <v>0</v>
      </c>
      <c r="E270" s="44">
        <v>526.14</v>
      </c>
      <c r="F270" s="44">
        <v>520.17020000000002</v>
      </c>
    </row>
    <row r="271" spans="1:6">
      <c r="A271" s="42">
        <v>46244.916666666664</v>
      </c>
      <c r="B271" s="43" t="s">
        <v>28</v>
      </c>
      <c r="C271" s="44">
        <v>0</v>
      </c>
      <c r="D271" s="44">
        <v>0</v>
      </c>
      <c r="E271" s="44">
        <v>526.14</v>
      </c>
      <c r="F271" s="44">
        <v>520.17020000000002</v>
      </c>
    </row>
    <row r="272" spans="1:6">
      <c r="A272" s="42">
        <v>46244.958333333336</v>
      </c>
      <c r="B272" s="43" t="s">
        <v>28</v>
      </c>
      <c r="C272" s="44">
        <v>0</v>
      </c>
      <c r="D272" s="44">
        <v>0</v>
      </c>
      <c r="E272" s="44">
        <v>526.14</v>
      </c>
      <c r="F272" s="44">
        <v>520.17020000000002</v>
      </c>
    </row>
    <row r="273" spans="1:6">
      <c r="A273" s="42">
        <v>46245</v>
      </c>
      <c r="B273" s="43" t="s">
        <v>28</v>
      </c>
      <c r="C273" s="44">
        <v>0</v>
      </c>
      <c r="D273" s="44">
        <v>0</v>
      </c>
      <c r="E273" s="44">
        <v>526.14</v>
      </c>
      <c r="F273" s="44">
        <v>520.17020000000002</v>
      </c>
    </row>
    <row r="274" spans="1:6">
      <c r="A274" s="42">
        <v>46245.041666666664</v>
      </c>
      <c r="B274" s="43" t="s">
        <v>28</v>
      </c>
      <c r="C274" s="44">
        <v>0</v>
      </c>
      <c r="D274" s="44">
        <v>0</v>
      </c>
      <c r="E274" s="44">
        <v>526.14</v>
      </c>
      <c r="F274" s="44">
        <v>520.17020000000002</v>
      </c>
    </row>
    <row r="275" spans="1:6">
      <c r="A275" s="42">
        <v>46245.083333333336</v>
      </c>
      <c r="B275" s="43" t="s">
        <v>28</v>
      </c>
      <c r="C275" s="44">
        <v>0</v>
      </c>
      <c r="D275" s="44">
        <v>0</v>
      </c>
      <c r="E275" s="44">
        <v>526.14</v>
      </c>
      <c r="F275" s="44">
        <v>520.17020000000002</v>
      </c>
    </row>
    <row r="276" spans="1:6">
      <c r="A276" s="42">
        <v>46245.125</v>
      </c>
      <c r="B276" s="43" t="s">
        <v>28</v>
      </c>
      <c r="C276" s="44">
        <v>0</v>
      </c>
      <c r="D276" s="44">
        <v>0</v>
      </c>
      <c r="E276" s="44">
        <v>526.14</v>
      </c>
      <c r="F276" s="44">
        <v>520.17020000000002</v>
      </c>
    </row>
    <row r="277" spans="1:6">
      <c r="A277" s="42">
        <v>46245.166666666664</v>
      </c>
      <c r="B277" s="43" t="s">
        <v>28</v>
      </c>
      <c r="C277" s="44">
        <v>0</v>
      </c>
      <c r="D277" s="44">
        <v>0</v>
      </c>
      <c r="E277" s="44">
        <v>526.14</v>
      </c>
      <c r="F277" s="44">
        <v>520.17020000000002</v>
      </c>
    </row>
    <row r="278" spans="1:6">
      <c r="A278" s="42">
        <v>46245.208333333336</v>
      </c>
      <c r="B278" s="43" t="s">
        <v>28</v>
      </c>
      <c r="C278" s="44">
        <v>0</v>
      </c>
      <c r="D278" s="44">
        <v>0</v>
      </c>
      <c r="E278" s="44">
        <v>526.14</v>
      </c>
      <c r="F278" s="44">
        <v>520.17020000000002</v>
      </c>
    </row>
    <row r="279" spans="1:6">
      <c r="A279" s="42">
        <v>46245.25</v>
      </c>
      <c r="B279" s="43" t="s">
        <v>28</v>
      </c>
      <c r="C279" s="44">
        <v>0</v>
      </c>
      <c r="D279" s="44">
        <v>0</v>
      </c>
      <c r="E279" s="44">
        <v>526.14</v>
      </c>
      <c r="F279" s="44">
        <v>520.17020000000002</v>
      </c>
    </row>
    <row r="280" spans="1:6">
      <c r="A280" s="42">
        <v>46245.291666666664</v>
      </c>
      <c r="B280" s="43" t="s">
        <v>28</v>
      </c>
      <c r="C280" s="44">
        <v>0</v>
      </c>
      <c r="D280" s="44">
        <v>0</v>
      </c>
      <c r="E280" s="44">
        <v>526.14</v>
      </c>
      <c r="F280" s="44">
        <v>520.17020000000002</v>
      </c>
    </row>
    <row r="281" spans="1:6">
      <c r="A281" s="42">
        <v>46245.333333333336</v>
      </c>
      <c r="B281" s="43" t="s">
        <v>28</v>
      </c>
      <c r="C281" s="44">
        <v>0</v>
      </c>
      <c r="D281" s="44">
        <v>0</v>
      </c>
      <c r="E281" s="44">
        <v>526.14</v>
      </c>
      <c r="F281" s="44">
        <v>520.17020000000002</v>
      </c>
    </row>
    <row r="282" spans="1:6">
      <c r="A282" s="42">
        <v>46245.375</v>
      </c>
      <c r="B282" s="43" t="s">
        <v>28</v>
      </c>
      <c r="C282" s="44">
        <v>0</v>
      </c>
      <c r="D282" s="44">
        <v>0</v>
      </c>
      <c r="E282" s="44">
        <v>526.14</v>
      </c>
      <c r="F282" s="44">
        <v>520.17020000000002</v>
      </c>
    </row>
    <row r="283" spans="1:6">
      <c r="A283" s="42">
        <v>46245.416666666664</v>
      </c>
      <c r="B283" s="43" t="s">
        <v>28</v>
      </c>
      <c r="C283" s="44">
        <v>0</v>
      </c>
      <c r="D283" s="44">
        <v>0</v>
      </c>
      <c r="E283" s="44">
        <v>526.14</v>
      </c>
      <c r="F283" s="44">
        <v>520.17020000000002</v>
      </c>
    </row>
    <row r="284" spans="1:6">
      <c r="A284" s="42">
        <v>46245.458333333336</v>
      </c>
      <c r="B284" s="43" t="s">
        <v>28</v>
      </c>
      <c r="C284" s="44">
        <v>0</v>
      </c>
      <c r="D284" s="44">
        <v>0</v>
      </c>
      <c r="E284" s="44">
        <v>526.14</v>
      </c>
      <c r="F284" s="44">
        <v>520.17020000000002</v>
      </c>
    </row>
    <row r="285" spans="1:6">
      <c r="A285" s="42">
        <v>46245.5</v>
      </c>
      <c r="B285" s="43" t="s">
        <v>28</v>
      </c>
      <c r="C285" s="44">
        <v>0</v>
      </c>
      <c r="D285" s="44">
        <v>0</v>
      </c>
      <c r="E285" s="44">
        <v>526.14</v>
      </c>
      <c r="F285" s="44">
        <v>520.17020000000002</v>
      </c>
    </row>
    <row r="286" spans="1:6">
      <c r="A286" s="42">
        <v>46245.541666666664</v>
      </c>
      <c r="B286" s="43" t="s">
        <v>28</v>
      </c>
      <c r="C286" s="44">
        <v>0</v>
      </c>
      <c r="D286" s="44">
        <v>0</v>
      </c>
      <c r="E286" s="44">
        <v>526.14</v>
      </c>
      <c r="F286" s="44">
        <v>520.17020000000002</v>
      </c>
    </row>
    <row r="287" spans="1:6">
      <c r="A287" s="42">
        <v>46245.583333333336</v>
      </c>
      <c r="B287" s="43" t="s">
        <v>28</v>
      </c>
      <c r="C287" s="44">
        <v>0</v>
      </c>
      <c r="D287" s="44">
        <v>0</v>
      </c>
      <c r="E287" s="44">
        <v>526.14</v>
      </c>
      <c r="F287" s="44">
        <v>520.17020000000002</v>
      </c>
    </row>
    <row r="288" spans="1:6">
      <c r="A288" s="42">
        <v>46245.625</v>
      </c>
      <c r="B288" s="43" t="s">
        <v>28</v>
      </c>
      <c r="C288" s="44">
        <v>0</v>
      </c>
      <c r="D288" s="44">
        <v>0</v>
      </c>
      <c r="E288" s="44">
        <v>526.14</v>
      </c>
      <c r="F288" s="44">
        <v>520.17020000000002</v>
      </c>
    </row>
    <row r="289" spans="1:6">
      <c r="A289" s="42">
        <v>46245.666666666664</v>
      </c>
      <c r="B289" s="43" t="s">
        <v>28</v>
      </c>
      <c r="C289" s="44">
        <v>0</v>
      </c>
      <c r="D289" s="44">
        <v>0</v>
      </c>
      <c r="E289" s="44">
        <v>526.14</v>
      </c>
      <c r="F289" s="44">
        <v>520.17020000000002</v>
      </c>
    </row>
    <row r="290" spans="1:6">
      <c r="A290" s="42">
        <v>46245.708333333336</v>
      </c>
      <c r="B290" s="43" t="s">
        <v>28</v>
      </c>
      <c r="C290" s="44">
        <v>0</v>
      </c>
      <c r="D290" s="44">
        <v>0</v>
      </c>
      <c r="E290" s="44">
        <v>526.14</v>
      </c>
      <c r="F290" s="44">
        <v>520.17020000000002</v>
      </c>
    </row>
    <row r="291" spans="1:6">
      <c r="A291" s="42">
        <v>46245.75</v>
      </c>
      <c r="B291" s="43" t="s">
        <v>28</v>
      </c>
      <c r="C291" s="44">
        <v>0</v>
      </c>
      <c r="D291" s="44">
        <v>0</v>
      </c>
      <c r="E291" s="44">
        <v>526.14</v>
      </c>
      <c r="F291" s="44">
        <v>520.17020000000002</v>
      </c>
    </row>
    <row r="292" spans="1:6">
      <c r="A292" s="42">
        <v>46245.791666666664</v>
      </c>
      <c r="B292" s="43" t="s">
        <v>28</v>
      </c>
      <c r="C292" s="44">
        <v>0</v>
      </c>
      <c r="D292" s="44">
        <v>0</v>
      </c>
      <c r="E292" s="44">
        <v>526.14</v>
      </c>
      <c r="F292" s="44">
        <v>520.17020000000002</v>
      </c>
    </row>
    <row r="293" spans="1:6">
      <c r="A293" s="42">
        <v>46245.833333333336</v>
      </c>
      <c r="B293" s="43" t="s">
        <v>28</v>
      </c>
      <c r="C293" s="44">
        <v>0</v>
      </c>
      <c r="D293" s="44">
        <v>0</v>
      </c>
      <c r="E293" s="44">
        <v>526.14</v>
      </c>
      <c r="F293" s="44">
        <v>520.17020000000002</v>
      </c>
    </row>
    <row r="294" spans="1:6">
      <c r="A294" s="42">
        <v>46245.875</v>
      </c>
      <c r="B294" s="43" t="s">
        <v>28</v>
      </c>
      <c r="C294" s="44">
        <v>0</v>
      </c>
      <c r="D294" s="44">
        <v>0</v>
      </c>
      <c r="E294" s="44">
        <v>526.14</v>
      </c>
      <c r="F294" s="44">
        <v>520.17020000000002</v>
      </c>
    </row>
    <row r="295" spans="1:6">
      <c r="A295" s="42">
        <v>46245.916666666664</v>
      </c>
      <c r="B295" s="43" t="s">
        <v>28</v>
      </c>
      <c r="C295" s="44">
        <v>0</v>
      </c>
      <c r="D295" s="44">
        <v>0</v>
      </c>
      <c r="E295" s="44">
        <v>526.14</v>
      </c>
      <c r="F295" s="44">
        <v>520.17020000000002</v>
      </c>
    </row>
    <row r="296" spans="1:6">
      <c r="A296" s="42">
        <v>46245.958333333336</v>
      </c>
      <c r="B296" s="43" t="s">
        <v>28</v>
      </c>
      <c r="C296" s="44">
        <v>0</v>
      </c>
      <c r="D296" s="44">
        <v>0</v>
      </c>
      <c r="E296" s="44">
        <v>526.14</v>
      </c>
      <c r="F296" s="44">
        <v>520.17020000000002</v>
      </c>
    </row>
    <row r="297" spans="1:6">
      <c r="A297" s="42">
        <v>46246</v>
      </c>
      <c r="B297" s="43" t="s">
        <v>28</v>
      </c>
      <c r="C297" s="44">
        <v>0</v>
      </c>
      <c r="D297" s="44">
        <v>0</v>
      </c>
      <c r="E297" s="44">
        <v>526.14</v>
      </c>
      <c r="F297" s="44">
        <v>520.17020000000002</v>
      </c>
    </row>
    <row r="298" spans="1:6">
      <c r="A298" s="42">
        <v>46246.041666666664</v>
      </c>
      <c r="B298" s="43" t="s">
        <v>28</v>
      </c>
      <c r="C298" s="44">
        <v>0</v>
      </c>
      <c r="D298" s="44">
        <v>0</v>
      </c>
      <c r="E298" s="44">
        <v>526.14</v>
      </c>
      <c r="F298" s="44">
        <v>520.17020000000002</v>
      </c>
    </row>
    <row r="299" spans="1:6">
      <c r="A299" s="42">
        <v>46246.083333333336</v>
      </c>
      <c r="B299" s="43" t="s">
        <v>28</v>
      </c>
      <c r="C299" s="44">
        <v>0</v>
      </c>
      <c r="D299" s="44">
        <v>0</v>
      </c>
      <c r="E299" s="44">
        <v>526.14</v>
      </c>
      <c r="F299" s="44">
        <v>520.17020000000002</v>
      </c>
    </row>
    <row r="300" spans="1:6">
      <c r="A300" s="42">
        <v>46246.125</v>
      </c>
      <c r="B300" s="43" t="s">
        <v>28</v>
      </c>
      <c r="C300" s="44">
        <v>0</v>
      </c>
      <c r="D300" s="44">
        <v>0</v>
      </c>
      <c r="E300" s="44">
        <v>526.14</v>
      </c>
      <c r="F300" s="44">
        <v>520.17020000000002</v>
      </c>
    </row>
    <row r="301" spans="1:6">
      <c r="A301" s="42">
        <v>46246.166666666664</v>
      </c>
      <c r="B301" s="43" t="s">
        <v>28</v>
      </c>
      <c r="C301" s="44">
        <v>0</v>
      </c>
      <c r="D301" s="44">
        <v>0</v>
      </c>
      <c r="E301" s="44">
        <v>526.14</v>
      </c>
      <c r="F301" s="44">
        <v>520.17020000000002</v>
      </c>
    </row>
    <row r="302" spans="1:6">
      <c r="A302" s="42">
        <v>46246.208333333336</v>
      </c>
      <c r="B302" s="43" t="s">
        <v>28</v>
      </c>
      <c r="C302" s="44">
        <v>0</v>
      </c>
      <c r="D302" s="44">
        <v>0</v>
      </c>
      <c r="E302" s="44">
        <v>526.14</v>
      </c>
      <c r="F302" s="44">
        <v>520.17020000000002</v>
      </c>
    </row>
    <row r="303" spans="1:6">
      <c r="A303" s="42">
        <v>46246.25</v>
      </c>
      <c r="B303" s="43" t="s">
        <v>28</v>
      </c>
      <c r="C303" s="44">
        <v>0</v>
      </c>
      <c r="D303" s="44">
        <v>0</v>
      </c>
      <c r="E303" s="44">
        <v>526.14</v>
      </c>
      <c r="F303" s="44">
        <v>520.17020000000002</v>
      </c>
    </row>
    <row r="304" spans="1:6">
      <c r="A304" s="42">
        <v>46246.291666666664</v>
      </c>
      <c r="B304" s="43" t="s">
        <v>28</v>
      </c>
      <c r="C304" s="44">
        <v>0</v>
      </c>
      <c r="D304" s="44">
        <v>0</v>
      </c>
      <c r="E304" s="44">
        <v>526.14</v>
      </c>
      <c r="F304" s="44">
        <v>520.17020000000002</v>
      </c>
    </row>
    <row r="305" spans="1:6">
      <c r="A305" s="42">
        <v>46246.333333333336</v>
      </c>
      <c r="B305" s="43" t="s">
        <v>28</v>
      </c>
      <c r="C305" s="44">
        <v>0</v>
      </c>
      <c r="D305" s="44">
        <v>0</v>
      </c>
      <c r="E305" s="44">
        <v>526.14</v>
      </c>
      <c r="F305" s="44">
        <v>520.17020000000002</v>
      </c>
    </row>
    <row r="306" spans="1:6">
      <c r="A306" s="42">
        <v>46246.375</v>
      </c>
      <c r="B306" s="43" t="s">
        <v>28</v>
      </c>
      <c r="C306" s="44">
        <v>0</v>
      </c>
      <c r="D306" s="44">
        <v>0</v>
      </c>
      <c r="E306" s="44">
        <v>526.14</v>
      </c>
      <c r="F306" s="44">
        <v>520.17020000000002</v>
      </c>
    </row>
    <row r="307" spans="1:6">
      <c r="A307" s="42">
        <v>46246.416666666664</v>
      </c>
      <c r="B307" s="43" t="s">
        <v>28</v>
      </c>
      <c r="C307" s="44">
        <v>0</v>
      </c>
      <c r="D307" s="44">
        <v>0</v>
      </c>
      <c r="E307" s="44">
        <v>526.14</v>
      </c>
      <c r="F307" s="44">
        <v>520.17020000000002</v>
      </c>
    </row>
    <row r="308" spans="1:6">
      <c r="A308" s="42">
        <v>46246.458333333336</v>
      </c>
      <c r="B308" s="43" t="s">
        <v>28</v>
      </c>
      <c r="C308" s="44">
        <v>0</v>
      </c>
      <c r="D308" s="44">
        <v>0</v>
      </c>
      <c r="E308" s="44">
        <v>526.14</v>
      </c>
      <c r="F308" s="44">
        <v>520.17020000000002</v>
      </c>
    </row>
    <row r="309" spans="1:6">
      <c r="A309" s="42">
        <v>46246.5</v>
      </c>
      <c r="B309" s="43" t="s">
        <v>28</v>
      </c>
      <c r="C309" s="44">
        <v>0</v>
      </c>
      <c r="D309" s="44">
        <v>0</v>
      </c>
      <c r="E309" s="44">
        <v>526.14</v>
      </c>
      <c r="F309" s="44">
        <v>520.17020000000002</v>
      </c>
    </row>
    <row r="310" spans="1:6">
      <c r="A310" s="42">
        <v>46246.541666666664</v>
      </c>
      <c r="B310" s="43" t="s">
        <v>28</v>
      </c>
      <c r="C310" s="44">
        <v>0</v>
      </c>
      <c r="D310" s="44">
        <v>0</v>
      </c>
      <c r="E310" s="44">
        <v>526.14</v>
      </c>
      <c r="F310" s="44">
        <v>520.17020000000002</v>
      </c>
    </row>
    <row r="311" spans="1:6">
      <c r="A311" s="42">
        <v>46246.583333333336</v>
      </c>
      <c r="B311" s="43" t="s">
        <v>28</v>
      </c>
      <c r="C311" s="44">
        <v>0</v>
      </c>
      <c r="D311" s="44">
        <v>0</v>
      </c>
      <c r="E311" s="44">
        <v>526.14</v>
      </c>
      <c r="F311" s="44">
        <v>520.17020000000002</v>
      </c>
    </row>
    <row r="312" spans="1:6">
      <c r="A312" s="42">
        <v>46246.625</v>
      </c>
      <c r="B312" s="43" t="s">
        <v>28</v>
      </c>
      <c r="C312" s="44">
        <v>0</v>
      </c>
      <c r="D312" s="44">
        <v>0</v>
      </c>
      <c r="E312" s="44">
        <v>526.14</v>
      </c>
      <c r="F312" s="44">
        <v>520.17020000000002</v>
      </c>
    </row>
    <row r="313" spans="1:6">
      <c r="A313" s="42">
        <v>46246.666666666664</v>
      </c>
      <c r="B313" s="43" t="s">
        <v>28</v>
      </c>
      <c r="C313" s="44">
        <v>0</v>
      </c>
      <c r="D313" s="44">
        <v>0</v>
      </c>
      <c r="E313" s="44">
        <v>526.14</v>
      </c>
      <c r="F313" s="44">
        <v>520.17020000000002</v>
      </c>
    </row>
    <row r="314" spans="1:6">
      <c r="A314" s="42">
        <v>46246.708333333336</v>
      </c>
      <c r="B314" s="43" t="s">
        <v>28</v>
      </c>
      <c r="C314" s="44">
        <v>0</v>
      </c>
      <c r="D314" s="44">
        <v>0</v>
      </c>
      <c r="E314" s="44">
        <v>526.14</v>
      </c>
      <c r="F314" s="44">
        <v>520.17020000000002</v>
      </c>
    </row>
    <row r="315" spans="1:6">
      <c r="A315" s="42">
        <v>46246.75</v>
      </c>
      <c r="B315" s="43" t="s">
        <v>28</v>
      </c>
      <c r="C315" s="44">
        <v>0</v>
      </c>
      <c r="D315" s="44">
        <v>0</v>
      </c>
      <c r="E315" s="44">
        <v>526.14</v>
      </c>
      <c r="F315" s="44">
        <v>520.17020000000002</v>
      </c>
    </row>
    <row r="316" spans="1:6">
      <c r="A316" s="42">
        <v>46246.791666666664</v>
      </c>
      <c r="B316" s="43" t="s">
        <v>28</v>
      </c>
      <c r="C316" s="44">
        <v>0</v>
      </c>
      <c r="D316" s="44">
        <v>0</v>
      </c>
      <c r="E316" s="44">
        <v>526.14</v>
      </c>
      <c r="F316" s="44">
        <v>520.17020000000002</v>
      </c>
    </row>
    <row r="317" spans="1:6">
      <c r="A317" s="42">
        <v>46246.833333333336</v>
      </c>
      <c r="B317" s="43" t="s">
        <v>28</v>
      </c>
      <c r="C317" s="44">
        <v>0</v>
      </c>
      <c r="D317" s="44">
        <v>0</v>
      </c>
      <c r="E317" s="44">
        <v>526.14</v>
      </c>
      <c r="F317" s="44">
        <v>520.17020000000002</v>
      </c>
    </row>
    <row r="318" spans="1:6">
      <c r="A318" s="42">
        <v>46246.875</v>
      </c>
      <c r="B318" s="43" t="s">
        <v>28</v>
      </c>
      <c r="C318" s="44">
        <v>0</v>
      </c>
      <c r="D318" s="44">
        <v>0</v>
      </c>
      <c r="E318" s="44">
        <v>526.14</v>
      </c>
      <c r="F318" s="44">
        <v>520.17020000000002</v>
      </c>
    </row>
    <row r="319" spans="1:6">
      <c r="A319" s="42">
        <v>46246.916666666664</v>
      </c>
      <c r="B319" s="43" t="s">
        <v>28</v>
      </c>
      <c r="C319" s="44">
        <v>0</v>
      </c>
      <c r="D319" s="44">
        <v>0</v>
      </c>
      <c r="E319" s="44">
        <v>526.14</v>
      </c>
      <c r="F319" s="44">
        <v>520.17020000000002</v>
      </c>
    </row>
    <row r="320" spans="1:6">
      <c r="A320" s="42">
        <v>46246.958333333336</v>
      </c>
      <c r="B320" s="43" t="s">
        <v>28</v>
      </c>
      <c r="C320" s="44">
        <v>0</v>
      </c>
      <c r="D320" s="44">
        <v>0</v>
      </c>
      <c r="E320" s="44">
        <v>526.14</v>
      </c>
      <c r="F320" s="44">
        <v>520.17020000000002</v>
      </c>
    </row>
    <row r="321" spans="1:6">
      <c r="A321" s="42">
        <v>46247</v>
      </c>
      <c r="B321" s="43" t="s">
        <v>28</v>
      </c>
      <c r="C321" s="44">
        <v>0</v>
      </c>
      <c r="D321" s="44">
        <v>0</v>
      </c>
      <c r="E321" s="44">
        <v>526.14</v>
      </c>
      <c r="F321" s="44">
        <v>520.17020000000002</v>
      </c>
    </row>
    <row r="322" spans="1:6">
      <c r="A322" s="42">
        <v>46247.041666666664</v>
      </c>
      <c r="B322" s="43" t="s">
        <v>28</v>
      </c>
      <c r="C322" s="44">
        <v>0</v>
      </c>
      <c r="D322" s="44">
        <v>0</v>
      </c>
      <c r="E322" s="44">
        <v>526.14</v>
      </c>
      <c r="F322" s="44">
        <v>520.17020000000002</v>
      </c>
    </row>
    <row r="323" spans="1:6">
      <c r="A323" s="42">
        <v>46247.083333333336</v>
      </c>
      <c r="B323" s="43" t="s">
        <v>28</v>
      </c>
      <c r="C323" s="44">
        <v>0</v>
      </c>
      <c r="D323" s="44">
        <v>0</v>
      </c>
      <c r="E323" s="44">
        <v>526.14</v>
      </c>
      <c r="F323" s="44">
        <v>520.17020000000002</v>
      </c>
    </row>
    <row r="324" spans="1:6">
      <c r="A324" s="42">
        <v>46247.125</v>
      </c>
      <c r="B324" s="43" t="s">
        <v>28</v>
      </c>
      <c r="C324" s="44">
        <v>0</v>
      </c>
      <c r="D324" s="44">
        <v>0</v>
      </c>
      <c r="E324" s="44">
        <v>526.14</v>
      </c>
      <c r="F324" s="44">
        <v>520.17020000000002</v>
      </c>
    </row>
    <row r="325" spans="1:6">
      <c r="A325" s="42">
        <v>46247.166666666664</v>
      </c>
      <c r="B325" s="43" t="s">
        <v>28</v>
      </c>
      <c r="C325" s="44">
        <v>0</v>
      </c>
      <c r="D325" s="44">
        <v>0</v>
      </c>
      <c r="E325" s="44">
        <v>526.14</v>
      </c>
      <c r="F325" s="44">
        <v>520.17020000000002</v>
      </c>
    </row>
    <row r="326" spans="1:6">
      <c r="A326" s="42">
        <v>46247.208333333336</v>
      </c>
      <c r="B326" s="43" t="s">
        <v>28</v>
      </c>
      <c r="C326" s="44">
        <v>0</v>
      </c>
      <c r="D326" s="44">
        <v>0</v>
      </c>
      <c r="E326" s="44">
        <v>526.14</v>
      </c>
      <c r="F326" s="44">
        <v>520.17020000000002</v>
      </c>
    </row>
    <row r="327" spans="1:6">
      <c r="A327" s="42">
        <v>46247.25</v>
      </c>
      <c r="B327" s="43" t="s">
        <v>28</v>
      </c>
      <c r="C327" s="44">
        <v>0</v>
      </c>
      <c r="D327" s="44">
        <v>0</v>
      </c>
      <c r="E327" s="44">
        <v>526.14</v>
      </c>
      <c r="F327" s="44">
        <v>520.17020000000002</v>
      </c>
    </row>
    <row r="328" spans="1:6">
      <c r="A328" s="42">
        <v>46247.291666666664</v>
      </c>
      <c r="B328" s="43" t="s">
        <v>28</v>
      </c>
      <c r="C328" s="44">
        <v>0</v>
      </c>
      <c r="D328" s="44">
        <v>0</v>
      </c>
      <c r="E328" s="44">
        <v>526.14</v>
      </c>
      <c r="F328" s="44">
        <v>520.17020000000002</v>
      </c>
    </row>
    <row r="329" spans="1:6">
      <c r="A329" s="42">
        <v>46247.333333333336</v>
      </c>
      <c r="B329" s="43" t="s">
        <v>28</v>
      </c>
      <c r="C329" s="44">
        <v>0</v>
      </c>
      <c r="D329" s="44">
        <v>0</v>
      </c>
      <c r="E329" s="44">
        <v>526.14</v>
      </c>
      <c r="F329" s="44">
        <v>520.17020000000002</v>
      </c>
    </row>
    <row r="330" spans="1:6">
      <c r="A330" s="42">
        <v>46247.375</v>
      </c>
      <c r="B330" s="43" t="s">
        <v>28</v>
      </c>
      <c r="C330" s="44">
        <v>0</v>
      </c>
      <c r="D330" s="44">
        <v>0</v>
      </c>
      <c r="E330" s="44">
        <v>526.14</v>
      </c>
      <c r="F330" s="44">
        <v>520.17020000000002</v>
      </c>
    </row>
    <row r="331" spans="1:6">
      <c r="A331" s="42">
        <v>46247.416666666664</v>
      </c>
      <c r="B331" s="43" t="s">
        <v>28</v>
      </c>
      <c r="C331" s="44">
        <v>0</v>
      </c>
      <c r="D331" s="44">
        <v>0</v>
      </c>
      <c r="E331" s="44">
        <v>526.14</v>
      </c>
      <c r="F331" s="44">
        <v>520.17020000000002</v>
      </c>
    </row>
    <row r="332" spans="1:6">
      <c r="A332" s="42">
        <v>46247.458333333336</v>
      </c>
      <c r="B332" s="43" t="s">
        <v>28</v>
      </c>
      <c r="C332" s="44">
        <v>0</v>
      </c>
      <c r="D332" s="44">
        <v>0</v>
      </c>
      <c r="E332" s="44">
        <v>526.14</v>
      </c>
      <c r="F332" s="44">
        <v>520.17020000000002</v>
      </c>
    </row>
    <row r="333" spans="1:6">
      <c r="A333" s="42">
        <v>46247.5</v>
      </c>
      <c r="B333" s="43" t="s">
        <v>28</v>
      </c>
      <c r="C333" s="44">
        <v>0</v>
      </c>
      <c r="D333" s="44">
        <v>0</v>
      </c>
      <c r="E333" s="44">
        <v>526.14</v>
      </c>
      <c r="F333" s="44">
        <v>520.17020000000002</v>
      </c>
    </row>
    <row r="334" spans="1:6">
      <c r="A334" s="42">
        <v>46247.541666666664</v>
      </c>
      <c r="B334" s="43" t="s">
        <v>28</v>
      </c>
      <c r="C334" s="44">
        <v>0</v>
      </c>
      <c r="D334" s="44">
        <v>0</v>
      </c>
      <c r="E334" s="44">
        <v>526.14</v>
      </c>
      <c r="F334" s="44">
        <v>520.17020000000002</v>
      </c>
    </row>
    <row r="335" spans="1:6">
      <c r="A335" s="42">
        <v>46247.583333333336</v>
      </c>
      <c r="B335" s="43" t="s">
        <v>28</v>
      </c>
      <c r="C335" s="44">
        <v>0</v>
      </c>
      <c r="D335" s="44">
        <v>0</v>
      </c>
      <c r="E335" s="44">
        <v>526.14</v>
      </c>
      <c r="F335" s="44">
        <v>520.17020000000002</v>
      </c>
    </row>
    <row r="336" spans="1:6">
      <c r="A336" s="42">
        <v>46247.625</v>
      </c>
      <c r="B336" s="43" t="s">
        <v>28</v>
      </c>
      <c r="C336" s="44">
        <v>0</v>
      </c>
      <c r="D336" s="44">
        <v>0</v>
      </c>
      <c r="E336" s="44">
        <v>526.14</v>
      </c>
      <c r="F336" s="44">
        <v>520.17020000000002</v>
      </c>
    </row>
    <row r="337" spans="1:6">
      <c r="A337" s="42">
        <v>46247.666666666664</v>
      </c>
      <c r="B337" s="43" t="s">
        <v>28</v>
      </c>
      <c r="C337" s="44">
        <v>0</v>
      </c>
      <c r="D337" s="44">
        <v>0</v>
      </c>
      <c r="E337" s="44">
        <v>526.14</v>
      </c>
      <c r="F337" s="44">
        <v>520.17020000000002</v>
      </c>
    </row>
    <row r="338" spans="1:6">
      <c r="A338" s="42">
        <v>46247.708333333336</v>
      </c>
      <c r="B338" s="43" t="s">
        <v>28</v>
      </c>
      <c r="C338" s="44">
        <v>0</v>
      </c>
      <c r="D338" s="44">
        <v>0</v>
      </c>
      <c r="E338" s="44">
        <v>526.14</v>
      </c>
      <c r="F338" s="44">
        <v>520.17020000000002</v>
      </c>
    </row>
    <row r="339" spans="1:6">
      <c r="A339" s="42">
        <v>46247.75</v>
      </c>
      <c r="B339" s="43" t="s">
        <v>28</v>
      </c>
      <c r="C339" s="44">
        <v>0</v>
      </c>
      <c r="D339" s="44">
        <v>0</v>
      </c>
      <c r="E339" s="44">
        <v>526.14</v>
      </c>
      <c r="F339" s="44">
        <v>520.17020000000002</v>
      </c>
    </row>
    <row r="340" spans="1:6">
      <c r="A340" s="42">
        <v>46247.791666666664</v>
      </c>
      <c r="B340" s="43" t="s">
        <v>28</v>
      </c>
      <c r="C340" s="44">
        <v>0</v>
      </c>
      <c r="D340" s="44">
        <v>0</v>
      </c>
      <c r="E340" s="44">
        <v>526.14</v>
      </c>
      <c r="F340" s="44">
        <v>520.17020000000002</v>
      </c>
    </row>
    <row r="341" spans="1:6">
      <c r="A341" s="42">
        <v>46247.833333333336</v>
      </c>
      <c r="B341" s="43" t="s">
        <v>28</v>
      </c>
      <c r="C341" s="44">
        <v>0</v>
      </c>
      <c r="D341" s="44">
        <v>0</v>
      </c>
      <c r="E341" s="44">
        <v>526.14</v>
      </c>
      <c r="F341" s="44">
        <v>520.17020000000002</v>
      </c>
    </row>
    <row r="342" spans="1:6">
      <c r="A342" s="42">
        <v>46247.875</v>
      </c>
      <c r="B342" s="43" t="s">
        <v>28</v>
      </c>
      <c r="C342" s="44">
        <v>0</v>
      </c>
      <c r="D342" s="44">
        <v>0</v>
      </c>
      <c r="E342" s="44">
        <v>526.14</v>
      </c>
      <c r="F342" s="44">
        <v>520.17020000000002</v>
      </c>
    </row>
    <row r="343" spans="1:6">
      <c r="A343" s="42">
        <v>46247.916666666664</v>
      </c>
      <c r="B343" s="43" t="s">
        <v>28</v>
      </c>
      <c r="C343" s="44">
        <v>0</v>
      </c>
      <c r="D343" s="44">
        <v>0</v>
      </c>
      <c r="E343" s="44">
        <v>526.14</v>
      </c>
      <c r="F343" s="44">
        <v>520.17020000000002</v>
      </c>
    </row>
    <row r="344" spans="1:6">
      <c r="A344" s="42">
        <v>46247.958333333336</v>
      </c>
      <c r="B344" s="43" t="s">
        <v>28</v>
      </c>
      <c r="C344" s="44">
        <v>0</v>
      </c>
      <c r="D344" s="44">
        <v>0</v>
      </c>
      <c r="E344" s="44">
        <v>526.14</v>
      </c>
      <c r="F344" s="44">
        <v>520.17020000000002</v>
      </c>
    </row>
    <row r="345" spans="1:6">
      <c r="A345" s="42">
        <v>46248</v>
      </c>
      <c r="B345" s="43" t="s">
        <v>28</v>
      </c>
      <c r="C345" s="44">
        <v>0</v>
      </c>
      <c r="D345" s="44">
        <v>0</v>
      </c>
      <c r="E345" s="44">
        <v>526.14</v>
      </c>
      <c r="F345" s="44">
        <v>520.17020000000002</v>
      </c>
    </row>
    <row r="346" spans="1:6">
      <c r="A346" s="42">
        <v>46248.041666666664</v>
      </c>
      <c r="B346" s="43" t="s">
        <v>28</v>
      </c>
      <c r="C346" s="44">
        <v>0</v>
      </c>
      <c r="D346" s="44">
        <v>0</v>
      </c>
      <c r="E346" s="44">
        <v>526.14</v>
      </c>
      <c r="F346" s="44">
        <v>520.17020000000002</v>
      </c>
    </row>
    <row r="347" spans="1:6">
      <c r="A347" s="42">
        <v>46248.083333333336</v>
      </c>
      <c r="B347" s="43" t="s">
        <v>28</v>
      </c>
      <c r="C347" s="44">
        <v>0</v>
      </c>
      <c r="D347" s="44">
        <v>0</v>
      </c>
      <c r="E347" s="44">
        <v>526.14</v>
      </c>
      <c r="F347" s="44">
        <v>520.17020000000002</v>
      </c>
    </row>
    <row r="348" spans="1:6">
      <c r="A348" s="42">
        <v>46248.125</v>
      </c>
      <c r="B348" s="43" t="s">
        <v>28</v>
      </c>
      <c r="C348" s="44">
        <v>0</v>
      </c>
      <c r="D348" s="44">
        <v>0</v>
      </c>
      <c r="E348" s="44">
        <v>526.14</v>
      </c>
      <c r="F348" s="44">
        <v>520.17020000000002</v>
      </c>
    </row>
    <row r="349" spans="1:6">
      <c r="A349" s="42">
        <v>46248.166666666664</v>
      </c>
      <c r="B349" s="43" t="s">
        <v>28</v>
      </c>
      <c r="C349" s="44">
        <v>0</v>
      </c>
      <c r="D349" s="44">
        <v>0</v>
      </c>
      <c r="E349" s="44">
        <v>526.14</v>
      </c>
      <c r="F349" s="44">
        <v>520.17020000000002</v>
      </c>
    </row>
    <row r="350" spans="1:6">
      <c r="A350" s="42">
        <v>46248.208333333336</v>
      </c>
      <c r="B350" s="43" t="s">
        <v>28</v>
      </c>
      <c r="C350" s="44">
        <v>0</v>
      </c>
      <c r="D350" s="44">
        <v>0</v>
      </c>
      <c r="E350" s="44">
        <v>526.14</v>
      </c>
      <c r="F350" s="44">
        <v>520.17020000000002</v>
      </c>
    </row>
    <row r="351" spans="1:6">
      <c r="A351" s="42">
        <v>46248.25</v>
      </c>
      <c r="B351" s="43" t="s">
        <v>28</v>
      </c>
      <c r="C351" s="44">
        <v>0</v>
      </c>
      <c r="D351" s="44">
        <v>0</v>
      </c>
      <c r="E351" s="44">
        <v>526.14</v>
      </c>
      <c r="F351" s="44">
        <v>520.17020000000002</v>
      </c>
    </row>
    <row r="352" spans="1:6">
      <c r="A352" s="42">
        <v>46248.291666666664</v>
      </c>
      <c r="B352" s="43" t="s">
        <v>28</v>
      </c>
      <c r="C352" s="44">
        <v>0</v>
      </c>
      <c r="D352" s="44">
        <v>0</v>
      </c>
      <c r="E352" s="44">
        <v>526.14</v>
      </c>
      <c r="F352" s="44">
        <v>520.17020000000002</v>
      </c>
    </row>
    <row r="353" spans="1:6">
      <c r="A353" s="42">
        <v>46248.333333333336</v>
      </c>
      <c r="B353" s="43" t="s">
        <v>28</v>
      </c>
      <c r="C353" s="44">
        <v>0</v>
      </c>
      <c r="D353" s="44">
        <v>0</v>
      </c>
      <c r="E353" s="44">
        <v>526.14</v>
      </c>
      <c r="F353" s="44">
        <v>520.17020000000002</v>
      </c>
    </row>
    <row r="354" spans="1:6">
      <c r="A354" s="42">
        <v>46248.375</v>
      </c>
      <c r="B354" s="43" t="s">
        <v>28</v>
      </c>
      <c r="C354" s="44">
        <v>0</v>
      </c>
      <c r="D354" s="44">
        <v>0</v>
      </c>
      <c r="E354" s="44">
        <v>526.14</v>
      </c>
      <c r="F354" s="44">
        <v>520.17020000000002</v>
      </c>
    </row>
    <row r="355" spans="1:6">
      <c r="A355" s="42">
        <v>46248.416666666664</v>
      </c>
      <c r="B355" s="43" t="s">
        <v>28</v>
      </c>
      <c r="C355" s="44">
        <v>0</v>
      </c>
      <c r="D355" s="44">
        <v>0</v>
      </c>
      <c r="E355" s="44">
        <v>526.14</v>
      </c>
      <c r="F355" s="44">
        <v>520.17020000000002</v>
      </c>
    </row>
    <row r="356" spans="1:6">
      <c r="A356" s="42">
        <v>46248.458333333336</v>
      </c>
      <c r="B356" s="43" t="s">
        <v>28</v>
      </c>
      <c r="C356" s="44">
        <v>0</v>
      </c>
      <c r="D356" s="44">
        <v>0</v>
      </c>
      <c r="E356" s="44">
        <v>526.14</v>
      </c>
      <c r="F356" s="44">
        <v>520.17020000000002</v>
      </c>
    </row>
    <row r="357" spans="1:6">
      <c r="A357" s="42">
        <v>46248.5</v>
      </c>
      <c r="B357" s="43" t="s">
        <v>28</v>
      </c>
      <c r="C357" s="44">
        <v>0</v>
      </c>
      <c r="D357" s="44">
        <v>0</v>
      </c>
      <c r="E357" s="44">
        <v>526.14</v>
      </c>
      <c r="F357" s="44">
        <v>520.17020000000002</v>
      </c>
    </row>
    <row r="358" spans="1:6">
      <c r="A358" s="42">
        <v>46248.541666666664</v>
      </c>
      <c r="B358" s="43" t="s">
        <v>28</v>
      </c>
      <c r="C358" s="44">
        <v>0</v>
      </c>
      <c r="D358" s="44">
        <v>0</v>
      </c>
      <c r="E358" s="44">
        <v>526.14</v>
      </c>
      <c r="F358" s="44">
        <v>520.17020000000002</v>
      </c>
    </row>
    <row r="359" spans="1:6">
      <c r="A359" s="42">
        <v>46248.583333333336</v>
      </c>
      <c r="B359" s="43" t="s">
        <v>28</v>
      </c>
      <c r="C359" s="44">
        <v>0</v>
      </c>
      <c r="D359" s="44">
        <v>0</v>
      </c>
      <c r="E359" s="44">
        <v>526.14</v>
      </c>
      <c r="F359" s="44">
        <v>520.17020000000002</v>
      </c>
    </row>
    <row r="360" spans="1:6">
      <c r="A360" s="42">
        <v>46248.625</v>
      </c>
      <c r="B360" s="43" t="s">
        <v>28</v>
      </c>
      <c r="C360" s="44">
        <v>0</v>
      </c>
      <c r="D360" s="44">
        <v>0</v>
      </c>
      <c r="E360" s="44">
        <v>526.14</v>
      </c>
      <c r="F360" s="44">
        <v>520.17020000000002</v>
      </c>
    </row>
    <row r="361" spans="1:6">
      <c r="A361" s="42">
        <v>46248.666666666664</v>
      </c>
      <c r="B361" s="43" t="s">
        <v>28</v>
      </c>
      <c r="C361" s="44">
        <v>0</v>
      </c>
      <c r="D361" s="44">
        <v>0</v>
      </c>
      <c r="E361" s="44">
        <v>526.14</v>
      </c>
      <c r="F361" s="44">
        <v>520.17020000000002</v>
      </c>
    </row>
    <row r="362" spans="1:6">
      <c r="A362" s="42">
        <v>46248.708333333336</v>
      </c>
      <c r="B362" s="43" t="s">
        <v>28</v>
      </c>
      <c r="C362" s="44">
        <v>0</v>
      </c>
      <c r="D362" s="44">
        <v>0</v>
      </c>
      <c r="E362" s="44">
        <v>526.14</v>
      </c>
      <c r="F362" s="44">
        <v>520.17020000000002</v>
      </c>
    </row>
    <row r="363" spans="1:6">
      <c r="A363" s="42">
        <v>46248.75</v>
      </c>
      <c r="B363" s="43" t="s">
        <v>28</v>
      </c>
      <c r="C363" s="44">
        <v>0</v>
      </c>
      <c r="D363" s="44">
        <v>0</v>
      </c>
      <c r="E363" s="44">
        <v>526.14</v>
      </c>
      <c r="F363" s="44">
        <v>520.17020000000002</v>
      </c>
    </row>
    <row r="364" spans="1:6">
      <c r="A364" s="42">
        <v>46248.791666666664</v>
      </c>
      <c r="B364" s="43" t="s">
        <v>28</v>
      </c>
      <c r="C364" s="44">
        <v>0</v>
      </c>
      <c r="D364" s="44">
        <v>0</v>
      </c>
      <c r="E364" s="44">
        <v>526.14</v>
      </c>
      <c r="F364" s="44">
        <v>520.17020000000002</v>
      </c>
    </row>
    <row r="365" spans="1:6">
      <c r="A365" s="42">
        <v>46248.833333333336</v>
      </c>
      <c r="B365" s="43" t="s">
        <v>28</v>
      </c>
      <c r="C365" s="44">
        <v>0</v>
      </c>
      <c r="D365" s="44">
        <v>0</v>
      </c>
      <c r="E365" s="44">
        <v>526.14</v>
      </c>
      <c r="F365" s="44">
        <v>520.17020000000002</v>
      </c>
    </row>
    <row r="366" spans="1:6">
      <c r="A366" s="42">
        <v>46248.875</v>
      </c>
      <c r="B366" s="43" t="s">
        <v>28</v>
      </c>
      <c r="C366" s="44">
        <v>0</v>
      </c>
      <c r="D366" s="44">
        <v>0</v>
      </c>
      <c r="E366" s="44">
        <v>526.14</v>
      </c>
      <c r="F366" s="44">
        <v>520.17020000000002</v>
      </c>
    </row>
    <row r="367" spans="1:6">
      <c r="A367" s="42">
        <v>46248.916666666664</v>
      </c>
      <c r="B367" s="43" t="s">
        <v>28</v>
      </c>
      <c r="C367" s="44">
        <v>0</v>
      </c>
      <c r="D367" s="44">
        <v>0</v>
      </c>
      <c r="E367" s="44">
        <v>526.14</v>
      </c>
      <c r="F367" s="44">
        <v>520.17020000000002</v>
      </c>
    </row>
    <row r="368" spans="1:6">
      <c r="A368" s="42">
        <v>46248.958333333336</v>
      </c>
      <c r="B368" s="43" t="s">
        <v>28</v>
      </c>
      <c r="C368" s="44">
        <v>0</v>
      </c>
      <c r="D368" s="44">
        <v>0</v>
      </c>
      <c r="E368" s="44">
        <v>526.14</v>
      </c>
      <c r="F368" s="44">
        <v>520.17020000000002</v>
      </c>
    </row>
    <row r="369" spans="1:6">
      <c r="A369" s="42">
        <v>46249</v>
      </c>
      <c r="B369" s="43" t="s">
        <v>28</v>
      </c>
      <c r="C369" s="44">
        <v>0</v>
      </c>
      <c r="D369" s="44">
        <v>0</v>
      </c>
      <c r="E369" s="44">
        <v>526.14</v>
      </c>
      <c r="F369" s="44">
        <v>520.17020000000002</v>
      </c>
    </row>
    <row r="370" spans="1:6">
      <c r="A370" s="42">
        <v>46249.041666666664</v>
      </c>
      <c r="B370" s="43" t="s">
        <v>28</v>
      </c>
      <c r="C370" s="44">
        <v>0</v>
      </c>
      <c r="D370" s="44">
        <v>0</v>
      </c>
      <c r="E370" s="44">
        <v>526.14</v>
      </c>
      <c r="F370" s="44">
        <v>520.17020000000002</v>
      </c>
    </row>
    <row r="371" spans="1:6">
      <c r="A371" s="42">
        <v>46249.083333333336</v>
      </c>
      <c r="B371" s="43" t="s">
        <v>28</v>
      </c>
      <c r="C371" s="44">
        <v>0</v>
      </c>
      <c r="D371" s="44">
        <v>0</v>
      </c>
      <c r="E371" s="44">
        <v>526.14</v>
      </c>
      <c r="F371" s="44">
        <v>520.17020000000002</v>
      </c>
    </row>
    <row r="372" spans="1:6">
      <c r="A372" s="42">
        <v>46249.125</v>
      </c>
      <c r="B372" s="43" t="s">
        <v>28</v>
      </c>
      <c r="C372" s="44">
        <v>0</v>
      </c>
      <c r="D372" s="44">
        <v>0</v>
      </c>
      <c r="E372" s="44">
        <v>526.14</v>
      </c>
      <c r="F372" s="44">
        <v>520.17020000000002</v>
      </c>
    </row>
    <row r="373" spans="1:6">
      <c r="A373" s="42">
        <v>46249.166666666664</v>
      </c>
      <c r="B373" s="43" t="s">
        <v>28</v>
      </c>
      <c r="C373" s="44">
        <v>0</v>
      </c>
      <c r="D373" s="44">
        <v>0</v>
      </c>
      <c r="E373" s="44">
        <v>526.14</v>
      </c>
      <c r="F373" s="44">
        <v>520.17020000000002</v>
      </c>
    </row>
    <row r="374" spans="1:6">
      <c r="A374" s="42">
        <v>46249.208333333336</v>
      </c>
      <c r="B374" s="43" t="s">
        <v>28</v>
      </c>
      <c r="C374" s="44">
        <v>0</v>
      </c>
      <c r="D374" s="44">
        <v>0</v>
      </c>
      <c r="E374" s="44">
        <v>526.14</v>
      </c>
      <c r="F374" s="44">
        <v>520.17020000000002</v>
      </c>
    </row>
    <row r="375" spans="1:6">
      <c r="A375" s="42">
        <v>46249.25</v>
      </c>
      <c r="B375" s="43" t="s">
        <v>28</v>
      </c>
      <c r="C375" s="44">
        <v>0</v>
      </c>
      <c r="D375" s="44">
        <v>0</v>
      </c>
      <c r="E375" s="44">
        <v>526.14</v>
      </c>
      <c r="F375" s="44">
        <v>520.17020000000002</v>
      </c>
    </row>
    <row r="376" spans="1:6">
      <c r="A376" s="42">
        <v>46249.291666666664</v>
      </c>
      <c r="B376" s="43" t="s">
        <v>28</v>
      </c>
      <c r="C376" s="44">
        <v>0</v>
      </c>
      <c r="D376" s="44">
        <v>0</v>
      </c>
      <c r="E376" s="44">
        <v>526.14</v>
      </c>
      <c r="F376" s="44">
        <v>520.17020000000002</v>
      </c>
    </row>
    <row r="377" spans="1:6">
      <c r="A377" s="42">
        <v>46249.333333333336</v>
      </c>
      <c r="B377" s="43" t="s">
        <v>28</v>
      </c>
      <c r="C377" s="44">
        <v>0</v>
      </c>
      <c r="D377" s="44">
        <v>0</v>
      </c>
      <c r="E377" s="44">
        <v>526.14</v>
      </c>
      <c r="F377" s="44">
        <v>520.17020000000002</v>
      </c>
    </row>
    <row r="378" spans="1:6">
      <c r="A378" s="42">
        <v>46249.375</v>
      </c>
      <c r="B378" s="43" t="s">
        <v>28</v>
      </c>
      <c r="C378" s="44">
        <v>0</v>
      </c>
      <c r="D378" s="44">
        <v>0</v>
      </c>
      <c r="E378" s="44">
        <v>526.14</v>
      </c>
      <c r="F378" s="44">
        <v>520.17020000000002</v>
      </c>
    </row>
    <row r="379" spans="1:6">
      <c r="A379" s="42">
        <v>46249.416666666664</v>
      </c>
      <c r="B379" s="43" t="s">
        <v>28</v>
      </c>
      <c r="C379" s="44">
        <v>0</v>
      </c>
      <c r="D379" s="44">
        <v>0</v>
      </c>
      <c r="E379" s="44">
        <v>526.14</v>
      </c>
      <c r="F379" s="44">
        <v>520.17020000000002</v>
      </c>
    </row>
    <row r="380" spans="1:6">
      <c r="A380" s="42">
        <v>46249.458333333336</v>
      </c>
      <c r="B380" s="43" t="s">
        <v>28</v>
      </c>
      <c r="C380" s="44">
        <v>0</v>
      </c>
      <c r="D380" s="44">
        <v>0</v>
      </c>
      <c r="E380" s="44">
        <v>526.14</v>
      </c>
      <c r="F380" s="44">
        <v>520.17020000000002</v>
      </c>
    </row>
    <row r="381" spans="1:6">
      <c r="A381" s="42">
        <v>46249.5</v>
      </c>
      <c r="B381" s="43" t="s">
        <v>28</v>
      </c>
      <c r="C381" s="44">
        <v>0</v>
      </c>
      <c r="D381" s="44">
        <v>0</v>
      </c>
      <c r="E381" s="44">
        <v>526.14</v>
      </c>
      <c r="F381" s="44">
        <v>520.17020000000002</v>
      </c>
    </row>
    <row r="382" spans="1:6">
      <c r="A382" s="42">
        <v>46249.541666666664</v>
      </c>
      <c r="B382" s="43" t="s">
        <v>28</v>
      </c>
      <c r="C382" s="44">
        <v>0</v>
      </c>
      <c r="D382" s="44">
        <v>0</v>
      </c>
      <c r="E382" s="44">
        <v>526.14</v>
      </c>
      <c r="F382" s="44">
        <v>520.17020000000002</v>
      </c>
    </row>
    <row r="383" spans="1:6">
      <c r="A383" s="42">
        <v>46249.583333333336</v>
      </c>
      <c r="B383" s="43" t="s">
        <v>28</v>
      </c>
      <c r="C383" s="44">
        <v>0</v>
      </c>
      <c r="D383" s="44">
        <v>0</v>
      </c>
      <c r="E383" s="44">
        <v>526.14</v>
      </c>
      <c r="F383" s="44">
        <v>520.17020000000002</v>
      </c>
    </row>
    <row r="384" spans="1:6">
      <c r="A384" s="42">
        <v>46249.625</v>
      </c>
      <c r="B384" s="43" t="s">
        <v>28</v>
      </c>
      <c r="C384" s="44">
        <v>0</v>
      </c>
      <c r="D384" s="44">
        <v>0</v>
      </c>
      <c r="E384" s="44">
        <v>526.14</v>
      </c>
      <c r="F384" s="44">
        <v>520.17020000000002</v>
      </c>
    </row>
    <row r="385" spans="1:6">
      <c r="A385" s="42">
        <v>46249.666666666664</v>
      </c>
      <c r="B385" s="43" t="s">
        <v>28</v>
      </c>
      <c r="C385" s="44">
        <v>0</v>
      </c>
      <c r="D385" s="44">
        <v>0</v>
      </c>
      <c r="E385" s="44">
        <v>526.14</v>
      </c>
      <c r="F385" s="44">
        <v>520.17020000000002</v>
      </c>
    </row>
    <row r="386" spans="1:6">
      <c r="A386" s="42">
        <v>46249.708333333336</v>
      </c>
      <c r="B386" s="43" t="s">
        <v>28</v>
      </c>
      <c r="C386" s="44">
        <v>0</v>
      </c>
      <c r="D386" s="44">
        <v>0</v>
      </c>
      <c r="E386" s="44">
        <v>526.14</v>
      </c>
      <c r="F386" s="44">
        <v>520.17020000000002</v>
      </c>
    </row>
    <row r="387" spans="1:6">
      <c r="A387" s="42">
        <v>46249.75</v>
      </c>
      <c r="B387" s="43" t="s">
        <v>28</v>
      </c>
      <c r="C387" s="44">
        <v>0</v>
      </c>
      <c r="D387" s="44">
        <v>0</v>
      </c>
      <c r="E387" s="44">
        <v>526.14</v>
      </c>
      <c r="F387" s="44">
        <v>520.17020000000002</v>
      </c>
    </row>
    <row r="388" spans="1:6">
      <c r="A388" s="42">
        <v>46249.791666666664</v>
      </c>
      <c r="B388" s="43" t="s">
        <v>28</v>
      </c>
      <c r="C388" s="44">
        <v>0</v>
      </c>
      <c r="D388" s="44">
        <v>0</v>
      </c>
      <c r="E388" s="44">
        <v>526.14</v>
      </c>
      <c r="F388" s="44">
        <v>520.17020000000002</v>
      </c>
    </row>
    <row r="389" spans="1:6">
      <c r="A389" s="42">
        <v>46249.833333333336</v>
      </c>
      <c r="B389" s="43" t="s">
        <v>28</v>
      </c>
      <c r="C389" s="44">
        <v>0</v>
      </c>
      <c r="D389" s="44">
        <v>0</v>
      </c>
      <c r="E389" s="44">
        <v>526.14</v>
      </c>
      <c r="F389" s="44">
        <v>520.17020000000002</v>
      </c>
    </row>
    <row r="390" spans="1:6">
      <c r="A390" s="42">
        <v>46249.875</v>
      </c>
      <c r="B390" s="43" t="s">
        <v>28</v>
      </c>
      <c r="C390" s="44">
        <v>0</v>
      </c>
      <c r="D390" s="44">
        <v>0</v>
      </c>
      <c r="E390" s="44">
        <v>526.14</v>
      </c>
      <c r="F390" s="44">
        <v>520.17020000000002</v>
      </c>
    </row>
    <row r="391" spans="1:6">
      <c r="A391" s="42">
        <v>46249.916666666664</v>
      </c>
      <c r="B391" s="43" t="s">
        <v>28</v>
      </c>
      <c r="C391" s="44">
        <v>0</v>
      </c>
      <c r="D391" s="44">
        <v>0</v>
      </c>
      <c r="E391" s="44">
        <v>526.14</v>
      </c>
      <c r="F391" s="44">
        <v>520.17020000000002</v>
      </c>
    </row>
    <row r="392" spans="1:6">
      <c r="A392" s="42">
        <v>46249.958333333336</v>
      </c>
      <c r="B392" s="43" t="s">
        <v>28</v>
      </c>
      <c r="C392" s="44">
        <v>0</v>
      </c>
      <c r="D392" s="44">
        <v>0</v>
      </c>
      <c r="E392" s="44">
        <v>526.14</v>
      </c>
      <c r="F392" s="44">
        <v>520.17020000000002</v>
      </c>
    </row>
    <row r="393" spans="1:6">
      <c r="A393" s="42">
        <v>46250</v>
      </c>
      <c r="B393" s="43" t="s">
        <v>28</v>
      </c>
      <c r="C393" s="44">
        <v>0</v>
      </c>
      <c r="D393" s="44">
        <v>0</v>
      </c>
      <c r="E393" s="44">
        <v>526.14</v>
      </c>
      <c r="F393" s="44">
        <v>520.17020000000002</v>
      </c>
    </row>
    <row r="394" spans="1:6">
      <c r="A394" s="42">
        <v>46250.041666666664</v>
      </c>
      <c r="B394" s="43" t="s">
        <v>28</v>
      </c>
      <c r="C394" s="44">
        <v>0</v>
      </c>
      <c r="D394" s="44">
        <v>0</v>
      </c>
      <c r="E394" s="44">
        <v>526.14</v>
      </c>
      <c r="F394" s="44">
        <v>520.17020000000002</v>
      </c>
    </row>
    <row r="395" spans="1:6">
      <c r="A395" s="42">
        <v>46250.083333333336</v>
      </c>
      <c r="B395" s="43" t="s">
        <v>28</v>
      </c>
      <c r="C395" s="44">
        <v>0</v>
      </c>
      <c r="D395" s="44">
        <v>0</v>
      </c>
      <c r="E395" s="44">
        <v>526.14</v>
      </c>
      <c r="F395" s="44">
        <v>520.17020000000002</v>
      </c>
    </row>
    <row r="396" spans="1:6">
      <c r="A396" s="42">
        <v>46250.125</v>
      </c>
      <c r="B396" s="43" t="s">
        <v>28</v>
      </c>
      <c r="C396" s="44">
        <v>0</v>
      </c>
      <c r="D396" s="44">
        <v>0</v>
      </c>
      <c r="E396" s="44">
        <v>526.14</v>
      </c>
      <c r="F396" s="44">
        <v>520.17020000000002</v>
      </c>
    </row>
    <row r="397" spans="1:6">
      <c r="A397" s="42">
        <v>46250.166666666664</v>
      </c>
      <c r="B397" s="43" t="s">
        <v>28</v>
      </c>
      <c r="C397" s="44">
        <v>0</v>
      </c>
      <c r="D397" s="44">
        <v>0</v>
      </c>
      <c r="E397" s="44">
        <v>526.14</v>
      </c>
      <c r="F397" s="44">
        <v>520.17020000000002</v>
      </c>
    </row>
    <row r="398" spans="1:6">
      <c r="A398" s="42">
        <v>46250.208333333336</v>
      </c>
      <c r="B398" s="43" t="s">
        <v>28</v>
      </c>
      <c r="C398" s="44">
        <v>0</v>
      </c>
      <c r="D398" s="44">
        <v>0</v>
      </c>
      <c r="E398" s="44">
        <v>526.14</v>
      </c>
      <c r="F398" s="44">
        <v>520.17020000000002</v>
      </c>
    </row>
    <row r="399" spans="1:6">
      <c r="A399" s="42">
        <v>46250.25</v>
      </c>
      <c r="B399" s="43" t="s">
        <v>28</v>
      </c>
      <c r="C399" s="44">
        <v>0</v>
      </c>
      <c r="D399" s="44">
        <v>0</v>
      </c>
      <c r="E399" s="44">
        <v>526.14</v>
      </c>
      <c r="F399" s="44">
        <v>520.17020000000002</v>
      </c>
    </row>
    <row r="400" spans="1:6">
      <c r="A400" s="42">
        <v>46250.291666666664</v>
      </c>
      <c r="B400" s="43" t="s">
        <v>28</v>
      </c>
      <c r="C400" s="44">
        <v>0</v>
      </c>
      <c r="D400" s="44">
        <v>0</v>
      </c>
      <c r="E400" s="44">
        <v>526.14</v>
      </c>
      <c r="F400" s="44">
        <v>520.17020000000002</v>
      </c>
    </row>
    <row r="401" spans="1:6">
      <c r="A401" s="42">
        <v>46250.333333333336</v>
      </c>
      <c r="B401" s="43" t="s">
        <v>28</v>
      </c>
      <c r="C401" s="44">
        <v>0</v>
      </c>
      <c r="D401" s="44">
        <v>0</v>
      </c>
      <c r="E401" s="44">
        <v>526.14</v>
      </c>
      <c r="F401" s="44">
        <v>520.17020000000002</v>
      </c>
    </row>
    <row r="402" spans="1:6">
      <c r="A402" s="42">
        <v>46250.375</v>
      </c>
      <c r="B402" s="43" t="s">
        <v>28</v>
      </c>
      <c r="C402" s="44">
        <v>0</v>
      </c>
      <c r="D402" s="44">
        <v>0</v>
      </c>
      <c r="E402" s="44">
        <v>526.14</v>
      </c>
      <c r="F402" s="44">
        <v>520.17020000000002</v>
      </c>
    </row>
    <row r="403" spans="1:6">
      <c r="A403" s="42">
        <v>46250.416666666664</v>
      </c>
      <c r="B403" s="43" t="s">
        <v>28</v>
      </c>
      <c r="C403" s="44">
        <v>0</v>
      </c>
      <c r="D403" s="44">
        <v>0</v>
      </c>
      <c r="E403" s="44">
        <v>526.14</v>
      </c>
      <c r="F403" s="44">
        <v>520.17020000000002</v>
      </c>
    </row>
    <row r="404" spans="1:6">
      <c r="A404" s="42">
        <v>46250.458333333336</v>
      </c>
      <c r="B404" s="43" t="s">
        <v>28</v>
      </c>
      <c r="C404" s="44">
        <v>0</v>
      </c>
      <c r="D404" s="44">
        <v>0</v>
      </c>
      <c r="E404" s="44">
        <v>526.14</v>
      </c>
      <c r="F404" s="44">
        <v>520.17020000000002</v>
      </c>
    </row>
    <row r="405" spans="1:6">
      <c r="A405" s="42">
        <v>46250.5</v>
      </c>
      <c r="B405" s="43" t="s">
        <v>28</v>
      </c>
      <c r="C405" s="44">
        <v>0</v>
      </c>
      <c r="D405" s="44">
        <v>0</v>
      </c>
      <c r="E405" s="44">
        <v>526.14</v>
      </c>
      <c r="F405" s="44">
        <v>520.17020000000002</v>
      </c>
    </row>
    <row r="406" spans="1:6">
      <c r="A406" s="42">
        <v>46250.541666666664</v>
      </c>
      <c r="B406" s="43" t="s">
        <v>28</v>
      </c>
      <c r="C406" s="44">
        <v>0</v>
      </c>
      <c r="D406" s="44">
        <v>0</v>
      </c>
      <c r="E406" s="44">
        <v>526.14</v>
      </c>
      <c r="F406" s="44">
        <v>520.17020000000002</v>
      </c>
    </row>
    <row r="407" spans="1:6">
      <c r="A407" s="42">
        <v>46250.583333333336</v>
      </c>
      <c r="B407" s="43" t="s">
        <v>28</v>
      </c>
      <c r="C407" s="44">
        <v>0</v>
      </c>
      <c r="D407" s="44">
        <v>0</v>
      </c>
      <c r="E407" s="44">
        <v>526.14</v>
      </c>
      <c r="F407" s="44">
        <v>520.17020000000002</v>
      </c>
    </row>
    <row r="408" spans="1:6">
      <c r="A408" s="42">
        <v>46250.625</v>
      </c>
      <c r="B408" s="43" t="s">
        <v>28</v>
      </c>
      <c r="C408" s="44">
        <v>0</v>
      </c>
      <c r="D408" s="44">
        <v>0</v>
      </c>
      <c r="E408" s="44">
        <v>526.14</v>
      </c>
      <c r="F408" s="44">
        <v>520.17020000000002</v>
      </c>
    </row>
    <row r="409" spans="1:6">
      <c r="A409" s="42">
        <v>46250.666666666664</v>
      </c>
      <c r="B409" s="43" t="s">
        <v>28</v>
      </c>
      <c r="C409" s="44">
        <v>0</v>
      </c>
      <c r="D409" s="44">
        <v>0</v>
      </c>
      <c r="E409" s="44">
        <v>526.14</v>
      </c>
      <c r="F409" s="44">
        <v>520.17020000000002</v>
      </c>
    </row>
    <row r="410" spans="1:6">
      <c r="A410" s="42">
        <v>46250.708333333336</v>
      </c>
      <c r="B410" s="43" t="s">
        <v>28</v>
      </c>
      <c r="C410" s="44">
        <v>0</v>
      </c>
      <c r="D410" s="44">
        <v>0</v>
      </c>
      <c r="E410" s="44">
        <v>526.14</v>
      </c>
      <c r="F410" s="44">
        <v>520.17020000000002</v>
      </c>
    </row>
    <row r="411" spans="1:6">
      <c r="A411" s="42">
        <v>46250.75</v>
      </c>
      <c r="B411" s="43" t="s">
        <v>28</v>
      </c>
      <c r="C411" s="44">
        <v>0</v>
      </c>
      <c r="D411" s="44">
        <v>0</v>
      </c>
      <c r="E411" s="44">
        <v>526.14</v>
      </c>
      <c r="F411" s="44">
        <v>520.17020000000002</v>
      </c>
    </row>
    <row r="412" spans="1:6">
      <c r="A412" s="42">
        <v>46250.791666666664</v>
      </c>
      <c r="B412" s="43" t="s">
        <v>28</v>
      </c>
      <c r="C412" s="44">
        <v>0</v>
      </c>
      <c r="D412" s="44">
        <v>0</v>
      </c>
      <c r="E412" s="44">
        <v>526.14</v>
      </c>
      <c r="F412" s="44">
        <v>520.17020000000002</v>
      </c>
    </row>
    <row r="413" spans="1:6">
      <c r="A413" s="42">
        <v>46250.833333333336</v>
      </c>
      <c r="B413" s="43" t="s">
        <v>28</v>
      </c>
      <c r="C413" s="44">
        <v>0</v>
      </c>
      <c r="D413" s="44">
        <v>0</v>
      </c>
      <c r="E413" s="44">
        <v>526.14</v>
      </c>
      <c r="F413" s="44">
        <v>520.17020000000002</v>
      </c>
    </row>
    <row r="414" spans="1:6">
      <c r="A414" s="42">
        <v>46250.875</v>
      </c>
      <c r="B414" s="43" t="s">
        <v>28</v>
      </c>
      <c r="C414" s="44">
        <v>0</v>
      </c>
      <c r="D414" s="44">
        <v>0</v>
      </c>
      <c r="E414" s="44">
        <v>526.14</v>
      </c>
      <c r="F414" s="44">
        <v>520.17020000000002</v>
      </c>
    </row>
    <row r="415" spans="1:6">
      <c r="A415" s="42">
        <v>46250.916666666664</v>
      </c>
      <c r="B415" s="43" t="s">
        <v>28</v>
      </c>
      <c r="C415" s="44">
        <v>0</v>
      </c>
      <c r="D415" s="44">
        <v>0</v>
      </c>
      <c r="E415" s="44">
        <v>526.14</v>
      </c>
      <c r="F415" s="44">
        <v>520.17020000000002</v>
      </c>
    </row>
    <row r="416" spans="1:6">
      <c r="A416" s="42">
        <v>46250.958333333336</v>
      </c>
      <c r="B416" s="43" t="s">
        <v>28</v>
      </c>
      <c r="C416" s="44">
        <v>0</v>
      </c>
      <c r="D416" s="44">
        <v>0</v>
      </c>
      <c r="E416" s="44">
        <v>526.14</v>
      </c>
      <c r="F416" s="44">
        <v>520.17020000000002</v>
      </c>
    </row>
    <row r="417" spans="1:6">
      <c r="A417" s="42">
        <v>46251</v>
      </c>
      <c r="B417" s="43" t="s">
        <v>28</v>
      </c>
      <c r="C417" s="44">
        <v>0</v>
      </c>
      <c r="D417" s="44">
        <v>0</v>
      </c>
      <c r="E417" s="44">
        <v>526.14</v>
      </c>
      <c r="F417" s="44">
        <v>520.17020000000002</v>
      </c>
    </row>
    <row r="418" spans="1:6">
      <c r="A418" s="42">
        <v>46251.041666666664</v>
      </c>
      <c r="B418" s="43" t="s">
        <v>28</v>
      </c>
      <c r="C418" s="44">
        <v>0</v>
      </c>
      <c r="D418" s="44">
        <v>0</v>
      </c>
      <c r="E418" s="44">
        <v>526.14</v>
      </c>
      <c r="F418" s="44">
        <v>520.17020000000002</v>
      </c>
    </row>
    <row r="419" spans="1:6">
      <c r="A419" s="42">
        <v>46251.083333333336</v>
      </c>
      <c r="B419" s="43" t="s">
        <v>28</v>
      </c>
      <c r="C419" s="44">
        <v>0</v>
      </c>
      <c r="D419" s="44">
        <v>0</v>
      </c>
      <c r="E419" s="44">
        <v>526.14</v>
      </c>
      <c r="F419" s="44">
        <v>520.17020000000002</v>
      </c>
    </row>
    <row r="420" spans="1:6">
      <c r="A420" s="42">
        <v>46251.125</v>
      </c>
      <c r="B420" s="43" t="s">
        <v>28</v>
      </c>
      <c r="C420" s="44">
        <v>0</v>
      </c>
      <c r="D420" s="44">
        <v>0</v>
      </c>
      <c r="E420" s="44">
        <v>526.14</v>
      </c>
      <c r="F420" s="44">
        <v>520.17020000000002</v>
      </c>
    </row>
    <row r="421" spans="1:6">
      <c r="A421" s="42">
        <v>46251.166666666664</v>
      </c>
      <c r="B421" s="43" t="s">
        <v>28</v>
      </c>
      <c r="C421" s="44">
        <v>0</v>
      </c>
      <c r="D421" s="44">
        <v>0</v>
      </c>
      <c r="E421" s="44">
        <v>526.14</v>
      </c>
      <c r="F421" s="44">
        <v>520.17020000000002</v>
      </c>
    </row>
    <row r="422" spans="1:6">
      <c r="A422" s="42">
        <v>46251.208333333336</v>
      </c>
      <c r="B422" s="43" t="s">
        <v>28</v>
      </c>
      <c r="C422" s="44">
        <v>0</v>
      </c>
      <c r="D422" s="44">
        <v>0</v>
      </c>
      <c r="E422" s="44">
        <v>526.14</v>
      </c>
      <c r="F422" s="44">
        <v>520.17020000000002</v>
      </c>
    </row>
    <row r="423" spans="1:6">
      <c r="A423" s="42">
        <v>46251.25</v>
      </c>
      <c r="B423" s="43" t="s">
        <v>28</v>
      </c>
      <c r="C423" s="44">
        <v>0</v>
      </c>
      <c r="D423" s="44">
        <v>0</v>
      </c>
      <c r="E423" s="44">
        <v>526.14</v>
      </c>
      <c r="F423" s="44">
        <v>520.17020000000002</v>
      </c>
    </row>
    <row r="424" spans="1:6">
      <c r="A424" s="42">
        <v>46251.291666666664</v>
      </c>
      <c r="B424" s="43" t="s">
        <v>28</v>
      </c>
      <c r="C424" s="44">
        <v>0</v>
      </c>
      <c r="D424" s="44">
        <v>0</v>
      </c>
      <c r="E424" s="44">
        <v>526.14</v>
      </c>
      <c r="F424" s="44">
        <v>520.17020000000002</v>
      </c>
    </row>
    <row r="425" spans="1:6">
      <c r="A425" s="42">
        <v>46251.333333333336</v>
      </c>
      <c r="B425" s="43" t="s">
        <v>28</v>
      </c>
      <c r="C425" s="44">
        <v>0</v>
      </c>
      <c r="D425" s="44">
        <v>0</v>
      </c>
      <c r="E425" s="44">
        <v>526.14</v>
      </c>
      <c r="F425" s="44">
        <v>520.17020000000002</v>
      </c>
    </row>
    <row r="426" spans="1:6">
      <c r="A426" s="42">
        <v>46251.375</v>
      </c>
      <c r="B426" s="43" t="s">
        <v>28</v>
      </c>
      <c r="C426" s="44">
        <v>0</v>
      </c>
      <c r="D426" s="44">
        <v>0</v>
      </c>
      <c r="E426" s="44">
        <v>526.14</v>
      </c>
      <c r="F426" s="44">
        <v>520.17020000000002</v>
      </c>
    </row>
    <row r="427" spans="1:6">
      <c r="A427" s="42">
        <v>46251.416666666664</v>
      </c>
      <c r="B427" s="43" t="s">
        <v>28</v>
      </c>
      <c r="C427" s="44">
        <v>0</v>
      </c>
      <c r="D427" s="44">
        <v>0</v>
      </c>
      <c r="E427" s="44">
        <v>526.14</v>
      </c>
      <c r="F427" s="44">
        <v>520.17020000000002</v>
      </c>
    </row>
    <row r="428" spans="1:6">
      <c r="A428" s="42">
        <v>46251.458333333336</v>
      </c>
      <c r="B428" s="43" t="s">
        <v>28</v>
      </c>
      <c r="C428" s="44">
        <v>0</v>
      </c>
      <c r="D428" s="44">
        <v>0</v>
      </c>
      <c r="E428" s="44">
        <v>526.14</v>
      </c>
      <c r="F428" s="44">
        <v>520.17020000000002</v>
      </c>
    </row>
    <row r="429" spans="1:6">
      <c r="A429" s="42">
        <v>46251.5</v>
      </c>
      <c r="B429" s="43" t="s">
        <v>28</v>
      </c>
      <c r="C429" s="44">
        <v>0</v>
      </c>
      <c r="D429" s="44">
        <v>0</v>
      </c>
      <c r="E429" s="44">
        <v>526.14</v>
      </c>
      <c r="F429" s="44">
        <v>520.17020000000002</v>
      </c>
    </row>
    <row r="430" spans="1:6">
      <c r="A430" s="42">
        <v>46251.541666666664</v>
      </c>
      <c r="B430" s="43" t="s">
        <v>28</v>
      </c>
      <c r="C430" s="44">
        <v>0</v>
      </c>
      <c r="D430" s="44">
        <v>0</v>
      </c>
      <c r="E430" s="44">
        <v>526.14</v>
      </c>
      <c r="F430" s="44">
        <v>520.17020000000002</v>
      </c>
    </row>
    <row r="431" spans="1:6">
      <c r="A431" s="42">
        <v>46251.583333333336</v>
      </c>
      <c r="B431" s="43" t="s">
        <v>28</v>
      </c>
      <c r="C431" s="44">
        <v>0</v>
      </c>
      <c r="D431" s="44">
        <v>0</v>
      </c>
      <c r="E431" s="44">
        <v>526.14</v>
      </c>
      <c r="F431" s="44">
        <v>520.17020000000002</v>
      </c>
    </row>
    <row r="432" spans="1:6">
      <c r="A432" s="42">
        <v>46251.625</v>
      </c>
      <c r="B432" s="43" t="s">
        <v>28</v>
      </c>
      <c r="C432" s="44">
        <v>0</v>
      </c>
      <c r="D432" s="44">
        <v>0</v>
      </c>
      <c r="E432" s="44">
        <v>526.14</v>
      </c>
      <c r="F432" s="44">
        <v>520.17020000000002</v>
      </c>
    </row>
    <row r="433" spans="1:6">
      <c r="A433" s="42">
        <v>46251.666666666664</v>
      </c>
      <c r="B433" s="43" t="s">
        <v>28</v>
      </c>
      <c r="C433" s="44">
        <v>0</v>
      </c>
      <c r="D433" s="44">
        <v>0</v>
      </c>
      <c r="E433" s="44">
        <v>526.14</v>
      </c>
      <c r="F433" s="44">
        <v>520.17020000000002</v>
      </c>
    </row>
    <row r="434" spans="1:6">
      <c r="A434" s="42">
        <v>46251.708333333336</v>
      </c>
      <c r="B434" s="43" t="s">
        <v>28</v>
      </c>
      <c r="C434" s="44">
        <v>0</v>
      </c>
      <c r="D434" s="44">
        <v>0</v>
      </c>
      <c r="E434" s="44">
        <v>526.14</v>
      </c>
      <c r="F434" s="44">
        <v>520.17020000000002</v>
      </c>
    </row>
    <row r="435" spans="1:6">
      <c r="A435" s="42">
        <v>46251.75</v>
      </c>
      <c r="B435" s="43" t="s">
        <v>28</v>
      </c>
      <c r="C435" s="44">
        <v>0</v>
      </c>
      <c r="D435" s="44">
        <v>0</v>
      </c>
      <c r="E435" s="44">
        <v>526.14</v>
      </c>
      <c r="F435" s="44">
        <v>520.17020000000002</v>
      </c>
    </row>
    <row r="436" spans="1:6">
      <c r="A436" s="42">
        <v>46251.791666666664</v>
      </c>
      <c r="B436" s="43" t="s">
        <v>28</v>
      </c>
      <c r="C436" s="44">
        <v>0</v>
      </c>
      <c r="D436" s="44">
        <v>0</v>
      </c>
      <c r="E436" s="44">
        <v>526.14</v>
      </c>
      <c r="F436" s="44">
        <v>520.17020000000002</v>
      </c>
    </row>
    <row r="437" spans="1:6">
      <c r="A437" s="42">
        <v>46251.833333333336</v>
      </c>
      <c r="B437" s="43" t="s">
        <v>28</v>
      </c>
      <c r="C437" s="44">
        <v>0</v>
      </c>
      <c r="D437" s="44">
        <v>0</v>
      </c>
      <c r="E437" s="44">
        <v>526.14</v>
      </c>
      <c r="F437" s="44">
        <v>520.17020000000002</v>
      </c>
    </row>
    <row r="438" spans="1:6">
      <c r="A438" s="42">
        <v>46251.875</v>
      </c>
      <c r="B438" s="43" t="s">
        <v>28</v>
      </c>
      <c r="C438" s="44">
        <v>0</v>
      </c>
      <c r="D438" s="44">
        <v>0</v>
      </c>
      <c r="E438" s="44">
        <v>526.14</v>
      </c>
      <c r="F438" s="44">
        <v>520.17020000000002</v>
      </c>
    </row>
    <row r="439" spans="1:6">
      <c r="A439" s="42">
        <v>46251.916666666664</v>
      </c>
      <c r="B439" s="43" t="s">
        <v>28</v>
      </c>
      <c r="C439" s="44">
        <v>0</v>
      </c>
      <c r="D439" s="44">
        <v>0</v>
      </c>
      <c r="E439" s="44">
        <v>526.14</v>
      </c>
      <c r="F439" s="44">
        <v>520.17020000000002</v>
      </c>
    </row>
    <row r="440" spans="1:6">
      <c r="A440" s="42">
        <v>46251.958333333336</v>
      </c>
      <c r="B440" s="43" t="s">
        <v>28</v>
      </c>
      <c r="C440" s="44">
        <v>0</v>
      </c>
      <c r="D440" s="44">
        <v>0</v>
      </c>
      <c r="E440" s="44">
        <v>526.14</v>
      </c>
      <c r="F440" s="44">
        <v>520.17020000000002</v>
      </c>
    </row>
    <row r="441" spans="1:6">
      <c r="A441" s="42">
        <v>46252</v>
      </c>
      <c r="B441" s="43" t="s">
        <v>28</v>
      </c>
      <c r="C441" s="44">
        <v>0</v>
      </c>
      <c r="D441" s="44">
        <v>0</v>
      </c>
      <c r="E441" s="44">
        <v>526.14</v>
      </c>
      <c r="F441" s="44">
        <v>520.17020000000002</v>
      </c>
    </row>
    <row r="442" spans="1:6">
      <c r="A442" s="42">
        <v>46252.041666666664</v>
      </c>
      <c r="B442" s="43" t="s">
        <v>28</v>
      </c>
      <c r="C442" s="44">
        <v>0</v>
      </c>
      <c r="D442" s="44">
        <v>0</v>
      </c>
      <c r="E442" s="44">
        <v>526.14</v>
      </c>
      <c r="F442" s="44">
        <v>520.17020000000002</v>
      </c>
    </row>
    <row r="443" spans="1:6">
      <c r="A443" s="42">
        <v>46252.083333333336</v>
      </c>
      <c r="B443" s="43" t="s">
        <v>28</v>
      </c>
      <c r="C443" s="44">
        <v>0</v>
      </c>
      <c r="D443" s="44">
        <v>0</v>
      </c>
      <c r="E443" s="44">
        <v>526.14</v>
      </c>
      <c r="F443" s="44">
        <v>520.17020000000002</v>
      </c>
    </row>
    <row r="444" spans="1:6">
      <c r="A444" s="42">
        <v>46252.125</v>
      </c>
      <c r="B444" s="43" t="s">
        <v>28</v>
      </c>
      <c r="C444" s="44">
        <v>0</v>
      </c>
      <c r="D444" s="44">
        <v>0</v>
      </c>
      <c r="E444" s="44">
        <v>526.14</v>
      </c>
      <c r="F444" s="44">
        <v>520.17020000000002</v>
      </c>
    </row>
    <row r="445" spans="1:6">
      <c r="A445" s="42">
        <v>46252.166666666664</v>
      </c>
      <c r="B445" s="43" t="s">
        <v>28</v>
      </c>
      <c r="C445" s="44">
        <v>0</v>
      </c>
      <c r="D445" s="44">
        <v>0</v>
      </c>
      <c r="E445" s="44">
        <v>526.14</v>
      </c>
      <c r="F445" s="44">
        <v>520.17020000000002</v>
      </c>
    </row>
    <row r="446" spans="1:6">
      <c r="A446" s="42">
        <v>46252.208333333336</v>
      </c>
      <c r="B446" s="43" t="s">
        <v>28</v>
      </c>
      <c r="C446" s="44">
        <v>0</v>
      </c>
      <c r="D446" s="44">
        <v>0</v>
      </c>
      <c r="E446" s="44">
        <v>526.14</v>
      </c>
      <c r="F446" s="44">
        <v>520.17020000000002</v>
      </c>
    </row>
    <row r="447" spans="1:6">
      <c r="A447" s="42">
        <v>46252.25</v>
      </c>
      <c r="B447" s="43" t="s">
        <v>28</v>
      </c>
      <c r="C447" s="44">
        <v>0</v>
      </c>
      <c r="D447" s="44">
        <v>0</v>
      </c>
      <c r="E447" s="44">
        <v>526.14</v>
      </c>
      <c r="F447" s="44">
        <v>520.17020000000002</v>
      </c>
    </row>
    <row r="448" spans="1:6">
      <c r="A448" s="42">
        <v>46252.291666666664</v>
      </c>
      <c r="B448" s="43" t="s">
        <v>28</v>
      </c>
      <c r="C448" s="44">
        <v>0</v>
      </c>
      <c r="D448" s="44">
        <v>0</v>
      </c>
      <c r="E448" s="44">
        <v>526.14</v>
      </c>
      <c r="F448" s="44">
        <v>520.17020000000002</v>
      </c>
    </row>
    <row r="449" spans="1:6">
      <c r="A449" s="42">
        <v>46252.333333333336</v>
      </c>
      <c r="B449" s="43" t="s">
        <v>28</v>
      </c>
      <c r="C449" s="44">
        <v>0</v>
      </c>
      <c r="D449" s="44">
        <v>0</v>
      </c>
      <c r="E449" s="44">
        <v>526.14</v>
      </c>
      <c r="F449" s="44">
        <v>520.17020000000002</v>
      </c>
    </row>
    <row r="450" spans="1:6">
      <c r="A450" s="42">
        <v>46252.375</v>
      </c>
      <c r="B450" s="43" t="s">
        <v>28</v>
      </c>
      <c r="C450" s="44">
        <v>0</v>
      </c>
      <c r="D450" s="44">
        <v>0</v>
      </c>
      <c r="E450" s="44">
        <v>526.14</v>
      </c>
      <c r="F450" s="44">
        <v>520.17020000000002</v>
      </c>
    </row>
    <row r="451" spans="1:6">
      <c r="A451" s="42">
        <v>46252.416666666664</v>
      </c>
      <c r="B451" s="43" t="s">
        <v>28</v>
      </c>
      <c r="C451" s="44">
        <v>0</v>
      </c>
      <c r="D451" s="44">
        <v>0</v>
      </c>
      <c r="E451" s="44">
        <v>526.14</v>
      </c>
      <c r="F451" s="44">
        <v>520.17020000000002</v>
      </c>
    </row>
    <row r="452" spans="1:6">
      <c r="A452" s="42">
        <v>46252.458333333336</v>
      </c>
      <c r="B452" s="43" t="s">
        <v>28</v>
      </c>
      <c r="C452" s="44">
        <v>0</v>
      </c>
      <c r="D452" s="44">
        <v>0</v>
      </c>
      <c r="E452" s="44">
        <v>526.14</v>
      </c>
      <c r="F452" s="44">
        <v>520.17020000000002</v>
      </c>
    </row>
    <row r="453" spans="1:6">
      <c r="A453" s="42">
        <v>46252.5</v>
      </c>
      <c r="B453" s="43" t="s">
        <v>28</v>
      </c>
      <c r="C453" s="44">
        <v>0</v>
      </c>
      <c r="D453" s="44">
        <v>0</v>
      </c>
      <c r="E453" s="44">
        <v>526.14</v>
      </c>
      <c r="F453" s="44">
        <v>520.17020000000002</v>
      </c>
    </row>
    <row r="454" spans="1:6">
      <c r="A454" s="42">
        <v>46252.541666666664</v>
      </c>
      <c r="B454" s="43" t="s">
        <v>28</v>
      </c>
      <c r="C454" s="44">
        <v>0</v>
      </c>
      <c r="D454" s="44">
        <v>0</v>
      </c>
      <c r="E454" s="44">
        <v>526.14</v>
      </c>
      <c r="F454" s="44">
        <v>520.17020000000002</v>
      </c>
    </row>
    <row r="455" spans="1:6">
      <c r="A455" s="42">
        <v>46252.583333333336</v>
      </c>
      <c r="B455" s="43" t="s">
        <v>28</v>
      </c>
      <c r="C455" s="44">
        <v>0</v>
      </c>
      <c r="D455" s="44">
        <v>0</v>
      </c>
      <c r="E455" s="44">
        <v>526.14</v>
      </c>
      <c r="F455" s="44">
        <v>520.17020000000002</v>
      </c>
    </row>
    <row r="456" spans="1:6">
      <c r="A456" s="42">
        <v>46252.625</v>
      </c>
      <c r="B456" s="43" t="s">
        <v>28</v>
      </c>
      <c r="C456" s="44">
        <v>0</v>
      </c>
      <c r="D456" s="44">
        <v>0</v>
      </c>
      <c r="E456" s="44">
        <v>526.14</v>
      </c>
      <c r="F456" s="44">
        <v>520.17020000000002</v>
      </c>
    </row>
    <row r="457" spans="1:6">
      <c r="A457" s="42">
        <v>46252.666666666664</v>
      </c>
      <c r="B457" s="43" t="s">
        <v>28</v>
      </c>
      <c r="C457" s="44">
        <v>0</v>
      </c>
      <c r="D457" s="44">
        <v>0</v>
      </c>
      <c r="E457" s="44">
        <v>526.14</v>
      </c>
      <c r="F457" s="44">
        <v>520.17020000000002</v>
      </c>
    </row>
    <row r="458" spans="1:6">
      <c r="A458" s="42">
        <v>46252.708333333336</v>
      </c>
      <c r="B458" s="43" t="s">
        <v>28</v>
      </c>
      <c r="C458" s="44">
        <v>0</v>
      </c>
      <c r="D458" s="44">
        <v>0</v>
      </c>
      <c r="E458" s="44">
        <v>526.14</v>
      </c>
      <c r="F458" s="44">
        <v>520.17020000000002</v>
      </c>
    </row>
    <row r="459" spans="1:6">
      <c r="A459" s="42">
        <v>46252.75</v>
      </c>
      <c r="B459" s="43" t="s">
        <v>28</v>
      </c>
      <c r="C459" s="44">
        <v>0</v>
      </c>
      <c r="D459" s="44">
        <v>0</v>
      </c>
      <c r="E459" s="44">
        <v>526.14</v>
      </c>
      <c r="F459" s="44">
        <v>520.17020000000002</v>
      </c>
    </row>
    <row r="460" spans="1:6">
      <c r="A460" s="42">
        <v>46252.791666666664</v>
      </c>
      <c r="B460" s="43" t="s">
        <v>28</v>
      </c>
      <c r="C460" s="44">
        <v>0</v>
      </c>
      <c r="D460" s="44">
        <v>0</v>
      </c>
      <c r="E460" s="44">
        <v>526.14</v>
      </c>
      <c r="F460" s="44">
        <v>520.17020000000002</v>
      </c>
    </row>
    <row r="461" spans="1:6">
      <c r="A461" s="42">
        <v>46252.833333333336</v>
      </c>
      <c r="B461" s="43" t="s">
        <v>28</v>
      </c>
      <c r="C461" s="44">
        <v>0</v>
      </c>
      <c r="D461" s="44">
        <v>0</v>
      </c>
      <c r="E461" s="44">
        <v>526.14</v>
      </c>
      <c r="F461" s="44">
        <v>520.17020000000002</v>
      </c>
    </row>
    <row r="462" spans="1:6">
      <c r="A462" s="42">
        <v>46252.875</v>
      </c>
      <c r="B462" s="43" t="s">
        <v>28</v>
      </c>
      <c r="C462" s="44">
        <v>0</v>
      </c>
      <c r="D462" s="44">
        <v>0</v>
      </c>
      <c r="E462" s="44">
        <v>526.14</v>
      </c>
      <c r="F462" s="44">
        <v>520.17020000000002</v>
      </c>
    </row>
    <row r="463" spans="1:6">
      <c r="A463" s="42">
        <v>46252.916666666664</v>
      </c>
      <c r="B463" s="43" t="s">
        <v>28</v>
      </c>
      <c r="C463" s="44">
        <v>0</v>
      </c>
      <c r="D463" s="44">
        <v>0</v>
      </c>
      <c r="E463" s="44">
        <v>526.14</v>
      </c>
      <c r="F463" s="44">
        <v>520.17020000000002</v>
      </c>
    </row>
    <row r="464" spans="1:6">
      <c r="A464" s="42">
        <v>46252.958333333336</v>
      </c>
      <c r="B464" s="43" t="s">
        <v>28</v>
      </c>
      <c r="C464" s="44">
        <v>0</v>
      </c>
      <c r="D464" s="44">
        <v>0</v>
      </c>
      <c r="E464" s="44">
        <v>526.14</v>
      </c>
      <c r="F464" s="44">
        <v>520.17020000000002</v>
      </c>
    </row>
    <row r="465" spans="1:6">
      <c r="A465" s="42">
        <v>46253</v>
      </c>
      <c r="B465" s="43" t="s">
        <v>28</v>
      </c>
      <c r="C465" s="44">
        <v>0</v>
      </c>
      <c r="D465" s="44">
        <v>0</v>
      </c>
      <c r="E465" s="44">
        <v>526.14</v>
      </c>
      <c r="F465" s="44">
        <v>520.17020000000002</v>
      </c>
    </row>
    <row r="466" spans="1:6">
      <c r="A466" s="42">
        <v>46253.041666666664</v>
      </c>
      <c r="B466" s="43" t="s">
        <v>28</v>
      </c>
      <c r="C466" s="44">
        <v>0</v>
      </c>
      <c r="D466" s="44">
        <v>0</v>
      </c>
      <c r="E466" s="44">
        <v>526.14</v>
      </c>
      <c r="F466" s="44">
        <v>520.17020000000002</v>
      </c>
    </row>
    <row r="467" spans="1:6">
      <c r="A467" s="42">
        <v>46253.083333333336</v>
      </c>
      <c r="B467" s="43" t="s">
        <v>28</v>
      </c>
      <c r="C467" s="44">
        <v>0</v>
      </c>
      <c r="D467" s="44">
        <v>0</v>
      </c>
      <c r="E467" s="44">
        <v>526.14</v>
      </c>
      <c r="F467" s="44">
        <v>520.17020000000002</v>
      </c>
    </row>
    <row r="468" spans="1:6">
      <c r="A468" s="42">
        <v>46253.125</v>
      </c>
      <c r="B468" s="43" t="s">
        <v>28</v>
      </c>
      <c r="C468" s="44">
        <v>0</v>
      </c>
      <c r="D468" s="44">
        <v>0</v>
      </c>
      <c r="E468" s="44">
        <v>526.14</v>
      </c>
      <c r="F468" s="44">
        <v>520.17020000000002</v>
      </c>
    </row>
    <row r="469" spans="1:6">
      <c r="A469" s="42">
        <v>46253.166666666664</v>
      </c>
      <c r="B469" s="43" t="s">
        <v>28</v>
      </c>
      <c r="C469" s="44">
        <v>0</v>
      </c>
      <c r="D469" s="44">
        <v>0</v>
      </c>
      <c r="E469" s="44">
        <v>526.14</v>
      </c>
      <c r="F469" s="44">
        <v>520.17020000000002</v>
      </c>
    </row>
    <row r="470" spans="1:6">
      <c r="A470" s="42">
        <v>46253.208333333336</v>
      </c>
      <c r="B470" s="43" t="s">
        <v>28</v>
      </c>
      <c r="C470" s="44">
        <v>0</v>
      </c>
      <c r="D470" s="44">
        <v>0</v>
      </c>
      <c r="E470" s="44">
        <v>526.14</v>
      </c>
      <c r="F470" s="44">
        <v>520.17020000000002</v>
      </c>
    </row>
    <row r="471" spans="1:6">
      <c r="A471" s="42">
        <v>46253.25</v>
      </c>
      <c r="B471" s="43" t="s">
        <v>28</v>
      </c>
      <c r="C471" s="44">
        <v>0</v>
      </c>
      <c r="D471" s="44">
        <v>0</v>
      </c>
      <c r="E471" s="44">
        <v>526.14</v>
      </c>
      <c r="F471" s="44">
        <v>520.17020000000002</v>
      </c>
    </row>
    <row r="472" spans="1:6">
      <c r="A472" s="42">
        <v>46253.291666666664</v>
      </c>
      <c r="B472" s="43" t="s">
        <v>28</v>
      </c>
      <c r="C472" s="44">
        <v>0</v>
      </c>
      <c r="D472" s="44">
        <v>0</v>
      </c>
      <c r="E472" s="44">
        <v>526.14</v>
      </c>
      <c r="F472" s="44">
        <v>520.17020000000002</v>
      </c>
    </row>
    <row r="473" spans="1:6">
      <c r="A473" s="42">
        <v>46253.333333333336</v>
      </c>
      <c r="B473" s="43" t="s">
        <v>28</v>
      </c>
      <c r="C473" s="44">
        <v>0</v>
      </c>
      <c r="D473" s="44">
        <v>0</v>
      </c>
      <c r="E473" s="44">
        <v>526.14</v>
      </c>
      <c r="F473" s="44">
        <v>520.17020000000002</v>
      </c>
    </row>
    <row r="474" spans="1:6">
      <c r="A474" s="42">
        <v>46253.375</v>
      </c>
      <c r="B474" s="43" t="s">
        <v>28</v>
      </c>
      <c r="C474" s="44">
        <v>0</v>
      </c>
      <c r="D474" s="44">
        <v>0</v>
      </c>
      <c r="E474" s="44">
        <v>526.14</v>
      </c>
      <c r="F474" s="44">
        <v>520.17020000000002</v>
      </c>
    </row>
    <row r="475" spans="1:6">
      <c r="A475" s="42">
        <v>46253.416666666664</v>
      </c>
      <c r="B475" s="43" t="s">
        <v>28</v>
      </c>
      <c r="C475" s="44">
        <v>0</v>
      </c>
      <c r="D475" s="44">
        <v>0</v>
      </c>
      <c r="E475" s="44">
        <v>526.14</v>
      </c>
      <c r="F475" s="44">
        <v>520.17020000000002</v>
      </c>
    </row>
    <row r="476" spans="1:6">
      <c r="A476" s="42">
        <v>46253.458333333336</v>
      </c>
      <c r="B476" s="43" t="s">
        <v>28</v>
      </c>
      <c r="C476" s="44">
        <v>0</v>
      </c>
      <c r="D476" s="44">
        <v>0</v>
      </c>
      <c r="E476" s="44">
        <v>526.14</v>
      </c>
      <c r="F476" s="44">
        <v>520.17020000000002</v>
      </c>
    </row>
    <row r="477" spans="1:6">
      <c r="A477" s="42">
        <v>46253.5</v>
      </c>
      <c r="B477" s="43" t="s">
        <v>28</v>
      </c>
      <c r="C477" s="44">
        <v>0</v>
      </c>
      <c r="D477" s="44">
        <v>0</v>
      </c>
      <c r="E477" s="44">
        <v>526.14</v>
      </c>
      <c r="F477" s="44">
        <v>520.17020000000002</v>
      </c>
    </row>
    <row r="478" spans="1:6">
      <c r="A478" s="42">
        <v>46253.541666666664</v>
      </c>
      <c r="B478" s="43" t="s">
        <v>28</v>
      </c>
      <c r="C478" s="44">
        <v>0</v>
      </c>
      <c r="D478" s="44">
        <v>0</v>
      </c>
      <c r="E478" s="44">
        <v>526.14</v>
      </c>
      <c r="F478" s="44">
        <v>520.17020000000002</v>
      </c>
    </row>
    <row r="479" spans="1:6">
      <c r="A479" s="42">
        <v>46253.583333333336</v>
      </c>
      <c r="B479" s="43" t="s">
        <v>28</v>
      </c>
      <c r="C479" s="44">
        <v>0</v>
      </c>
      <c r="D479" s="44">
        <v>0</v>
      </c>
      <c r="E479" s="44">
        <v>526.14</v>
      </c>
      <c r="F479" s="44">
        <v>520.17020000000002</v>
      </c>
    </row>
    <row r="480" spans="1:6">
      <c r="A480" s="42">
        <v>46253.625</v>
      </c>
      <c r="B480" s="43" t="s">
        <v>28</v>
      </c>
      <c r="C480" s="44">
        <v>0</v>
      </c>
      <c r="D480" s="44">
        <v>0</v>
      </c>
      <c r="E480" s="44">
        <v>526.14</v>
      </c>
      <c r="F480" s="44">
        <v>520.17020000000002</v>
      </c>
    </row>
    <row r="481" spans="1:6">
      <c r="A481" s="42">
        <v>46253.666666666664</v>
      </c>
      <c r="B481" s="43" t="s">
        <v>28</v>
      </c>
      <c r="C481" s="44">
        <v>0</v>
      </c>
      <c r="D481" s="44">
        <v>0</v>
      </c>
      <c r="E481" s="44">
        <v>526.14</v>
      </c>
      <c r="F481" s="44">
        <v>520.17020000000002</v>
      </c>
    </row>
    <row r="482" spans="1:6">
      <c r="A482" s="42">
        <v>46253.708333333336</v>
      </c>
      <c r="B482" s="43" t="s">
        <v>28</v>
      </c>
      <c r="C482" s="44">
        <v>0</v>
      </c>
      <c r="D482" s="44">
        <v>0</v>
      </c>
      <c r="E482" s="44">
        <v>526.14</v>
      </c>
      <c r="F482" s="44">
        <v>520.17020000000002</v>
      </c>
    </row>
    <row r="483" spans="1:6">
      <c r="A483" s="42">
        <v>46253.75</v>
      </c>
      <c r="B483" s="43" t="s">
        <v>28</v>
      </c>
      <c r="C483" s="44">
        <v>0</v>
      </c>
      <c r="D483" s="44">
        <v>0</v>
      </c>
      <c r="E483" s="44">
        <v>526.14</v>
      </c>
      <c r="F483" s="44">
        <v>520.17020000000002</v>
      </c>
    </row>
    <row r="484" spans="1:6">
      <c r="A484" s="42">
        <v>46253.791666666664</v>
      </c>
      <c r="B484" s="43" t="s">
        <v>28</v>
      </c>
      <c r="C484" s="44">
        <v>0</v>
      </c>
      <c r="D484" s="44">
        <v>0</v>
      </c>
      <c r="E484" s="44">
        <v>526.14</v>
      </c>
      <c r="F484" s="44">
        <v>520.17020000000002</v>
      </c>
    </row>
    <row r="485" spans="1:6">
      <c r="A485" s="42">
        <v>46253.833333333336</v>
      </c>
      <c r="B485" s="43" t="s">
        <v>28</v>
      </c>
      <c r="C485" s="44">
        <v>0</v>
      </c>
      <c r="D485" s="44">
        <v>0</v>
      </c>
      <c r="E485" s="44">
        <v>526.14</v>
      </c>
      <c r="F485" s="44">
        <v>520.17020000000002</v>
      </c>
    </row>
    <row r="486" spans="1:6">
      <c r="A486" s="42">
        <v>46253.875</v>
      </c>
      <c r="B486" s="43" t="s">
        <v>28</v>
      </c>
      <c r="C486" s="44">
        <v>0</v>
      </c>
      <c r="D486" s="44">
        <v>0</v>
      </c>
      <c r="E486" s="44">
        <v>526.14</v>
      </c>
      <c r="F486" s="44">
        <v>520.17020000000002</v>
      </c>
    </row>
    <row r="487" spans="1:6">
      <c r="A487" s="42">
        <v>46253.916666666664</v>
      </c>
      <c r="B487" s="43" t="s">
        <v>28</v>
      </c>
      <c r="C487" s="44">
        <v>0</v>
      </c>
      <c r="D487" s="44">
        <v>0</v>
      </c>
      <c r="E487" s="44">
        <v>526.14</v>
      </c>
      <c r="F487" s="44">
        <v>520.17020000000002</v>
      </c>
    </row>
    <row r="488" spans="1:6">
      <c r="A488" s="42">
        <v>46253.958333333336</v>
      </c>
      <c r="B488" s="43" t="s">
        <v>28</v>
      </c>
      <c r="C488" s="44">
        <v>0</v>
      </c>
      <c r="D488" s="44">
        <v>0</v>
      </c>
      <c r="E488" s="44">
        <v>526.14</v>
      </c>
      <c r="F488" s="44">
        <v>520.17020000000002</v>
      </c>
    </row>
    <row r="489" spans="1:6">
      <c r="A489" s="42">
        <v>46254</v>
      </c>
      <c r="B489" s="43" t="s">
        <v>28</v>
      </c>
      <c r="C489" s="44">
        <v>0</v>
      </c>
      <c r="D489" s="44">
        <v>0</v>
      </c>
      <c r="E489" s="44">
        <v>526.14</v>
      </c>
      <c r="F489" s="44">
        <v>520.17020000000002</v>
      </c>
    </row>
    <row r="490" spans="1:6">
      <c r="A490" s="42">
        <v>46254.041666666664</v>
      </c>
      <c r="B490" s="43" t="s">
        <v>28</v>
      </c>
      <c r="C490" s="44">
        <v>0</v>
      </c>
      <c r="D490" s="44">
        <v>0</v>
      </c>
      <c r="E490" s="44">
        <v>526.14</v>
      </c>
      <c r="F490" s="44">
        <v>520.17020000000002</v>
      </c>
    </row>
    <row r="491" spans="1:6">
      <c r="A491" s="42">
        <v>46254.083333333336</v>
      </c>
      <c r="B491" s="43" t="s">
        <v>28</v>
      </c>
      <c r="C491" s="44">
        <v>0</v>
      </c>
      <c r="D491" s="44">
        <v>0</v>
      </c>
      <c r="E491" s="44">
        <v>526.14</v>
      </c>
      <c r="F491" s="44">
        <v>520.17020000000002</v>
      </c>
    </row>
    <row r="492" spans="1:6">
      <c r="A492" s="42">
        <v>46254.125</v>
      </c>
      <c r="B492" s="43" t="s">
        <v>28</v>
      </c>
      <c r="C492" s="44">
        <v>0</v>
      </c>
      <c r="D492" s="44">
        <v>0</v>
      </c>
      <c r="E492" s="44">
        <v>526.14</v>
      </c>
      <c r="F492" s="44">
        <v>520.17020000000002</v>
      </c>
    </row>
    <row r="493" spans="1:6">
      <c r="A493" s="42">
        <v>46254.166666666664</v>
      </c>
      <c r="B493" s="43" t="s">
        <v>28</v>
      </c>
      <c r="C493" s="44">
        <v>0</v>
      </c>
      <c r="D493" s="44">
        <v>0</v>
      </c>
      <c r="E493" s="44">
        <v>526.14</v>
      </c>
      <c r="F493" s="44">
        <v>520.17020000000002</v>
      </c>
    </row>
    <row r="494" spans="1:6">
      <c r="A494" s="42">
        <v>46254.208333333336</v>
      </c>
      <c r="B494" s="43" t="s">
        <v>28</v>
      </c>
      <c r="C494" s="44">
        <v>0</v>
      </c>
      <c r="D494" s="44">
        <v>0</v>
      </c>
      <c r="E494" s="44">
        <v>526.14</v>
      </c>
      <c r="F494" s="44">
        <v>520.17020000000002</v>
      </c>
    </row>
    <row r="495" spans="1:6">
      <c r="A495" s="42">
        <v>46254.25</v>
      </c>
      <c r="B495" s="43" t="s">
        <v>28</v>
      </c>
      <c r="C495" s="44">
        <v>0</v>
      </c>
      <c r="D495" s="44">
        <v>0</v>
      </c>
      <c r="E495" s="44">
        <v>526.14</v>
      </c>
      <c r="F495" s="44">
        <v>520.17020000000002</v>
      </c>
    </row>
    <row r="496" spans="1:6">
      <c r="A496" s="42">
        <v>46254.291666666664</v>
      </c>
      <c r="B496" s="43" t="s">
        <v>28</v>
      </c>
      <c r="C496" s="44">
        <v>0</v>
      </c>
      <c r="D496" s="44">
        <v>0</v>
      </c>
      <c r="E496" s="44">
        <v>526.14</v>
      </c>
      <c r="F496" s="44">
        <v>520.17020000000002</v>
      </c>
    </row>
    <row r="497" spans="1:6">
      <c r="A497" s="42">
        <v>46254.333333333336</v>
      </c>
      <c r="B497" s="43" t="s">
        <v>28</v>
      </c>
      <c r="C497" s="44">
        <v>0</v>
      </c>
      <c r="D497" s="44">
        <v>0</v>
      </c>
      <c r="E497" s="44">
        <v>526.14</v>
      </c>
      <c r="F497" s="44">
        <v>520.17020000000002</v>
      </c>
    </row>
    <row r="498" spans="1:6">
      <c r="A498" s="42">
        <v>46254.375</v>
      </c>
      <c r="B498" s="43" t="s">
        <v>28</v>
      </c>
      <c r="C498" s="44">
        <v>0</v>
      </c>
      <c r="D498" s="44">
        <v>0</v>
      </c>
      <c r="E498" s="44">
        <v>526.14</v>
      </c>
      <c r="F498" s="44">
        <v>520.17020000000002</v>
      </c>
    </row>
    <row r="499" spans="1:6">
      <c r="A499" s="42">
        <v>46254.416666666664</v>
      </c>
      <c r="B499" s="43" t="s">
        <v>28</v>
      </c>
      <c r="C499" s="44">
        <v>0</v>
      </c>
      <c r="D499" s="44">
        <v>0</v>
      </c>
      <c r="E499" s="44">
        <v>526.14</v>
      </c>
      <c r="F499" s="44">
        <v>520.17020000000002</v>
      </c>
    </row>
    <row r="500" spans="1:6">
      <c r="A500" s="42">
        <v>46254.458333333336</v>
      </c>
      <c r="B500" s="43" t="s">
        <v>28</v>
      </c>
      <c r="C500" s="44">
        <v>0</v>
      </c>
      <c r="D500" s="44">
        <v>0</v>
      </c>
      <c r="E500" s="44">
        <v>526.14</v>
      </c>
      <c r="F500" s="44">
        <v>520.17020000000002</v>
      </c>
    </row>
    <row r="501" spans="1:6">
      <c r="A501" s="42">
        <v>46254.5</v>
      </c>
      <c r="B501" s="43" t="s">
        <v>28</v>
      </c>
      <c r="C501" s="44">
        <v>0</v>
      </c>
      <c r="D501" s="44">
        <v>0</v>
      </c>
      <c r="E501" s="44">
        <v>526.14</v>
      </c>
      <c r="F501" s="44">
        <v>520.17020000000002</v>
      </c>
    </row>
    <row r="502" spans="1:6">
      <c r="A502" s="42">
        <v>46254.541666666664</v>
      </c>
      <c r="B502" s="43" t="s">
        <v>28</v>
      </c>
      <c r="C502" s="44">
        <v>0</v>
      </c>
      <c r="D502" s="44">
        <v>0</v>
      </c>
      <c r="E502" s="44">
        <v>526.14</v>
      </c>
      <c r="F502" s="44">
        <v>520.17020000000002</v>
      </c>
    </row>
    <row r="503" spans="1:6">
      <c r="A503" s="42">
        <v>46254.583333333336</v>
      </c>
      <c r="B503" s="43" t="s">
        <v>28</v>
      </c>
      <c r="C503" s="44">
        <v>0</v>
      </c>
      <c r="D503" s="44">
        <v>0</v>
      </c>
      <c r="E503" s="44">
        <v>526.14</v>
      </c>
      <c r="F503" s="44">
        <v>520.17020000000002</v>
      </c>
    </row>
    <row r="504" spans="1:6">
      <c r="A504" s="42">
        <v>46254.625</v>
      </c>
      <c r="B504" s="43" t="s">
        <v>28</v>
      </c>
      <c r="C504" s="44">
        <v>0</v>
      </c>
      <c r="D504" s="44">
        <v>0</v>
      </c>
      <c r="E504" s="44">
        <v>526.14</v>
      </c>
      <c r="F504" s="44">
        <v>520.17020000000002</v>
      </c>
    </row>
    <row r="505" spans="1:6">
      <c r="A505" s="42">
        <v>46254.666666666664</v>
      </c>
      <c r="B505" s="43" t="s">
        <v>28</v>
      </c>
      <c r="C505" s="44">
        <v>0</v>
      </c>
      <c r="D505" s="44">
        <v>0</v>
      </c>
      <c r="E505" s="44">
        <v>526.14</v>
      </c>
      <c r="F505" s="44">
        <v>520.17020000000002</v>
      </c>
    </row>
    <row r="506" spans="1:6">
      <c r="A506" s="42">
        <v>46254.708333333336</v>
      </c>
      <c r="B506" s="43" t="s">
        <v>28</v>
      </c>
      <c r="C506" s="44">
        <v>0</v>
      </c>
      <c r="D506" s="44">
        <v>0</v>
      </c>
      <c r="E506" s="44">
        <v>526.14</v>
      </c>
      <c r="F506" s="44">
        <v>520.17020000000002</v>
      </c>
    </row>
    <row r="507" spans="1:6">
      <c r="A507" s="42">
        <v>46254.75</v>
      </c>
      <c r="B507" s="43" t="s">
        <v>28</v>
      </c>
      <c r="C507" s="44">
        <v>0</v>
      </c>
      <c r="D507" s="44">
        <v>0</v>
      </c>
      <c r="E507" s="44">
        <v>526.14</v>
      </c>
      <c r="F507" s="44">
        <v>520.17020000000002</v>
      </c>
    </row>
    <row r="508" spans="1:6">
      <c r="A508" s="42">
        <v>46254.791666666664</v>
      </c>
      <c r="B508" s="43" t="s">
        <v>28</v>
      </c>
      <c r="C508" s="44">
        <v>0</v>
      </c>
      <c r="D508" s="44">
        <v>0</v>
      </c>
      <c r="E508" s="44">
        <v>526.14</v>
      </c>
      <c r="F508" s="44">
        <v>520.17020000000002</v>
      </c>
    </row>
    <row r="509" spans="1:6">
      <c r="A509" s="42">
        <v>46254.833333333336</v>
      </c>
      <c r="B509" s="43" t="s">
        <v>28</v>
      </c>
      <c r="C509" s="44">
        <v>0</v>
      </c>
      <c r="D509" s="44">
        <v>0</v>
      </c>
      <c r="E509" s="44">
        <v>526.14</v>
      </c>
      <c r="F509" s="44">
        <v>520.17020000000002</v>
      </c>
    </row>
    <row r="510" spans="1:6">
      <c r="A510" s="42">
        <v>46254.875</v>
      </c>
      <c r="B510" s="43" t="s">
        <v>28</v>
      </c>
      <c r="C510" s="44">
        <v>0</v>
      </c>
      <c r="D510" s="44">
        <v>0</v>
      </c>
      <c r="E510" s="44">
        <v>526.14</v>
      </c>
      <c r="F510" s="44">
        <v>520.17020000000002</v>
      </c>
    </row>
    <row r="511" spans="1:6">
      <c r="A511" s="42">
        <v>46254.916666666664</v>
      </c>
      <c r="B511" s="43" t="s">
        <v>28</v>
      </c>
      <c r="C511" s="44">
        <v>0</v>
      </c>
      <c r="D511" s="44">
        <v>0</v>
      </c>
      <c r="E511" s="44">
        <v>526.14</v>
      </c>
      <c r="F511" s="44">
        <v>520.17020000000002</v>
      </c>
    </row>
    <row r="512" spans="1:6">
      <c r="A512" s="42">
        <v>46254.958333333336</v>
      </c>
      <c r="B512" s="43" t="s">
        <v>28</v>
      </c>
      <c r="C512" s="44">
        <v>0</v>
      </c>
      <c r="D512" s="44">
        <v>0</v>
      </c>
      <c r="E512" s="44">
        <v>526.14</v>
      </c>
      <c r="F512" s="44">
        <v>520.17020000000002</v>
      </c>
    </row>
    <row r="513" spans="1:6">
      <c r="A513" s="42">
        <v>46255</v>
      </c>
      <c r="B513" s="43" t="s">
        <v>28</v>
      </c>
      <c r="C513" s="44">
        <v>0</v>
      </c>
      <c r="D513" s="44">
        <v>0</v>
      </c>
      <c r="E513" s="44">
        <v>526.14</v>
      </c>
      <c r="F513" s="44">
        <v>520.17020000000002</v>
      </c>
    </row>
    <row r="514" spans="1:6">
      <c r="A514" s="42">
        <v>46255.041666666664</v>
      </c>
      <c r="B514" s="43" t="s">
        <v>28</v>
      </c>
      <c r="C514" s="44">
        <v>0</v>
      </c>
      <c r="D514" s="44">
        <v>0</v>
      </c>
      <c r="E514" s="44">
        <v>526.14</v>
      </c>
      <c r="F514" s="44">
        <v>520.17020000000002</v>
      </c>
    </row>
    <row r="515" spans="1:6">
      <c r="A515" s="42">
        <v>46255.083333333336</v>
      </c>
      <c r="B515" s="43" t="s">
        <v>28</v>
      </c>
      <c r="C515" s="44">
        <v>0</v>
      </c>
      <c r="D515" s="44">
        <v>0</v>
      </c>
      <c r="E515" s="44">
        <v>526.14</v>
      </c>
      <c r="F515" s="44">
        <v>520.17020000000002</v>
      </c>
    </row>
    <row r="516" spans="1:6">
      <c r="A516" s="42">
        <v>46255.125</v>
      </c>
      <c r="B516" s="43" t="s">
        <v>28</v>
      </c>
      <c r="C516" s="44">
        <v>0</v>
      </c>
      <c r="D516" s="44">
        <v>0</v>
      </c>
      <c r="E516" s="44">
        <v>526.14</v>
      </c>
      <c r="F516" s="44">
        <v>520.17020000000002</v>
      </c>
    </row>
    <row r="517" spans="1:6">
      <c r="A517" s="42">
        <v>46255.166666666664</v>
      </c>
      <c r="B517" s="43" t="s">
        <v>28</v>
      </c>
      <c r="C517" s="44">
        <v>0</v>
      </c>
      <c r="D517" s="44">
        <v>0</v>
      </c>
      <c r="E517" s="44">
        <v>526.14</v>
      </c>
      <c r="F517" s="44">
        <v>520.17020000000002</v>
      </c>
    </row>
    <row r="518" spans="1:6">
      <c r="A518" s="42">
        <v>46255.208333333336</v>
      </c>
      <c r="B518" s="43" t="s">
        <v>28</v>
      </c>
      <c r="C518" s="44">
        <v>0</v>
      </c>
      <c r="D518" s="44">
        <v>0</v>
      </c>
      <c r="E518" s="44">
        <v>526.14</v>
      </c>
      <c r="F518" s="44">
        <v>520.17020000000002</v>
      </c>
    </row>
    <row r="519" spans="1:6">
      <c r="A519" s="42">
        <v>46255.25</v>
      </c>
      <c r="B519" s="43" t="s">
        <v>28</v>
      </c>
      <c r="C519" s="44">
        <v>0</v>
      </c>
      <c r="D519" s="44">
        <v>0</v>
      </c>
      <c r="E519" s="44">
        <v>526.14</v>
      </c>
      <c r="F519" s="44">
        <v>520.17020000000002</v>
      </c>
    </row>
    <row r="520" spans="1:6">
      <c r="A520" s="42">
        <v>46255.291666666664</v>
      </c>
      <c r="B520" s="43" t="s">
        <v>28</v>
      </c>
      <c r="C520" s="44">
        <v>0</v>
      </c>
      <c r="D520" s="44">
        <v>0</v>
      </c>
      <c r="E520" s="44">
        <v>526.14</v>
      </c>
      <c r="F520" s="44">
        <v>520.17020000000002</v>
      </c>
    </row>
    <row r="521" spans="1:6">
      <c r="A521" s="42">
        <v>46255.333333333336</v>
      </c>
      <c r="B521" s="43" t="s">
        <v>28</v>
      </c>
      <c r="C521" s="44">
        <v>0</v>
      </c>
      <c r="D521" s="44">
        <v>0</v>
      </c>
      <c r="E521" s="44">
        <v>526.14</v>
      </c>
      <c r="F521" s="44">
        <v>520.17020000000002</v>
      </c>
    </row>
    <row r="522" spans="1:6">
      <c r="A522" s="42">
        <v>46255.375</v>
      </c>
      <c r="B522" s="43" t="s">
        <v>28</v>
      </c>
      <c r="C522" s="44">
        <v>0</v>
      </c>
      <c r="D522" s="44">
        <v>0</v>
      </c>
      <c r="E522" s="44">
        <v>526.14</v>
      </c>
      <c r="F522" s="44">
        <v>520.17020000000002</v>
      </c>
    </row>
    <row r="523" spans="1:6">
      <c r="A523" s="42">
        <v>46255.416666666664</v>
      </c>
      <c r="B523" s="43" t="s">
        <v>28</v>
      </c>
      <c r="C523" s="44">
        <v>0</v>
      </c>
      <c r="D523" s="44">
        <v>0</v>
      </c>
      <c r="E523" s="44">
        <v>526.14</v>
      </c>
      <c r="F523" s="44">
        <v>520.17020000000002</v>
      </c>
    </row>
    <row r="524" spans="1:6">
      <c r="A524" s="42">
        <v>46255.458333333336</v>
      </c>
      <c r="B524" s="43" t="s">
        <v>28</v>
      </c>
      <c r="C524" s="44">
        <v>0</v>
      </c>
      <c r="D524" s="44">
        <v>0</v>
      </c>
      <c r="E524" s="44">
        <v>526.14</v>
      </c>
      <c r="F524" s="44">
        <v>520.17020000000002</v>
      </c>
    </row>
    <row r="525" spans="1:6">
      <c r="A525" s="42">
        <v>46255.5</v>
      </c>
      <c r="B525" s="43" t="s">
        <v>28</v>
      </c>
      <c r="C525" s="44">
        <v>0</v>
      </c>
      <c r="D525" s="44">
        <v>0</v>
      </c>
      <c r="E525" s="44">
        <v>526.14</v>
      </c>
      <c r="F525" s="44">
        <v>520.17020000000002</v>
      </c>
    </row>
    <row r="526" spans="1:6">
      <c r="A526" s="42">
        <v>46255.541666666664</v>
      </c>
      <c r="B526" s="43" t="s">
        <v>28</v>
      </c>
      <c r="C526" s="44">
        <v>0</v>
      </c>
      <c r="D526" s="44">
        <v>0</v>
      </c>
      <c r="E526" s="44">
        <v>526.14</v>
      </c>
      <c r="F526" s="44">
        <v>520.17020000000002</v>
      </c>
    </row>
    <row r="527" spans="1:6">
      <c r="A527" s="42">
        <v>46255.583333333336</v>
      </c>
      <c r="B527" s="43" t="s">
        <v>28</v>
      </c>
      <c r="C527" s="44">
        <v>0</v>
      </c>
      <c r="D527" s="44">
        <v>0</v>
      </c>
      <c r="E527" s="44">
        <v>526.14</v>
      </c>
      <c r="F527" s="44">
        <v>520.17020000000002</v>
      </c>
    </row>
    <row r="528" spans="1:6">
      <c r="A528" s="42">
        <v>46255.625</v>
      </c>
      <c r="B528" s="43" t="s">
        <v>28</v>
      </c>
      <c r="C528" s="44">
        <v>0</v>
      </c>
      <c r="D528" s="44">
        <v>0</v>
      </c>
      <c r="E528" s="44">
        <v>526.14</v>
      </c>
      <c r="F528" s="44">
        <v>520.17020000000002</v>
      </c>
    </row>
    <row r="529" spans="1:6">
      <c r="A529" s="42">
        <v>46255.666666666664</v>
      </c>
      <c r="B529" s="43" t="s">
        <v>28</v>
      </c>
      <c r="C529" s="44">
        <v>0</v>
      </c>
      <c r="D529" s="44">
        <v>0</v>
      </c>
      <c r="E529" s="44">
        <v>526.14</v>
      </c>
      <c r="F529" s="44">
        <v>520.17020000000002</v>
      </c>
    </row>
    <row r="530" spans="1:6">
      <c r="A530" s="42">
        <v>46255.708333333336</v>
      </c>
      <c r="B530" s="43" t="s">
        <v>28</v>
      </c>
      <c r="C530" s="44">
        <v>0</v>
      </c>
      <c r="D530" s="44">
        <v>0</v>
      </c>
      <c r="E530" s="44">
        <v>526.14</v>
      </c>
      <c r="F530" s="44">
        <v>520.17020000000002</v>
      </c>
    </row>
    <row r="531" spans="1:6">
      <c r="A531" s="42">
        <v>46255.75</v>
      </c>
      <c r="B531" s="43" t="s">
        <v>28</v>
      </c>
      <c r="C531" s="44">
        <v>0</v>
      </c>
      <c r="D531" s="44">
        <v>0</v>
      </c>
      <c r="E531" s="44">
        <v>526.14</v>
      </c>
      <c r="F531" s="44">
        <v>520.17020000000002</v>
      </c>
    </row>
    <row r="532" spans="1:6">
      <c r="A532" s="42">
        <v>46255.791666666664</v>
      </c>
      <c r="B532" s="43" t="s">
        <v>28</v>
      </c>
      <c r="C532" s="44">
        <v>0</v>
      </c>
      <c r="D532" s="44">
        <v>0</v>
      </c>
      <c r="E532" s="44">
        <v>526.14</v>
      </c>
      <c r="F532" s="44">
        <v>520.17020000000002</v>
      </c>
    </row>
    <row r="533" spans="1:6">
      <c r="A533" s="42">
        <v>46255.833333333336</v>
      </c>
      <c r="B533" s="43" t="s">
        <v>28</v>
      </c>
      <c r="C533" s="44">
        <v>0</v>
      </c>
      <c r="D533" s="44">
        <v>0</v>
      </c>
      <c r="E533" s="44">
        <v>526.14</v>
      </c>
      <c r="F533" s="44">
        <v>520.17020000000002</v>
      </c>
    </row>
    <row r="534" spans="1:6">
      <c r="A534" s="42">
        <v>46255.875</v>
      </c>
      <c r="B534" s="43" t="s">
        <v>28</v>
      </c>
      <c r="C534" s="44">
        <v>0</v>
      </c>
      <c r="D534" s="44">
        <v>0</v>
      </c>
      <c r="E534" s="44">
        <v>526.14</v>
      </c>
      <c r="F534" s="44">
        <v>520.17020000000002</v>
      </c>
    </row>
    <row r="535" spans="1:6">
      <c r="A535" s="42">
        <v>46255.916666666664</v>
      </c>
      <c r="B535" s="43" t="s">
        <v>28</v>
      </c>
      <c r="C535" s="44">
        <v>0</v>
      </c>
      <c r="D535" s="44">
        <v>0</v>
      </c>
      <c r="E535" s="44">
        <v>526.14</v>
      </c>
      <c r="F535" s="44">
        <v>520.17020000000002</v>
      </c>
    </row>
    <row r="536" spans="1:6">
      <c r="A536" s="42">
        <v>46255.958333333336</v>
      </c>
      <c r="B536" s="43" t="s">
        <v>28</v>
      </c>
      <c r="C536" s="44">
        <v>0</v>
      </c>
      <c r="D536" s="44">
        <v>0</v>
      </c>
      <c r="E536" s="44">
        <v>526.14</v>
      </c>
      <c r="F536" s="44">
        <v>520.17020000000002</v>
      </c>
    </row>
    <row r="537" spans="1:6">
      <c r="A537" s="42">
        <v>46256</v>
      </c>
      <c r="B537" s="43" t="s">
        <v>28</v>
      </c>
      <c r="C537" s="44">
        <v>0</v>
      </c>
      <c r="D537" s="44">
        <v>0</v>
      </c>
      <c r="E537" s="44">
        <v>526.14</v>
      </c>
      <c r="F537" s="44">
        <v>520.17020000000002</v>
      </c>
    </row>
    <row r="538" spans="1:6">
      <c r="A538" s="42">
        <v>46256.041666666664</v>
      </c>
      <c r="B538" s="43" t="s">
        <v>28</v>
      </c>
      <c r="C538" s="44">
        <v>0</v>
      </c>
      <c r="D538" s="44">
        <v>0</v>
      </c>
      <c r="E538" s="44">
        <v>526.14</v>
      </c>
      <c r="F538" s="44">
        <v>520.17020000000002</v>
      </c>
    </row>
    <row r="539" spans="1:6">
      <c r="A539" s="42">
        <v>46256.083333333336</v>
      </c>
      <c r="B539" s="43" t="s">
        <v>28</v>
      </c>
      <c r="C539" s="44">
        <v>0</v>
      </c>
      <c r="D539" s="44">
        <v>0</v>
      </c>
      <c r="E539" s="44">
        <v>526.14</v>
      </c>
      <c r="F539" s="44">
        <v>520.17020000000002</v>
      </c>
    </row>
    <row r="540" spans="1:6">
      <c r="A540" s="42">
        <v>46256.125</v>
      </c>
      <c r="B540" s="43" t="s">
        <v>28</v>
      </c>
      <c r="C540" s="44">
        <v>0</v>
      </c>
      <c r="D540" s="44">
        <v>0</v>
      </c>
      <c r="E540" s="44">
        <v>526.14</v>
      </c>
      <c r="F540" s="44">
        <v>520.17020000000002</v>
      </c>
    </row>
    <row r="541" spans="1:6">
      <c r="A541" s="42">
        <v>46256.166666666664</v>
      </c>
      <c r="B541" s="43" t="s">
        <v>28</v>
      </c>
      <c r="C541" s="44">
        <v>0</v>
      </c>
      <c r="D541" s="44">
        <v>0</v>
      </c>
      <c r="E541" s="44">
        <v>526.14</v>
      </c>
      <c r="F541" s="44">
        <v>520.17020000000002</v>
      </c>
    </row>
    <row r="542" spans="1:6">
      <c r="A542" s="42">
        <v>46256.208333333336</v>
      </c>
      <c r="B542" s="43" t="s">
        <v>28</v>
      </c>
      <c r="C542" s="44">
        <v>0</v>
      </c>
      <c r="D542" s="44">
        <v>0</v>
      </c>
      <c r="E542" s="44">
        <v>526.14</v>
      </c>
      <c r="F542" s="44">
        <v>520.17020000000002</v>
      </c>
    </row>
    <row r="543" spans="1:6">
      <c r="A543" s="42">
        <v>46256.25</v>
      </c>
      <c r="B543" s="43" t="s">
        <v>28</v>
      </c>
      <c r="C543" s="44">
        <v>0</v>
      </c>
      <c r="D543" s="44">
        <v>0</v>
      </c>
      <c r="E543" s="44">
        <v>526.14</v>
      </c>
      <c r="F543" s="44">
        <v>520.17020000000002</v>
      </c>
    </row>
    <row r="544" spans="1:6">
      <c r="A544" s="42">
        <v>46256.291666666664</v>
      </c>
      <c r="B544" s="43" t="s">
        <v>28</v>
      </c>
      <c r="C544" s="44">
        <v>0</v>
      </c>
      <c r="D544" s="44">
        <v>0</v>
      </c>
      <c r="E544" s="44">
        <v>526.14</v>
      </c>
      <c r="F544" s="44">
        <v>520.17020000000002</v>
      </c>
    </row>
    <row r="545" spans="1:6">
      <c r="A545" s="42">
        <v>46256.333333333336</v>
      </c>
      <c r="B545" s="43" t="s">
        <v>28</v>
      </c>
      <c r="C545" s="44">
        <v>0</v>
      </c>
      <c r="D545" s="44">
        <v>0</v>
      </c>
      <c r="E545" s="44">
        <v>526.14</v>
      </c>
      <c r="F545" s="44">
        <v>520.17020000000002</v>
      </c>
    </row>
    <row r="546" spans="1:6">
      <c r="A546" s="42">
        <v>46256.375</v>
      </c>
      <c r="B546" s="43" t="s">
        <v>28</v>
      </c>
      <c r="C546" s="44">
        <v>0</v>
      </c>
      <c r="D546" s="44">
        <v>0</v>
      </c>
      <c r="E546" s="44">
        <v>526.14</v>
      </c>
      <c r="F546" s="44">
        <v>520.17020000000002</v>
      </c>
    </row>
    <row r="547" spans="1:6">
      <c r="A547" s="42">
        <v>46256.416666666664</v>
      </c>
      <c r="B547" s="43" t="s">
        <v>28</v>
      </c>
      <c r="C547" s="44">
        <v>0</v>
      </c>
      <c r="D547" s="44">
        <v>0</v>
      </c>
      <c r="E547" s="44">
        <v>526.14</v>
      </c>
      <c r="F547" s="44">
        <v>520.17020000000002</v>
      </c>
    </row>
    <row r="548" spans="1:6">
      <c r="A548" s="42">
        <v>46256.458333333336</v>
      </c>
      <c r="B548" s="43" t="s">
        <v>28</v>
      </c>
      <c r="C548" s="44">
        <v>0</v>
      </c>
      <c r="D548" s="44">
        <v>0</v>
      </c>
      <c r="E548" s="44">
        <v>526.14</v>
      </c>
      <c r="F548" s="44">
        <v>520.17020000000002</v>
      </c>
    </row>
    <row r="549" spans="1:6">
      <c r="A549" s="42">
        <v>46256.5</v>
      </c>
      <c r="B549" s="43" t="s">
        <v>28</v>
      </c>
      <c r="C549" s="44">
        <v>0</v>
      </c>
      <c r="D549" s="44">
        <v>0</v>
      </c>
      <c r="E549" s="44">
        <v>526.14</v>
      </c>
      <c r="F549" s="44">
        <v>520.17020000000002</v>
      </c>
    </row>
    <row r="550" spans="1:6">
      <c r="A550" s="42">
        <v>46256.541666666664</v>
      </c>
      <c r="B550" s="43" t="s">
        <v>28</v>
      </c>
      <c r="C550" s="44">
        <v>0</v>
      </c>
      <c r="D550" s="44">
        <v>0</v>
      </c>
      <c r="E550" s="44">
        <v>526.14</v>
      </c>
      <c r="F550" s="44">
        <v>520.17020000000002</v>
      </c>
    </row>
    <row r="551" spans="1:6">
      <c r="A551" s="42">
        <v>46256.583333333336</v>
      </c>
      <c r="B551" s="43" t="s">
        <v>28</v>
      </c>
      <c r="C551" s="44">
        <v>0</v>
      </c>
      <c r="D551" s="44">
        <v>0</v>
      </c>
      <c r="E551" s="44">
        <v>526.14</v>
      </c>
      <c r="F551" s="44">
        <v>520.17020000000002</v>
      </c>
    </row>
    <row r="552" spans="1:6">
      <c r="A552" s="42">
        <v>46256.625</v>
      </c>
      <c r="B552" s="43" t="s">
        <v>28</v>
      </c>
      <c r="C552" s="44">
        <v>0</v>
      </c>
      <c r="D552" s="44">
        <v>0</v>
      </c>
      <c r="E552" s="44">
        <v>526.14</v>
      </c>
      <c r="F552" s="44">
        <v>520.17020000000002</v>
      </c>
    </row>
    <row r="553" spans="1:6">
      <c r="A553" s="42">
        <v>46256.666666666664</v>
      </c>
      <c r="B553" s="43" t="s">
        <v>28</v>
      </c>
      <c r="C553" s="44">
        <v>0</v>
      </c>
      <c r="D553" s="44">
        <v>0</v>
      </c>
      <c r="E553" s="44">
        <v>526.14</v>
      </c>
      <c r="F553" s="44">
        <v>520.17020000000002</v>
      </c>
    </row>
    <row r="554" spans="1:6">
      <c r="A554" s="42">
        <v>46256.708333333336</v>
      </c>
      <c r="B554" s="43" t="s">
        <v>28</v>
      </c>
      <c r="C554" s="44">
        <v>0</v>
      </c>
      <c r="D554" s="44">
        <v>0</v>
      </c>
      <c r="E554" s="44">
        <v>526.14</v>
      </c>
      <c r="F554" s="44">
        <v>520.17020000000002</v>
      </c>
    </row>
    <row r="555" spans="1:6">
      <c r="A555" s="42">
        <v>46256.75</v>
      </c>
      <c r="B555" s="43" t="s">
        <v>28</v>
      </c>
      <c r="C555" s="44">
        <v>0</v>
      </c>
      <c r="D555" s="44">
        <v>0</v>
      </c>
      <c r="E555" s="44">
        <v>526.14</v>
      </c>
      <c r="F555" s="44">
        <v>520.17020000000002</v>
      </c>
    </row>
    <row r="556" spans="1:6">
      <c r="A556" s="42">
        <v>46256.791666666664</v>
      </c>
      <c r="B556" s="43" t="s">
        <v>28</v>
      </c>
      <c r="C556" s="44">
        <v>0</v>
      </c>
      <c r="D556" s="44">
        <v>0</v>
      </c>
      <c r="E556" s="44">
        <v>526.14</v>
      </c>
      <c r="F556" s="44">
        <v>520.17020000000002</v>
      </c>
    </row>
    <row r="557" spans="1:6">
      <c r="A557" s="42">
        <v>46256.833333333336</v>
      </c>
      <c r="B557" s="43" t="s">
        <v>28</v>
      </c>
      <c r="C557" s="44">
        <v>0</v>
      </c>
      <c r="D557" s="44">
        <v>0</v>
      </c>
      <c r="E557" s="44">
        <v>526.14</v>
      </c>
      <c r="F557" s="44">
        <v>520.17020000000002</v>
      </c>
    </row>
    <row r="558" spans="1:6">
      <c r="A558" s="42">
        <v>46256.875</v>
      </c>
      <c r="B558" s="43" t="s">
        <v>28</v>
      </c>
      <c r="C558" s="44">
        <v>0</v>
      </c>
      <c r="D558" s="44">
        <v>0</v>
      </c>
      <c r="E558" s="44">
        <v>526.14</v>
      </c>
      <c r="F558" s="44">
        <v>520.17020000000002</v>
      </c>
    </row>
    <row r="559" spans="1:6">
      <c r="A559" s="42">
        <v>46256.916666666664</v>
      </c>
      <c r="B559" s="43" t="s">
        <v>28</v>
      </c>
      <c r="C559" s="44">
        <v>0</v>
      </c>
      <c r="D559" s="44">
        <v>0</v>
      </c>
      <c r="E559" s="44">
        <v>526.14</v>
      </c>
      <c r="F559" s="44">
        <v>520.17020000000002</v>
      </c>
    </row>
    <row r="560" spans="1:6">
      <c r="A560" s="42">
        <v>46256.958333333336</v>
      </c>
      <c r="B560" s="43" t="s">
        <v>28</v>
      </c>
      <c r="C560" s="44">
        <v>0</v>
      </c>
      <c r="D560" s="44">
        <v>0</v>
      </c>
      <c r="E560" s="44">
        <v>526.14</v>
      </c>
      <c r="F560" s="44">
        <v>520.17020000000002</v>
      </c>
    </row>
    <row r="561" spans="1:6">
      <c r="A561" s="42">
        <v>46257</v>
      </c>
      <c r="B561" s="43" t="s">
        <v>28</v>
      </c>
      <c r="C561" s="44">
        <v>0</v>
      </c>
      <c r="D561" s="44">
        <v>0</v>
      </c>
      <c r="E561" s="44">
        <v>526.14</v>
      </c>
      <c r="F561" s="44">
        <v>520.17020000000002</v>
      </c>
    </row>
    <row r="562" spans="1:6">
      <c r="A562" s="42">
        <v>46257.041666666664</v>
      </c>
      <c r="B562" s="43" t="s">
        <v>28</v>
      </c>
      <c r="C562" s="44">
        <v>0</v>
      </c>
      <c r="D562" s="44">
        <v>0</v>
      </c>
      <c r="E562" s="44">
        <v>526.14</v>
      </c>
      <c r="F562" s="44">
        <v>520.17020000000002</v>
      </c>
    </row>
    <row r="563" spans="1:6">
      <c r="A563" s="42">
        <v>46257.083333333336</v>
      </c>
      <c r="B563" s="43" t="s">
        <v>28</v>
      </c>
      <c r="C563" s="44">
        <v>0</v>
      </c>
      <c r="D563" s="44">
        <v>0</v>
      </c>
      <c r="E563" s="44">
        <v>526.14</v>
      </c>
      <c r="F563" s="44">
        <v>520.17020000000002</v>
      </c>
    </row>
    <row r="564" spans="1:6">
      <c r="A564" s="42">
        <v>46257.125</v>
      </c>
      <c r="B564" s="43" t="s">
        <v>28</v>
      </c>
      <c r="C564" s="44">
        <v>0</v>
      </c>
      <c r="D564" s="44">
        <v>0</v>
      </c>
      <c r="E564" s="44">
        <v>526.14</v>
      </c>
      <c r="F564" s="44">
        <v>520.17020000000002</v>
      </c>
    </row>
    <row r="565" spans="1:6">
      <c r="A565" s="42">
        <v>46257.166666666664</v>
      </c>
      <c r="B565" s="43" t="s">
        <v>28</v>
      </c>
      <c r="C565" s="44">
        <v>0</v>
      </c>
      <c r="D565" s="44">
        <v>0</v>
      </c>
      <c r="E565" s="44">
        <v>526.14</v>
      </c>
      <c r="F565" s="44">
        <v>520.17020000000002</v>
      </c>
    </row>
    <row r="566" spans="1:6">
      <c r="A566" s="42">
        <v>46257.208333333336</v>
      </c>
      <c r="B566" s="43" t="s">
        <v>28</v>
      </c>
      <c r="C566" s="44">
        <v>0</v>
      </c>
      <c r="D566" s="44">
        <v>0</v>
      </c>
      <c r="E566" s="44">
        <v>526.14</v>
      </c>
      <c r="F566" s="44">
        <v>520.17020000000002</v>
      </c>
    </row>
    <row r="567" spans="1:6">
      <c r="A567" s="42">
        <v>46257.25</v>
      </c>
      <c r="B567" s="43" t="s">
        <v>28</v>
      </c>
      <c r="C567" s="44">
        <v>0</v>
      </c>
      <c r="D567" s="44">
        <v>0</v>
      </c>
      <c r="E567" s="44">
        <v>526.14</v>
      </c>
      <c r="F567" s="44">
        <v>520.17020000000002</v>
      </c>
    </row>
    <row r="568" spans="1:6">
      <c r="A568" s="42">
        <v>46257.291666666664</v>
      </c>
      <c r="B568" s="43" t="s">
        <v>28</v>
      </c>
      <c r="C568" s="44">
        <v>0</v>
      </c>
      <c r="D568" s="44">
        <v>0</v>
      </c>
      <c r="E568" s="44">
        <v>526.14</v>
      </c>
      <c r="F568" s="44">
        <v>520.17020000000002</v>
      </c>
    </row>
    <row r="569" spans="1:6">
      <c r="A569" s="42">
        <v>46257.333333333336</v>
      </c>
      <c r="B569" s="43" t="s">
        <v>28</v>
      </c>
      <c r="C569" s="44">
        <v>0</v>
      </c>
      <c r="D569" s="44">
        <v>0</v>
      </c>
      <c r="E569" s="44">
        <v>526.14</v>
      </c>
      <c r="F569" s="44">
        <v>520.17020000000002</v>
      </c>
    </row>
    <row r="570" spans="1:6">
      <c r="A570" s="42">
        <v>46257.375</v>
      </c>
      <c r="B570" s="43" t="s">
        <v>28</v>
      </c>
      <c r="C570" s="44">
        <v>0</v>
      </c>
      <c r="D570" s="44">
        <v>0</v>
      </c>
      <c r="E570" s="44">
        <v>526.14</v>
      </c>
      <c r="F570" s="44">
        <v>520.17020000000002</v>
      </c>
    </row>
    <row r="571" spans="1:6">
      <c r="A571" s="42">
        <v>46257.416666666664</v>
      </c>
      <c r="B571" s="43" t="s">
        <v>28</v>
      </c>
      <c r="C571" s="44">
        <v>0</v>
      </c>
      <c r="D571" s="44">
        <v>0</v>
      </c>
      <c r="E571" s="44">
        <v>526.14</v>
      </c>
      <c r="F571" s="44">
        <v>520.17020000000002</v>
      </c>
    </row>
    <row r="572" spans="1:6">
      <c r="A572" s="42">
        <v>46257.458333333336</v>
      </c>
      <c r="B572" s="43" t="s">
        <v>28</v>
      </c>
      <c r="C572" s="44">
        <v>0</v>
      </c>
      <c r="D572" s="44">
        <v>0</v>
      </c>
      <c r="E572" s="44">
        <v>526.14</v>
      </c>
      <c r="F572" s="44">
        <v>520.17020000000002</v>
      </c>
    </row>
    <row r="573" spans="1:6">
      <c r="A573" s="42">
        <v>46257.5</v>
      </c>
      <c r="B573" s="43" t="s">
        <v>28</v>
      </c>
      <c r="C573" s="44">
        <v>0</v>
      </c>
      <c r="D573" s="44">
        <v>0</v>
      </c>
      <c r="E573" s="44">
        <v>526.14</v>
      </c>
      <c r="F573" s="44">
        <v>520.17020000000002</v>
      </c>
    </row>
    <row r="574" spans="1:6">
      <c r="A574" s="42">
        <v>46257.541666666664</v>
      </c>
      <c r="B574" s="43" t="s">
        <v>28</v>
      </c>
      <c r="C574" s="44">
        <v>0</v>
      </c>
      <c r="D574" s="44">
        <v>0</v>
      </c>
      <c r="E574" s="44">
        <v>526.14</v>
      </c>
      <c r="F574" s="44">
        <v>520.17020000000002</v>
      </c>
    </row>
    <row r="575" spans="1:6">
      <c r="A575" s="42">
        <v>46257.583333333336</v>
      </c>
      <c r="B575" s="43" t="s">
        <v>28</v>
      </c>
      <c r="C575" s="44">
        <v>0</v>
      </c>
      <c r="D575" s="44">
        <v>0</v>
      </c>
      <c r="E575" s="44">
        <v>526.14</v>
      </c>
      <c r="F575" s="44">
        <v>520.17020000000002</v>
      </c>
    </row>
    <row r="576" spans="1:6">
      <c r="A576" s="42">
        <v>46257.625</v>
      </c>
      <c r="B576" s="43" t="s">
        <v>28</v>
      </c>
      <c r="C576" s="44">
        <v>0</v>
      </c>
      <c r="D576" s="44">
        <v>0</v>
      </c>
      <c r="E576" s="44">
        <v>526.14</v>
      </c>
      <c r="F576" s="44">
        <v>520.17020000000002</v>
      </c>
    </row>
    <row r="577" spans="1:6">
      <c r="A577" s="42">
        <v>46257.666666666664</v>
      </c>
      <c r="B577" s="43" t="s">
        <v>28</v>
      </c>
      <c r="C577" s="44">
        <v>0</v>
      </c>
      <c r="D577" s="44">
        <v>0</v>
      </c>
      <c r="E577" s="44">
        <v>526.14</v>
      </c>
      <c r="F577" s="44">
        <v>520.17020000000002</v>
      </c>
    </row>
    <row r="578" spans="1:6">
      <c r="A578" s="42">
        <v>46257.708333333336</v>
      </c>
      <c r="B578" s="43" t="s">
        <v>28</v>
      </c>
      <c r="C578" s="44">
        <v>0</v>
      </c>
      <c r="D578" s="44">
        <v>0</v>
      </c>
      <c r="E578" s="44">
        <v>526.14</v>
      </c>
      <c r="F578" s="44">
        <v>520.17020000000002</v>
      </c>
    </row>
    <row r="579" spans="1:6">
      <c r="A579" s="42">
        <v>46257.75</v>
      </c>
      <c r="B579" s="43" t="s">
        <v>28</v>
      </c>
      <c r="C579" s="44">
        <v>0</v>
      </c>
      <c r="D579" s="44">
        <v>0</v>
      </c>
      <c r="E579" s="44">
        <v>526.14</v>
      </c>
      <c r="F579" s="44">
        <v>520.17020000000002</v>
      </c>
    </row>
    <row r="580" spans="1:6">
      <c r="A580" s="42">
        <v>46257.791666666664</v>
      </c>
      <c r="B580" s="43" t="s">
        <v>28</v>
      </c>
      <c r="C580" s="44">
        <v>0</v>
      </c>
      <c r="D580" s="44">
        <v>0</v>
      </c>
      <c r="E580" s="44">
        <v>526.14</v>
      </c>
      <c r="F580" s="44">
        <v>520.17020000000002</v>
      </c>
    </row>
    <row r="581" spans="1:6">
      <c r="A581" s="42">
        <v>46257.833333333336</v>
      </c>
      <c r="B581" s="43" t="s">
        <v>28</v>
      </c>
      <c r="C581" s="44">
        <v>0</v>
      </c>
      <c r="D581" s="44">
        <v>0</v>
      </c>
      <c r="E581" s="44">
        <v>526.14</v>
      </c>
      <c r="F581" s="44">
        <v>520.17020000000002</v>
      </c>
    </row>
    <row r="582" spans="1:6">
      <c r="A582" s="42">
        <v>46257.875</v>
      </c>
      <c r="B582" s="43" t="s">
        <v>28</v>
      </c>
      <c r="C582" s="44">
        <v>0</v>
      </c>
      <c r="D582" s="44">
        <v>0</v>
      </c>
      <c r="E582" s="44">
        <v>526.14</v>
      </c>
      <c r="F582" s="44">
        <v>520.17020000000002</v>
      </c>
    </row>
    <row r="583" spans="1:6">
      <c r="A583" s="42">
        <v>46257.916666666664</v>
      </c>
      <c r="B583" s="43" t="s">
        <v>28</v>
      </c>
      <c r="C583" s="44">
        <v>0</v>
      </c>
      <c r="D583" s="44">
        <v>0</v>
      </c>
      <c r="E583" s="44">
        <v>526.14</v>
      </c>
      <c r="F583" s="44">
        <v>520.17020000000002</v>
      </c>
    </row>
    <row r="584" spans="1:6">
      <c r="A584" s="42">
        <v>46257.958333333336</v>
      </c>
      <c r="B584" s="43" t="s">
        <v>28</v>
      </c>
      <c r="C584" s="44">
        <v>0</v>
      </c>
      <c r="D584" s="44">
        <v>0</v>
      </c>
      <c r="E584" s="44">
        <v>526.14</v>
      </c>
      <c r="F584" s="44">
        <v>520.17020000000002</v>
      </c>
    </row>
    <row r="585" spans="1:6">
      <c r="A585" s="42">
        <v>46258</v>
      </c>
      <c r="B585" s="43" t="s">
        <v>28</v>
      </c>
      <c r="C585" s="44">
        <v>0</v>
      </c>
      <c r="D585" s="44">
        <v>0</v>
      </c>
      <c r="E585" s="44">
        <v>526.14</v>
      </c>
      <c r="F585" s="44">
        <v>520.17020000000002</v>
      </c>
    </row>
    <row r="586" spans="1:6">
      <c r="A586" s="42">
        <v>46258.041666666664</v>
      </c>
      <c r="B586" s="43" t="s">
        <v>28</v>
      </c>
      <c r="C586" s="44">
        <v>0</v>
      </c>
      <c r="D586" s="44">
        <v>0</v>
      </c>
      <c r="E586" s="44">
        <v>526.14</v>
      </c>
      <c r="F586" s="44">
        <v>520.17020000000002</v>
      </c>
    </row>
    <row r="587" spans="1:6">
      <c r="A587" s="42">
        <v>46258.083333333336</v>
      </c>
      <c r="B587" s="43" t="s">
        <v>28</v>
      </c>
      <c r="C587" s="44">
        <v>0</v>
      </c>
      <c r="D587" s="44">
        <v>0</v>
      </c>
      <c r="E587" s="44">
        <v>526.14</v>
      </c>
      <c r="F587" s="44">
        <v>520.17020000000002</v>
      </c>
    </row>
    <row r="588" spans="1:6">
      <c r="A588" s="42">
        <v>46258.125</v>
      </c>
      <c r="B588" s="43" t="s">
        <v>28</v>
      </c>
      <c r="C588" s="44">
        <v>0</v>
      </c>
      <c r="D588" s="44">
        <v>0</v>
      </c>
      <c r="E588" s="44">
        <v>526.14</v>
      </c>
      <c r="F588" s="44">
        <v>520.17020000000002</v>
      </c>
    </row>
    <row r="589" spans="1:6">
      <c r="A589" s="42">
        <v>46258.166666666664</v>
      </c>
      <c r="B589" s="43" t="s">
        <v>28</v>
      </c>
      <c r="C589" s="44">
        <v>0</v>
      </c>
      <c r="D589" s="44">
        <v>0</v>
      </c>
      <c r="E589" s="44">
        <v>526.14</v>
      </c>
      <c r="F589" s="44">
        <v>520.17020000000002</v>
      </c>
    </row>
    <row r="590" spans="1:6">
      <c r="A590" s="42">
        <v>46258.208333333336</v>
      </c>
      <c r="B590" s="43" t="s">
        <v>28</v>
      </c>
      <c r="C590" s="44">
        <v>0</v>
      </c>
      <c r="D590" s="44">
        <v>0</v>
      </c>
      <c r="E590" s="44">
        <v>526.14</v>
      </c>
      <c r="F590" s="44">
        <v>520.17020000000002</v>
      </c>
    </row>
    <row r="591" spans="1:6">
      <c r="A591" s="42">
        <v>46258.25</v>
      </c>
      <c r="B591" s="43" t="s">
        <v>28</v>
      </c>
      <c r="C591" s="44">
        <v>0</v>
      </c>
      <c r="D591" s="44">
        <v>0</v>
      </c>
      <c r="E591" s="44">
        <v>526.14</v>
      </c>
      <c r="F591" s="44">
        <v>520.17020000000002</v>
      </c>
    </row>
    <row r="592" spans="1:6">
      <c r="A592" s="42">
        <v>46258.291666666664</v>
      </c>
      <c r="B592" s="43" t="s">
        <v>28</v>
      </c>
      <c r="C592" s="44">
        <v>0</v>
      </c>
      <c r="D592" s="44">
        <v>0</v>
      </c>
      <c r="E592" s="44">
        <v>526.14</v>
      </c>
      <c r="F592" s="44">
        <v>520.17020000000002</v>
      </c>
    </row>
    <row r="593" spans="1:6">
      <c r="A593" s="42">
        <v>46258.333333333336</v>
      </c>
      <c r="B593" s="43" t="s">
        <v>28</v>
      </c>
      <c r="C593" s="44">
        <v>0</v>
      </c>
      <c r="D593" s="44">
        <v>0</v>
      </c>
      <c r="E593" s="44">
        <v>526.14</v>
      </c>
      <c r="F593" s="44">
        <v>520.17020000000002</v>
      </c>
    </row>
    <row r="594" spans="1:6">
      <c r="A594" s="42">
        <v>46258.375</v>
      </c>
      <c r="B594" s="43" t="s">
        <v>28</v>
      </c>
      <c r="C594" s="44">
        <v>0</v>
      </c>
      <c r="D594" s="44">
        <v>0</v>
      </c>
      <c r="E594" s="44">
        <v>526.14</v>
      </c>
      <c r="F594" s="44">
        <v>520.17020000000002</v>
      </c>
    </row>
    <row r="595" spans="1:6">
      <c r="A595" s="42">
        <v>46258.416666666664</v>
      </c>
      <c r="B595" s="43" t="s">
        <v>28</v>
      </c>
      <c r="C595" s="44">
        <v>0</v>
      </c>
      <c r="D595" s="44">
        <v>0</v>
      </c>
      <c r="E595" s="44">
        <v>526.14</v>
      </c>
      <c r="F595" s="44">
        <v>520.17020000000002</v>
      </c>
    </row>
    <row r="596" spans="1:6">
      <c r="A596" s="42">
        <v>46258.458333333336</v>
      </c>
      <c r="B596" s="43" t="s">
        <v>28</v>
      </c>
      <c r="C596" s="44">
        <v>0</v>
      </c>
      <c r="D596" s="44">
        <v>0</v>
      </c>
      <c r="E596" s="44">
        <v>526.14</v>
      </c>
      <c r="F596" s="44">
        <v>520.17020000000002</v>
      </c>
    </row>
    <row r="597" spans="1:6">
      <c r="A597" s="42">
        <v>46258.5</v>
      </c>
      <c r="B597" s="43" t="s">
        <v>28</v>
      </c>
      <c r="C597" s="44">
        <v>0</v>
      </c>
      <c r="D597" s="44">
        <v>0</v>
      </c>
      <c r="E597" s="44">
        <v>526.14</v>
      </c>
      <c r="F597" s="44">
        <v>520.17020000000002</v>
      </c>
    </row>
    <row r="598" spans="1:6">
      <c r="A598" s="42">
        <v>46258.541666666664</v>
      </c>
      <c r="B598" s="43" t="s">
        <v>28</v>
      </c>
      <c r="C598" s="44">
        <v>0</v>
      </c>
      <c r="D598" s="44">
        <v>0</v>
      </c>
      <c r="E598" s="44">
        <v>526.14</v>
      </c>
      <c r="F598" s="44">
        <v>520.17020000000002</v>
      </c>
    </row>
    <row r="599" spans="1:6">
      <c r="A599" s="42">
        <v>46258.583333333336</v>
      </c>
      <c r="B599" s="43" t="s">
        <v>28</v>
      </c>
      <c r="C599" s="44">
        <v>0</v>
      </c>
      <c r="D599" s="44">
        <v>0</v>
      </c>
      <c r="E599" s="44">
        <v>526.14</v>
      </c>
      <c r="F599" s="44">
        <v>520.17020000000002</v>
      </c>
    </row>
    <row r="600" spans="1:6">
      <c r="A600" s="42">
        <v>46258.625</v>
      </c>
      <c r="B600" s="43" t="s">
        <v>28</v>
      </c>
      <c r="C600" s="44">
        <v>0</v>
      </c>
      <c r="D600" s="44">
        <v>0</v>
      </c>
      <c r="E600" s="44">
        <v>526.14</v>
      </c>
      <c r="F600" s="44">
        <v>520.17020000000002</v>
      </c>
    </row>
    <row r="601" spans="1:6">
      <c r="A601" s="42">
        <v>46258.666666666664</v>
      </c>
      <c r="B601" s="43" t="s">
        <v>28</v>
      </c>
      <c r="C601" s="44">
        <v>0</v>
      </c>
      <c r="D601" s="44">
        <v>0</v>
      </c>
      <c r="E601" s="44">
        <v>526.14</v>
      </c>
      <c r="F601" s="44">
        <v>520.17020000000002</v>
      </c>
    </row>
    <row r="602" spans="1:6">
      <c r="A602" s="42">
        <v>46258.708333333336</v>
      </c>
      <c r="B602" s="43" t="s">
        <v>28</v>
      </c>
      <c r="C602" s="44">
        <v>0</v>
      </c>
      <c r="D602" s="44">
        <v>0</v>
      </c>
      <c r="E602" s="44">
        <v>526.14</v>
      </c>
      <c r="F602" s="44">
        <v>520.17020000000002</v>
      </c>
    </row>
    <row r="603" spans="1:6">
      <c r="A603" s="42">
        <v>46258.75</v>
      </c>
      <c r="B603" s="43" t="s">
        <v>28</v>
      </c>
      <c r="C603" s="44">
        <v>0</v>
      </c>
      <c r="D603" s="44">
        <v>0</v>
      </c>
      <c r="E603" s="44">
        <v>526.14</v>
      </c>
      <c r="F603" s="44">
        <v>520.17020000000002</v>
      </c>
    </row>
    <row r="604" spans="1:6">
      <c r="A604" s="42">
        <v>46258.791666666664</v>
      </c>
      <c r="B604" s="43" t="s">
        <v>28</v>
      </c>
      <c r="C604" s="44">
        <v>0</v>
      </c>
      <c r="D604" s="44">
        <v>0</v>
      </c>
      <c r="E604" s="44">
        <v>526.14</v>
      </c>
      <c r="F604" s="44">
        <v>520.17020000000002</v>
      </c>
    </row>
    <row r="605" spans="1:6">
      <c r="A605" s="42">
        <v>46258.833333333336</v>
      </c>
      <c r="B605" s="43" t="s">
        <v>28</v>
      </c>
      <c r="C605" s="44">
        <v>0</v>
      </c>
      <c r="D605" s="44">
        <v>0</v>
      </c>
      <c r="E605" s="44">
        <v>526.14</v>
      </c>
      <c r="F605" s="44">
        <v>520.17020000000002</v>
      </c>
    </row>
    <row r="606" spans="1:6">
      <c r="A606" s="42">
        <v>46258.875</v>
      </c>
      <c r="B606" s="43" t="s">
        <v>28</v>
      </c>
      <c r="C606" s="44">
        <v>0</v>
      </c>
      <c r="D606" s="44">
        <v>0</v>
      </c>
      <c r="E606" s="44">
        <v>526.14</v>
      </c>
      <c r="F606" s="44">
        <v>520.17020000000002</v>
      </c>
    </row>
    <row r="607" spans="1:6">
      <c r="A607" s="42">
        <v>46258.916666666664</v>
      </c>
      <c r="B607" s="43" t="s">
        <v>28</v>
      </c>
      <c r="C607" s="44">
        <v>0</v>
      </c>
      <c r="D607" s="44">
        <v>0</v>
      </c>
      <c r="E607" s="44">
        <v>526.14</v>
      </c>
      <c r="F607" s="44">
        <v>520.17020000000002</v>
      </c>
    </row>
    <row r="608" spans="1:6">
      <c r="A608" s="42">
        <v>46258.958333333336</v>
      </c>
      <c r="B608" s="43" t="s">
        <v>28</v>
      </c>
      <c r="C608" s="44">
        <v>0</v>
      </c>
      <c r="D608" s="44">
        <v>0</v>
      </c>
      <c r="E608" s="44">
        <v>526.14</v>
      </c>
      <c r="F608" s="44">
        <v>520.17020000000002</v>
      </c>
    </row>
    <row r="609" spans="1:6">
      <c r="A609" s="42">
        <v>46259</v>
      </c>
      <c r="B609" s="43" t="s">
        <v>28</v>
      </c>
      <c r="C609" s="44">
        <v>0</v>
      </c>
      <c r="D609" s="44">
        <v>0</v>
      </c>
      <c r="E609" s="44">
        <v>526.14</v>
      </c>
      <c r="F609" s="44">
        <v>520.17020000000002</v>
      </c>
    </row>
    <row r="610" spans="1:6">
      <c r="A610" s="42">
        <v>46259.041666666664</v>
      </c>
      <c r="B610" s="43" t="s">
        <v>28</v>
      </c>
      <c r="C610" s="44">
        <v>0</v>
      </c>
      <c r="D610" s="44">
        <v>0</v>
      </c>
      <c r="E610" s="44">
        <v>526.14</v>
      </c>
      <c r="F610" s="44">
        <v>520.17020000000002</v>
      </c>
    </row>
    <row r="611" spans="1:6">
      <c r="A611" s="42">
        <v>46259.083333333336</v>
      </c>
      <c r="B611" s="43" t="s">
        <v>28</v>
      </c>
      <c r="C611" s="44">
        <v>0</v>
      </c>
      <c r="D611" s="44">
        <v>0</v>
      </c>
      <c r="E611" s="44">
        <v>526.14</v>
      </c>
      <c r="F611" s="44">
        <v>520.17020000000002</v>
      </c>
    </row>
    <row r="612" spans="1:6">
      <c r="A612" s="42">
        <v>46259.125</v>
      </c>
      <c r="B612" s="43" t="s">
        <v>28</v>
      </c>
      <c r="C612" s="44">
        <v>0</v>
      </c>
      <c r="D612" s="44">
        <v>0</v>
      </c>
      <c r="E612" s="44">
        <v>526.14</v>
      </c>
      <c r="F612" s="44">
        <v>520.17020000000002</v>
      </c>
    </row>
    <row r="613" spans="1:6">
      <c r="A613" s="42">
        <v>46259.166666666664</v>
      </c>
      <c r="B613" s="43" t="s">
        <v>28</v>
      </c>
      <c r="C613" s="44">
        <v>0</v>
      </c>
      <c r="D613" s="44">
        <v>0</v>
      </c>
      <c r="E613" s="44">
        <v>526.14</v>
      </c>
      <c r="F613" s="44">
        <v>520.17020000000002</v>
      </c>
    </row>
    <row r="614" spans="1:6">
      <c r="A614" s="42">
        <v>46259.208333333336</v>
      </c>
      <c r="B614" s="43" t="s">
        <v>28</v>
      </c>
      <c r="C614" s="44">
        <v>0</v>
      </c>
      <c r="D614" s="44">
        <v>0</v>
      </c>
      <c r="E614" s="44">
        <v>526.14</v>
      </c>
      <c r="F614" s="44">
        <v>520.17020000000002</v>
      </c>
    </row>
    <row r="615" spans="1:6">
      <c r="A615" s="42">
        <v>46259.25</v>
      </c>
      <c r="B615" s="43" t="s">
        <v>28</v>
      </c>
      <c r="C615" s="44">
        <v>0</v>
      </c>
      <c r="D615" s="44">
        <v>0</v>
      </c>
      <c r="E615" s="44">
        <v>526.14</v>
      </c>
      <c r="F615" s="44">
        <v>520.17020000000002</v>
      </c>
    </row>
    <row r="616" spans="1:6">
      <c r="A616" s="42">
        <v>46259.291666666664</v>
      </c>
      <c r="B616" s="43" t="s">
        <v>28</v>
      </c>
      <c r="C616" s="44">
        <v>0</v>
      </c>
      <c r="D616" s="44">
        <v>0</v>
      </c>
      <c r="E616" s="44">
        <v>526.14</v>
      </c>
      <c r="F616" s="44">
        <v>520.17020000000002</v>
      </c>
    </row>
    <row r="617" spans="1:6">
      <c r="A617" s="42">
        <v>46259.333333333336</v>
      </c>
      <c r="B617" s="43" t="s">
        <v>28</v>
      </c>
      <c r="C617" s="44">
        <v>0</v>
      </c>
      <c r="D617" s="44">
        <v>0</v>
      </c>
      <c r="E617" s="44">
        <v>526.14</v>
      </c>
      <c r="F617" s="44">
        <v>520.17020000000002</v>
      </c>
    </row>
    <row r="618" spans="1:6">
      <c r="A618" s="42">
        <v>46259.375</v>
      </c>
      <c r="B618" s="43" t="s">
        <v>28</v>
      </c>
      <c r="C618" s="44">
        <v>0</v>
      </c>
      <c r="D618" s="44">
        <v>0</v>
      </c>
      <c r="E618" s="44">
        <v>526.14</v>
      </c>
      <c r="F618" s="44">
        <v>520.17020000000002</v>
      </c>
    </row>
    <row r="619" spans="1:6">
      <c r="A619" s="42">
        <v>46259.416666666664</v>
      </c>
      <c r="B619" s="43" t="s">
        <v>28</v>
      </c>
      <c r="C619" s="44">
        <v>0</v>
      </c>
      <c r="D619" s="44">
        <v>0</v>
      </c>
      <c r="E619" s="44">
        <v>526.14</v>
      </c>
      <c r="F619" s="44">
        <v>520.17020000000002</v>
      </c>
    </row>
    <row r="620" spans="1:6">
      <c r="A620" s="42">
        <v>46259.458333333336</v>
      </c>
      <c r="B620" s="43" t="s">
        <v>28</v>
      </c>
      <c r="C620" s="44">
        <v>0</v>
      </c>
      <c r="D620" s="44">
        <v>0</v>
      </c>
      <c r="E620" s="44">
        <v>526.14</v>
      </c>
      <c r="F620" s="44">
        <v>520.17020000000002</v>
      </c>
    </row>
    <row r="621" spans="1:6">
      <c r="A621" s="42">
        <v>46259.5</v>
      </c>
      <c r="B621" s="43" t="s">
        <v>28</v>
      </c>
      <c r="C621" s="44">
        <v>0</v>
      </c>
      <c r="D621" s="44">
        <v>0</v>
      </c>
      <c r="E621" s="44">
        <v>526.14</v>
      </c>
      <c r="F621" s="44">
        <v>520.17020000000002</v>
      </c>
    </row>
    <row r="622" spans="1:6">
      <c r="A622" s="42">
        <v>46259.541666666664</v>
      </c>
      <c r="B622" s="43" t="s">
        <v>28</v>
      </c>
      <c r="C622" s="44">
        <v>0</v>
      </c>
      <c r="D622" s="44">
        <v>0</v>
      </c>
      <c r="E622" s="44">
        <v>526.14</v>
      </c>
      <c r="F622" s="44">
        <v>520.17020000000002</v>
      </c>
    </row>
    <row r="623" spans="1:6">
      <c r="A623" s="42">
        <v>46259.583333333336</v>
      </c>
      <c r="B623" s="43" t="s">
        <v>28</v>
      </c>
      <c r="C623" s="44">
        <v>0</v>
      </c>
      <c r="D623" s="44">
        <v>0</v>
      </c>
      <c r="E623" s="44">
        <v>526.14</v>
      </c>
      <c r="F623" s="44">
        <v>520.17020000000002</v>
      </c>
    </row>
    <row r="624" spans="1:6">
      <c r="A624" s="42">
        <v>46259.625</v>
      </c>
      <c r="B624" s="43" t="s">
        <v>28</v>
      </c>
      <c r="C624" s="44">
        <v>0</v>
      </c>
      <c r="D624" s="44">
        <v>0</v>
      </c>
      <c r="E624" s="44">
        <v>526.14</v>
      </c>
      <c r="F624" s="44">
        <v>520.17020000000002</v>
      </c>
    </row>
    <row r="625" spans="1:6">
      <c r="A625" s="42">
        <v>46259.666666666664</v>
      </c>
      <c r="B625" s="43" t="s">
        <v>28</v>
      </c>
      <c r="C625" s="44">
        <v>0</v>
      </c>
      <c r="D625" s="44">
        <v>0</v>
      </c>
      <c r="E625" s="44">
        <v>526.14</v>
      </c>
      <c r="F625" s="44">
        <v>520.17020000000002</v>
      </c>
    </row>
    <row r="626" spans="1:6">
      <c r="A626" s="42">
        <v>46259.708333333336</v>
      </c>
      <c r="B626" s="43" t="s">
        <v>28</v>
      </c>
      <c r="C626" s="44">
        <v>0</v>
      </c>
      <c r="D626" s="44">
        <v>0</v>
      </c>
      <c r="E626" s="44">
        <v>526.14</v>
      </c>
      <c r="F626" s="44">
        <v>520.17020000000002</v>
      </c>
    </row>
    <row r="627" spans="1:6">
      <c r="A627" s="42">
        <v>46259.75</v>
      </c>
      <c r="B627" s="43" t="s">
        <v>28</v>
      </c>
      <c r="C627" s="44">
        <v>0</v>
      </c>
      <c r="D627" s="44">
        <v>0</v>
      </c>
      <c r="E627" s="44">
        <v>526.14</v>
      </c>
      <c r="F627" s="44">
        <v>520.17020000000002</v>
      </c>
    </row>
    <row r="628" spans="1:6">
      <c r="A628" s="42">
        <v>46259.791666666664</v>
      </c>
      <c r="B628" s="43" t="s">
        <v>28</v>
      </c>
      <c r="C628" s="44">
        <v>0</v>
      </c>
      <c r="D628" s="44">
        <v>0</v>
      </c>
      <c r="E628" s="44">
        <v>526.14</v>
      </c>
      <c r="F628" s="44">
        <v>520.17020000000002</v>
      </c>
    </row>
    <row r="629" spans="1:6">
      <c r="A629" s="42">
        <v>46259.833333333336</v>
      </c>
      <c r="B629" s="43" t="s">
        <v>28</v>
      </c>
      <c r="C629" s="44">
        <v>0</v>
      </c>
      <c r="D629" s="44">
        <v>0</v>
      </c>
      <c r="E629" s="44">
        <v>526.14</v>
      </c>
      <c r="F629" s="44">
        <v>520.17020000000002</v>
      </c>
    </row>
    <row r="630" spans="1:6">
      <c r="A630" s="42">
        <v>46259.875</v>
      </c>
      <c r="B630" s="43" t="s">
        <v>28</v>
      </c>
      <c r="C630" s="44">
        <v>0</v>
      </c>
      <c r="D630" s="44">
        <v>0</v>
      </c>
      <c r="E630" s="44">
        <v>526.14</v>
      </c>
      <c r="F630" s="44">
        <v>520.17020000000002</v>
      </c>
    </row>
    <row r="631" spans="1:6">
      <c r="A631" s="42">
        <v>46259.916666666664</v>
      </c>
      <c r="B631" s="43" t="s">
        <v>28</v>
      </c>
      <c r="C631" s="44">
        <v>0</v>
      </c>
      <c r="D631" s="44">
        <v>0</v>
      </c>
      <c r="E631" s="44">
        <v>526.14</v>
      </c>
      <c r="F631" s="44">
        <v>520.17020000000002</v>
      </c>
    </row>
    <row r="632" spans="1:6">
      <c r="A632" s="42">
        <v>46259.958333333336</v>
      </c>
      <c r="B632" s="43" t="s">
        <v>28</v>
      </c>
      <c r="C632" s="44">
        <v>0</v>
      </c>
      <c r="D632" s="44">
        <v>0</v>
      </c>
      <c r="E632" s="44">
        <v>526.14</v>
      </c>
      <c r="F632" s="44">
        <v>520.17020000000002</v>
      </c>
    </row>
    <row r="633" spans="1:6">
      <c r="A633" s="42">
        <v>46260</v>
      </c>
      <c r="B633" s="43" t="s">
        <v>28</v>
      </c>
      <c r="C633" s="44">
        <v>0</v>
      </c>
      <c r="D633" s="44">
        <v>0</v>
      </c>
      <c r="E633" s="44">
        <v>526.14</v>
      </c>
      <c r="F633" s="44">
        <v>520.17020000000002</v>
      </c>
    </row>
    <row r="634" spans="1:6">
      <c r="A634" s="42">
        <v>46260.041666666664</v>
      </c>
      <c r="B634" s="43" t="s">
        <v>28</v>
      </c>
      <c r="C634" s="44">
        <v>0</v>
      </c>
      <c r="D634" s="44">
        <v>0</v>
      </c>
      <c r="E634" s="44">
        <v>526.14</v>
      </c>
      <c r="F634" s="44">
        <v>520.17020000000002</v>
      </c>
    </row>
    <row r="635" spans="1:6">
      <c r="A635" s="42">
        <v>46260.083333333336</v>
      </c>
      <c r="B635" s="43" t="s">
        <v>28</v>
      </c>
      <c r="C635" s="44">
        <v>0</v>
      </c>
      <c r="D635" s="44">
        <v>0</v>
      </c>
      <c r="E635" s="44">
        <v>526.14</v>
      </c>
      <c r="F635" s="44">
        <v>520.17020000000002</v>
      </c>
    </row>
    <row r="636" spans="1:6">
      <c r="A636" s="42">
        <v>46260.125</v>
      </c>
      <c r="B636" s="43" t="s">
        <v>28</v>
      </c>
      <c r="C636" s="44">
        <v>0</v>
      </c>
      <c r="D636" s="44">
        <v>0</v>
      </c>
      <c r="E636" s="44">
        <v>526.14</v>
      </c>
      <c r="F636" s="44">
        <v>520.17020000000002</v>
      </c>
    </row>
    <row r="637" spans="1:6">
      <c r="A637" s="42">
        <v>46260.166666666664</v>
      </c>
      <c r="B637" s="43" t="s">
        <v>28</v>
      </c>
      <c r="C637" s="44">
        <v>0</v>
      </c>
      <c r="D637" s="44">
        <v>0</v>
      </c>
      <c r="E637" s="44">
        <v>526.14</v>
      </c>
      <c r="F637" s="44">
        <v>520.17020000000002</v>
      </c>
    </row>
    <row r="638" spans="1:6">
      <c r="A638" s="42">
        <v>46260.208333333336</v>
      </c>
      <c r="B638" s="43" t="s">
        <v>28</v>
      </c>
      <c r="C638" s="44">
        <v>0</v>
      </c>
      <c r="D638" s="44">
        <v>0</v>
      </c>
      <c r="E638" s="44">
        <v>526.14</v>
      </c>
      <c r="F638" s="44">
        <v>520.17020000000002</v>
      </c>
    </row>
    <row r="639" spans="1:6">
      <c r="A639" s="42">
        <v>46260.25</v>
      </c>
      <c r="B639" s="43" t="s">
        <v>28</v>
      </c>
      <c r="C639" s="44">
        <v>0</v>
      </c>
      <c r="D639" s="44">
        <v>0</v>
      </c>
      <c r="E639" s="44">
        <v>526.14</v>
      </c>
      <c r="F639" s="44">
        <v>520.17020000000002</v>
      </c>
    </row>
    <row r="640" spans="1:6">
      <c r="A640" s="42">
        <v>46260.291666666664</v>
      </c>
      <c r="B640" s="43" t="s">
        <v>28</v>
      </c>
      <c r="C640" s="44">
        <v>0</v>
      </c>
      <c r="D640" s="44">
        <v>0</v>
      </c>
      <c r="E640" s="44">
        <v>526.14</v>
      </c>
      <c r="F640" s="44">
        <v>520.17020000000002</v>
      </c>
    </row>
    <row r="641" spans="1:6">
      <c r="A641" s="42">
        <v>46260.333333333336</v>
      </c>
      <c r="B641" s="43" t="s">
        <v>28</v>
      </c>
      <c r="C641" s="44">
        <v>0</v>
      </c>
      <c r="D641" s="44">
        <v>0</v>
      </c>
      <c r="E641" s="44">
        <v>526.14</v>
      </c>
      <c r="F641" s="44">
        <v>520.17020000000002</v>
      </c>
    </row>
    <row r="642" spans="1:6">
      <c r="A642" s="42">
        <v>46260.375</v>
      </c>
      <c r="B642" s="43" t="s">
        <v>28</v>
      </c>
      <c r="C642" s="44">
        <v>0</v>
      </c>
      <c r="D642" s="44">
        <v>0</v>
      </c>
      <c r="E642" s="44">
        <v>526.14</v>
      </c>
      <c r="F642" s="44">
        <v>520.17020000000002</v>
      </c>
    </row>
    <row r="643" spans="1:6">
      <c r="A643" s="42">
        <v>46260.416666666664</v>
      </c>
      <c r="B643" s="43" t="s">
        <v>28</v>
      </c>
      <c r="C643" s="44">
        <v>0</v>
      </c>
      <c r="D643" s="44">
        <v>0</v>
      </c>
      <c r="E643" s="44">
        <v>526.14</v>
      </c>
      <c r="F643" s="44">
        <v>520.17020000000002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46"/>
  <sheetViews>
    <sheetView workbookViewId="0">
      <selection activeCell="R1" sqref="R1:U643"/>
    </sheetView>
  </sheetViews>
  <sheetFormatPr defaultRowHeight="13.5"/>
  <cols>
    <col min="1" max="1" width="18.875" style="14" customWidth="1"/>
  </cols>
  <sheetData>
    <row r="1" spans="1:21">
      <c r="A1" s="18" t="s">
        <v>30</v>
      </c>
      <c r="B1" s="28" t="s">
        <v>20</v>
      </c>
      <c r="C1" s="28" t="s">
        <v>21</v>
      </c>
      <c r="D1" s="28" t="s">
        <v>22</v>
      </c>
      <c r="E1" s="28" t="s">
        <v>23</v>
      </c>
      <c r="F1" s="28" t="s">
        <v>24</v>
      </c>
      <c r="G1" s="12" t="s">
        <v>36</v>
      </c>
      <c r="H1" s="10"/>
      <c r="R1" s="28" t="s">
        <v>41</v>
      </c>
      <c r="S1" s="28" t="s">
        <v>42</v>
      </c>
      <c r="T1" s="28" t="s">
        <v>73</v>
      </c>
      <c r="U1" s="28" t="s">
        <v>74</v>
      </c>
    </row>
    <row r="2" spans="1:21" ht="33">
      <c r="A2" s="42">
        <v>46233.708333333336</v>
      </c>
      <c r="B2" s="43" t="s">
        <v>29</v>
      </c>
      <c r="C2" s="44">
        <v>0</v>
      </c>
      <c r="D2" s="44">
        <v>100</v>
      </c>
      <c r="E2" s="44">
        <v>234.20939999999999</v>
      </c>
      <c r="F2" s="44">
        <v>67.603880000000004</v>
      </c>
      <c r="G2" s="11">
        <f>U2</f>
        <v>0</v>
      </c>
      <c r="H2" s="35">
        <f>D2+G8</f>
        <v>100</v>
      </c>
      <c r="I2" s="2" t="s">
        <v>3</v>
      </c>
      <c r="J2">
        <f>MAX(C:C)</f>
        <v>4502</v>
      </c>
      <c r="R2" s="48" t="s">
        <v>36</v>
      </c>
      <c r="S2" s="48" t="s">
        <v>36</v>
      </c>
      <c r="T2" s="49">
        <v>46233.708333333336</v>
      </c>
      <c r="U2" s="50">
        <v>0</v>
      </c>
    </row>
    <row r="3" spans="1:21" ht="33">
      <c r="A3" s="42">
        <v>46233.75</v>
      </c>
      <c r="B3" s="43" t="s">
        <v>29</v>
      </c>
      <c r="C3" s="44">
        <v>0</v>
      </c>
      <c r="D3" s="44">
        <v>100</v>
      </c>
      <c r="E3" s="44">
        <v>234.0788</v>
      </c>
      <c r="F3" s="44">
        <v>67.243880000000004</v>
      </c>
      <c r="G3" s="11">
        <f t="shared" ref="G3:G66" si="0">U3</f>
        <v>0</v>
      </c>
      <c r="H3" s="35">
        <f t="shared" ref="H3:H66" si="1">D3+G9</f>
        <v>100</v>
      </c>
      <c r="I3" s="3" t="s">
        <v>4</v>
      </c>
      <c r="J3">
        <f>MAX(D:D)</f>
        <v>3472.9609999999998</v>
      </c>
      <c r="R3" s="48" t="s">
        <v>36</v>
      </c>
      <c r="S3" s="48" t="s">
        <v>36</v>
      </c>
      <c r="T3" s="49">
        <v>46233.75</v>
      </c>
      <c r="U3" s="50">
        <v>0</v>
      </c>
    </row>
    <row r="4" spans="1:21" ht="33">
      <c r="A4" s="42">
        <v>46233.791666666664</v>
      </c>
      <c r="B4" s="43" t="s">
        <v>29</v>
      </c>
      <c r="C4" s="44">
        <v>0</v>
      </c>
      <c r="D4" s="44">
        <v>100</v>
      </c>
      <c r="E4" s="44">
        <v>233.94820000000001</v>
      </c>
      <c r="F4" s="44">
        <v>66.883880000000005</v>
      </c>
      <c r="G4" s="11">
        <f t="shared" si="0"/>
        <v>0</v>
      </c>
      <c r="H4" s="35">
        <f t="shared" si="1"/>
        <v>100</v>
      </c>
      <c r="I4" s="2" t="s">
        <v>5</v>
      </c>
      <c r="J4">
        <f>J6-F2</f>
        <v>148.59582</v>
      </c>
      <c r="R4" s="48" t="s">
        <v>36</v>
      </c>
      <c r="S4" s="48" t="s">
        <v>36</v>
      </c>
      <c r="T4" s="49">
        <v>46233.791666666664</v>
      </c>
      <c r="U4" s="50">
        <v>0</v>
      </c>
    </row>
    <row r="5" spans="1:21" ht="33">
      <c r="A5" s="42">
        <v>46233.833333333336</v>
      </c>
      <c r="B5" s="43" t="s">
        <v>29</v>
      </c>
      <c r="C5" s="44">
        <v>0</v>
      </c>
      <c r="D5" s="44">
        <v>100</v>
      </c>
      <c r="E5" s="44">
        <v>233.8176</v>
      </c>
      <c r="F5" s="44">
        <v>66.523880000000005</v>
      </c>
      <c r="G5" s="11">
        <f t="shared" si="0"/>
        <v>0</v>
      </c>
      <c r="H5" s="35">
        <f t="shared" si="1"/>
        <v>100</v>
      </c>
      <c r="I5" s="2" t="s">
        <v>6</v>
      </c>
      <c r="J5">
        <f>MAX(E:E)</f>
        <v>270.57029999999997</v>
      </c>
      <c r="R5" s="48" t="s">
        <v>36</v>
      </c>
      <c r="S5" s="48" t="s">
        <v>36</v>
      </c>
      <c r="T5" s="49">
        <v>46233.833333333336</v>
      </c>
      <c r="U5" s="50">
        <v>0</v>
      </c>
    </row>
    <row r="6" spans="1:21" ht="33">
      <c r="A6" s="42">
        <v>46233.875</v>
      </c>
      <c r="B6" s="43" t="s">
        <v>29</v>
      </c>
      <c r="C6" s="44">
        <v>0</v>
      </c>
      <c r="D6" s="44">
        <v>100</v>
      </c>
      <c r="E6" s="44">
        <v>233.68700000000001</v>
      </c>
      <c r="F6" s="44">
        <v>66.163880000000006</v>
      </c>
      <c r="G6" s="11">
        <f t="shared" si="0"/>
        <v>0</v>
      </c>
      <c r="H6" s="35">
        <f t="shared" si="1"/>
        <v>100</v>
      </c>
      <c r="I6" s="2" t="s">
        <v>7</v>
      </c>
      <c r="J6">
        <f>MAX(F:F)</f>
        <v>216.19970000000001</v>
      </c>
      <c r="R6" s="48" t="s">
        <v>36</v>
      </c>
      <c r="S6" s="48" t="s">
        <v>36</v>
      </c>
      <c r="T6" s="49">
        <v>46233.875</v>
      </c>
      <c r="U6" s="50">
        <v>0</v>
      </c>
    </row>
    <row r="7" spans="1:21">
      <c r="A7" s="42">
        <v>46233.916666666664</v>
      </c>
      <c r="B7" s="43" t="s">
        <v>29</v>
      </c>
      <c r="C7" s="44">
        <v>0</v>
      </c>
      <c r="D7" s="44">
        <v>100</v>
      </c>
      <c r="E7" s="44">
        <v>233.5564</v>
      </c>
      <c r="F7" s="44">
        <v>65.803880000000007</v>
      </c>
      <c r="G7" s="11">
        <f t="shared" si="0"/>
        <v>0</v>
      </c>
      <c r="H7" s="35">
        <f t="shared" si="1"/>
        <v>100</v>
      </c>
      <c r="R7" s="48" t="s">
        <v>36</v>
      </c>
      <c r="S7" s="48" t="s">
        <v>36</v>
      </c>
      <c r="T7" s="49">
        <v>46233.916666666664</v>
      </c>
      <c r="U7" s="50">
        <v>0</v>
      </c>
    </row>
    <row r="8" spans="1:21">
      <c r="A8" s="42">
        <v>46233.958333333336</v>
      </c>
      <c r="B8" s="43" t="s">
        <v>29</v>
      </c>
      <c r="C8" s="44">
        <v>0</v>
      </c>
      <c r="D8" s="44">
        <v>100</v>
      </c>
      <c r="E8" s="44">
        <v>233.42580000000001</v>
      </c>
      <c r="F8" s="44">
        <v>65.443879999999993</v>
      </c>
      <c r="G8" s="11">
        <f t="shared" si="0"/>
        <v>0</v>
      </c>
      <c r="H8" s="35">
        <f t="shared" si="1"/>
        <v>101.0455</v>
      </c>
      <c r="R8" s="48" t="s">
        <v>36</v>
      </c>
      <c r="S8" s="48" t="s">
        <v>36</v>
      </c>
      <c r="T8" s="49">
        <v>46233.958333333336</v>
      </c>
      <c r="U8" s="50">
        <v>0</v>
      </c>
    </row>
    <row r="9" spans="1:21">
      <c r="A9" s="42">
        <v>46234</v>
      </c>
      <c r="B9" s="43" t="s">
        <v>29</v>
      </c>
      <c r="C9" s="44">
        <v>0</v>
      </c>
      <c r="D9" s="44">
        <v>100</v>
      </c>
      <c r="E9" s="44">
        <v>233.2953</v>
      </c>
      <c r="F9" s="44">
        <v>65.083879999999994</v>
      </c>
      <c r="G9" s="11">
        <f t="shared" si="0"/>
        <v>0</v>
      </c>
      <c r="H9" s="35">
        <f t="shared" si="1"/>
        <v>102.09099999999999</v>
      </c>
      <c r="R9" s="48" t="s">
        <v>36</v>
      </c>
      <c r="S9" s="48" t="s">
        <v>36</v>
      </c>
      <c r="T9" s="49">
        <v>46234</v>
      </c>
      <c r="U9" s="50">
        <v>0</v>
      </c>
    </row>
    <row r="10" spans="1:21">
      <c r="A10" s="42">
        <v>46234.041666666664</v>
      </c>
      <c r="B10" s="43" t="s">
        <v>29</v>
      </c>
      <c r="C10" s="44">
        <v>0</v>
      </c>
      <c r="D10" s="44">
        <v>100</v>
      </c>
      <c r="E10" s="44">
        <v>233.16470000000001</v>
      </c>
      <c r="F10" s="44">
        <v>64.723879999999994</v>
      </c>
      <c r="G10" s="11">
        <f t="shared" si="0"/>
        <v>0</v>
      </c>
      <c r="H10" s="35">
        <f t="shared" si="1"/>
        <v>104.05792099999999</v>
      </c>
      <c r="R10" s="48" t="s">
        <v>36</v>
      </c>
      <c r="S10" s="48" t="s">
        <v>36</v>
      </c>
      <c r="T10" s="49">
        <v>46234.041666666664</v>
      </c>
      <c r="U10" s="50">
        <v>0</v>
      </c>
    </row>
    <row r="11" spans="1:21">
      <c r="A11" s="42">
        <v>46234.083333333336</v>
      </c>
      <c r="B11" s="43" t="s">
        <v>29</v>
      </c>
      <c r="C11" s="44">
        <v>0</v>
      </c>
      <c r="D11" s="44">
        <v>100</v>
      </c>
      <c r="E11" s="44">
        <v>233.0341</v>
      </c>
      <c r="F11" s="44">
        <v>64.363879999999995</v>
      </c>
      <c r="G11" s="11">
        <f t="shared" si="0"/>
        <v>0</v>
      </c>
      <c r="H11" s="35">
        <f t="shared" si="1"/>
        <v>106.024843</v>
      </c>
      <c r="R11" s="48" t="s">
        <v>36</v>
      </c>
      <c r="S11" s="48" t="s">
        <v>36</v>
      </c>
      <c r="T11" s="49">
        <v>46234.083333333336</v>
      </c>
      <c r="U11" s="50">
        <v>0</v>
      </c>
    </row>
    <row r="12" spans="1:21">
      <c r="A12" s="42">
        <v>46234.125</v>
      </c>
      <c r="B12" s="43" t="s">
        <v>29</v>
      </c>
      <c r="C12" s="44">
        <v>0.5</v>
      </c>
      <c r="D12" s="44">
        <v>100</v>
      </c>
      <c r="E12" s="44">
        <v>232.90379999999999</v>
      </c>
      <c r="F12" s="44">
        <v>64.004779999999997</v>
      </c>
      <c r="G12" s="11">
        <f t="shared" si="0"/>
        <v>0</v>
      </c>
      <c r="H12" s="35">
        <f t="shared" si="1"/>
        <v>108.83381299999999</v>
      </c>
      <c r="R12" s="48" t="s">
        <v>36</v>
      </c>
      <c r="S12" s="48" t="s">
        <v>36</v>
      </c>
      <c r="T12" s="49">
        <v>46234.125</v>
      </c>
      <c r="U12" s="50">
        <v>0</v>
      </c>
    </row>
    <row r="13" spans="1:21">
      <c r="A13" s="42">
        <v>46234.166666666664</v>
      </c>
      <c r="B13" s="43" t="s">
        <v>29</v>
      </c>
      <c r="C13" s="44">
        <v>1</v>
      </c>
      <c r="D13" s="44">
        <v>100</v>
      </c>
      <c r="E13" s="44">
        <v>232.77420000000001</v>
      </c>
      <c r="F13" s="44">
        <v>63.647480000000002</v>
      </c>
      <c r="G13" s="11">
        <f t="shared" si="0"/>
        <v>0</v>
      </c>
      <c r="H13" s="35">
        <f t="shared" si="1"/>
        <v>111.64278</v>
      </c>
      <c r="R13" s="48" t="s">
        <v>36</v>
      </c>
      <c r="S13" s="48" t="s">
        <v>36</v>
      </c>
      <c r="T13" s="49">
        <v>46234.166666666664</v>
      </c>
      <c r="U13" s="50">
        <v>0</v>
      </c>
    </row>
    <row r="14" spans="1:21">
      <c r="A14" s="42">
        <v>46234.208333333336</v>
      </c>
      <c r="B14" s="43" t="s">
        <v>29</v>
      </c>
      <c r="C14" s="44">
        <v>2</v>
      </c>
      <c r="D14" s="44">
        <v>100</v>
      </c>
      <c r="E14" s="44">
        <v>232.6456</v>
      </c>
      <c r="F14" s="44">
        <v>63.292879999999997</v>
      </c>
      <c r="G14" s="11">
        <f t="shared" si="0"/>
        <v>1.0455000000000001</v>
      </c>
      <c r="H14" s="35">
        <f t="shared" si="1"/>
        <v>114.81762999999999</v>
      </c>
      <c r="R14" s="48" t="s">
        <v>36</v>
      </c>
      <c r="S14" s="48" t="s">
        <v>36</v>
      </c>
      <c r="T14" s="49">
        <v>46234.208333333336</v>
      </c>
      <c r="U14" s="50">
        <v>1.0455000000000001</v>
      </c>
    </row>
    <row r="15" spans="1:21">
      <c r="A15" s="42">
        <v>46234.25</v>
      </c>
      <c r="B15" s="43" t="s">
        <v>29</v>
      </c>
      <c r="C15" s="44">
        <v>3</v>
      </c>
      <c r="D15" s="44">
        <v>100</v>
      </c>
      <c r="E15" s="44">
        <v>232.51820000000001</v>
      </c>
      <c r="F15" s="44">
        <v>62.941879999999998</v>
      </c>
      <c r="G15" s="11">
        <f t="shared" si="0"/>
        <v>2.0910000000000002</v>
      </c>
      <c r="H15" s="35">
        <f t="shared" si="1"/>
        <v>117.99248</v>
      </c>
      <c r="R15" s="48" t="s">
        <v>36</v>
      </c>
      <c r="S15" s="48" t="s">
        <v>36</v>
      </c>
      <c r="T15" s="49">
        <v>46234.25</v>
      </c>
      <c r="U15" s="50">
        <v>2.0910000000000002</v>
      </c>
    </row>
    <row r="16" spans="1:21">
      <c r="A16" s="42">
        <v>46234.291666666664</v>
      </c>
      <c r="B16" s="43" t="s">
        <v>29</v>
      </c>
      <c r="C16" s="44">
        <v>5</v>
      </c>
      <c r="D16" s="44">
        <v>100</v>
      </c>
      <c r="E16" s="44">
        <v>232.3929</v>
      </c>
      <c r="F16" s="44">
        <v>62.59628</v>
      </c>
      <c r="G16" s="11">
        <f t="shared" si="0"/>
        <v>4.0579210000000003</v>
      </c>
      <c r="H16" s="35">
        <f t="shared" si="1"/>
        <v>121.81271</v>
      </c>
      <c r="R16" s="48" t="s">
        <v>36</v>
      </c>
      <c r="S16" s="48" t="s">
        <v>36</v>
      </c>
      <c r="T16" s="49">
        <v>46234.291666666664</v>
      </c>
      <c r="U16" s="50">
        <v>4.0579210000000003</v>
      </c>
    </row>
    <row r="17" spans="1:21">
      <c r="A17" s="42">
        <v>46234.333333333336</v>
      </c>
      <c r="B17" s="43" t="s">
        <v>29</v>
      </c>
      <c r="C17" s="44">
        <v>7</v>
      </c>
      <c r="D17" s="44">
        <v>100</v>
      </c>
      <c r="E17" s="44">
        <v>232.27010000000001</v>
      </c>
      <c r="F17" s="44">
        <v>62.257869999999997</v>
      </c>
      <c r="G17" s="11">
        <f t="shared" si="0"/>
        <v>6.0248429999999997</v>
      </c>
      <c r="H17" s="35">
        <f t="shared" si="1"/>
        <v>125.63294999999999</v>
      </c>
      <c r="R17" s="48" t="s">
        <v>36</v>
      </c>
      <c r="S17" s="48" t="s">
        <v>36</v>
      </c>
      <c r="T17" s="49">
        <v>46234.333333333336</v>
      </c>
      <c r="U17" s="50">
        <v>6.0248429999999997</v>
      </c>
    </row>
    <row r="18" spans="1:21">
      <c r="A18" s="42">
        <v>46234.375</v>
      </c>
      <c r="B18" s="43" t="s">
        <v>29</v>
      </c>
      <c r="C18" s="44">
        <v>9</v>
      </c>
      <c r="D18" s="44">
        <v>100</v>
      </c>
      <c r="E18" s="44">
        <v>232.1499</v>
      </c>
      <c r="F18" s="44">
        <v>61.926670000000001</v>
      </c>
      <c r="G18" s="11">
        <f t="shared" si="0"/>
        <v>8.8338129999999992</v>
      </c>
      <c r="H18" s="35">
        <f t="shared" si="1"/>
        <v>128.35687000000001</v>
      </c>
      <c r="R18" s="48" t="s">
        <v>36</v>
      </c>
      <c r="S18" s="48" t="s">
        <v>36</v>
      </c>
      <c r="T18" s="49">
        <v>46234.375</v>
      </c>
      <c r="U18" s="50">
        <v>8.8338129999999992</v>
      </c>
    </row>
    <row r="19" spans="1:21">
      <c r="A19" s="42">
        <v>46234.416666666664</v>
      </c>
      <c r="B19" s="43" t="s">
        <v>29</v>
      </c>
      <c r="C19" s="44">
        <v>11</v>
      </c>
      <c r="D19" s="44">
        <v>100</v>
      </c>
      <c r="E19" s="44">
        <v>232.0324</v>
      </c>
      <c r="F19" s="44">
        <v>61.602670000000003</v>
      </c>
      <c r="G19" s="11">
        <f t="shared" si="0"/>
        <v>11.64278</v>
      </c>
      <c r="H19" s="35">
        <f t="shared" si="1"/>
        <v>131.08079000000001</v>
      </c>
      <c r="R19" s="48" t="s">
        <v>36</v>
      </c>
      <c r="S19" s="48" t="s">
        <v>36</v>
      </c>
      <c r="T19" s="49">
        <v>46234.416666666664</v>
      </c>
      <c r="U19" s="50">
        <v>11.64278</v>
      </c>
    </row>
    <row r="20" spans="1:21">
      <c r="A20" s="42">
        <v>46234.458333333336</v>
      </c>
      <c r="B20" s="43" t="s">
        <v>29</v>
      </c>
      <c r="C20" s="44">
        <v>13.5</v>
      </c>
      <c r="D20" s="44">
        <v>100</v>
      </c>
      <c r="E20" s="44">
        <v>231.9178</v>
      </c>
      <c r="F20" s="44">
        <v>61.286769999999997</v>
      </c>
      <c r="G20" s="11">
        <f t="shared" si="0"/>
        <v>14.817629999999999</v>
      </c>
      <c r="H20" s="35">
        <f t="shared" si="1"/>
        <v>134.27843000000001</v>
      </c>
      <c r="R20" s="48" t="s">
        <v>36</v>
      </c>
      <c r="S20" s="48" t="s">
        <v>36</v>
      </c>
      <c r="T20" s="49">
        <v>46234.458333333336</v>
      </c>
      <c r="U20" s="50">
        <v>14.817629999999999</v>
      </c>
    </row>
    <row r="21" spans="1:21">
      <c r="A21" s="42">
        <v>46234.5</v>
      </c>
      <c r="B21" s="43" t="s">
        <v>29</v>
      </c>
      <c r="C21" s="44">
        <v>16</v>
      </c>
      <c r="D21" s="44">
        <v>100</v>
      </c>
      <c r="E21" s="44">
        <v>231.8065</v>
      </c>
      <c r="F21" s="44">
        <v>60.979869999999998</v>
      </c>
      <c r="G21" s="11">
        <f t="shared" si="0"/>
        <v>17.99248</v>
      </c>
      <c r="H21" s="35">
        <f t="shared" si="1"/>
        <v>137.47605999999999</v>
      </c>
      <c r="R21" s="48" t="s">
        <v>36</v>
      </c>
      <c r="S21" s="48" t="s">
        <v>36</v>
      </c>
      <c r="T21" s="49">
        <v>46234.5</v>
      </c>
      <c r="U21" s="50">
        <v>17.99248</v>
      </c>
    </row>
    <row r="22" spans="1:21">
      <c r="A22" s="42">
        <v>46234.541666666664</v>
      </c>
      <c r="B22" s="43" t="s">
        <v>29</v>
      </c>
      <c r="C22" s="44">
        <v>27</v>
      </c>
      <c r="D22" s="44">
        <v>100</v>
      </c>
      <c r="E22" s="44">
        <v>231.70400000000001</v>
      </c>
      <c r="F22" s="44">
        <v>60.697270000000003</v>
      </c>
      <c r="G22" s="11">
        <f t="shared" si="0"/>
        <v>21.812709999999999</v>
      </c>
      <c r="H22" s="35">
        <f t="shared" si="1"/>
        <v>144.80250999999998</v>
      </c>
      <c r="R22" s="48" t="s">
        <v>36</v>
      </c>
      <c r="S22" s="48" t="s">
        <v>36</v>
      </c>
      <c r="T22" s="49">
        <v>46234.541666666664</v>
      </c>
      <c r="U22" s="50">
        <v>21.812709999999999</v>
      </c>
    </row>
    <row r="23" spans="1:21">
      <c r="A23" s="42">
        <v>46234.583333333336</v>
      </c>
      <c r="B23" s="43" t="s">
        <v>29</v>
      </c>
      <c r="C23" s="44">
        <v>38</v>
      </c>
      <c r="D23" s="44">
        <v>100</v>
      </c>
      <c r="E23" s="44">
        <v>231.61580000000001</v>
      </c>
      <c r="F23" s="44">
        <v>60.454270000000001</v>
      </c>
      <c r="G23" s="11">
        <f t="shared" si="0"/>
        <v>25.632950000000001</v>
      </c>
      <c r="H23" s="35">
        <f t="shared" si="1"/>
        <v>152.12896000000001</v>
      </c>
      <c r="R23" s="48" t="s">
        <v>36</v>
      </c>
      <c r="S23" s="48" t="s">
        <v>36</v>
      </c>
      <c r="T23" s="49">
        <v>46234.583333333336</v>
      </c>
      <c r="U23" s="50">
        <v>25.632950000000001</v>
      </c>
    </row>
    <row r="24" spans="1:21">
      <c r="A24" s="42">
        <v>46234.625</v>
      </c>
      <c r="B24" s="43" t="s">
        <v>29</v>
      </c>
      <c r="C24" s="44">
        <v>68</v>
      </c>
      <c r="D24" s="44">
        <v>100</v>
      </c>
      <c r="E24" s="44">
        <v>231.55439999999999</v>
      </c>
      <c r="F24" s="44">
        <v>60.285069999999997</v>
      </c>
      <c r="G24" s="11">
        <f t="shared" si="0"/>
        <v>28.356870000000001</v>
      </c>
      <c r="H24" s="35">
        <f t="shared" si="1"/>
        <v>167.62658999999999</v>
      </c>
      <c r="R24" s="48" t="s">
        <v>36</v>
      </c>
      <c r="S24" s="48" t="s">
        <v>36</v>
      </c>
      <c r="T24" s="49">
        <v>46234.625</v>
      </c>
      <c r="U24" s="50">
        <v>28.356870000000001</v>
      </c>
    </row>
    <row r="25" spans="1:21">
      <c r="A25" s="42">
        <v>46234.666666666664</v>
      </c>
      <c r="B25" s="43" t="s">
        <v>29</v>
      </c>
      <c r="C25" s="44">
        <v>98</v>
      </c>
      <c r="D25" s="44">
        <v>100</v>
      </c>
      <c r="E25" s="44">
        <v>231.53219999999999</v>
      </c>
      <c r="F25" s="44">
        <v>60.223869999999998</v>
      </c>
      <c r="G25" s="11">
        <f t="shared" si="0"/>
        <v>31.08079</v>
      </c>
      <c r="H25" s="35">
        <f t="shared" si="1"/>
        <v>183.12421000000001</v>
      </c>
      <c r="R25" s="48" t="s">
        <v>36</v>
      </c>
      <c r="S25" s="48" t="s">
        <v>36</v>
      </c>
      <c r="T25" s="49">
        <v>46234.666666666664</v>
      </c>
      <c r="U25" s="50">
        <v>31.08079</v>
      </c>
    </row>
    <row r="26" spans="1:21">
      <c r="A26" s="42">
        <v>46234.708333333336</v>
      </c>
      <c r="B26" s="43" t="s">
        <v>29</v>
      </c>
      <c r="C26" s="44">
        <v>162.5</v>
      </c>
      <c r="D26" s="44">
        <v>162.5</v>
      </c>
      <c r="E26" s="44">
        <v>231.5309</v>
      </c>
      <c r="F26" s="44">
        <v>60.220269999999999</v>
      </c>
      <c r="G26" s="11">
        <f t="shared" si="0"/>
        <v>34.27843</v>
      </c>
      <c r="H26" s="35">
        <f t="shared" si="1"/>
        <v>286.07760000000002</v>
      </c>
      <c r="R26" s="48" t="s">
        <v>36</v>
      </c>
      <c r="S26" s="48" t="s">
        <v>36</v>
      </c>
      <c r="T26" s="49">
        <v>46234.708333333336</v>
      </c>
      <c r="U26" s="50">
        <v>34.27843</v>
      </c>
    </row>
    <row r="27" spans="1:21">
      <c r="A27" s="42">
        <v>46234.75</v>
      </c>
      <c r="B27" s="43" t="s">
        <v>29</v>
      </c>
      <c r="C27" s="44">
        <v>227</v>
      </c>
      <c r="D27" s="44">
        <v>227</v>
      </c>
      <c r="E27" s="44">
        <v>231.5309</v>
      </c>
      <c r="F27" s="44">
        <v>60.220269999999999</v>
      </c>
      <c r="G27" s="11">
        <f t="shared" si="0"/>
        <v>37.476059999999997</v>
      </c>
      <c r="H27" s="35">
        <f t="shared" si="1"/>
        <v>391.03089999999997</v>
      </c>
      <c r="R27" s="48" t="s">
        <v>36</v>
      </c>
      <c r="S27" s="48" t="s">
        <v>36</v>
      </c>
      <c r="T27" s="49">
        <v>46234.75</v>
      </c>
      <c r="U27" s="50">
        <v>37.476059999999997</v>
      </c>
    </row>
    <row r="28" spans="1:21">
      <c r="A28" s="42">
        <v>46234.791666666664</v>
      </c>
      <c r="B28" s="43" t="s">
        <v>29</v>
      </c>
      <c r="C28" s="44">
        <v>365.5</v>
      </c>
      <c r="D28" s="44">
        <v>365.5</v>
      </c>
      <c r="E28" s="44">
        <v>231.5309</v>
      </c>
      <c r="F28" s="44">
        <v>60.220269999999999</v>
      </c>
      <c r="G28" s="11">
        <f t="shared" si="0"/>
        <v>44.802509999999998</v>
      </c>
      <c r="H28" s="35">
        <f t="shared" si="1"/>
        <v>684.49019999999996</v>
      </c>
      <c r="R28" s="48" t="s">
        <v>36</v>
      </c>
      <c r="S28" s="48" t="s">
        <v>36</v>
      </c>
      <c r="T28" s="49">
        <v>46234.791666666664</v>
      </c>
      <c r="U28" s="50">
        <v>44.802509999999998</v>
      </c>
    </row>
    <row r="29" spans="1:21">
      <c r="A29" s="42">
        <v>46234.833333333336</v>
      </c>
      <c r="B29" s="43" t="s">
        <v>29</v>
      </c>
      <c r="C29" s="44">
        <v>504</v>
      </c>
      <c r="D29" s="44">
        <v>504</v>
      </c>
      <c r="E29" s="44">
        <v>231.5309</v>
      </c>
      <c r="F29" s="44">
        <v>60.220269999999999</v>
      </c>
      <c r="G29" s="11">
        <f t="shared" si="0"/>
        <v>52.128959999999999</v>
      </c>
      <c r="H29" s="35">
        <f t="shared" si="1"/>
        <v>977.94939999999997</v>
      </c>
      <c r="R29" s="48" t="s">
        <v>36</v>
      </c>
      <c r="S29" s="48" t="s">
        <v>36</v>
      </c>
      <c r="T29" s="49">
        <v>46234.833333333336</v>
      </c>
      <c r="U29" s="50">
        <v>52.128959999999999</v>
      </c>
    </row>
    <row r="30" spans="1:21">
      <c r="A30" s="42">
        <v>46234.875</v>
      </c>
      <c r="B30" s="43" t="s">
        <v>29</v>
      </c>
      <c r="C30" s="44">
        <v>685.5</v>
      </c>
      <c r="D30" s="44">
        <v>20</v>
      </c>
      <c r="E30" s="44">
        <v>231.96549999999999</v>
      </c>
      <c r="F30" s="44">
        <v>61.418170000000003</v>
      </c>
      <c r="G30" s="11">
        <f t="shared" si="0"/>
        <v>67.626589999999993</v>
      </c>
      <c r="H30" s="35">
        <f t="shared" si="1"/>
        <v>1094.4880000000001</v>
      </c>
      <c r="R30" s="48" t="s">
        <v>36</v>
      </c>
      <c r="S30" s="48" t="s">
        <v>36</v>
      </c>
      <c r="T30" s="49">
        <v>46234.875</v>
      </c>
      <c r="U30" s="50">
        <v>67.626589999999993</v>
      </c>
    </row>
    <row r="31" spans="1:21">
      <c r="A31" s="42">
        <v>46234.916666666664</v>
      </c>
      <c r="B31" s="43" t="s">
        <v>29</v>
      </c>
      <c r="C31" s="44">
        <v>867</v>
      </c>
      <c r="D31" s="44">
        <v>20</v>
      </c>
      <c r="E31" s="44">
        <v>232.95310000000001</v>
      </c>
      <c r="F31" s="44">
        <v>64.14067</v>
      </c>
      <c r="G31" s="11">
        <f t="shared" si="0"/>
        <v>83.124210000000005</v>
      </c>
      <c r="H31" s="35">
        <f t="shared" si="1"/>
        <v>1695.0260000000001</v>
      </c>
      <c r="R31" s="48" t="s">
        <v>36</v>
      </c>
      <c r="S31" s="48" t="s">
        <v>36</v>
      </c>
      <c r="T31" s="49">
        <v>46234.916666666664</v>
      </c>
      <c r="U31" s="50">
        <v>83.124210000000005</v>
      </c>
    </row>
    <row r="32" spans="1:21">
      <c r="A32" s="42">
        <v>46234.958333333336</v>
      </c>
      <c r="B32" s="43" t="s">
        <v>29</v>
      </c>
      <c r="C32" s="44">
        <v>967</v>
      </c>
      <c r="D32" s="44">
        <v>20</v>
      </c>
      <c r="E32" s="44">
        <v>234.12450000000001</v>
      </c>
      <c r="F32" s="44">
        <v>67.369870000000006</v>
      </c>
      <c r="G32" s="11">
        <f t="shared" si="0"/>
        <v>123.5776</v>
      </c>
      <c r="H32" s="35">
        <f t="shared" si="1"/>
        <v>1989.298</v>
      </c>
      <c r="R32" s="48" t="s">
        <v>36</v>
      </c>
      <c r="S32" s="48" t="s">
        <v>36</v>
      </c>
      <c r="T32" s="49">
        <v>46234.958333333336</v>
      </c>
      <c r="U32" s="50">
        <v>123.5776</v>
      </c>
    </row>
    <row r="33" spans="1:21">
      <c r="A33" s="42">
        <v>46235</v>
      </c>
      <c r="B33" s="43" t="s">
        <v>29</v>
      </c>
      <c r="C33" s="44">
        <v>1067</v>
      </c>
      <c r="D33" s="44">
        <v>20</v>
      </c>
      <c r="E33" s="44">
        <v>235.4265</v>
      </c>
      <c r="F33" s="44">
        <v>70.95908</v>
      </c>
      <c r="G33" s="11">
        <f t="shared" si="0"/>
        <v>164.0309</v>
      </c>
      <c r="H33" s="35">
        <f t="shared" si="1"/>
        <v>2283.569</v>
      </c>
      <c r="R33" s="48" t="s">
        <v>36</v>
      </c>
      <c r="S33" s="48" t="s">
        <v>36</v>
      </c>
      <c r="T33" s="49">
        <v>46235</v>
      </c>
      <c r="U33" s="50">
        <v>164.0309</v>
      </c>
    </row>
    <row r="34" spans="1:21">
      <c r="A34" s="42">
        <v>46235.041666666664</v>
      </c>
      <c r="B34" s="43" t="s">
        <v>29</v>
      </c>
      <c r="C34" s="44">
        <v>1105.5</v>
      </c>
      <c r="D34" s="44">
        <v>20</v>
      </c>
      <c r="E34" s="44">
        <v>236.81899999999999</v>
      </c>
      <c r="F34" s="44">
        <v>74.797579999999996</v>
      </c>
      <c r="G34" s="11">
        <f t="shared" si="0"/>
        <v>318.99020000000002</v>
      </c>
      <c r="H34" s="35">
        <f t="shared" si="1"/>
        <v>2285.2600000000002</v>
      </c>
      <c r="R34" s="48" t="s">
        <v>36</v>
      </c>
      <c r="S34" s="48" t="s">
        <v>36</v>
      </c>
      <c r="T34" s="49">
        <v>46235.041666666664</v>
      </c>
      <c r="U34" s="50">
        <v>318.99020000000002</v>
      </c>
    </row>
    <row r="35" spans="1:21">
      <c r="A35" s="42">
        <v>46235.083333333336</v>
      </c>
      <c r="B35" s="43" t="s">
        <v>29</v>
      </c>
      <c r="C35" s="44">
        <v>1144</v>
      </c>
      <c r="D35" s="44">
        <v>20</v>
      </c>
      <c r="E35" s="44">
        <v>238.2337</v>
      </c>
      <c r="F35" s="44">
        <v>78.77467</v>
      </c>
      <c r="G35" s="11">
        <f t="shared" si="0"/>
        <v>473.94940000000003</v>
      </c>
      <c r="H35" s="35">
        <f t="shared" si="1"/>
        <v>2286.9499999999998</v>
      </c>
      <c r="R35" s="48" t="s">
        <v>36</v>
      </c>
      <c r="S35" s="48" t="s">
        <v>36</v>
      </c>
      <c r="T35" s="49">
        <v>46235.083333333336</v>
      </c>
      <c r="U35" s="50">
        <v>473.94940000000003</v>
      </c>
    </row>
    <row r="36" spans="1:21" s="7" customFormat="1">
      <c r="A36" s="42">
        <v>46235.125</v>
      </c>
      <c r="B36" s="43" t="s">
        <v>29</v>
      </c>
      <c r="C36" s="44">
        <v>1170</v>
      </c>
      <c r="D36" s="44">
        <v>20</v>
      </c>
      <c r="E36" s="44">
        <v>239.55969999999999</v>
      </c>
      <c r="F36" s="44">
        <v>82.867869999999996</v>
      </c>
      <c r="G36" s="11">
        <f t="shared" si="0"/>
        <v>1074.4880000000001</v>
      </c>
      <c r="H36" s="35">
        <f t="shared" si="1"/>
        <v>2141.982</v>
      </c>
      <c r="Q36"/>
      <c r="R36" s="48" t="s">
        <v>36</v>
      </c>
      <c r="S36" s="48" t="s">
        <v>36</v>
      </c>
      <c r="T36" s="49">
        <v>46235.125</v>
      </c>
      <c r="U36" s="50">
        <v>1074.4880000000001</v>
      </c>
    </row>
    <row r="37" spans="1:21">
      <c r="A37" s="42">
        <v>46235.166666666664</v>
      </c>
      <c r="B37" s="43" t="s">
        <v>29</v>
      </c>
      <c r="C37" s="44">
        <v>1196</v>
      </c>
      <c r="D37" s="44">
        <v>20</v>
      </c>
      <c r="E37" s="44">
        <v>240.87970000000001</v>
      </c>
      <c r="F37" s="44">
        <v>87.054670000000002</v>
      </c>
      <c r="G37" s="11">
        <f t="shared" si="0"/>
        <v>1675.0260000000001</v>
      </c>
      <c r="H37" s="35">
        <f t="shared" si="1"/>
        <v>1997.0129999999999</v>
      </c>
      <c r="R37" s="48" t="s">
        <v>36</v>
      </c>
      <c r="S37" s="48" t="s">
        <v>36</v>
      </c>
      <c r="T37" s="49">
        <v>46235.166666666664</v>
      </c>
      <c r="U37" s="50">
        <v>1675.0260000000001</v>
      </c>
    </row>
    <row r="38" spans="1:21">
      <c r="A38" s="42">
        <v>46235.208333333336</v>
      </c>
      <c r="B38" s="43" t="s">
        <v>29</v>
      </c>
      <c r="C38" s="44">
        <v>1210.5</v>
      </c>
      <c r="D38" s="44">
        <v>20</v>
      </c>
      <c r="E38" s="44">
        <v>242.19720000000001</v>
      </c>
      <c r="F38" s="44">
        <v>91.314369999999997</v>
      </c>
      <c r="G38" s="11">
        <f t="shared" si="0"/>
        <v>1969.298</v>
      </c>
      <c r="H38" s="35">
        <f t="shared" si="1"/>
        <v>1793.396</v>
      </c>
      <c r="R38" s="48" t="s">
        <v>36</v>
      </c>
      <c r="S38" s="48" t="s">
        <v>36</v>
      </c>
      <c r="T38" s="49">
        <v>46235.208333333336</v>
      </c>
      <c r="U38" s="50">
        <v>1969.298</v>
      </c>
    </row>
    <row r="39" spans="1:21">
      <c r="A39" s="42">
        <v>46235.25</v>
      </c>
      <c r="B39" s="43" t="s">
        <v>29</v>
      </c>
      <c r="C39" s="44">
        <v>1225</v>
      </c>
      <c r="D39" s="44">
        <v>20</v>
      </c>
      <c r="E39" s="44">
        <v>243.4881</v>
      </c>
      <c r="F39" s="44">
        <v>95.626270000000005</v>
      </c>
      <c r="G39" s="11">
        <f t="shared" si="0"/>
        <v>2263.569</v>
      </c>
      <c r="H39" s="35">
        <f t="shared" si="1"/>
        <v>1589.78</v>
      </c>
      <c r="R39" s="48" t="s">
        <v>36</v>
      </c>
      <c r="S39" s="48" t="s">
        <v>36</v>
      </c>
      <c r="T39" s="49">
        <v>46235.25</v>
      </c>
      <c r="U39" s="50">
        <v>2263.569</v>
      </c>
    </row>
    <row r="40" spans="1:21">
      <c r="A40" s="42">
        <v>46235.291666666664</v>
      </c>
      <c r="B40" s="43" t="s">
        <v>29</v>
      </c>
      <c r="C40" s="44">
        <v>1214.5</v>
      </c>
      <c r="D40" s="44">
        <v>20</v>
      </c>
      <c r="E40" s="44">
        <v>244.75069999999999</v>
      </c>
      <c r="F40" s="44">
        <v>99.945369999999997</v>
      </c>
      <c r="G40" s="11">
        <f t="shared" si="0"/>
        <v>2265.2600000000002</v>
      </c>
      <c r="H40" s="35">
        <f t="shared" si="1"/>
        <v>1372.1690000000001</v>
      </c>
      <c r="R40" s="48" t="s">
        <v>36</v>
      </c>
      <c r="S40" s="48" t="s">
        <v>36</v>
      </c>
      <c r="T40" s="49">
        <v>46235.291666666664</v>
      </c>
      <c r="U40" s="50">
        <v>2265.2600000000002</v>
      </c>
    </row>
    <row r="41" spans="1:21">
      <c r="A41" s="42">
        <v>46235.333333333336</v>
      </c>
      <c r="B41" s="43" t="s">
        <v>29</v>
      </c>
      <c r="C41" s="44">
        <v>1204</v>
      </c>
      <c r="D41" s="44">
        <v>20</v>
      </c>
      <c r="E41" s="44">
        <v>245.98240000000001</v>
      </c>
      <c r="F41" s="44">
        <v>104.22669999999999</v>
      </c>
      <c r="G41" s="11">
        <f t="shared" si="0"/>
        <v>2266.9499999999998</v>
      </c>
      <c r="H41" s="35">
        <f t="shared" si="1"/>
        <v>1154.558</v>
      </c>
      <c r="R41" s="48" t="s">
        <v>36</v>
      </c>
      <c r="S41" s="48" t="s">
        <v>36</v>
      </c>
      <c r="T41" s="49">
        <v>46235.333333333336</v>
      </c>
      <c r="U41" s="50">
        <v>2266.9499999999998</v>
      </c>
    </row>
    <row r="42" spans="1:21">
      <c r="A42" s="42">
        <v>46235.375</v>
      </c>
      <c r="B42" s="43" t="s">
        <v>29</v>
      </c>
      <c r="C42" s="44">
        <v>1166.5</v>
      </c>
      <c r="D42" s="44">
        <v>20</v>
      </c>
      <c r="E42" s="44">
        <v>247.137</v>
      </c>
      <c r="F42" s="44">
        <v>108.4216</v>
      </c>
      <c r="G42" s="11">
        <f t="shared" si="0"/>
        <v>2121.982</v>
      </c>
      <c r="H42" s="35">
        <f t="shared" si="1"/>
        <v>965.71360000000004</v>
      </c>
      <c r="R42" s="48" t="s">
        <v>36</v>
      </c>
      <c r="S42" s="48" t="s">
        <v>36</v>
      </c>
      <c r="T42" s="49">
        <v>46235.375</v>
      </c>
      <c r="U42" s="50">
        <v>2121.982</v>
      </c>
    </row>
    <row r="43" spans="1:21">
      <c r="A43" s="42">
        <v>46235.416666666664</v>
      </c>
      <c r="B43" s="43" t="s">
        <v>29</v>
      </c>
      <c r="C43" s="44">
        <v>1129</v>
      </c>
      <c r="D43" s="44">
        <v>20</v>
      </c>
      <c r="E43" s="44">
        <v>248.24080000000001</v>
      </c>
      <c r="F43" s="44">
        <v>112.4815</v>
      </c>
      <c r="G43" s="11">
        <f t="shared" si="0"/>
        <v>1977.0129999999999</v>
      </c>
      <c r="H43" s="35">
        <f t="shared" si="1"/>
        <v>776.86929999999995</v>
      </c>
      <c r="R43" s="48" t="s">
        <v>36</v>
      </c>
      <c r="S43" s="48" t="s">
        <v>36</v>
      </c>
      <c r="T43" s="49">
        <v>46235.416666666664</v>
      </c>
      <c r="U43" s="50">
        <v>1977.0129999999999</v>
      </c>
    </row>
    <row r="44" spans="1:21">
      <c r="A44" s="42">
        <v>46235.458333333336</v>
      </c>
      <c r="B44" s="43" t="s">
        <v>29</v>
      </c>
      <c r="C44" s="44">
        <v>1077.5</v>
      </c>
      <c r="D44" s="44">
        <v>20</v>
      </c>
      <c r="E44" s="44">
        <v>249.2595</v>
      </c>
      <c r="F44" s="44">
        <v>116.38120000000001</v>
      </c>
      <c r="G44" s="11">
        <f t="shared" si="0"/>
        <v>1773.396</v>
      </c>
      <c r="H44" s="35">
        <f t="shared" si="1"/>
        <v>649.03729999999996</v>
      </c>
      <c r="R44" s="48" t="s">
        <v>36</v>
      </c>
      <c r="S44" s="48" t="s">
        <v>36</v>
      </c>
      <c r="T44" s="49">
        <v>46235.458333333336</v>
      </c>
      <c r="U44" s="50">
        <v>1773.396</v>
      </c>
    </row>
    <row r="45" spans="1:21">
      <c r="A45" s="42">
        <v>46235.5</v>
      </c>
      <c r="B45" s="43" t="s">
        <v>29</v>
      </c>
      <c r="C45" s="44">
        <v>1026</v>
      </c>
      <c r="D45" s="44">
        <v>20</v>
      </c>
      <c r="E45" s="44">
        <v>250.21979999999999</v>
      </c>
      <c r="F45" s="44">
        <v>120.0955</v>
      </c>
      <c r="G45" s="11">
        <f t="shared" si="0"/>
        <v>1569.78</v>
      </c>
      <c r="H45" s="35">
        <f t="shared" si="1"/>
        <v>521.20530000000008</v>
      </c>
      <c r="R45" s="48" t="s">
        <v>36</v>
      </c>
      <c r="S45" s="48" t="s">
        <v>36</v>
      </c>
      <c r="T45" s="49">
        <v>46235.5</v>
      </c>
      <c r="U45" s="50">
        <v>1569.78</v>
      </c>
    </row>
    <row r="46" spans="1:21">
      <c r="A46" s="42">
        <v>46235.541666666664</v>
      </c>
      <c r="B46" s="43" t="s">
        <v>29</v>
      </c>
      <c r="C46" s="44">
        <v>972</v>
      </c>
      <c r="D46" s="44">
        <v>20</v>
      </c>
      <c r="E46" s="44">
        <v>251.101</v>
      </c>
      <c r="F46" s="44">
        <v>123.6199</v>
      </c>
      <c r="G46" s="11">
        <f t="shared" si="0"/>
        <v>1352.1690000000001</v>
      </c>
      <c r="H46" s="35">
        <f t="shared" si="1"/>
        <v>443.37569999999999</v>
      </c>
      <c r="R46" s="48" t="s">
        <v>36</v>
      </c>
      <c r="S46" s="48" t="s">
        <v>36</v>
      </c>
      <c r="T46" s="49">
        <v>46235.541666666664</v>
      </c>
      <c r="U46" s="50">
        <v>1352.1690000000001</v>
      </c>
    </row>
    <row r="47" spans="1:21">
      <c r="A47" s="42">
        <v>46235.583333333336</v>
      </c>
      <c r="B47" s="43" t="s">
        <v>29</v>
      </c>
      <c r="C47" s="44">
        <v>918</v>
      </c>
      <c r="D47" s="44">
        <v>20</v>
      </c>
      <c r="E47" s="44">
        <v>251.93350000000001</v>
      </c>
      <c r="F47" s="44">
        <v>126.9499</v>
      </c>
      <c r="G47" s="11">
        <f t="shared" si="0"/>
        <v>1134.558</v>
      </c>
      <c r="H47" s="35">
        <f t="shared" si="1"/>
        <v>365.54599999999999</v>
      </c>
      <c r="R47" s="48" t="s">
        <v>36</v>
      </c>
      <c r="S47" s="48" t="s">
        <v>36</v>
      </c>
      <c r="T47" s="49">
        <v>46235.583333333336</v>
      </c>
      <c r="U47" s="50">
        <v>1134.558</v>
      </c>
    </row>
    <row r="48" spans="1:21">
      <c r="A48" s="42">
        <v>46235.625</v>
      </c>
      <c r="B48" s="43" t="s">
        <v>29</v>
      </c>
      <c r="C48" s="44">
        <v>867.5</v>
      </c>
      <c r="D48" s="44">
        <v>20</v>
      </c>
      <c r="E48" s="44">
        <v>252.69200000000001</v>
      </c>
      <c r="F48" s="44">
        <v>130.09180000000001</v>
      </c>
      <c r="G48" s="11">
        <f t="shared" si="0"/>
        <v>945.71360000000004</v>
      </c>
      <c r="H48" s="35">
        <f t="shared" si="1"/>
        <v>318.26749999999998</v>
      </c>
      <c r="R48" s="48" t="s">
        <v>36</v>
      </c>
      <c r="S48" s="48" t="s">
        <v>36</v>
      </c>
      <c r="T48" s="49">
        <v>46235.625</v>
      </c>
      <c r="U48" s="50">
        <v>945.71360000000004</v>
      </c>
    </row>
    <row r="49" spans="1:21">
      <c r="A49" s="42">
        <v>46235.666666666664</v>
      </c>
      <c r="B49" s="43" t="s">
        <v>29</v>
      </c>
      <c r="C49" s="44">
        <v>817</v>
      </c>
      <c r="D49" s="44">
        <v>20</v>
      </c>
      <c r="E49" s="44">
        <v>253.40430000000001</v>
      </c>
      <c r="F49" s="44">
        <v>133.05189999999999</v>
      </c>
      <c r="G49" s="11">
        <f t="shared" si="0"/>
        <v>756.86929999999995</v>
      </c>
      <c r="H49" s="35">
        <f t="shared" si="1"/>
        <v>270.98910000000001</v>
      </c>
      <c r="R49" s="48" t="s">
        <v>36</v>
      </c>
      <c r="S49" s="48" t="s">
        <v>36</v>
      </c>
      <c r="T49" s="49">
        <v>46235.666666666664</v>
      </c>
      <c r="U49" s="50">
        <v>756.86929999999995</v>
      </c>
    </row>
    <row r="50" spans="1:21">
      <c r="A50" s="42">
        <v>46235.708333333336</v>
      </c>
      <c r="B50" s="43" t="s">
        <v>29</v>
      </c>
      <c r="C50" s="44">
        <v>774.5</v>
      </c>
      <c r="D50" s="44">
        <v>20</v>
      </c>
      <c r="E50" s="44">
        <v>254.0735</v>
      </c>
      <c r="F50" s="44">
        <v>135.84460000000001</v>
      </c>
      <c r="G50" s="11">
        <f t="shared" si="0"/>
        <v>629.03729999999996</v>
      </c>
      <c r="H50" s="35">
        <f t="shared" si="1"/>
        <v>243.4545</v>
      </c>
      <c r="R50" s="48" t="s">
        <v>36</v>
      </c>
      <c r="S50" s="48" t="s">
        <v>36</v>
      </c>
      <c r="T50" s="49">
        <v>46235.708333333336</v>
      </c>
      <c r="U50" s="50">
        <v>629.03729999999996</v>
      </c>
    </row>
    <row r="51" spans="1:21">
      <c r="A51" s="42">
        <v>46235.75</v>
      </c>
      <c r="B51" s="43" t="s">
        <v>29</v>
      </c>
      <c r="C51" s="44">
        <v>732</v>
      </c>
      <c r="D51" s="44">
        <v>20</v>
      </c>
      <c r="E51" s="44">
        <v>254.6848</v>
      </c>
      <c r="F51" s="44">
        <v>138.48429999999999</v>
      </c>
      <c r="G51" s="11">
        <f t="shared" si="0"/>
        <v>501.20530000000002</v>
      </c>
      <c r="H51" s="35">
        <f t="shared" si="1"/>
        <v>215.92</v>
      </c>
      <c r="R51" s="48" t="s">
        <v>36</v>
      </c>
      <c r="S51" s="48" t="s">
        <v>36</v>
      </c>
      <c r="T51" s="49">
        <v>46235.75</v>
      </c>
      <c r="U51" s="50">
        <v>501.20530000000002</v>
      </c>
    </row>
    <row r="52" spans="1:21">
      <c r="A52" s="42">
        <v>46235.791666666664</v>
      </c>
      <c r="B52" s="43" t="s">
        <v>29</v>
      </c>
      <c r="C52" s="44">
        <v>699.5</v>
      </c>
      <c r="D52" s="44">
        <v>699.5</v>
      </c>
      <c r="E52" s="44">
        <v>254.98159999999999</v>
      </c>
      <c r="F52" s="44">
        <v>139.76589999999999</v>
      </c>
      <c r="G52" s="11">
        <f t="shared" si="0"/>
        <v>423.37569999999999</v>
      </c>
      <c r="H52" s="35">
        <f t="shared" si="1"/>
        <v>885.95609999999999</v>
      </c>
      <c r="R52" s="48" t="s">
        <v>36</v>
      </c>
      <c r="S52" s="48" t="s">
        <v>36</v>
      </c>
      <c r="T52" s="49">
        <v>46235.791666666664</v>
      </c>
      <c r="U52" s="50">
        <v>423.37569999999999</v>
      </c>
    </row>
    <row r="53" spans="1:21">
      <c r="A53" s="42">
        <v>46235.833333333336</v>
      </c>
      <c r="B53" s="43" t="s">
        <v>29</v>
      </c>
      <c r="C53" s="44">
        <v>667</v>
      </c>
      <c r="D53" s="44">
        <v>667</v>
      </c>
      <c r="E53" s="44">
        <v>254.98159999999999</v>
      </c>
      <c r="F53" s="44">
        <v>139.76589999999999</v>
      </c>
      <c r="G53" s="11">
        <f t="shared" si="0"/>
        <v>345.54599999999999</v>
      </c>
      <c r="H53" s="35">
        <f t="shared" si="1"/>
        <v>843.99220000000003</v>
      </c>
      <c r="R53" s="48" t="s">
        <v>36</v>
      </c>
      <c r="S53" s="48" t="s">
        <v>36</v>
      </c>
      <c r="T53" s="49">
        <v>46235.833333333336</v>
      </c>
      <c r="U53" s="50">
        <v>345.54599999999999</v>
      </c>
    </row>
    <row r="54" spans="1:21">
      <c r="A54" s="42">
        <v>46235.875</v>
      </c>
      <c r="B54" s="43" t="s">
        <v>29</v>
      </c>
      <c r="C54" s="44">
        <v>648.5</v>
      </c>
      <c r="D54" s="44">
        <v>648.5</v>
      </c>
      <c r="E54" s="44">
        <v>254.98159999999999</v>
      </c>
      <c r="F54" s="44">
        <v>139.76589999999999</v>
      </c>
      <c r="G54" s="11">
        <f t="shared" si="0"/>
        <v>298.26749999999998</v>
      </c>
      <c r="H54" s="35">
        <f t="shared" si="1"/>
        <v>858.86400000000003</v>
      </c>
      <c r="R54" s="48" t="s">
        <v>36</v>
      </c>
      <c r="S54" s="48" t="s">
        <v>36</v>
      </c>
      <c r="T54" s="49">
        <v>46235.875</v>
      </c>
      <c r="U54" s="50">
        <v>298.26749999999998</v>
      </c>
    </row>
    <row r="55" spans="1:21">
      <c r="A55" s="42">
        <v>46235.916666666664</v>
      </c>
      <c r="B55" s="43" t="s">
        <v>29</v>
      </c>
      <c r="C55" s="44">
        <v>630</v>
      </c>
      <c r="D55" s="44">
        <v>630</v>
      </c>
      <c r="E55" s="44">
        <v>254.98159999999999</v>
      </c>
      <c r="F55" s="44">
        <v>139.76589999999999</v>
      </c>
      <c r="G55" s="11">
        <f t="shared" si="0"/>
        <v>250.98910000000001</v>
      </c>
      <c r="H55" s="35">
        <f t="shared" si="1"/>
        <v>873.73590000000002</v>
      </c>
      <c r="R55" s="48" t="s">
        <v>36</v>
      </c>
      <c r="S55" s="48" t="s">
        <v>36</v>
      </c>
      <c r="T55" s="49">
        <v>46235.916666666664</v>
      </c>
      <c r="U55" s="50">
        <v>250.98910000000001</v>
      </c>
    </row>
    <row r="56" spans="1:21">
      <c r="A56" s="42">
        <v>46235.958333333336</v>
      </c>
      <c r="B56" s="43" t="s">
        <v>29</v>
      </c>
      <c r="C56" s="44">
        <v>634</v>
      </c>
      <c r="D56" s="44">
        <v>634</v>
      </c>
      <c r="E56" s="44">
        <v>254.98159999999999</v>
      </c>
      <c r="F56" s="44">
        <v>139.76589999999999</v>
      </c>
      <c r="G56" s="11">
        <f t="shared" si="0"/>
        <v>223.4545</v>
      </c>
      <c r="H56" s="35">
        <f t="shared" si="1"/>
        <v>993.85840000000007</v>
      </c>
      <c r="R56" s="48" t="s">
        <v>36</v>
      </c>
      <c r="S56" s="48" t="s">
        <v>36</v>
      </c>
      <c r="T56" s="49">
        <v>46235.958333333336</v>
      </c>
      <c r="U56" s="50">
        <v>223.4545</v>
      </c>
    </row>
    <row r="57" spans="1:21">
      <c r="A57" s="42">
        <v>46236</v>
      </c>
      <c r="B57" s="43" t="s">
        <v>29</v>
      </c>
      <c r="C57" s="44">
        <v>638</v>
      </c>
      <c r="D57" s="44">
        <v>638</v>
      </c>
      <c r="E57" s="44">
        <v>254.98159999999999</v>
      </c>
      <c r="F57" s="44">
        <v>139.76589999999999</v>
      </c>
      <c r="G57" s="11">
        <f t="shared" si="0"/>
        <v>195.92</v>
      </c>
      <c r="H57" s="35">
        <f t="shared" si="1"/>
        <v>1113.9809</v>
      </c>
      <c r="R57" s="48" t="s">
        <v>36</v>
      </c>
      <c r="S57" s="48" t="s">
        <v>36</v>
      </c>
      <c r="T57" s="49">
        <v>46236</v>
      </c>
      <c r="U57" s="50">
        <v>195.92</v>
      </c>
    </row>
    <row r="58" spans="1:21">
      <c r="A58" s="42">
        <v>46236.041666666664</v>
      </c>
      <c r="B58" s="43" t="s">
        <v>29</v>
      </c>
      <c r="C58" s="44">
        <v>657</v>
      </c>
      <c r="D58" s="44">
        <v>657</v>
      </c>
      <c r="E58" s="44">
        <v>254.98159999999999</v>
      </c>
      <c r="F58" s="44">
        <v>139.76589999999999</v>
      </c>
      <c r="G58" s="11">
        <f t="shared" si="0"/>
        <v>186.45609999999999</v>
      </c>
      <c r="H58" s="35">
        <f t="shared" si="1"/>
        <v>1299.0923</v>
      </c>
      <c r="R58" s="48" t="s">
        <v>36</v>
      </c>
      <c r="S58" s="48" t="s">
        <v>36</v>
      </c>
      <c r="T58" s="49">
        <v>46236.041666666664</v>
      </c>
      <c r="U58" s="50">
        <v>186.45609999999999</v>
      </c>
    </row>
    <row r="59" spans="1:21">
      <c r="A59" s="42">
        <v>46236.083333333336</v>
      </c>
      <c r="B59" s="43" t="s">
        <v>29</v>
      </c>
      <c r="C59" s="44">
        <v>676</v>
      </c>
      <c r="D59" s="44">
        <v>676</v>
      </c>
      <c r="E59" s="44">
        <v>254.98159999999999</v>
      </c>
      <c r="F59" s="44">
        <v>139.76589999999999</v>
      </c>
      <c r="G59" s="11">
        <f t="shared" si="0"/>
        <v>176.9922</v>
      </c>
      <c r="H59" s="35">
        <f t="shared" si="1"/>
        <v>1484.2037</v>
      </c>
      <c r="R59" s="48" t="s">
        <v>36</v>
      </c>
      <c r="S59" s="48" t="s">
        <v>36</v>
      </c>
      <c r="T59" s="49">
        <v>46236.083333333336</v>
      </c>
      <c r="U59" s="50">
        <v>176.9922</v>
      </c>
    </row>
    <row r="60" spans="1:21">
      <c r="A60" s="42">
        <v>46236.125</v>
      </c>
      <c r="B60" s="43" t="s">
        <v>29</v>
      </c>
      <c r="C60" s="44">
        <v>1968.5</v>
      </c>
      <c r="D60" s="44">
        <v>1968.5</v>
      </c>
      <c r="E60" s="44">
        <v>254.98159999999999</v>
      </c>
      <c r="F60" s="44">
        <v>139.76589999999999</v>
      </c>
      <c r="G60" s="11">
        <f t="shared" si="0"/>
        <v>210.364</v>
      </c>
      <c r="H60" s="35">
        <f t="shared" si="1"/>
        <v>2962.1621999999998</v>
      </c>
      <c r="R60" s="48" t="s">
        <v>36</v>
      </c>
      <c r="S60" s="48" t="s">
        <v>36</v>
      </c>
      <c r="T60" s="49">
        <v>46236.125</v>
      </c>
      <c r="U60" s="50">
        <v>210.364</v>
      </c>
    </row>
    <row r="61" spans="1:21">
      <c r="A61" s="42">
        <v>46236.166666666664</v>
      </c>
      <c r="B61" s="43" t="s">
        <v>29</v>
      </c>
      <c r="C61" s="44">
        <v>3261</v>
      </c>
      <c r="D61" s="44">
        <v>2820.8789999999999</v>
      </c>
      <c r="E61" s="44">
        <v>255.1651</v>
      </c>
      <c r="F61" s="44">
        <v>140.5581</v>
      </c>
      <c r="G61" s="11">
        <f t="shared" si="0"/>
        <v>243.73589999999999</v>
      </c>
      <c r="H61" s="35">
        <f t="shared" si="1"/>
        <v>4000</v>
      </c>
      <c r="R61" s="48" t="s">
        <v>36</v>
      </c>
      <c r="S61" s="48" t="s">
        <v>36</v>
      </c>
      <c r="T61" s="49">
        <v>46236.166666666664</v>
      </c>
      <c r="U61" s="50">
        <v>243.73589999999999</v>
      </c>
    </row>
    <row r="62" spans="1:21">
      <c r="A62" s="42">
        <v>46236.208333333336</v>
      </c>
      <c r="B62" s="43" t="s">
        <v>29</v>
      </c>
      <c r="C62" s="44">
        <v>2754.5</v>
      </c>
      <c r="D62" s="44">
        <v>2602.4879999999998</v>
      </c>
      <c r="E62" s="44">
        <v>255.41200000000001</v>
      </c>
      <c r="F62" s="44">
        <v>141.62389999999999</v>
      </c>
      <c r="G62" s="11">
        <f t="shared" si="0"/>
        <v>359.85840000000002</v>
      </c>
      <c r="H62" s="35">
        <f t="shared" si="1"/>
        <v>4000</v>
      </c>
      <c r="R62" s="48" t="s">
        <v>36</v>
      </c>
      <c r="S62" s="48" t="s">
        <v>36</v>
      </c>
      <c r="T62" s="49">
        <v>46236.208333333336</v>
      </c>
      <c r="U62" s="50">
        <v>359.85840000000002</v>
      </c>
    </row>
    <row r="63" spans="1:21">
      <c r="A63" s="42">
        <v>46236.25</v>
      </c>
      <c r="B63" s="43" t="s">
        <v>29</v>
      </c>
      <c r="C63" s="44">
        <v>2248</v>
      </c>
      <c r="D63" s="44">
        <v>2384.0970000000002</v>
      </c>
      <c r="E63" s="44">
        <v>255.4186</v>
      </c>
      <c r="F63" s="44">
        <v>141.65260000000001</v>
      </c>
      <c r="G63" s="11">
        <f t="shared" si="0"/>
        <v>475.98090000000002</v>
      </c>
      <c r="H63" s="35">
        <f t="shared" si="1"/>
        <v>4000</v>
      </c>
      <c r="R63" s="48" t="s">
        <v>36</v>
      </c>
      <c r="S63" s="48" t="s">
        <v>36</v>
      </c>
      <c r="T63" s="49">
        <v>46236.25</v>
      </c>
      <c r="U63" s="50">
        <v>475.98090000000002</v>
      </c>
    </row>
    <row r="64" spans="1:21">
      <c r="A64" s="42">
        <v>46236.291666666664</v>
      </c>
      <c r="B64" s="43" t="s">
        <v>29</v>
      </c>
      <c r="C64" s="44">
        <v>1796.5</v>
      </c>
      <c r="D64" s="44">
        <v>1796.5</v>
      </c>
      <c r="E64" s="44">
        <v>255.36179999999999</v>
      </c>
      <c r="F64" s="44">
        <v>141.4076</v>
      </c>
      <c r="G64" s="11">
        <f t="shared" si="0"/>
        <v>642.09230000000002</v>
      </c>
      <c r="H64" s="35">
        <f t="shared" si="1"/>
        <v>3527.335</v>
      </c>
      <c r="R64" s="48" t="s">
        <v>36</v>
      </c>
      <c r="S64" s="48" t="s">
        <v>36</v>
      </c>
      <c r="T64" s="49">
        <v>46236.291666666664</v>
      </c>
      <c r="U64" s="50">
        <v>642.09230000000002</v>
      </c>
    </row>
    <row r="65" spans="1:21">
      <c r="A65" s="42">
        <v>46236.333333333336</v>
      </c>
      <c r="B65" s="43" t="s">
        <v>29</v>
      </c>
      <c r="C65" s="44">
        <v>1345</v>
      </c>
      <c r="D65" s="44">
        <v>1345</v>
      </c>
      <c r="E65" s="44">
        <v>255.36179999999999</v>
      </c>
      <c r="F65" s="44">
        <v>141.4076</v>
      </c>
      <c r="G65" s="11">
        <f t="shared" si="0"/>
        <v>808.20370000000003</v>
      </c>
      <c r="H65" s="35">
        <f t="shared" si="1"/>
        <v>3190.7660000000001</v>
      </c>
      <c r="R65" s="48" t="s">
        <v>36</v>
      </c>
      <c r="S65" s="48" t="s">
        <v>36</v>
      </c>
      <c r="T65" s="49">
        <v>46236.333333333336</v>
      </c>
      <c r="U65" s="50">
        <v>808.20370000000003</v>
      </c>
    </row>
    <row r="66" spans="1:21">
      <c r="A66" s="42">
        <v>46236.375</v>
      </c>
      <c r="B66" s="43" t="s">
        <v>29</v>
      </c>
      <c r="C66" s="44">
        <v>1686.5</v>
      </c>
      <c r="D66" s="44">
        <v>1686.5</v>
      </c>
      <c r="E66" s="44">
        <v>255.36179999999999</v>
      </c>
      <c r="F66" s="44">
        <v>141.4076</v>
      </c>
      <c r="G66" s="11">
        <f t="shared" si="0"/>
        <v>993.66219999999998</v>
      </c>
      <c r="H66" s="35">
        <f t="shared" si="1"/>
        <v>3462.2249999999999</v>
      </c>
      <c r="R66" s="48" t="s">
        <v>36</v>
      </c>
      <c r="S66" s="48" t="s">
        <v>36</v>
      </c>
      <c r="T66" s="49">
        <v>46236.375</v>
      </c>
      <c r="U66" s="50">
        <v>993.66219999999998</v>
      </c>
    </row>
    <row r="67" spans="1:21">
      <c r="A67" s="42">
        <v>46236.416666666664</v>
      </c>
      <c r="B67" s="43" t="s">
        <v>29</v>
      </c>
      <c r="C67" s="44">
        <v>2028</v>
      </c>
      <c r="D67" s="44">
        <v>2028</v>
      </c>
      <c r="E67" s="44">
        <v>255.36179999999999</v>
      </c>
      <c r="F67" s="44">
        <v>141.4076</v>
      </c>
      <c r="G67" s="11">
        <f t="shared" ref="G67:G130" si="2">U67</f>
        <v>1179.1210000000001</v>
      </c>
      <c r="H67" s="35">
        <f t="shared" ref="H67:H130" si="3">D67+G73</f>
        <v>3733.6840000000002</v>
      </c>
      <c r="R67" s="48" t="s">
        <v>36</v>
      </c>
      <c r="S67" s="48" t="s">
        <v>36</v>
      </c>
      <c r="T67" s="49">
        <v>46236.416666666664</v>
      </c>
      <c r="U67" s="50">
        <v>1179.1210000000001</v>
      </c>
    </row>
    <row r="68" spans="1:21">
      <c r="A68" s="42">
        <v>46236.458333333336</v>
      </c>
      <c r="B68" s="43" t="s">
        <v>29</v>
      </c>
      <c r="C68" s="44">
        <v>2363</v>
      </c>
      <c r="D68" s="44">
        <v>2472.5419999999999</v>
      </c>
      <c r="E68" s="44">
        <v>255.31620000000001</v>
      </c>
      <c r="F68" s="44">
        <v>141.21039999999999</v>
      </c>
      <c r="G68" s="11">
        <f t="shared" si="2"/>
        <v>1397.5119999999999</v>
      </c>
      <c r="H68" s="35">
        <f t="shared" si="3"/>
        <v>4000</v>
      </c>
      <c r="R68" s="48" t="s">
        <v>36</v>
      </c>
      <c r="S68" s="48" t="s">
        <v>36</v>
      </c>
      <c r="T68" s="49">
        <v>46236.458333333336</v>
      </c>
      <c r="U68" s="50">
        <v>1397.5119999999999</v>
      </c>
    </row>
    <row r="69" spans="1:21">
      <c r="A69" s="42">
        <v>46236.5</v>
      </c>
      <c r="B69" s="43" t="s">
        <v>29</v>
      </c>
      <c r="C69" s="44">
        <v>2698</v>
      </c>
      <c r="D69" s="44">
        <v>2650.7689999999998</v>
      </c>
      <c r="E69" s="44">
        <v>255.2902</v>
      </c>
      <c r="F69" s="44">
        <v>141.09819999999999</v>
      </c>
      <c r="G69" s="11">
        <f t="shared" si="2"/>
        <v>1615.903</v>
      </c>
      <c r="H69" s="35">
        <f t="shared" si="3"/>
        <v>4000</v>
      </c>
      <c r="R69" s="48" t="s">
        <v>36</v>
      </c>
      <c r="S69" s="48" t="s">
        <v>36</v>
      </c>
      <c r="T69" s="49">
        <v>46236.5</v>
      </c>
      <c r="U69" s="50">
        <v>1615.903</v>
      </c>
    </row>
    <row r="70" spans="1:21">
      <c r="A70" s="42">
        <v>46236.541666666664</v>
      </c>
      <c r="B70" s="43" t="s">
        <v>29</v>
      </c>
      <c r="C70" s="44">
        <v>3091</v>
      </c>
      <c r="D70" s="44">
        <v>2837.377</v>
      </c>
      <c r="E70" s="44">
        <v>255.41560000000001</v>
      </c>
      <c r="F70" s="44">
        <v>141.63980000000001</v>
      </c>
      <c r="G70" s="11">
        <f t="shared" si="2"/>
        <v>1730.835</v>
      </c>
      <c r="H70" s="35">
        <f t="shared" si="3"/>
        <v>3999.9989999999998</v>
      </c>
      <c r="R70" s="48" t="s">
        <v>36</v>
      </c>
      <c r="S70" s="48" t="s">
        <v>36</v>
      </c>
      <c r="T70" s="49">
        <v>46236.541666666664</v>
      </c>
      <c r="U70" s="50">
        <v>1730.835</v>
      </c>
    </row>
    <row r="71" spans="1:21">
      <c r="A71" s="42">
        <v>46236.583333333336</v>
      </c>
      <c r="B71" s="43" t="s">
        <v>29</v>
      </c>
      <c r="C71" s="44">
        <v>3484</v>
      </c>
      <c r="D71" s="44">
        <v>3023.9859999999999</v>
      </c>
      <c r="E71" s="44">
        <v>255.7131</v>
      </c>
      <c r="F71" s="44">
        <v>142.92429999999999</v>
      </c>
      <c r="G71" s="11">
        <f t="shared" si="2"/>
        <v>1845.7660000000001</v>
      </c>
      <c r="H71" s="35">
        <f t="shared" si="3"/>
        <v>4000</v>
      </c>
      <c r="R71" s="48" t="s">
        <v>36</v>
      </c>
      <c r="S71" s="48" t="s">
        <v>36</v>
      </c>
      <c r="T71" s="49">
        <v>46236.583333333336</v>
      </c>
      <c r="U71" s="50">
        <v>1845.7660000000001</v>
      </c>
    </row>
    <row r="72" spans="1:21">
      <c r="A72" s="42">
        <v>46236.625</v>
      </c>
      <c r="B72" s="43" t="s">
        <v>29</v>
      </c>
      <c r="C72" s="44">
        <v>3844.5</v>
      </c>
      <c r="D72" s="44">
        <v>3062.5</v>
      </c>
      <c r="E72" s="44">
        <v>256.22269999999997</v>
      </c>
      <c r="F72" s="44">
        <v>145.15989999999999</v>
      </c>
      <c r="G72" s="11">
        <f t="shared" si="2"/>
        <v>1775.7249999999999</v>
      </c>
      <c r="H72" s="35">
        <f t="shared" si="3"/>
        <v>3894.9328999999998</v>
      </c>
      <c r="R72" s="48" t="s">
        <v>36</v>
      </c>
      <c r="S72" s="48" t="s">
        <v>36</v>
      </c>
      <c r="T72" s="49">
        <v>46236.625</v>
      </c>
      <c r="U72" s="50">
        <v>1775.7249999999999</v>
      </c>
    </row>
    <row r="73" spans="1:21">
      <c r="A73" s="42">
        <v>46236.666666666664</v>
      </c>
      <c r="B73" s="43" t="s">
        <v>29</v>
      </c>
      <c r="C73" s="44">
        <v>4205</v>
      </c>
      <c r="D73" s="44">
        <v>3087.8910000000001</v>
      </c>
      <c r="E73" s="44">
        <v>256.98630000000003</v>
      </c>
      <c r="F73" s="44">
        <v>148.57830000000001</v>
      </c>
      <c r="G73" s="11">
        <f t="shared" si="2"/>
        <v>1705.684</v>
      </c>
      <c r="H73" s="35">
        <f t="shared" si="3"/>
        <v>3776.7428</v>
      </c>
      <c r="R73" s="48" t="s">
        <v>36</v>
      </c>
      <c r="S73" s="48" t="s">
        <v>36</v>
      </c>
      <c r="T73" s="49">
        <v>46236.666666666664</v>
      </c>
      <c r="U73" s="50">
        <v>1705.684</v>
      </c>
    </row>
    <row r="74" spans="1:21">
      <c r="A74" s="42">
        <v>46236.708333333336</v>
      </c>
      <c r="B74" s="43" t="s">
        <v>29</v>
      </c>
      <c r="C74" s="44">
        <v>4353.5</v>
      </c>
      <c r="D74" s="44">
        <v>3119.1410000000001</v>
      </c>
      <c r="E74" s="44">
        <v>257.93180000000001</v>
      </c>
      <c r="F74" s="44">
        <v>152.81100000000001</v>
      </c>
      <c r="G74" s="11">
        <f t="shared" si="2"/>
        <v>1527.4580000000001</v>
      </c>
      <c r="H74" s="35">
        <f t="shared" si="3"/>
        <v>3719.1446999999998</v>
      </c>
      <c r="R74" s="48" t="s">
        <v>36</v>
      </c>
      <c r="S74" s="48" t="s">
        <v>36</v>
      </c>
      <c r="T74" s="49">
        <v>46236.708333333336</v>
      </c>
      <c r="U74" s="50">
        <v>1527.4580000000001</v>
      </c>
    </row>
    <row r="75" spans="1:21">
      <c r="A75" s="42">
        <v>46236.75</v>
      </c>
      <c r="B75" s="43" t="s">
        <v>29</v>
      </c>
      <c r="C75" s="44">
        <v>4502</v>
      </c>
      <c r="D75" s="44">
        <v>3152.3440000000001</v>
      </c>
      <c r="E75" s="44">
        <v>258.93950000000001</v>
      </c>
      <c r="F75" s="44">
        <v>157.4622</v>
      </c>
      <c r="G75" s="11">
        <f t="shared" si="2"/>
        <v>1349.231</v>
      </c>
      <c r="H75" s="35">
        <f t="shared" si="3"/>
        <v>3663.4994999999999</v>
      </c>
      <c r="R75" s="48" t="s">
        <v>36</v>
      </c>
      <c r="S75" s="48" t="s">
        <v>36</v>
      </c>
      <c r="T75" s="49">
        <v>46236.75</v>
      </c>
      <c r="U75" s="50">
        <v>1349.231</v>
      </c>
    </row>
    <row r="76" spans="1:21">
      <c r="A76" s="42">
        <v>46236.791666666664</v>
      </c>
      <c r="B76" s="43" t="s">
        <v>29</v>
      </c>
      <c r="C76" s="44">
        <v>4482</v>
      </c>
      <c r="D76" s="44">
        <v>3185.547</v>
      </c>
      <c r="E76" s="44">
        <v>259.96929999999998</v>
      </c>
      <c r="F76" s="44">
        <v>162.2252</v>
      </c>
      <c r="G76" s="11">
        <f t="shared" si="2"/>
        <v>1162.6220000000001</v>
      </c>
      <c r="H76" s="35">
        <f t="shared" si="3"/>
        <v>3652.5104999999999</v>
      </c>
      <c r="R76" s="48" t="s">
        <v>36</v>
      </c>
      <c r="S76" s="48" t="s">
        <v>36</v>
      </c>
      <c r="T76" s="49">
        <v>46236.791666666664</v>
      </c>
      <c r="U76" s="50">
        <v>1162.6220000000001</v>
      </c>
    </row>
    <row r="77" spans="1:21">
      <c r="A77" s="42">
        <v>46236.833333333336</v>
      </c>
      <c r="B77" s="43" t="s">
        <v>29</v>
      </c>
      <c r="C77" s="44">
        <v>4462</v>
      </c>
      <c r="D77" s="44">
        <v>3214.8440000000001</v>
      </c>
      <c r="E77" s="44">
        <v>260.92790000000002</v>
      </c>
      <c r="F77" s="44">
        <v>166.80369999999999</v>
      </c>
      <c r="G77" s="11">
        <f t="shared" si="2"/>
        <v>976.01400000000001</v>
      </c>
      <c r="H77" s="35">
        <f t="shared" si="3"/>
        <v>3637.6154999999999</v>
      </c>
      <c r="R77" s="48" t="s">
        <v>36</v>
      </c>
      <c r="S77" s="48" t="s">
        <v>36</v>
      </c>
      <c r="T77" s="49">
        <v>46236.833333333336</v>
      </c>
      <c r="U77" s="50">
        <v>976.01400000000001</v>
      </c>
    </row>
    <row r="78" spans="1:21">
      <c r="A78" s="42">
        <v>46236.875</v>
      </c>
      <c r="B78" s="43" t="s">
        <v>29</v>
      </c>
      <c r="C78" s="44">
        <v>4331.5</v>
      </c>
      <c r="D78" s="44">
        <v>3244.1410000000001</v>
      </c>
      <c r="E78" s="44">
        <v>261.80669999999998</v>
      </c>
      <c r="F78" s="44">
        <v>171.00579999999999</v>
      </c>
      <c r="G78" s="11">
        <f t="shared" si="2"/>
        <v>832.43290000000002</v>
      </c>
      <c r="H78" s="35">
        <f t="shared" si="3"/>
        <v>3651.63</v>
      </c>
      <c r="R78" s="48" t="s">
        <v>36</v>
      </c>
      <c r="S78" s="48" t="s">
        <v>36</v>
      </c>
      <c r="T78" s="49">
        <v>46236.875</v>
      </c>
      <c r="U78" s="50">
        <v>832.43290000000002</v>
      </c>
    </row>
    <row r="79" spans="1:21">
      <c r="A79" s="42">
        <v>46236.916666666664</v>
      </c>
      <c r="B79" s="43" t="s">
        <v>29</v>
      </c>
      <c r="C79" s="44">
        <v>4201</v>
      </c>
      <c r="D79" s="44">
        <v>3267.578</v>
      </c>
      <c r="E79" s="44">
        <v>262.55250000000001</v>
      </c>
      <c r="F79" s="44">
        <v>174.64320000000001</v>
      </c>
      <c r="G79" s="11">
        <f t="shared" si="2"/>
        <v>688.85180000000003</v>
      </c>
      <c r="H79" s="35">
        <f t="shared" si="3"/>
        <v>3659.7846</v>
      </c>
      <c r="R79" s="48" t="s">
        <v>36</v>
      </c>
      <c r="S79" s="48" t="s">
        <v>36</v>
      </c>
      <c r="T79" s="49">
        <v>46236.916666666664</v>
      </c>
      <c r="U79" s="50">
        <v>688.85180000000003</v>
      </c>
    </row>
    <row r="80" spans="1:21">
      <c r="A80" s="42">
        <v>46236.958333333336</v>
      </c>
      <c r="B80" s="43" t="s">
        <v>29</v>
      </c>
      <c r="C80" s="44">
        <v>4004</v>
      </c>
      <c r="D80" s="44">
        <v>3285.1559999999999</v>
      </c>
      <c r="E80" s="44">
        <v>263.15800000000002</v>
      </c>
      <c r="F80" s="44">
        <v>177.6173</v>
      </c>
      <c r="G80" s="11">
        <f t="shared" si="2"/>
        <v>600.00369999999998</v>
      </c>
      <c r="H80" s="35">
        <f t="shared" si="3"/>
        <v>3677.4665</v>
      </c>
      <c r="R80" s="48" t="s">
        <v>36</v>
      </c>
      <c r="S80" s="48" t="s">
        <v>36</v>
      </c>
      <c r="T80" s="49">
        <v>46236.958333333336</v>
      </c>
      <c r="U80" s="50">
        <v>600.00369999999998</v>
      </c>
    </row>
    <row r="81" spans="1:21">
      <c r="A81" s="42">
        <v>46237</v>
      </c>
      <c r="B81" s="43" t="s">
        <v>29</v>
      </c>
      <c r="C81" s="44">
        <v>3807</v>
      </c>
      <c r="D81" s="44">
        <v>3298.828</v>
      </c>
      <c r="E81" s="44">
        <v>263.6078</v>
      </c>
      <c r="F81" s="44">
        <v>179.82599999999999</v>
      </c>
      <c r="G81" s="11">
        <f t="shared" si="2"/>
        <v>511.15550000000002</v>
      </c>
      <c r="H81" s="35">
        <f t="shared" si="3"/>
        <v>3691.2424000000001</v>
      </c>
      <c r="R81" s="48" t="s">
        <v>36</v>
      </c>
      <c r="S81" s="48" t="s">
        <v>36</v>
      </c>
      <c r="T81" s="49">
        <v>46237</v>
      </c>
      <c r="U81" s="50">
        <v>511.15550000000002</v>
      </c>
    </row>
    <row r="82" spans="1:21">
      <c r="A82" s="42">
        <v>46237.041666666664</v>
      </c>
      <c r="B82" s="43" t="s">
        <v>29</v>
      </c>
      <c r="C82" s="44">
        <v>3591.5</v>
      </c>
      <c r="D82" s="44">
        <v>3308.5940000000001</v>
      </c>
      <c r="E82" s="44">
        <v>263.89769999999999</v>
      </c>
      <c r="F82" s="44">
        <v>181.2499</v>
      </c>
      <c r="G82" s="11">
        <f t="shared" si="2"/>
        <v>466.96350000000001</v>
      </c>
      <c r="H82" s="35">
        <f t="shared" si="3"/>
        <v>3703.1288</v>
      </c>
      <c r="R82" s="48" t="s">
        <v>36</v>
      </c>
      <c r="S82" s="48" t="s">
        <v>36</v>
      </c>
      <c r="T82" s="49">
        <v>46237.041666666664</v>
      </c>
      <c r="U82" s="50">
        <v>466.96350000000001</v>
      </c>
    </row>
    <row r="83" spans="1:21">
      <c r="A83" s="42">
        <v>46237.083333333336</v>
      </c>
      <c r="B83" s="43" t="s">
        <v>29</v>
      </c>
      <c r="C83" s="44">
        <v>3376</v>
      </c>
      <c r="D83" s="44">
        <v>3312.5</v>
      </c>
      <c r="E83" s="44">
        <v>264.024</v>
      </c>
      <c r="F83" s="44">
        <v>181.8734</v>
      </c>
      <c r="G83" s="11">
        <f t="shared" si="2"/>
        <v>422.7715</v>
      </c>
      <c r="H83" s="35">
        <f t="shared" si="3"/>
        <v>3709.1550999999999</v>
      </c>
      <c r="R83" s="48" t="s">
        <v>36</v>
      </c>
      <c r="S83" s="48" t="s">
        <v>36</v>
      </c>
      <c r="T83" s="49">
        <v>46237.083333333336</v>
      </c>
      <c r="U83" s="50">
        <v>422.7715</v>
      </c>
    </row>
    <row r="84" spans="1:21">
      <c r="A84" s="42">
        <v>46237.125</v>
      </c>
      <c r="B84" s="43" t="s">
        <v>29</v>
      </c>
      <c r="C84" s="44">
        <v>3190</v>
      </c>
      <c r="D84" s="44">
        <v>3190</v>
      </c>
      <c r="E84" s="44">
        <v>264.04649999999998</v>
      </c>
      <c r="F84" s="44">
        <v>181.98769999999999</v>
      </c>
      <c r="G84" s="11">
        <f t="shared" si="2"/>
        <v>407.48899999999998</v>
      </c>
      <c r="H84" s="35">
        <f t="shared" si="3"/>
        <v>3586.3254999999999</v>
      </c>
      <c r="R84" s="48" t="s">
        <v>36</v>
      </c>
      <c r="S84" s="48" t="s">
        <v>36</v>
      </c>
      <c r="T84" s="49">
        <v>46237.125</v>
      </c>
      <c r="U84" s="50">
        <v>407.48899999999998</v>
      </c>
    </row>
    <row r="85" spans="1:21">
      <c r="A85" s="42">
        <v>46237.166666666664</v>
      </c>
      <c r="B85" s="43" t="s">
        <v>29</v>
      </c>
      <c r="C85" s="44">
        <v>3004</v>
      </c>
      <c r="D85" s="44">
        <v>3004</v>
      </c>
      <c r="E85" s="44">
        <v>264.04649999999998</v>
      </c>
      <c r="F85" s="44">
        <v>181.98769999999999</v>
      </c>
      <c r="G85" s="11">
        <f t="shared" si="2"/>
        <v>392.20659999999998</v>
      </c>
      <c r="H85" s="35">
        <f t="shared" si="3"/>
        <v>3399.9958000000001</v>
      </c>
      <c r="R85" s="48" t="s">
        <v>36</v>
      </c>
      <c r="S85" s="48" t="s">
        <v>36</v>
      </c>
      <c r="T85" s="49">
        <v>46237.166666666664</v>
      </c>
      <c r="U85" s="50">
        <v>392.20659999999998</v>
      </c>
    </row>
    <row r="86" spans="1:21">
      <c r="A86" s="42">
        <v>46237.208333333336</v>
      </c>
      <c r="B86" s="43" t="s">
        <v>29</v>
      </c>
      <c r="C86" s="44">
        <v>2884.5</v>
      </c>
      <c r="D86" s="44">
        <v>2884.5</v>
      </c>
      <c r="E86" s="44">
        <v>264.04649999999998</v>
      </c>
      <c r="F86" s="44">
        <v>181.98769999999999</v>
      </c>
      <c r="G86" s="11">
        <f t="shared" si="2"/>
        <v>392.31049999999999</v>
      </c>
      <c r="H86" s="35">
        <f t="shared" si="3"/>
        <v>3279.5873000000001</v>
      </c>
      <c r="R86" s="48" t="s">
        <v>36</v>
      </c>
      <c r="S86" s="48" t="s">
        <v>36</v>
      </c>
      <c r="T86" s="49">
        <v>46237.208333333336</v>
      </c>
      <c r="U86" s="50">
        <v>392.31049999999999</v>
      </c>
    </row>
    <row r="87" spans="1:21">
      <c r="A87" s="42">
        <v>46237.25</v>
      </c>
      <c r="B87" s="43" t="s">
        <v>29</v>
      </c>
      <c r="C87" s="44">
        <v>2765</v>
      </c>
      <c r="D87" s="44">
        <v>2765</v>
      </c>
      <c r="E87" s="44">
        <v>264.04649999999998</v>
      </c>
      <c r="F87" s="44">
        <v>181.98769999999999</v>
      </c>
      <c r="G87" s="11">
        <f t="shared" si="2"/>
        <v>392.4144</v>
      </c>
      <c r="H87" s="35">
        <f t="shared" si="3"/>
        <v>3159.1788999999999</v>
      </c>
      <c r="R87" s="48" t="s">
        <v>36</v>
      </c>
      <c r="S87" s="48" t="s">
        <v>36</v>
      </c>
      <c r="T87" s="49">
        <v>46237.25</v>
      </c>
      <c r="U87" s="50">
        <v>392.4144</v>
      </c>
    </row>
    <row r="88" spans="1:21">
      <c r="A88" s="42">
        <v>46237.291666666664</v>
      </c>
      <c r="B88" s="43" t="s">
        <v>29</v>
      </c>
      <c r="C88" s="44">
        <v>2912</v>
      </c>
      <c r="D88" s="44">
        <v>2912</v>
      </c>
      <c r="E88" s="44">
        <v>264.04649999999998</v>
      </c>
      <c r="F88" s="44">
        <v>181.98769999999999</v>
      </c>
      <c r="G88" s="11">
        <f t="shared" si="2"/>
        <v>394.53480000000002</v>
      </c>
      <c r="H88" s="35">
        <f t="shared" si="3"/>
        <v>3307.3868000000002</v>
      </c>
      <c r="R88" s="48" t="s">
        <v>36</v>
      </c>
      <c r="S88" s="48" t="s">
        <v>36</v>
      </c>
      <c r="T88" s="49">
        <v>46237.291666666664</v>
      </c>
      <c r="U88" s="50">
        <v>394.53480000000002</v>
      </c>
    </row>
    <row r="89" spans="1:21">
      <c r="A89" s="42">
        <v>46237.333333333336</v>
      </c>
      <c r="B89" s="43" t="s">
        <v>29</v>
      </c>
      <c r="C89" s="44">
        <v>3059</v>
      </c>
      <c r="D89" s="44">
        <v>3059</v>
      </c>
      <c r="E89" s="44">
        <v>264.04649999999998</v>
      </c>
      <c r="F89" s="44">
        <v>181.98769999999999</v>
      </c>
      <c r="G89" s="11">
        <f t="shared" si="2"/>
        <v>396.6551</v>
      </c>
      <c r="H89" s="35">
        <f t="shared" si="3"/>
        <v>3455.5947999999999</v>
      </c>
      <c r="R89" s="48" t="s">
        <v>36</v>
      </c>
      <c r="S89" s="48" t="s">
        <v>36</v>
      </c>
      <c r="T89" s="49">
        <v>46237.333333333336</v>
      </c>
      <c r="U89" s="50">
        <v>396.6551</v>
      </c>
    </row>
    <row r="90" spans="1:21">
      <c r="A90" s="42">
        <v>46237.375</v>
      </c>
      <c r="B90" s="43" t="s">
        <v>29</v>
      </c>
      <c r="C90" s="44">
        <v>3298</v>
      </c>
      <c r="D90" s="44">
        <v>3298</v>
      </c>
      <c r="E90" s="44">
        <v>264.04649999999998</v>
      </c>
      <c r="F90" s="44">
        <v>181.98769999999999</v>
      </c>
      <c r="G90" s="11">
        <f t="shared" si="2"/>
        <v>396.32549999999998</v>
      </c>
      <c r="H90" s="35">
        <f t="shared" si="3"/>
        <v>3713.6541000000002</v>
      </c>
      <c r="R90" s="48" t="s">
        <v>36</v>
      </c>
      <c r="S90" s="48" t="s">
        <v>36</v>
      </c>
      <c r="T90" s="49">
        <v>46237.375</v>
      </c>
      <c r="U90" s="50">
        <v>396.32549999999998</v>
      </c>
    </row>
    <row r="91" spans="1:21">
      <c r="A91" s="42">
        <v>46237.416666666664</v>
      </c>
      <c r="B91" s="43" t="s">
        <v>29</v>
      </c>
      <c r="C91" s="44">
        <v>3537</v>
      </c>
      <c r="D91" s="44">
        <v>3316.4059999999999</v>
      </c>
      <c r="E91" s="44">
        <v>264.12509999999997</v>
      </c>
      <c r="F91" s="44">
        <v>182.38480000000001</v>
      </c>
      <c r="G91" s="11">
        <f t="shared" si="2"/>
        <v>395.99579999999997</v>
      </c>
      <c r="H91" s="35">
        <f t="shared" si="3"/>
        <v>3751.1194</v>
      </c>
      <c r="R91" s="48" t="s">
        <v>36</v>
      </c>
      <c r="S91" s="48" t="s">
        <v>36</v>
      </c>
      <c r="T91" s="49">
        <v>46237.416666666664</v>
      </c>
      <c r="U91" s="50">
        <v>395.99579999999997</v>
      </c>
    </row>
    <row r="92" spans="1:21">
      <c r="A92" s="42">
        <v>46237.458333333336</v>
      </c>
      <c r="B92" s="43" t="s">
        <v>29</v>
      </c>
      <c r="C92" s="44">
        <v>3750.5</v>
      </c>
      <c r="D92" s="44">
        <v>3322.2660000000001</v>
      </c>
      <c r="E92" s="44">
        <v>264.35610000000003</v>
      </c>
      <c r="F92" s="44">
        <v>183.55269999999999</v>
      </c>
      <c r="G92" s="11">
        <f t="shared" si="2"/>
        <v>395.08730000000003</v>
      </c>
      <c r="H92" s="35">
        <f t="shared" si="3"/>
        <v>3846.8045999999999</v>
      </c>
      <c r="R92" s="48" t="s">
        <v>36</v>
      </c>
      <c r="S92" s="48" t="s">
        <v>36</v>
      </c>
      <c r="T92" s="49">
        <v>46237.458333333336</v>
      </c>
      <c r="U92" s="50">
        <v>395.08730000000003</v>
      </c>
    </row>
    <row r="93" spans="1:21">
      <c r="A93" s="42">
        <v>46237.5</v>
      </c>
      <c r="B93" s="43" t="s">
        <v>29</v>
      </c>
      <c r="C93" s="44">
        <v>3964</v>
      </c>
      <c r="D93" s="44">
        <v>3333.9839999999999</v>
      </c>
      <c r="E93" s="44">
        <v>264.73289999999997</v>
      </c>
      <c r="F93" s="44">
        <v>185.45750000000001</v>
      </c>
      <c r="G93" s="11">
        <f t="shared" si="2"/>
        <v>394.1789</v>
      </c>
      <c r="H93" s="35">
        <f t="shared" si="3"/>
        <v>3948.3478</v>
      </c>
      <c r="R93" s="48" t="s">
        <v>36</v>
      </c>
      <c r="S93" s="48" t="s">
        <v>36</v>
      </c>
      <c r="T93" s="49">
        <v>46237.5</v>
      </c>
      <c r="U93" s="50">
        <v>394.1789</v>
      </c>
    </row>
    <row r="94" spans="1:21">
      <c r="A94" s="42">
        <v>46237.541666666664</v>
      </c>
      <c r="B94" s="43" t="s">
        <v>29</v>
      </c>
      <c r="C94" s="44">
        <v>4099</v>
      </c>
      <c r="D94" s="44">
        <v>3056.6390000000001</v>
      </c>
      <c r="E94" s="44">
        <v>265.32839999999999</v>
      </c>
      <c r="F94" s="44">
        <v>188.46780000000001</v>
      </c>
      <c r="G94" s="11">
        <f t="shared" si="2"/>
        <v>395.38679999999999</v>
      </c>
      <c r="H94" s="35">
        <f t="shared" si="3"/>
        <v>3999.9994999999999</v>
      </c>
      <c r="R94" s="48" t="s">
        <v>36</v>
      </c>
      <c r="S94" s="48" t="s">
        <v>36</v>
      </c>
      <c r="T94" s="49">
        <v>46237.541666666664</v>
      </c>
      <c r="U94" s="50">
        <v>395.38679999999999</v>
      </c>
    </row>
    <row r="95" spans="1:21">
      <c r="A95" s="42">
        <v>46237.583333333336</v>
      </c>
      <c r="B95" s="43" t="s">
        <v>29</v>
      </c>
      <c r="C95" s="44">
        <v>4234</v>
      </c>
      <c r="D95" s="44">
        <v>2727.643</v>
      </c>
      <c r="E95" s="44">
        <v>266.2285</v>
      </c>
      <c r="F95" s="44">
        <v>193.05549999999999</v>
      </c>
      <c r="G95" s="11">
        <f t="shared" si="2"/>
        <v>396.59480000000002</v>
      </c>
      <c r="H95" s="35">
        <f t="shared" si="3"/>
        <v>4000</v>
      </c>
      <c r="R95" s="48" t="s">
        <v>36</v>
      </c>
      <c r="S95" s="48" t="s">
        <v>36</v>
      </c>
      <c r="T95" s="49">
        <v>46237.583333333336</v>
      </c>
      <c r="U95" s="50">
        <v>396.59480000000002</v>
      </c>
    </row>
    <row r="96" spans="1:21">
      <c r="A96" s="42">
        <v>46237.625</v>
      </c>
      <c r="B96" s="43" t="s">
        <v>29</v>
      </c>
      <c r="C96" s="44">
        <v>4102</v>
      </c>
      <c r="D96" s="44">
        <v>2619.462</v>
      </c>
      <c r="E96" s="44">
        <v>267.25880000000001</v>
      </c>
      <c r="F96" s="44">
        <v>198.43549999999999</v>
      </c>
      <c r="G96" s="11">
        <f t="shared" si="2"/>
        <v>415.65410000000003</v>
      </c>
      <c r="H96" s="35">
        <f t="shared" si="3"/>
        <v>4000</v>
      </c>
      <c r="R96" s="48" t="s">
        <v>36</v>
      </c>
      <c r="S96" s="48" t="s">
        <v>36</v>
      </c>
      <c r="T96" s="49">
        <v>46237.625</v>
      </c>
      <c r="U96" s="50">
        <v>415.65410000000003</v>
      </c>
    </row>
    <row r="97" spans="1:21">
      <c r="A97" s="42">
        <v>46237.666666666664</v>
      </c>
      <c r="B97" s="43" t="s">
        <v>29</v>
      </c>
      <c r="C97" s="44">
        <v>3970</v>
      </c>
      <c r="D97" s="44">
        <v>2511.2809999999999</v>
      </c>
      <c r="E97" s="44">
        <v>268.26519999999999</v>
      </c>
      <c r="F97" s="44">
        <v>203.72980000000001</v>
      </c>
      <c r="G97" s="11">
        <f t="shared" si="2"/>
        <v>434.71339999999998</v>
      </c>
      <c r="H97" s="35">
        <f t="shared" si="3"/>
        <v>4000</v>
      </c>
      <c r="R97" s="48" t="s">
        <v>36</v>
      </c>
      <c r="S97" s="48" t="s">
        <v>36</v>
      </c>
      <c r="T97" s="49">
        <v>46237.666666666664</v>
      </c>
      <c r="U97" s="50">
        <v>434.71339999999998</v>
      </c>
    </row>
    <row r="98" spans="1:21">
      <c r="A98" s="42">
        <v>46237.708333333336</v>
      </c>
      <c r="B98" s="43" t="s">
        <v>29</v>
      </c>
      <c r="C98" s="44">
        <v>3756</v>
      </c>
      <c r="D98" s="44">
        <v>2595.7660000000001</v>
      </c>
      <c r="E98" s="44">
        <v>269.14299999999997</v>
      </c>
      <c r="F98" s="44">
        <v>208.44390000000001</v>
      </c>
      <c r="G98" s="11">
        <f t="shared" si="2"/>
        <v>524.53859999999997</v>
      </c>
      <c r="H98" s="35">
        <f t="shared" si="3"/>
        <v>4000</v>
      </c>
      <c r="R98" s="48" t="s">
        <v>36</v>
      </c>
      <c r="S98" s="48" t="s">
        <v>36</v>
      </c>
      <c r="T98" s="49">
        <v>46237.708333333336</v>
      </c>
      <c r="U98" s="50">
        <v>524.53859999999997</v>
      </c>
    </row>
    <row r="99" spans="1:21">
      <c r="A99" s="42">
        <v>46237.75</v>
      </c>
      <c r="B99" s="43" t="s">
        <v>29</v>
      </c>
      <c r="C99" s="44">
        <v>3542</v>
      </c>
      <c r="D99" s="44">
        <v>2680.25</v>
      </c>
      <c r="E99" s="44">
        <v>269.82069999999999</v>
      </c>
      <c r="F99" s="44">
        <v>212.08349999999999</v>
      </c>
      <c r="G99" s="11">
        <f t="shared" si="2"/>
        <v>614.36379999999997</v>
      </c>
      <c r="H99" s="35">
        <f t="shared" si="3"/>
        <v>4000</v>
      </c>
      <c r="R99" s="48" t="s">
        <v>36</v>
      </c>
      <c r="S99" s="48" t="s">
        <v>36</v>
      </c>
      <c r="T99" s="49">
        <v>46237.75</v>
      </c>
      <c r="U99" s="50">
        <v>614.36379999999997</v>
      </c>
    </row>
    <row r="100" spans="1:21">
      <c r="A100" s="42">
        <v>46237.791666666664</v>
      </c>
      <c r="B100" s="43" t="s">
        <v>29</v>
      </c>
      <c r="C100" s="44">
        <v>3363</v>
      </c>
      <c r="D100" s="44">
        <v>2825.27</v>
      </c>
      <c r="E100" s="44">
        <v>270.28140000000002</v>
      </c>
      <c r="F100" s="44">
        <v>214.60249999999999</v>
      </c>
      <c r="G100" s="11">
        <f t="shared" si="2"/>
        <v>943.3605</v>
      </c>
      <c r="H100" s="35">
        <f t="shared" si="3"/>
        <v>4000</v>
      </c>
      <c r="R100" s="48" t="s">
        <v>36</v>
      </c>
      <c r="S100" s="48" t="s">
        <v>36</v>
      </c>
      <c r="T100" s="49">
        <v>46237.791666666664</v>
      </c>
      <c r="U100" s="50">
        <v>943.3605</v>
      </c>
    </row>
    <row r="101" spans="1:21">
      <c r="A101" s="42">
        <v>46237.833333333336</v>
      </c>
      <c r="B101" s="43" t="s">
        <v>29</v>
      </c>
      <c r="C101" s="44">
        <v>3184</v>
      </c>
      <c r="D101" s="44">
        <v>2970.2890000000002</v>
      </c>
      <c r="E101" s="44">
        <v>270.52609999999999</v>
      </c>
      <c r="F101" s="44">
        <v>215.95509999999999</v>
      </c>
      <c r="G101" s="11">
        <f t="shared" si="2"/>
        <v>1272.357</v>
      </c>
      <c r="H101" s="35">
        <f t="shared" si="3"/>
        <v>4000</v>
      </c>
      <c r="R101" s="48" t="s">
        <v>36</v>
      </c>
      <c r="S101" s="48" t="s">
        <v>36</v>
      </c>
      <c r="T101" s="49">
        <v>46237.833333333336</v>
      </c>
      <c r="U101" s="50">
        <v>1272.357</v>
      </c>
    </row>
    <row r="102" spans="1:21">
      <c r="A102" s="42">
        <v>46237.875</v>
      </c>
      <c r="B102" s="43" t="s">
        <v>29</v>
      </c>
      <c r="C102" s="44">
        <v>3033.5</v>
      </c>
      <c r="D102" s="44">
        <v>3111.335</v>
      </c>
      <c r="E102" s="44">
        <v>270.57029999999997</v>
      </c>
      <c r="F102" s="44">
        <v>216.19970000000001</v>
      </c>
      <c r="G102" s="11">
        <f t="shared" si="2"/>
        <v>1380.538</v>
      </c>
      <c r="H102" s="35">
        <f t="shared" si="3"/>
        <v>3999.9998999999998</v>
      </c>
      <c r="R102" s="48" t="s">
        <v>36</v>
      </c>
      <c r="S102" s="48" t="s">
        <v>36</v>
      </c>
      <c r="T102" s="49">
        <v>46237.875</v>
      </c>
      <c r="U102" s="50">
        <v>1380.538</v>
      </c>
    </row>
    <row r="103" spans="1:21">
      <c r="A103" s="42">
        <v>46237.916666666664</v>
      </c>
      <c r="B103" s="43" t="s">
        <v>29</v>
      </c>
      <c r="C103" s="44">
        <v>2883</v>
      </c>
      <c r="D103" s="44">
        <v>3252.3809999999999</v>
      </c>
      <c r="E103" s="44">
        <v>270.42469999999997</v>
      </c>
      <c r="F103" s="44">
        <v>215.3947</v>
      </c>
      <c r="G103" s="11">
        <f t="shared" si="2"/>
        <v>1488.7190000000001</v>
      </c>
      <c r="H103" s="35">
        <f t="shared" si="3"/>
        <v>4000</v>
      </c>
      <c r="R103" s="48" t="s">
        <v>36</v>
      </c>
      <c r="S103" s="48" t="s">
        <v>36</v>
      </c>
      <c r="T103" s="49">
        <v>46237.916666666664</v>
      </c>
      <c r="U103" s="50">
        <v>1488.7190000000001</v>
      </c>
    </row>
    <row r="104" spans="1:21">
      <c r="A104" s="42">
        <v>46237.958333333336</v>
      </c>
      <c r="B104" s="43" t="s">
        <v>29</v>
      </c>
      <c r="C104" s="44">
        <v>2756.5</v>
      </c>
      <c r="D104" s="44">
        <v>3362.6709999999998</v>
      </c>
      <c r="E104" s="44">
        <v>270.1071</v>
      </c>
      <c r="F104" s="44">
        <v>213.6387</v>
      </c>
      <c r="G104" s="11">
        <f t="shared" si="2"/>
        <v>1404.2339999999999</v>
      </c>
      <c r="H104" s="35">
        <f t="shared" si="3"/>
        <v>4000</v>
      </c>
      <c r="R104" s="48" t="s">
        <v>36</v>
      </c>
      <c r="S104" s="48" t="s">
        <v>36</v>
      </c>
      <c r="T104" s="49">
        <v>46237.958333333336</v>
      </c>
      <c r="U104" s="50">
        <v>1404.2339999999999</v>
      </c>
    </row>
    <row r="105" spans="1:21">
      <c r="A105" s="42">
        <v>46238</v>
      </c>
      <c r="B105" s="43" t="s">
        <v>29</v>
      </c>
      <c r="C105" s="44">
        <v>2630</v>
      </c>
      <c r="D105" s="44">
        <v>3472.9609999999998</v>
      </c>
      <c r="E105" s="44">
        <v>269.62459999999999</v>
      </c>
      <c r="F105" s="44">
        <v>211.03030000000001</v>
      </c>
      <c r="G105" s="11">
        <f t="shared" si="2"/>
        <v>1319.75</v>
      </c>
      <c r="H105" s="35">
        <f t="shared" si="3"/>
        <v>3999.9998999999998</v>
      </c>
      <c r="R105" s="48" t="s">
        <v>36</v>
      </c>
      <c r="S105" s="48" t="s">
        <v>36</v>
      </c>
      <c r="T105" s="49">
        <v>46238</v>
      </c>
      <c r="U105" s="50">
        <v>1319.75</v>
      </c>
    </row>
    <row r="106" spans="1:21">
      <c r="A106" s="42">
        <v>46238.041666666664</v>
      </c>
      <c r="B106" s="43" t="s">
        <v>29</v>
      </c>
      <c r="C106" s="44">
        <v>2524.5</v>
      </c>
      <c r="D106" s="44">
        <v>2524.5</v>
      </c>
      <c r="E106" s="44">
        <v>269.34210000000002</v>
      </c>
      <c r="F106" s="44">
        <v>209.5129</v>
      </c>
      <c r="G106" s="11">
        <f t="shared" si="2"/>
        <v>1174.73</v>
      </c>
      <c r="H106" s="35">
        <f t="shared" si="3"/>
        <v>2974.2253000000001</v>
      </c>
      <c r="R106" s="48" t="s">
        <v>36</v>
      </c>
      <c r="S106" s="48" t="s">
        <v>36</v>
      </c>
      <c r="T106" s="49">
        <v>46238.041666666664</v>
      </c>
      <c r="U106" s="50">
        <v>1174.73</v>
      </c>
    </row>
    <row r="107" spans="1:21">
      <c r="A107" s="42">
        <v>46238.083333333336</v>
      </c>
      <c r="B107" s="43" t="s">
        <v>29</v>
      </c>
      <c r="C107" s="44">
        <v>2419</v>
      </c>
      <c r="D107" s="44">
        <v>2419</v>
      </c>
      <c r="E107" s="44">
        <v>269.34210000000002</v>
      </c>
      <c r="F107" s="44">
        <v>209.5129</v>
      </c>
      <c r="G107" s="11">
        <f t="shared" si="2"/>
        <v>1029.711</v>
      </c>
      <c r="H107" s="35">
        <f t="shared" si="3"/>
        <v>2791.4115999999999</v>
      </c>
      <c r="R107" s="48" t="s">
        <v>36</v>
      </c>
      <c r="S107" s="48" t="s">
        <v>36</v>
      </c>
      <c r="T107" s="49">
        <v>46238.083333333336</v>
      </c>
      <c r="U107" s="50">
        <v>1029.711</v>
      </c>
    </row>
    <row r="108" spans="1:21">
      <c r="A108" s="42">
        <v>46238.125</v>
      </c>
      <c r="B108" s="43" t="s">
        <v>29</v>
      </c>
      <c r="C108" s="44">
        <v>2346.5</v>
      </c>
      <c r="D108" s="44">
        <v>2346.5</v>
      </c>
      <c r="E108" s="44">
        <v>269.34210000000002</v>
      </c>
      <c r="F108" s="44">
        <v>209.5129</v>
      </c>
      <c r="G108" s="11">
        <f t="shared" si="2"/>
        <v>888.66489999999999</v>
      </c>
      <c r="H108" s="35">
        <f t="shared" si="3"/>
        <v>2666.7745</v>
      </c>
      <c r="R108" s="48" t="s">
        <v>36</v>
      </c>
      <c r="S108" s="48" t="s">
        <v>36</v>
      </c>
      <c r="T108" s="49">
        <v>46238.125</v>
      </c>
      <c r="U108" s="50">
        <v>888.66489999999999</v>
      </c>
    </row>
    <row r="109" spans="1:21">
      <c r="A109" s="42">
        <v>46238.166666666664</v>
      </c>
      <c r="B109" s="43" t="s">
        <v>29</v>
      </c>
      <c r="C109" s="44">
        <v>2274</v>
      </c>
      <c r="D109" s="44">
        <v>2274</v>
      </c>
      <c r="E109" s="44">
        <v>269.34210000000002</v>
      </c>
      <c r="F109" s="44">
        <v>209.5129</v>
      </c>
      <c r="G109" s="11">
        <f t="shared" si="2"/>
        <v>747.61900000000003</v>
      </c>
      <c r="H109" s="35">
        <f t="shared" si="3"/>
        <v>2542.1374000000001</v>
      </c>
      <c r="R109" s="48" t="s">
        <v>36</v>
      </c>
      <c r="S109" s="48" t="s">
        <v>36</v>
      </c>
      <c r="T109" s="49">
        <v>46238.166666666664</v>
      </c>
      <c r="U109" s="50">
        <v>747.61900000000003</v>
      </c>
    </row>
    <row r="110" spans="1:21">
      <c r="A110" s="42">
        <v>46238.208333333336</v>
      </c>
      <c r="B110" s="43" t="s">
        <v>29</v>
      </c>
      <c r="C110" s="44">
        <v>2254</v>
      </c>
      <c r="D110" s="44">
        <v>2254</v>
      </c>
      <c r="E110" s="44">
        <v>269.34210000000002</v>
      </c>
      <c r="F110" s="44">
        <v>209.5129</v>
      </c>
      <c r="G110" s="11">
        <f t="shared" si="2"/>
        <v>637.32899999999995</v>
      </c>
      <c r="H110" s="35">
        <f t="shared" si="3"/>
        <v>2487.6408999999999</v>
      </c>
      <c r="R110" s="48" t="s">
        <v>36</v>
      </c>
      <c r="S110" s="48" t="s">
        <v>36</v>
      </c>
      <c r="T110" s="49">
        <v>46238.208333333336</v>
      </c>
      <c r="U110" s="50">
        <v>637.32899999999995</v>
      </c>
    </row>
    <row r="111" spans="1:21">
      <c r="A111" s="42">
        <v>46238.25</v>
      </c>
      <c r="B111" s="43" t="s">
        <v>29</v>
      </c>
      <c r="C111" s="44">
        <v>2234</v>
      </c>
      <c r="D111" s="44">
        <v>2234</v>
      </c>
      <c r="E111" s="44">
        <v>269.34210000000002</v>
      </c>
      <c r="F111" s="44">
        <v>209.5129</v>
      </c>
      <c r="G111" s="11">
        <f t="shared" si="2"/>
        <v>527.03890000000001</v>
      </c>
      <c r="H111" s="35">
        <f t="shared" si="3"/>
        <v>2433.1444999999999</v>
      </c>
      <c r="R111" s="48" t="s">
        <v>36</v>
      </c>
      <c r="S111" s="48" t="s">
        <v>36</v>
      </c>
      <c r="T111" s="49">
        <v>46238.25</v>
      </c>
      <c r="U111" s="50">
        <v>527.03890000000001</v>
      </c>
    </row>
    <row r="112" spans="1:21">
      <c r="A112" s="42">
        <v>46238.291666666664</v>
      </c>
      <c r="B112" s="43" t="s">
        <v>29</v>
      </c>
      <c r="C112" s="44">
        <v>2225</v>
      </c>
      <c r="D112" s="44">
        <v>2225</v>
      </c>
      <c r="E112" s="44">
        <v>269.34210000000002</v>
      </c>
      <c r="F112" s="44">
        <v>209.5129</v>
      </c>
      <c r="G112" s="11">
        <f t="shared" si="2"/>
        <v>449.7253</v>
      </c>
      <c r="H112" s="35">
        <f t="shared" si="3"/>
        <v>2400.6424999999999</v>
      </c>
      <c r="R112" s="48" t="s">
        <v>36</v>
      </c>
      <c r="S112" s="48" t="s">
        <v>36</v>
      </c>
      <c r="T112" s="49">
        <v>46238.291666666664</v>
      </c>
      <c r="U112" s="50">
        <v>449.7253</v>
      </c>
    </row>
    <row r="113" spans="1:21">
      <c r="A113" s="42">
        <v>46238.333333333336</v>
      </c>
      <c r="B113" s="43" t="s">
        <v>29</v>
      </c>
      <c r="C113" s="44">
        <v>2216</v>
      </c>
      <c r="D113" s="44">
        <v>2216</v>
      </c>
      <c r="E113" s="44">
        <v>269.34210000000002</v>
      </c>
      <c r="F113" s="44">
        <v>209.5129</v>
      </c>
      <c r="G113" s="11">
        <f t="shared" si="2"/>
        <v>372.41160000000002</v>
      </c>
      <c r="H113" s="35">
        <f t="shared" si="3"/>
        <v>2368.1404000000002</v>
      </c>
      <c r="R113" s="48" t="s">
        <v>36</v>
      </c>
      <c r="S113" s="48" t="s">
        <v>36</v>
      </c>
      <c r="T113" s="49">
        <v>46238.333333333336</v>
      </c>
      <c r="U113" s="50">
        <v>372.41160000000002</v>
      </c>
    </row>
    <row r="114" spans="1:21">
      <c r="A114" s="42">
        <v>46238.375</v>
      </c>
      <c r="B114" s="43" t="s">
        <v>29</v>
      </c>
      <c r="C114" s="44">
        <v>2190.5</v>
      </c>
      <c r="D114" s="44">
        <v>2190.5</v>
      </c>
      <c r="E114" s="44">
        <v>269.34210000000002</v>
      </c>
      <c r="F114" s="44">
        <v>209.5129</v>
      </c>
      <c r="G114" s="11">
        <f t="shared" si="2"/>
        <v>320.27449999999999</v>
      </c>
      <c r="H114" s="35">
        <f t="shared" si="3"/>
        <v>2326.3654000000001</v>
      </c>
      <c r="R114" s="48" t="s">
        <v>36</v>
      </c>
      <c r="S114" s="48" t="s">
        <v>36</v>
      </c>
      <c r="T114" s="49">
        <v>46238.375</v>
      </c>
      <c r="U114" s="50">
        <v>320.27449999999999</v>
      </c>
    </row>
    <row r="115" spans="1:21">
      <c r="A115" s="42">
        <v>46238.416666666664</v>
      </c>
      <c r="B115" s="43" t="s">
        <v>29</v>
      </c>
      <c r="C115" s="44">
        <v>2165</v>
      </c>
      <c r="D115" s="44">
        <v>2165</v>
      </c>
      <c r="E115" s="44">
        <v>269.34210000000002</v>
      </c>
      <c r="F115" s="44">
        <v>209.5129</v>
      </c>
      <c r="G115" s="11">
        <f t="shared" si="2"/>
        <v>268.13740000000001</v>
      </c>
      <c r="H115" s="35">
        <f t="shared" si="3"/>
        <v>2284.5902999999998</v>
      </c>
      <c r="R115" s="48" t="s">
        <v>36</v>
      </c>
      <c r="S115" s="48" t="s">
        <v>36</v>
      </c>
      <c r="T115" s="49">
        <v>46238.416666666664</v>
      </c>
      <c r="U115" s="50">
        <v>268.13740000000001</v>
      </c>
    </row>
    <row r="116" spans="1:21">
      <c r="A116" s="42">
        <v>46238.458333333336</v>
      </c>
      <c r="B116" s="43" t="s">
        <v>29</v>
      </c>
      <c r="C116" s="44">
        <v>2137.5</v>
      </c>
      <c r="D116" s="44">
        <v>2137.5</v>
      </c>
      <c r="E116" s="44">
        <v>269.34210000000002</v>
      </c>
      <c r="F116" s="44">
        <v>209.5129</v>
      </c>
      <c r="G116" s="11">
        <f t="shared" si="2"/>
        <v>233.64089999999999</v>
      </c>
      <c r="H116" s="35">
        <f t="shared" si="3"/>
        <v>2244.9688000000001</v>
      </c>
      <c r="R116" s="48" t="s">
        <v>36</v>
      </c>
      <c r="S116" s="48" t="s">
        <v>36</v>
      </c>
      <c r="T116" s="49">
        <v>46238.458333333336</v>
      </c>
      <c r="U116" s="50">
        <v>233.64089999999999</v>
      </c>
    </row>
    <row r="117" spans="1:21">
      <c r="A117" s="42">
        <v>46238.5</v>
      </c>
      <c r="B117" s="43" t="s">
        <v>29</v>
      </c>
      <c r="C117" s="44">
        <v>2110</v>
      </c>
      <c r="D117" s="44">
        <v>2110</v>
      </c>
      <c r="E117" s="44">
        <v>269.34210000000002</v>
      </c>
      <c r="F117" s="44">
        <v>209.5129</v>
      </c>
      <c r="G117" s="11">
        <f t="shared" si="2"/>
        <v>199.14449999999999</v>
      </c>
      <c r="H117" s="35">
        <f t="shared" si="3"/>
        <v>2205.3471599999998</v>
      </c>
      <c r="R117" s="48" t="s">
        <v>36</v>
      </c>
      <c r="S117" s="48" t="s">
        <v>36</v>
      </c>
      <c r="T117" s="49">
        <v>46238.5</v>
      </c>
      <c r="U117" s="50">
        <v>199.14449999999999</v>
      </c>
    </row>
    <row r="118" spans="1:21">
      <c r="A118" s="42">
        <v>46238.541666666664</v>
      </c>
      <c r="B118" s="43" t="s">
        <v>29</v>
      </c>
      <c r="C118" s="44">
        <v>2069.5</v>
      </c>
      <c r="D118" s="44">
        <v>2069.5</v>
      </c>
      <c r="E118" s="44">
        <v>269.34210000000002</v>
      </c>
      <c r="F118" s="44">
        <v>209.5129</v>
      </c>
      <c r="G118" s="11">
        <f t="shared" si="2"/>
        <v>175.64250000000001</v>
      </c>
      <c r="H118" s="35">
        <f t="shared" si="3"/>
        <v>2156.5859700000001</v>
      </c>
      <c r="R118" s="48" t="s">
        <v>36</v>
      </c>
      <c r="S118" s="48" t="s">
        <v>36</v>
      </c>
      <c r="T118" s="49">
        <v>46238.541666666664</v>
      </c>
      <c r="U118" s="50">
        <v>175.64250000000001</v>
      </c>
    </row>
    <row r="119" spans="1:21">
      <c r="A119" s="42">
        <v>46238.583333333336</v>
      </c>
      <c r="B119" s="43" t="s">
        <v>29</v>
      </c>
      <c r="C119" s="44">
        <v>2029</v>
      </c>
      <c r="D119" s="44">
        <v>2029</v>
      </c>
      <c r="E119" s="44">
        <v>269.34210000000002</v>
      </c>
      <c r="F119" s="44">
        <v>209.5129</v>
      </c>
      <c r="G119" s="11">
        <f t="shared" si="2"/>
        <v>152.1404</v>
      </c>
      <c r="H119" s="35">
        <f t="shared" si="3"/>
        <v>2107.8247799999999</v>
      </c>
      <c r="R119" s="48" t="s">
        <v>36</v>
      </c>
      <c r="S119" s="48" t="s">
        <v>36</v>
      </c>
      <c r="T119" s="49">
        <v>46238.583333333336</v>
      </c>
      <c r="U119" s="50">
        <v>152.1404</v>
      </c>
    </row>
    <row r="120" spans="1:21">
      <c r="A120" s="42">
        <v>46238.625</v>
      </c>
      <c r="B120" s="43" t="s">
        <v>29</v>
      </c>
      <c r="C120" s="44">
        <v>1969.5</v>
      </c>
      <c r="D120" s="44">
        <v>1969.5</v>
      </c>
      <c r="E120" s="44">
        <v>269.34210000000002</v>
      </c>
      <c r="F120" s="44">
        <v>209.5129</v>
      </c>
      <c r="G120" s="11">
        <f t="shared" si="2"/>
        <v>135.86539999999999</v>
      </c>
      <c r="H120" s="35">
        <f t="shared" si="3"/>
        <v>2041.43497</v>
      </c>
      <c r="R120" s="48" t="s">
        <v>36</v>
      </c>
      <c r="S120" s="48" t="s">
        <v>36</v>
      </c>
      <c r="T120" s="49">
        <v>46238.625</v>
      </c>
      <c r="U120" s="50">
        <v>135.86539999999999</v>
      </c>
    </row>
    <row r="121" spans="1:21">
      <c r="A121" s="42">
        <v>46238.666666666664</v>
      </c>
      <c r="B121" s="43" t="s">
        <v>29</v>
      </c>
      <c r="C121" s="44">
        <v>1910</v>
      </c>
      <c r="D121" s="44">
        <v>1910</v>
      </c>
      <c r="E121" s="44">
        <v>269.34210000000002</v>
      </c>
      <c r="F121" s="44">
        <v>209.5129</v>
      </c>
      <c r="G121" s="11">
        <f t="shared" si="2"/>
        <v>119.5903</v>
      </c>
      <c r="H121" s="35">
        <f t="shared" si="3"/>
        <v>1975.0451700000001</v>
      </c>
      <c r="R121" s="48" t="s">
        <v>36</v>
      </c>
      <c r="S121" s="48" t="s">
        <v>36</v>
      </c>
      <c r="T121" s="49">
        <v>46238.666666666664</v>
      </c>
      <c r="U121" s="50">
        <v>119.5903</v>
      </c>
    </row>
    <row r="122" spans="1:21">
      <c r="A122" s="42">
        <v>46238.708333333336</v>
      </c>
      <c r="B122" s="43" t="s">
        <v>29</v>
      </c>
      <c r="C122" s="44">
        <v>1843</v>
      </c>
      <c r="D122" s="44">
        <v>1843</v>
      </c>
      <c r="E122" s="44">
        <v>269.34210000000002</v>
      </c>
      <c r="F122" s="44">
        <v>209.5129</v>
      </c>
      <c r="G122" s="11">
        <f t="shared" si="2"/>
        <v>107.4688</v>
      </c>
      <c r="H122" s="35">
        <f t="shared" si="3"/>
        <v>1903.1657399999999</v>
      </c>
      <c r="R122" s="48" t="s">
        <v>36</v>
      </c>
      <c r="S122" s="48" t="s">
        <v>36</v>
      </c>
      <c r="T122" s="49">
        <v>46238.708333333336</v>
      </c>
      <c r="U122" s="50">
        <v>107.4688</v>
      </c>
    </row>
    <row r="123" spans="1:21">
      <c r="A123" s="42">
        <v>46238.75</v>
      </c>
      <c r="B123" s="43" t="s">
        <v>29</v>
      </c>
      <c r="C123" s="44">
        <v>1776</v>
      </c>
      <c r="D123" s="44">
        <v>1776</v>
      </c>
      <c r="E123" s="44">
        <v>269.34210000000002</v>
      </c>
      <c r="F123" s="44">
        <v>209.5129</v>
      </c>
      <c r="G123" s="11">
        <f t="shared" si="2"/>
        <v>95.347160000000002</v>
      </c>
      <c r="H123" s="35">
        <f t="shared" si="3"/>
        <v>1831.2863299999999</v>
      </c>
      <c r="R123" s="48" t="s">
        <v>36</v>
      </c>
      <c r="S123" s="48" t="s">
        <v>36</v>
      </c>
      <c r="T123" s="49">
        <v>46238.75</v>
      </c>
      <c r="U123" s="50">
        <v>95.347160000000002</v>
      </c>
    </row>
    <row r="124" spans="1:21">
      <c r="A124" s="42">
        <v>46238.791666666664</v>
      </c>
      <c r="B124" s="43" t="s">
        <v>29</v>
      </c>
      <c r="C124" s="44">
        <v>1709.5</v>
      </c>
      <c r="D124" s="44">
        <v>1709.5</v>
      </c>
      <c r="E124" s="44">
        <v>269.34210000000002</v>
      </c>
      <c r="F124" s="44">
        <v>209.5129</v>
      </c>
      <c r="G124" s="11">
        <f t="shared" si="2"/>
        <v>87.085970000000003</v>
      </c>
      <c r="H124" s="35">
        <f t="shared" si="3"/>
        <v>1760.2282500000001</v>
      </c>
      <c r="R124" s="48" t="s">
        <v>36</v>
      </c>
      <c r="S124" s="48" t="s">
        <v>36</v>
      </c>
      <c r="T124" s="49">
        <v>46238.791666666664</v>
      </c>
      <c r="U124" s="50">
        <v>87.085970000000003</v>
      </c>
    </row>
    <row r="125" spans="1:21">
      <c r="A125" s="42">
        <v>46238.833333333336</v>
      </c>
      <c r="B125" s="43" t="s">
        <v>29</v>
      </c>
      <c r="C125" s="44">
        <v>1643</v>
      </c>
      <c r="D125" s="44">
        <v>1643</v>
      </c>
      <c r="E125" s="44">
        <v>269.34210000000002</v>
      </c>
      <c r="F125" s="44">
        <v>209.5129</v>
      </c>
      <c r="G125" s="11">
        <f t="shared" si="2"/>
        <v>78.824780000000004</v>
      </c>
      <c r="H125" s="35">
        <f t="shared" si="3"/>
        <v>1689.1701700000001</v>
      </c>
      <c r="R125" s="48" t="s">
        <v>36</v>
      </c>
      <c r="S125" s="48" t="s">
        <v>36</v>
      </c>
      <c r="T125" s="49">
        <v>46238.833333333336</v>
      </c>
      <c r="U125" s="50">
        <v>78.824780000000004</v>
      </c>
    </row>
    <row r="126" spans="1:21">
      <c r="A126" s="42">
        <v>46238.875</v>
      </c>
      <c r="B126" s="43" t="s">
        <v>29</v>
      </c>
      <c r="C126" s="44">
        <v>1582.5</v>
      </c>
      <c r="D126" s="44">
        <v>1582.5</v>
      </c>
      <c r="E126" s="44">
        <v>269.34210000000002</v>
      </c>
      <c r="F126" s="44">
        <v>209.5129</v>
      </c>
      <c r="G126" s="11">
        <f t="shared" si="2"/>
        <v>71.934970000000007</v>
      </c>
      <c r="H126" s="35">
        <f t="shared" si="3"/>
        <v>1625.06331</v>
      </c>
      <c r="R126" s="48" t="s">
        <v>36</v>
      </c>
      <c r="S126" s="48" t="s">
        <v>36</v>
      </c>
      <c r="T126" s="49">
        <v>46238.875</v>
      </c>
      <c r="U126" s="50">
        <v>71.934970000000007</v>
      </c>
    </row>
    <row r="127" spans="1:21">
      <c r="A127" s="42">
        <v>46238.916666666664</v>
      </c>
      <c r="B127" s="43" t="s">
        <v>29</v>
      </c>
      <c r="C127" s="44">
        <v>1522</v>
      </c>
      <c r="D127" s="44">
        <v>1522</v>
      </c>
      <c r="E127" s="44">
        <v>269.34210000000002</v>
      </c>
      <c r="F127" s="44">
        <v>209.5129</v>
      </c>
      <c r="G127" s="11">
        <f t="shared" si="2"/>
        <v>65.045169999999999</v>
      </c>
      <c r="H127" s="35">
        <f t="shared" si="3"/>
        <v>1560.9564600000001</v>
      </c>
      <c r="R127" s="48" t="s">
        <v>36</v>
      </c>
      <c r="S127" s="48" t="s">
        <v>36</v>
      </c>
      <c r="T127" s="49">
        <v>46238.916666666664</v>
      </c>
      <c r="U127" s="50">
        <v>65.045169999999999</v>
      </c>
    </row>
    <row r="128" spans="1:21">
      <c r="A128" s="42">
        <v>46238.958333333336</v>
      </c>
      <c r="B128" s="43" t="s">
        <v>29</v>
      </c>
      <c r="C128" s="44">
        <v>1461.5</v>
      </c>
      <c r="D128" s="44">
        <v>1461.5</v>
      </c>
      <c r="E128" s="44">
        <v>269.34210000000002</v>
      </c>
      <c r="F128" s="44">
        <v>209.5129</v>
      </c>
      <c r="G128" s="11">
        <f t="shared" si="2"/>
        <v>60.16574</v>
      </c>
      <c r="H128" s="35">
        <f t="shared" si="3"/>
        <v>1497.79078</v>
      </c>
      <c r="R128" s="48" t="s">
        <v>36</v>
      </c>
      <c r="S128" s="48" t="s">
        <v>36</v>
      </c>
      <c r="T128" s="49">
        <v>46238.958333333336</v>
      </c>
      <c r="U128" s="50">
        <v>60.16574</v>
      </c>
    </row>
    <row r="129" spans="1:21">
      <c r="A129" s="42">
        <v>46239</v>
      </c>
      <c r="B129" s="43" t="s">
        <v>29</v>
      </c>
      <c r="C129" s="44">
        <v>1401</v>
      </c>
      <c r="D129" s="44">
        <v>1401</v>
      </c>
      <c r="E129" s="44">
        <v>269.34210000000002</v>
      </c>
      <c r="F129" s="44">
        <v>209.5129</v>
      </c>
      <c r="G129" s="11">
        <f t="shared" si="2"/>
        <v>55.28633</v>
      </c>
      <c r="H129" s="35">
        <f t="shared" si="3"/>
        <v>1434.6251099999999</v>
      </c>
      <c r="R129" s="48" t="s">
        <v>36</v>
      </c>
      <c r="S129" s="48" t="s">
        <v>36</v>
      </c>
      <c r="T129" s="49">
        <v>46239</v>
      </c>
      <c r="U129" s="50">
        <v>55.28633</v>
      </c>
    </row>
    <row r="130" spans="1:21">
      <c r="A130" s="42">
        <v>46239.041666666664</v>
      </c>
      <c r="B130" s="43" t="s">
        <v>29</v>
      </c>
      <c r="C130" s="44">
        <v>1336</v>
      </c>
      <c r="D130" s="44">
        <v>1336</v>
      </c>
      <c r="E130" s="44">
        <v>269.34210000000002</v>
      </c>
      <c r="F130" s="44">
        <v>209.5129</v>
      </c>
      <c r="G130" s="11">
        <f t="shared" si="2"/>
        <v>50.728250000000003</v>
      </c>
      <c r="H130" s="35">
        <f t="shared" si="3"/>
        <v>1367.57988</v>
      </c>
      <c r="R130" s="48" t="s">
        <v>36</v>
      </c>
      <c r="S130" s="48" t="s">
        <v>36</v>
      </c>
      <c r="T130" s="49">
        <v>46239.041666666664</v>
      </c>
      <c r="U130" s="50">
        <v>50.728250000000003</v>
      </c>
    </row>
    <row r="131" spans="1:21">
      <c r="A131" s="42">
        <v>46239.083333333336</v>
      </c>
      <c r="B131" s="43" t="s">
        <v>29</v>
      </c>
      <c r="C131" s="44">
        <v>1271</v>
      </c>
      <c r="D131" s="44">
        <v>1271</v>
      </c>
      <c r="E131" s="44">
        <v>269.34210000000002</v>
      </c>
      <c r="F131" s="44">
        <v>209.5129</v>
      </c>
      <c r="G131" s="11">
        <f t="shared" ref="G131:G194" si="4">U131</f>
        <v>46.170169999999999</v>
      </c>
      <c r="H131" s="35">
        <f t="shared" ref="H131:H194" si="5">D131+G137</f>
        <v>1300.5346500000001</v>
      </c>
      <c r="R131" s="48" t="s">
        <v>36</v>
      </c>
      <c r="S131" s="48" t="s">
        <v>36</v>
      </c>
      <c r="T131" s="49">
        <v>46239.083333333336</v>
      </c>
      <c r="U131" s="50">
        <v>46.170169999999999</v>
      </c>
    </row>
    <row r="132" spans="1:21">
      <c r="A132" s="42">
        <v>46239.125</v>
      </c>
      <c r="B132" s="43" t="s">
        <v>29</v>
      </c>
      <c r="C132" s="44">
        <v>1205</v>
      </c>
      <c r="D132" s="44">
        <v>1205</v>
      </c>
      <c r="E132" s="44">
        <v>269.34210000000002</v>
      </c>
      <c r="F132" s="44">
        <v>209.5129</v>
      </c>
      <c r="G132" s="11">
        <f t="shared" si="4"/>
        <v>42.563310000000001</v>
      </c>
      <c r="H132" s="35">
        <f t="shared" si="5"/>
        <v>1232.56781</v>
      </c>
      <c r="R132" s="48" t="s">
        <v>36</v>
      </c>
      <c r="S132" s="48" t="s">
        <v>36</v>
      </c>
      <c r="T132" s="49">
        <v>46239.125</v>
      </c>
      <c r="U132" s="50">
        <v>42.563310000000001</v>
      </c>
    </row>
    <row r="133" spans="1:21">
      <c r="A133" s="42">
        <v>46239.166666666664</v>
      </c>
      <c r="B133" s="43" t="s">
        <v>29</v>
      </c>
      <c r="C133" s="44">
        <v>1139</v>
      </c>
      <c r="D133" s="44">
        <v>1139</v>
      </c>
      <c r="E133" s="44">
        <v>269.34210000000002</v>
      </c>
      <c r="F133" s="44">
        <v>209.5129</v>
      </c>
      <c r="G133" s="11">
        <f t="shared" si="4"/>
        <v>38.95646</v>
      </c>
      <c r="H133" s="35">
        <f t="shared" si="5"/>
        <v>1164.60096</v>
      </c>
      <c r="R133" s="48" t="s">
        <v>36</v>
      </c>
      <c r="S133" s="48" t="s">
        <v>36</v>
      </c>
      <c r="T133" s="49">
        <v>46239.166666666664</v>
      </c>
      <c r="U133" s="50">
        <v>38.95646</v>
      </c>
    </row>
    <row r="134" spans="1:21">
      <c r="A134" s="42">
        <v>46239.208333333336</v>
      </c>
      <c r="B134" s="43" t="s">
        <v>29</v>
      </c>
      <c r="C134" s="44">
        <v>1074.5</v>
      </c>
      <c r="D134" s="44">
        <v>1074.5</v>
      </c>
      <c r="E134" s="44">
        <v>269.34210000000002</v>
      </c>
      <c r="F134" s="44">
        <v>209.5129</v>
      </c>
      <c r="G134" s="11">
        <f t="shared" si="4"/>
        <v>36.290779999999998</v>
      </c>
      <c r="H134" s="35">
        <f t="shared" si="5"/>
        <v>1098.4280100000001</v>
      </c>
      <c r="R134" s="48" t="s">
        <v>36</v>
      </c>
      <c r="S134" s="48" t="s">
        <v>36</v>
      </c>
      <c r="T134" s="49">
        <v>46239.208333333336</v>
      </c>
      <c r="U134" s="50">
        <v>36.290779999999998</v>
      </c>
    </row>
    <row r="135" spans="1:21">
      <c r="A135" s="42">
        <v>46239.25</v>
      </c>
      <c r="B135" s="43" t="s">
        <v>29</v>
      </c>
      <c r="C135" s="44">
        <v>1010</v>
      </c>
      <c r="D135" s="44">
        <v>1010</v>
      </c>
      <c r="E135" s="44">
        <v>269.34210000000002</v>
      </c>
      <c r="F135" s="44">
        <v>209.5129</v>
      </c>
      <c r="G135" s="11">
        <f t="shared" si="4"/>
        <v>33.625109999999999</v>
      </c>
      <c r="H135" s="35">
        <f t="shared" si="5"/>
        <v>1032.25506</v>
      </c>
      <c r="R135" s="48" t="s">
        <v>36</v>
      </c>
      <c r="S135" s="48" t="s">
        <v>36</v>
      </c>
      <c r="T135" s="49">
        <v>46239.25</v>
      </c>
      <c r="U135" s="50">
        <v>33.625109999999999</v>
      </c>
    </row>
    <row r="136" spans="1:21">
      <c r="A136" s="42">
        <v>46239.291666666664</v>
      </c>
      <c r="B136" s="43" t="s">
        <v>29</v>
      </c>
      <c r="C136" s="44">
        <v>950.5</v>
      </c>
      <c r="D136" s="44">
        <v>950.5</v>
      </c>
      <c r="E136" s="44">
        <v>269.34210000000002</v>
      </c>
      <c r="F136" s="44">
        <v>209.5129</v>
      </c>
      <c r="G136" s="11">
        <f t="shared" si="4"/>
        <v>31.579879999999999</v>
      </c>
      <c r="H136" s="35">
        <f t="shared" si="5"/>
        <v>971.38985000000002</v>
      </c>
      <c r="R136" s="48" t="s">
        <v>36</v>
      </c>
      <c r="S136" s="48" t="s">
        <v>36</v>
      </c>
      <c r="T136" s="49">
        <v>46239.291666666664</v>
      </c>
      <c r="U136" s="50">
        <v>31.579879999999999</v>
      </c>
    </row>
    <row r="137" spans="1:21">
      <c r="A137" s="42">
        <v>46239.333333333336</v>
      </c>
      <c r="B137" s="43" t="s">
        <v>29</v>
      </c>
      <c r="C137" s="44">
        <v>891</v>
      </c>
      <c r="D137" s="44">
        <v>891</v>
      </c>
      <c r="E137" s="44">
        <v>269.34210000000002</v>
      </c>
      <c r="F137" s="44">
        <v>209.5129</v>
      </c>
      <c r="G137" s="11">
        <f t="shared" si="4"/>
        <v>29.534649999999999</v>
      </c>
      <c r="H137" s="35">
        <f t="shared" si="5"/>
        <v>910.52463</v>
      </c>
      <c r="R137" s="48" t="s">
        <v>36</v>
      </c>
      <c r="S137" s="48" t="s">
        <v>36</v>
      </c>
      <c r="T137" s="49">
        <v>46239.333333333336</v>
      </c>
      <c r="U137" s="50">
        <v>29.534649999999999</v>
      </c>
    </row>
    <row r="138" spans="1:21">
      <c r="A138" s="42">
        <v>46239.375</v>
      </c>
      <c r="B138" s="43" t="s">
        <v>29</v>
      </c>
      <c r="C138" s="44">
        <v>837</v>
      </c>
      <c r="D138" s="44">
        <v>837</v>
      </c>
      <c r="E138" s="44">
        <v>269.34210000000002</v>
      </c>
      <c r="F138" s="44">
        <v>209.5129</v>
      </c>
      <c r="G138" s="11">
        <f t="shared" si="4"/>
        <v>27.567810000000001</v>
      </c>
      <c r="H138" s="35">
        <f t="shared" si="5"/>
        <v>854.92493000000002</v>
      </c>
      <c r="R138" s="48" t="s">
        <v>36</v>
      </c>
      <c r="S138" s="48" t="s">
        <v>36</v>
      </c>
      <c r="T138" s="49">
        <v>46239.375</v>
      </c>
      <c r="U138" s="50">
        <v>27.567810000000001</v>
      </c>
    </row>
    <row r="139" spans="1:21">
      <c r="A139" s="42">
        <v>46239.416666666664</v>
      </c>
      <c r="B139" s="43" t="s">
        <v>29</v>
      </c>
      <c r="C139" s="44">
        <v>783</v>
      </c>
      <c r="D139" s="44">
        <v>783</v>
      </c>
      <c r="E139" s="44">
        <v>269.34210000000002</v>
      </c>
      <c r="F139" s="44">
        <v>209.5129</v>
      </c>
      <c r="G139" s="11">
        <f t="shared" si="4"/>
        <v>25.600960000000001</v>
      </c>
      <c r="H139" s="35">
        <f t="shared" si="5"/>
        <v>799.32521999999994</v>
      </c>
      <c r="R139" s="48" t="s">
        <v>36</v>
      </c>
      <c r="S139" s="48" t="s">
        <v>36</v>
      </c>
      <c r="T139" s="49">
        <v>46239.416666666664</v>
      </c>
      <c r="U139" s="50">
        <v>25.600960000000001</v>
      </c>
    </row>
    <row r="140" spans="1:21">
      <c r="A140" s="42">
        <v>46239.458333333336</v>
      </c>
      <c r="B140" s="43" t="s">
        <v>29</v>
      </c>
      <c r="C140" s="44">
        <v>736</v>
      </c>
      <c r="D140" s="44">
        <v>736</v>
      </c>
      <c r="E140" s="44">
        <v>269.34210000000002</v>
      </c>
      <c r="F140" s="44">
        <v>209.5129</v>
      </c>
      <c r="G140" s="11">
        <f t="shared" si="4"/>
        <v>23.92801</v>
      </c>
      <c r="H140" s="35">
        <f t="shared" si="5"/>
        <v>751.79800999999998</v>
      </c>
      <c r="R140" s="48" t="s">
        <v>36</v>
      </c>
      <c r="S140" s="48" t="s">
        <v>36</v>
      </c>
      <c r="T140" s="49">
        <v>46239.458333333336</v>
      </c>
      <c r="U140" s="50">
        <v>23.92801</v>
      </c>
    </row>
    <row r="141" spans="1:21">
      <c r="A141" s="42">
        <v>46239.5</v>
      </c>
      <c r="B141" s="43" t="s">
        <v>29</v>
      </c>
      <c r="C141" s="44">
        <v>689</v>
      </c>
      <c r="D141" s="44">
        <v>689</v>
      </c>
      <c r="E141" s="44">
        <v>269.34210000000002</v>
      </c>
      <c r="F141" s="44">
        <v>209.5129</v>
      </c>
      <c r="G141" s="11">
        <f t="shared" si="4"/>
        <v>22.25506</v>
      </c>
      <c r="H141" s="35">
        <f t="shared" si="5"/>
        <v>704.27079000000003</v>
      </c>
      <c r="R141" s="48" t="s">
        <v>36</v>
      </c>
      <c r="S141" s="48" t="s">
        <v>36</v>
      </c>
      <c r="T141" s="49">
        <v>46239.5</v>
      </c>
      <c r="U141" s="50">
        <v>22.25506</v>
      </c>
    </row>
    <row r="142" spans="1:21">
      <c r="A142" s="42">
        <v>46239.541666666664</v>
      </c>
      <c r="B142" s="43" t="s">
        <v>29</v>
      </c>
      <c r="C142" s="44">
        <v>648</v>
      </c>
      <c r="D142" s="44">
        <v>648</v>
      </c>
      <c r="E142" s="44">
        <v>269.34210000000002</v>
      </c>
      <c r="F142" s="44">
        <v>209.5129</v>
      </c>
      <c r="G142" s="11">
        <f t="shared" si="4"/>
        <v>20.889849999999999</v>
      </c>
      <c r="H142" s="35">
        <f t="shared" si="5"/>
        <v>662.26336000000003</v>
      </c>
      <c r="R142" s="48" t="s">
        <v>36</v>
      </c>
      <c r="S142" s="48" t="s">
        <v>36</v>
      </c>
      <c r="T142" s="49">
        <v>46239.541666666664</v>
      </c>
      <c r="U142" s="50">
        <v>20.889849999999999</v>
      </c>
    </row>
    <row r="143" spans="1:21">
      <c r="A143" s="42">
        <v>46239.583333333336</v>
      </c>
      <c r="B143" s="43" t="s">
        <v>29</v>
      </c>
      <c r="C143" s="44">
        <v>607</v>
      </c>
      <c r="D143" s="44">
        <v>607</v>
      </c>
      <c r="E143" s="44">
        <v>269.34210000000002</v>
      </c>
      <c r="F143" s="44">
        <v>209.5129</v>
      </c>
      <c r="G143" s="11">
        <f t="shared" si="4"/>
        <v>19.524629999999998</v>
      </c>
      <c r="H143" s="35">
        <f t="shared" si="5"/>
        <v>620.25591999999995</v>
      </c>
      <c r="R143" s="48" t="s">
        <v>36</v>
      </c>
      <c r="S143" s="48" t="s">
        <v>36</v>
      </c>
      <c r="T143" s="49">
        <v>46239.583333333336</v>
      </c>
      <c r="U143" s="50">
        <v>19.524629999999998</v>
      </c>
    </row>
    <row r="144" spans="1:21">
      <c r="A144" s="42">
        <v>46239.625</v>
      </c>
      <c r="B144" s="43" t="s">
        <v>29</v>
      </c>
      <c r="C144" s="44">
        <v>571.5</v>
      </c>
      <c r="D144" s="44">
        <v>571.5</v>
      </c>
      <c r="E144" s="44">
        <v>269.34210000000002</v>
      </c>
      <c r="F144" s="44">
        <v>209.5129</v>
      </c>
      <c r="G144" s="11">
        <f t="shared" si="4"/>
        <v>17.92493</v>
      </c>
      <c r="H144" s="35">
        <f t="shared" si="5"/>
        <v>583.79939999999999</v>
      </c>
      <c r="R144" s="48" t="s">
        <v>36</v>
      </c>
      <c r="S144" s="48" t="s">
        <v>36</v>
      </c>
      <c r="T144" s="49">
        <v>46239.625</v>
      </c>
      <c r="U144" s="50">
        <v>17.92493</v>
      </c>
    </row>
    <row r="145" spans="1:21">
      <c r="A145" s="42">
        <v>46239.666666666664</v>
      </c>
      <c r="B145" s="43" t="s">
        <v>29</v>
      </c>
      <c r="C145" s="44">
        <v>536</v>
      </c>
      <c r="D145" s="44">
        <v>536</v>
      </c>
      <c r="E145" s="44">
        <v>269.34210000000002</v>
      </c>
      <c r="F145" s="44">
        <v>209.5129</v>
      </c>
      <c r="G145" s="11">
        <f t="shared" si="4"/>
        <v>16.325220000000002</v>
      </c>
      <c r="H145" s="35">
        <f t="shared" si="5"/>
        <v>547.34286999999995</v>
      </c>
      <c r="R145" s="48" t="s">
        <v>36</v>
      </c>
      <c r="S145" s="48" t="s">
        <v>36</v>
      </c>
      <c r="T145" s="49">
        <v>46239.666666666664</v>
      </c>
      <c r="U145" s="50">
        <v>16.325220000000002</v>
      </c>
    </row>
    <row r="146" spans="1:21">
      <c r="A146" s="42">
        <v>46239.708333333336</v>
      </c>
      <c r="B146" s="43" t="s">
        <v>29</v>
      </c>
      <c r="C146" s="44">
        <v>506</v>
      </c>
      <c r="D146" s="44">
        <v>506</v>
      </c>
      <c r="E146" s="44">
        <v>269.34210000000002</v>
      </c>
      <c r="F146" s="44">
        <v>209.5129</v>
      </c>
      <c r="G146" s="11">
        <f t="shared" si="4"/>
        <v>15.79801</v>
      </c>
      <c r="H146" s="35">
        <f t="shared" si="5"/>
        <v>516.67273999999998</v>
      </c>
      <c r="R146" s="48" t="s">
        <v>36</v>
      </c>
      <c r="S146" s="48" t="s">
        <v>36</v>
      </c>
      <c r="T146" s="49">
        <v>46239.708333333336</v>
      </c>
      <c r="U146" s="50">
        <v>15.79801</v>
      </c>
    </row>
    <row r="147" spans="1:21">
      <c r="A147" s="42">
        <v>46239.75</v>
      </c>
      <c r="B147" s="43" t="s">
        <v>29</v>
      </c>
      <c r="C147" s="44">
        <v>476</v>
      </c>
      <c r="D147" s="44">
        <v>500</v>
      </c>
      <c r="E147" s="44">
        <v>269.334</v>
      </c>
      <c r="F147" s="44">
        <v>209.46969999999999</v>
      </c>
      <c r="G147" s="11">
        <f t="shared" si="4"/>
        <v>15.27079</v>
      </c>
      <c r="H147" s="35">
        <f t="shared" si="5"/>
        <v>510.00259999999997</v>
      </c>
      <c r="R147" s="48" t="s">
        <v>36</v>
      </c>
      <c r="S147" s="48" t="s">
        <v>36</v>
      </c>
      <c r="T147" s="49">
        <v>46239.75</v>
      </c>
      <c r="U147" s="50">
        <v>15.27079</v>
      </c>
    </row>
    <row r="148" spans="1:21">
      <c r="A148" s="42">
        <v>46239.791666666664</v>
      </c>
      <c r="B148" s="43" t="s">
        <v>29</v>
      </c>
      <c r="C148" s="44">
        <v>450</v>
      </c>
      <c r="D148" s="44">
        <v>500</v>
      </c>
      <c r="E148" s="44">
        <v>269.30919999999998</v>
      </c>
      <c r="F148" s="44">
        <v>209.3365</v>
      </c>
      <c r="G148" s="11">
        <f t="shared" si="4"/>
        <v>14.26336</v>
      </c>
      <c r="H148" s="35">
        <f t="shared" si="5"/>
        <v>509.59265699999997</v>
      </c>
      <c r="R148" s="48" t="s">
        <v>36</v>
      </c>
      <c r="S148" s="48" t="s">
        <v>36</v>
      </c>
      <c r="T148" s="49">
        <v>46239.791666666664</v>
      </c>
      <c r="U148" s="50">
        <v>14.26336</v>
      </c>
    </row>
    <row r="149" spans="1:21">
      <c r="A149" s="42">
        <v>46239.833333333336</v>
      </c>
      <c r="B149" s="43" t="s">
        <v>29</v>
      </c>
      <c r="C149" s="44">
        <v>424</v>
      </c>
      <c r="D149" s="44">
        <v>500</v>
      </c>
      <c r="E149" s="44">
        <v>269.267</v>
      </c>
      <c r="F149" s="44">
        <v>209.1097</v>
      </c>
      <c r="G149" s="11">
        <f t="shared" si="4"/>
        <v>13.25592</v>
      </c>
      <c r="H149" s="35">
        <f t="shared" si="5"/>
        <v>509.18271099999998</v>
      </c>
      <c r="R149" s="48" t="s">
        <v>36</v>
      </c>
      <c r="S149" s="48" t="s">
        <v>36</v>
      </c>
      <c r="T149" s="49">
        <v>46239.833333333336</v>
      </c>
      <c r="U149" s="50">
        <v>13.25592</v>
      </c>
    </row>
    <row r="150" spans="1:21">
      <c r="A150" s="42">
        <v>46239.875</v>
      </c>
      <c r="B150" s="43" t="s">
        <v>29</v>
      </c>
      <c r="C150" s="44">
        <v>400.5</v>
      </c>
      <c r="D150" s="44">
        <v>500</v>
      </c>
      <c r="E150" s="44">
        <v>269.20819999999998</v>
      </c>
      <c r="F150" s="44">
        <v>208.7938</v>
      </c>
      <c r="G150" s="11">
        <f t="shared" si="4"/>
        <v>12.2994</v>
      </c>
      <c r="H150" s="35">
        <f t="shared" si="5"/>
        <v>508.25279499999999</v>
      </c>
      <c r="R150" s="48" t="s">
        <v>36</v>
      </c>
      <c r="S150" s="48" t="s">
        <v>36</v>
      </c>
      <c r="T150" s="49">
        <v>46239.875</v>
      </c>
      <c r="U150" s="50">
        <v>12.2994</v>
      </c>
    </row>
    <row r="151" spans="1:21">
      <c r="A151" s="42">
        <v>46239.916666666664</v>
      </c>
      <c r="B151" s="43" t="s">
        <v>29</v>
      </c>
      <c r="C151" s="44">
        <v>377</v>
      </c>
      <c r="D151" s="44">
        <v>500</v>
      </c>
      <c r="E151" s="44">
        <v>269.1336</v>
      </c>
      <c r="F151" s="44">
        <v>208.39330000000001</v>
      </c>
      <c r="G151" s="11">
        <f t="shared" si="4"/>
        <v>11.34287</v>
      </c>
      <c r="H151" s="35">
        <f t="shared" si="5"/>
        <v>507.32288</v>
      </c>
      <c r="R151" s="48" t="s">
        <v>36</v>
      </c>
      <c r="S151" s="48" t="s">
        <v>36</v>
      </c>
      <c r="T151" s="49">
        <v>46239.916666666664</v>
      </c>
      <c r="U151" s="50">
        <v>11.34287</v>
      </c>
    </row>
    <row r="152" spans="1:21">
      <c r="A152" s="42">
        <v>46239.958333333336</v>
      </c>
      <c r="B152" s="43" t="s">
        <v>29</v>
      </c>
      <c r="C152" s="44">
        <v>357</v>
      </c>
      <c r="D152" s="44">
        <v>500</v>
      </c>
      <c r="E152" s="44">
        <v>269.0444</v>
      </c>
      <c r="F152" s="44">
        <v>207.9145</v>
      </c>
      <c r="G152" s="11">
        <f t="shared" si="4"/>
        <v>10.672739999999999</v>
      </c>
      <c r="H152" s="35">
        <f t="shared" si="5"/>
        <v>507.16001299999999</v>
      </c>
      <c r="R152" s="48" t="s">
        <v>36</v>
      </c>
      <c r="S152" s="48" t="s">
        <v>36</v>
      </c>
      <c r="T152" s="49">
        <v>46239.958333333336</v>
      </c>
      <c r="U152" s="50">
        <v>10.672739999999999</v>
      </c>
    </row>
    <row r="153" spans="1:21">
      <c r="A153" s="42">
        <v>46240</v>
      </c>
      <c r="B153" s="43" t="s">
        <v>29</v>
      </c>
      <c r="C153" s="44">
        <v>337</v>
      </c>
      <c r="D153" s="44">
        <v>500</v>
      </c>
      <c r="E153" s="44">
        <v>268.94189999999998</v>
      </c>
      <c r="F153" s="44">
        <v>207.36369999999999</v>
      </c>
      <c r="G153" s="11">
        <f t="shared" si="4"/>
        <v>10.002599999999999</v>
      </c>
      <c r="H153" s="35">
        <f t="shared" si="5"/>
        <v>506.99714599999999</v>
      </c>
      <c r="R153" s="48" t="s">
        <v>36</v>
      </c>
      <c r="S153" s="48" t="s">
        <v>36</v>
      </c>
      <c r="T153" s="49">
        <v>46240</v>
      </c>
      <c r="U153" s="50">
        <v>10.002599999999999</v>
      </c>
    </row>
    <row r="154" spans="1:21">
      <c r="A154" s="42">
        <v>46240.041666666664</v>
      </c>
      <c r="B154" s="43" t="s">
        <v>29</v>
      </c>
      <c r="C154" s="44">
        <v>319</v>
      </c>
      <c r="D154" s="44">
        <v>500</v>
      </c>
      <c r="E154" s="44">
        <v>268.82659999999998</v>
      </c>
      <c r="F154" s="44">
        <v>206.74449999999999</v>
      </c>
      <c r="G154" s="11">
        <f t="shared" si="4"/>
        <v>9.5926570000000009</v>
      </c>
      <c r="H154" s="35">
        <f t="shared" si="5"/>
        <v>506.13468399999999</v>
      </c>
      <c r="R154" s="48" t="s">
        <v>36</v>
      </c>
      <c r="S154" s="48" t="s">
        <v>36</v>
      </c>
      <c r="T154" s="49">
        <v>46240.041666666664</v>
      </c>
      <c r="U154" s="50">
        <v>9.5926570000000009</v>
      </c>
    </row>
    <row r="155" spans="1:21">
      <c r="A155" s="42">
        <v>46240.083333333336</v>
      </c>
      <c r="B155" s="43" t="s">
        <v>29</v>
      </c>
      <c r="C155" s="44">
        <v>301</v>
      </c>
      <c r="D155" s="44">
        <v>500</v>
      </c>
      <c r="E155" s="44">
        <v>268.69920000000002</v>
      </c>
      <c r="F155" s="44">
        <v>206.06049999999999</v>
      </c>
      <c r="G155" s="11">
        <f t="shared" si="4"/>
        <v>9.1827109999999994</v>
      </c>
      <c r="H155" s="35">
        <f t="shared" si="5"/>
        <v>505.272221</v>
      </c>
      <c r="R155" s="48" t="s">
        <v>36</v>
      </c>
      <c r="S155" s="48" t="s">
        <v>36</v>
      </c>
      <c r="T155" s="49">
        <v>46240.083333333336</v>
      </c>
      <c r="U155" s="50">
        <v>9.1827109999999994</v>
      </c>
    </row>
    <row r="156" spans="1:21">
      <c r="A156" s="42">
        <v>46240.125</v>
      </c>
      <c r="B156" s="43" t="s">
        <v>29</v>
      </c>
      <c r="C156" s="44">
        <v>285</v>
      </c>
      <c r="D156" s="44">
        <v>500</v>
      </c>
      <c r="E156" s="44">
        <v>268.56049999999999</v>
      </c>
      <c r="F156" s="44">
        <v>205.31530000000001</v>
      </c>
      <c r="G156" s="11">
        <f t="shared" si="4"/>
        <v>8.2527950000000008</v>
      </c>
      <c r="H156" s="35">
        <f t="shared" si="5"/>
        <v>505.127769</v>
      </c>
      <c r="R156" s="48" t="s">
        <v>36</v>
      </c>
      <c r="S156" s="48" t="s">
        <v>36</v>
      </c>
      <c r="T156" s="49">
        <v>46240.125</v>
      </c>
      <c r="U156" s="50">
        <v>8.2527950000000008</v>
      </c>
    </row>
    <row r="157" spans="1:21">
      <c r="A157" s="42">
        <v>46240.166666666664</v>
      </c>
      <c r="B157" s="43" t="s">
        <v>29</v>
      </c>
      <c r="C157" s="44">
        <v>269</v>
      </c>
      <c r="D157" s="44">
        <v>500</v>
      </c>
      <c r="E157" s="44">
        <v>268.411</v>
      </c>
      <c r="F157" s="44">
        <v>204.51249999999999</v>
      </c>
      <c r="G157" s="11">
        <f t="shared" si="4"/>
        <v>7.3228799999999996</v>
      </c>
      <c r="H157" s="35">
        <f t="shared" si="5"/>
        <v>504.983316</v>
      </c>
      <c r="R157" s="48" t="s">
        <v>36</v>
      </c>
      <c r="S157" s="48" t="s">
        <v>36</v>
      </c>
      <c r="T157" s="49">
        <v>46240.166666666664</v>
      </c>
      <c r="U157" s="50">
        <v>7.3228799999999996</v>
      </c>
    </row>
    <row r="158" spans="1:21">
      <c r="A158" s="42">
        <v>46240.208333333336</v>
      </c>
      <c r="B158" s="43" t="s">
        <v>29</v>
      </c>
      <c r="C158" s="44">
        <v>254.5</v>
      </c>
      <c r="D158" s="44">
        <v>500</v>
      </c>
      <c r="E158" s="44">
        <v>268.25130000000001</v>
      </c>
      <c r="F158" s="44">
        <v>203.65479999999999</v>
      </c>
      <c r="G158" s="11">
        <f t="shared" si="4"/>
        <v>7.1600130000000002</v>
      </c>
      <c r="H158" s="35">
        <f t="shared" si="5"/>
        <v>504.62588099999999</v>
      </c>
      <c r="R158" s="48" t="s">
        <v>36</v>
      </c>
      <c r="S158" s="48" t="s">
        <v>36</v>
      </c>
      <c r="T158" s="49">
        <v>46240.208333333336</v>
      </c>
      <c r="U158" s="50">
        <v>7.1600130000000002</v>
      </c>
    </row>
    <row r="159" spans="1:21">
      <c r="A159" s="42">
        <v>46240.25</v>
      </c>
      <c r="B159" s="43" t="s">
        <v>29</v>
      </c>
      <c r="C159" s="44">
        <v>240</v>
      </c>
      <c r="D159" s="44">
        <v>500</v>
      </c>
      <c r="E159" s="44">
        <v>268.08179999999999</v>
      </c>
      <c r="F159" s="44">
        <v>202.7449</v>
      </c>
      <c r="G159" s="11">
        <f t="shared" si="4"/>
        <v>6.9971459999999999</v>
      </c>
      <c r="H159" s="35">
        <f t="shared" si="5"/>
        <v>504.26844499999999</v>
      </c>
      <c r="R159" s="48" t="s">
        <v>36</v>
      </c>
      <c r="S159" s="48" t="s">
        <v>36</v>
      </c>
      <c r="T159" s="49">
        <v>46240.25</v>
      </c>
      <c r="U159" s="50">
        <v>6.9971459999999999</v>
      </c>
    </row>
    <row r="160" spans="1:21">
      <c r="A160" s="42">
        <v>46240.291666666664</v>
      </c>
      <c r="B160" s="43" t="s">
        <v>29</v>
      </c>
      <c r="C160" s="44">
        <v>227</v>
      </c>
      <c r="D160" s="44">
        <v>500</v>
      </c>
      <c r="E160" s="44">
        <v>267.90039999999999</v>
      </c>
      <c r="F160" s="44">
        <v>201.78559999999999</v>
      </c>
      <c r="G160" s="11">
        <f t="shared" si="4"/>
        <v>6.134684</v>
      </c>
      <c r="H160" s="35">
        <f t="shared" si="5"/>
        <v>504.12536499999999</v>
      </c>
      <c r="R160" s="48" t="s">
        <v>36</v>
      </c>
      <c r="S160" s="48" t="s">
        <v>36</v>
      </c>
      <c r="T160" s="49">
        <v>46240.291666666664</v>
      </c>
      <c r="U160" s="50">
        <v>6.134684</v>
      </c>
    </row>
    <row r="161" spans="1:21">
      <c r="A161" s="42">
        <v>46240.333333333336</v>
      </c>
      <c r="B161" s="43" t="s">
        <v>29</v>
      </c>
      <c r="C161" s="44">
        <v>214</v>
      </c>
      <c r="D161" s="44">
        <v>500</v>
      </c>
      <c r="E161" s="44">
        <v>267.70769999999999</v>
      </c>
      <c r="F161" s="44">
        <v>200.77940000000001</v>
      </c>
      <c r="G161" s="11">
        <f t="shared" si="4"/>
        <v>5.272221</v>
      </c>
      <c r="H161" s="35">
        <f t="shared" si="5"/>
        <v>503.98228499999999</v>
      </c>
      <c r="R161" s="48" t="s">
        <v>36</v>
      </c>
      <c r="S161" s="48" t="s">
        <v>36</v>
      </c>
      <c r="T161" s="49">
        <v>46240.333333333336</v>
      </c>
      <c r="U161" s="50">
        <v>5.272221</v>
      </c>
    </row>
    <row r="162" spans="1:21">
      <c r="A162" s="42">
        <v>46240.375</v>
      </c>
      <c r="B162" s="43" t="s">
        <v>29</v>
      </c>
      <c r="C162" s="44">
        <v>201.5</v>
      </c>
      <c r="D162" s="44">
        <v>500</v>
      </c>
      <c r="E162" s="44">
        <v>267.50619999999998</v>
      </c>
      <c r="F162" s="44">
        <v>199.72730000000001</v>
      </c>
      <c r="G162" s="11">
        <f t="shared" si="4"/>
        <v>5.1277689999999998</v>
      </c>
      <c r="H162" s="35">
        <f t="shared" si="5"/>
        <v>503.125225</v>
      </c>
      <c r="R162" s="48" t="s">
        <v>36</v>
      </c>
      <c r="S162" s="48" t="s">
        <v>36</v>
      </c>
      <c r="T162" s="49">
        <v>46240.375</v>
      </c>
      <c r="U162" s="50">
        <v>5.1277689999999998</v>
      </c>
    </row>
    <row r="163" spans="1:21">
      <c r="A163" s="42">
        <v>46240.416666666664</v>
      </c>
      <c r="B163" s="43" t="s">
        <v>29</v>
      </c>
      <c r="C163" s="44">
        <v>189</v>
      </c>
      <c r="D163" s="44">
        <v>500</v>
      </c>
      <c r="E163" s="44">
        <v>267.29610000000002</v>
      </c>
      <c r="F163" s="44">
        <v>198.6302</v>
      </c>
      <c r="G163" s="11">
        <f t="shared" si="4"/>
        <v>4.9833160000000003</v>
      </c>
      <c r="H163" s="35">
        <f t="shared" si="5"/>
        <v>502.26816400000001</v>
      </c>
      <c r="R163" s="48" t="s">
        <v>36</v>
      </c>
      <c r="S163" s="48" t="s">
        <v>36</v>
      </c>
      <c r="T163" s="49">
        <v>46240.416666666664</v>
      </c>
      <c r="U163" s="50">
        <v>4.9833160000000003</v>
      </c>
    </row>
    <row r="164" spans="1:21">
      <c r="A164" s="42">
        <v>46240.458333333336</v>
      </c>
      <c r="B164" s="43" t="s">
        <v>29</v>
      </c>
      <c r="C164" s="44">
        <v>177.5</v>
      </c>
      <c r="D164" s="44">
        <v>500</v>
      </c>
      <c r="E164" s="44">
        <v>267.07769999999999</v>
      </c>
      <c r="F164" s="44">
        <v>197.48990000000001</v>
      </c>
      <c r="G164" s="11">
        <f t="shared" si="4"/>
        <v>4.6258809999999997</v>
      </c>
      <c r="H164" s="35">
        <f t="shared" si="5"/>
        <v>502.17068599999999</v>
      </c>
      <c r="R164" s="48" t="s">
        <v>36</v>
      </c>
      <c r="S164" s="48" t="s">
        <v>36</v>
      </c>
      <c r="T164" s="49">
        <v>46240.458333333336</v>
      </c>
      <c r="U164" s="50">
        <v>4.6258809999999997</v>
      </c>
    </row>
    <row r="165" spans="1:21">
      <c r="A165" s="42">
        <v>46240.5</v>
      </c>
      <c r="B165" s="43" t="s">
        <v>29</v>
      </c>
      <c r="C165" s="44">
        <v>166</v>
      </c>
      <c r="D165" s="44">
        <v>500</v>
      </c>
      <c r="E165" s="44">
        <v>266.85140000000001</v>
      </c>
      <c r="F165" s="44">
        <v>196.3082</v>
      </c>
      <c r="G165" s="11">
        <f t="shared" si="4"/>
        <v>4.2684449999999998</v>
      </c>
      <c r="H165" s="35">
        <f t="shared" si="5"/>
        <v>502.07320900000002</v>
      </c>
      <c r="R165" s="48" t="s">
        <v>36</v>
      </c>
      <c r="S165" s="48" t="s">
        <v>36</v>
      </c>
      <c r="T165" s="49">
        <v>46240.5</v>
      </c>
      <c r="U165" s="50">
        <v>4.2684449999999998</v>
      </c>
    </row>
    <row r="166" spans="1:21">
      <c r="A166" s="42">
        <v>46240.541666666664</v>
      </c>
      <c r="B166" s="43" t="s">
        <v>29</v>
      </c>
      <c r="C166" s="44">
        <v>156</v>
      </c>
      <c r="D166" s="44">
        <v>500</v>
      </c>
      <c r="E166" s="44">
        <v>266.61770000000001</v>
      </c>
      <c r="F166" s="44">
        <v>195.08779999999999</v>
      </c>
      <c r="G166" s="11">
        <f t="shared" si="4"/>
        <v>4.1253650000000004</v>
      </c>
      <c r="H166" s="35">
        <f t="shared" si="5"/>
        <v>502.04659700000002</v>
      </c>
      <c r="R166" s="48" t="s">
        <v>36</v>
      </c>
      <c r="S166" s="48" t="s">
        <v>36</v>
      </c>
      <c r="T166" s="49">
        <v>46240.541666666664</v>
      </c>
      <c r="U166" s="50">
        <v>4.1253650000000004</v>
      </c>
    </row>
    <row r="167" spans="1:21">
      <c r="A167" s="42">
        <v>46240.583333333336</v>
      </c>
      <c r="B167" s="43" t="s">
        <v>29</v>
      </c>
      <c r="C167" s="44">
        <v>146</v>
      </c>
      <c r="D167" s="44">
        <v>500</v>
      </c>
      <c r="E167" s="44">
        <v>266.37700000000001</v>
      </c>
      <c r="F167" s="44">
        <v>193.8314</v>
      </c>
      <c r="G167" s="11">
        <f t="shared" si="4"/>
        <v>3.9822850000000001</v>
      </c>
      <c r="H167" s="35">
        <f t="shared" si="5"/>
        <v>502.01998600000002</v>
      </c>
      <c r="R167" s="48" t="s">
        <v>36</v>
      </c>
      <c r="S167" s="48" t="s">
        <v>36</v>
      </c>
      <c r="T167" s="49">
        <v>46240.583333333336</v>
      </c>
      <c r="U167" s="50">
        <v>3.9822850000000001</v>
      </c>
    </row>
    <row r="168" spans="1:21">
      <c r="A168" s="42">
        <v>46240.625</v>
      </c>
      <c r="B168" s="43" t="s">
        <v>29</v>
      </c>
      <c r="C168" s="44">
        <v>137.5</v>
      </c>
      <c r="D168" s="44">
        <v>500</v>
      </c>
      <c r="E168" s="44">
        <v>266.13010000000003</v>
      </c>
      <c r="F168" s="44">
        <v>192.54169999999999</v>
      </c>
      <c r="G168" s="11">
        <f t="shared" si="4"/>
        <v>3.1252249999999999</v>
      </c>
      <c r="H168" s="35">
        <f t="shared" si="5"/>
        <v>501.967221</v>
      </c>
      <c r="R168" s="48" t="s">
        <v>36</v>
      </c>
      <c r="S168" s="48" t="s">
        <v>36</v>
      </c>
      <c r="T168" s="49">
        <v>46240.625</v>
      </c>
      <c r="U168" s="50">
        <v>3.1252249999999999</v>
      </c>
    </row>
    <row r="169" spans="1:21">
      <c r="A169" s="42">
        <v>46240.666666666664</v>
      </c>
      <c r="B169" s="43" t="s">
        <v>29</v>
      </c>
      <c r="C169" s="44">
        <v>129</v>
      </c>
      <c r="D169" s="44">
        <v>500</v>
      </c>
      <c r="E169" s="44">
        <v>265.87310000000002</v>
      </c>
      <c r="F169" s="44">
        <v>191.22139999999999</v>
      </c>
      <c r="G169" s="11">
        <f t="shared" si="4"/>
        <v>2.2681640000000001</v>
      </c>
      <c r="H169" s="35">
        <f t="shared" si="5"/>
        <v>501.91445599999997</v>
      </c>
      <c r="R169" s="48" t="s">
        <v>36</v>
      </c>
      <c r="S169" s="48" t="s">
        <v>36</v>
      </c>
      <c r="T169" s="49">
        <v>46240.666666666664</v>
      </c>
      <c r="U169" s="50">
        <v>2.2681640000000001</v>
      </c>
    </row>
    <row r="170" spans="1:21">
      <c r="A170" s="42">
        <v>46240.708333333336</v>
      </c>
      <c r="B170" s="43" t="s">
        <v>29</v>
      </c>
      <c r="C170" s="44">
        <v>121</v>
      </c>
      <c r="D170" s="44">
        <v>500</v>
      </c>
      <c r="E170" s="44">
        <v>265.60610000000003</v>
      </c>
      <c r="F170" s="44">
        <v>189.87139999999999</v>
      </c>
      <c r="G170" s="11">
        <f t="shared" si="4"/>
        <v>2.1706859999999999</v>
      </c>
      <c r="H170" s="35">
        <f t="shared" si="5"/>
        <v>501.58205099999998</v>
      </c>
      <c r="R170" s="48" t="s">
        <v>36</v>
      </c>
      <c r="S170" s="48" t="s">
        <v>36</v>
      </c>
      <c r="T170" s="49">
        <v>46240.708333333336</v>
      </c>
      <c r="U170" s="50">
        <v>2.1706859999999999</v>
      </c>
    </row>
    <row r="171" spans="1:21">
      <c r="A171" s="42">
        <v>46240.75</v>
      </c>
      <c r="B171" s="43" t="s">
        <v>29</v>
      </c>
      <c r="C171" s="44">
        <v>113</v>
      </c>
      <c r="D171" s="44">
        <v>500</v>
      </c>
      <c r="E171" s="44">
        <v>265.33330000000001</v>
      </c>
      <c r="F171" s="44">
        <v>188.49260000000001</v>
      </c>
      <c r="G171" s="11">
        <f t="shared" si="4"/>
        <v>2.0732089999999999</v>
      </c>
      <c r="H171" s="35">
        <f t="shared" si="5"/>
        <v>501.24964699999998</v>
      </c>
      <c r="R171" s="48" t="s">
        <v>36</v>
      </c>
      <c r="S171" s="48" t="s">
        <v>36</v>
      </c>
      <c r="T171" s="49">
        <v>46240.75</v>
      </c>
      <c r="U171" s="50">
        <v>2.0732089999999999</v>
      </c>
    </row>
    <row r="172" spans="1:21">
      <c r="A172" s="42">
        <v>46240.791666666664</v>
      </c>
      <c r="B172" s="43" t="s">
        <v>29</v>
      </c>
      <c r="C172" s="44">
        <v>106.5</v>
      </c>
      <c r="D172" s="44">
        <v>500</v>
      </c>
      <c r="E172" s="44">
        <v>265.05540000000002</v>
      </c>
      <c r="F172" s="44">
        <v>187.08760000000001</v>
      </c>
      <c r="G172" s="11">
        <f t="shared" si="4"/>
        <v>2.0465970000000002</v>
      </c>
      <c r="H172" s="35">
        <f t="shared" si="5"/>
        <v>501.15890000000002</v>
      </c>
      <c r="R172" s="48" t="s">
        <v>36</v>
      </c>
      <c r="S172" s="48" t="s">
        <v>36</v>
      </c>
      <c r="T172" s="49">
        <v>46240.791666666664</v>
      </c>
      <c r="U172" s="50">
        <v>2.0465970000000002</v>
      </c>
    </row>
    <row r="173" spans="1:21">
      <c r="A173" s="42">
        <v>46240.833333333336</v>
      </c>
      <c r="B173" s="43" t="s">
        <v>29</v>
      </c>
      <c r="C173" s="44">
        <v>100</v>
      </c>
      <c r="D173" s="44">
        <v>500</v>
      </c>
      <c r="E173" s="44">
        <v>264.77289999999999</v>
      </c>
      <c r="F173" s="44">
        <v>185.6593</v>
      </c>
      <c r="G173" s="11">
        <f t="shared" si="4"/>
        <v>2.0199859999999998</v>
      </c>
      <c r="H173" s="35">
        <f t="shared" si="5"/>
        <v>501.06815399999999</v>
      </c>
      <c r="R173" s="48" t="s">
        <v>36</v>
      </c>
      <c r="S173" s="48" t="s">
        <v>36</v>
      </c>
      <c r="T173" s="49">
        <v>46240.833333333336</v>
      </c>
      <c r="U173" s="50">
        <v>2.0199859999999998</v>
      </c>
    </row>
    <row r="174" spans="1:21">
      <c r="A174" s="42">
        <v>46240.875</v>
      </c>
      <c r="B174" s="43" t="s">
        <v>29</v>
      </c>
      <c r="C174" s="44">
        <v>93.5</v>
      </c>
      <c r="D174" s="44">
        <v>500</v>
      </c>
      <c r="E174" s="44">
        <v>264.48570000000001</v>
      </c>
      <c r="F174" s="44">
        <v>184.20760000000001</v>
      </c>
      <c r="G174" s="11">
        <f t="shared" si="4"/>
        <v>1.9672210000000001</v>
      </c>
      <c r="H174" s="35">
        <f t="shared" si="5"/>
        <v>501.04338000000001</v>
      </c>
      <c r="R174" s="48" t="s">
        <v>36</v>
      </c>
      <c r="S174" s="48" t="s">
        <v>36</v>
      </c>
      <c r="T174" s="49">
        <v>46240.875</v>
      </c>
      <c r="U174" s="50">
        <v>1.9672210000000001</v>
      </c>
    </row>
    <row r="175" spans="1:21">
      <c r="A175" s="42">
        <v>46240.916666666664</v>
      </c>
      <c r="B175" s="43" t="s">
        <v>29</v>
      </c>
      <c r="C175" s="44">
        <v>87</v>
      </c>
      <c r="D175" s="44">
        <v>500</v>
      </c>
      <c r="E175" s="44">
        <v>264.19389999999999</v>
      </c>
      <c r="F175" s="44">
        <v>182.73249999999999</v>
      </c>
      <c r="G175" s="11">
        <f t="shared" si="4"/>
        <v>1.9144559999999999</v>
      </c>
      <c r="H175" s="35">
        <f t="shared" si="5"/>
        <v>501.01860599999998</v>
      </c>
      <c r="R175" s="48" t="s">
        <v>36</v>
      </c>
      <c r="S175" s="48" t="s">
        <v>36</v>
      </c>
      <c r="T175" s="49">
        <v>46240.916666666664</v>
      </c>
      <c r="U175" s="50">
        <v>1.9144559999999999</v>
      </c>
    </row>
    <row r="176" spans="1:21">
      <c r="A176" s="42">
        <v>46240.958333333336</v>
      </c>
      <c r="B176" s="43" t="s">
        <v>29</v>
      </c>
      <c r="C176" s="44">
        <v>81.5</v>
      </c>
      <c r="D176" s="44">
        <v>500</v>
      </c>
      <c r="E176" s="44">
        <v>263.89479999999998</v>
      </c>
      <c r="F176" s="44">
        <v>181.23580000000001</v>
      </c>
      <c r="G176" s="11">
        <f t="shared" si="4"/>
        <v>1.5820510000000001</v>
      </c>
      <c r="H176" s="35">
        <f t="shared" si="5"/>
        <v>501.011843</v>
      </c>
      <c r="R176" s="48" t="s">
        <v>36</v>
      </c>
      <c r="S176" s="48" t="s">
        <v>36</v>
      </c>
      <c r="T176" s="49">
        <v>46240.958333333336</v>
      </c>
      <c r="U176" s="50">
        <v>1.5820510000000001</v>
      </c>
    </row>
    <row r="177" spans="1:21">
      <c r="A177" s="42">
        <v>46241</v>
      </c>
      <c r="B177" s="43" t="s">
        <v>29</v>
      </c>
      <c r="C177" s="44">
        <v>76</v>
      </c>
      <c r="D177" s="44">
        <v>500</v>
      </c>
      <c r="E177" s="44">
        <v>263.58600000000001</v>
      </c>
      <c r="F177" s="44">
        <v>179.7193</v>
      </c>
      <c r="G177" s="11">
        <f t="shared" si="4"/>
        <v>1.249647</v>
      </c>
      <c r="H177" s="35">
        <f t="shared" si="5"/>
        <v>501.00507900000002</v>
      </c>
      <c r="R177" s="48" t="s">
        <v>36</v>
      </c>
      <c r="S177" s="48" t="s">
        <v>36</v>
      </c>
      <c r="T177" s="49">
        <v>46241</v>
      </c>
      <c r="U177" s="50">
        <v>1.249647</v>
      </c>
    </row>
    <row r="178" spans="1:21">
      <c r="A178" s="42">
        <v>46241.041666666664</v>
      </c>
      <c r="B178" s="43" t="s">
        <v>29</v>
      </c>
      <c r="C178" s="44">
        <v>71</v>
      </c>
      <c r="D178" s="44">
        <v>500</v>
      </c>
      <c r="E178" s="44">
        <v>263.27339999999998</v>
      </c>
      <c r="F178" s="44">
        <v>178.18389999999999</v>
      </c>
      <c r="G178" s="11">
        <f t="shared" si="4"/>
        <v>1.1589</v>
      </c>
      <c r="H178" s="35">
        <f t="shared" si="5"/>
        <v>501.00323300000002</v>
      </c>
      <c r="R178" s="48" t="s">
        <v>36</v>
      </c>
      <c r="S178" s="48" t="s">
        <v>36</v>
      </c>
      <c r="T178" s="49">
        <v>46241.041666666664</v>
      </c>
      <c r="U178" s="50">
        <v>1.1589</v>
      </c>
    </row>
    <row r="179" spans="1:21">
      <c r="A179" s="42">
        <v>46241.083333333336</v>
      </c>
      <c r="B179" s="43" t="s">
        <v>29</v>
      </c>
      <c r="C179" s="44">
        <v>66</v>
      </c>
      <c r="D179" s="44">
        <v>500</v>
      </c>
      <c r="E179" s="44">
        <v>262.95710000000003</v>
      </c>
      <c r="F179" s="44">
        <v>176.63050000000001</v>
      </c>
      <c r="G179" s="11">
        <f t="shared" si="4"/>
        <v>1.068154</v>
      </c>
      <c r="H179" s="35">
        <f t="shared" si="5"/>
        <v>501.00138700000002</v>
      </c>
      <c r="R179" s="48" t="s">
        <v>36</v>
      </c>
      <c r="S179" s="48" t="s">
        <v>36</v>
      </c>
      <c r="T179" s="49">
        <v>46241.083333333336</v>
      </c>
      <c r="U179" s="50">
        <v>1.068154</v>
      </c>
    </row>
    <row r="180" spans="1:21">
      <c r="A180" s="42">
        <v>46241.125</v>
      </c>
      <c r="B180" s="43" t="s">
        <v>29</v>
      </c>
      <c r="C180" s="44">
        <v>62</v>
      </c>
      <c r="D180" s="44">
        <v>500</v>
      </c>
      <c r="E180" s="44">
        <v>262.63749999999999</v>
      </c>
      <c r="F180" s="44">
        <v>175.0609</v>
      </c>
      <c r="G180" s="11">
        <f t="shared" si="4"/>
        <v>1.04338</v>
      </c>
      <c r="H180" s="35">
        <f t="shared" si="5"/>
        <v>500.95538260000001</v>
      </c>
      <c r="R180" s="48" t="s">
        <v>36</v>
      </c>
      <c r="S180" s="48" t="s">
        <v>36</v>
      </c>
      <c r="T180" s="49">
        <v>46241.125</v>
      </c>
      <c r="U180" s="50">
        <v>1.04338</v>
      </c>
    </row>
    <row r="181" spans="1:21">
      <c r="A181" s="42">
        <v>46241.166666666664</v>
      </c>
      <c r="B181" s="43" t="s">
        <v>29</v>
      </c>
      <c r="C181" s="44">
        <v>58</v>
      </c>
      <c r="D181" s="44">
        <v>500</v>
      </c>
      <c r="E181" s="44">
        <v>262.315</v>
      </c>
      <c r="F181" s="44">
        <v>173.4769</v>
      </c>
      <c r="G181" s="11">
        <f t="shared" si="4"/>
        <v>1.0186059999999999</v>
      </c>
      <c r="H181" s="35">
        <f t="shared" si="5"/>
        <v>500.9093785</v>
      </c>
      <c r="R181" s="48" t="s">
        <v>36</v>
      </c>
      <c r="S181" s="48" t="s">
        <v>36</v>
      </c>
      <c r="T181" s="49">
        <v>46241.166666666664</v>
      </c>
      <c r="U181" s="50">
        <v>1.0186059999999999</v>
      </c>
    </row>
    <row r="182" spans="1:21">
      <c r="A182" s="42">
        <v>46241.208333333336</v>
      </c>
      <c r="B182" s="43" t="s">
        <v>29</v>
      </c>
      <c r="C182" s="44">
        <v>54.5</v>
      </c>
      <c r="D182" s="44">
        <v>500</v>
      </c>
      <c r="E182" s="44">
        <v>261.98939999999999</v>
      </c>
      <c r="F182" s="44">
        <v>171.8794</v>
      </c>
      <c r="G182" s="11">
        <f t="shared" si="4"/>
        <v>1.011843</v>
      </c>
      <c r="H182" s="35">
        <f t="shared" si="5"/>
        <v>500.57881950000001</v>
      </c>
      <c r="R182" s="48" t="s">
        <v>36</v>
      </c>
      <c r="S182" s="48" t="s">
        <v>36</v>
      </c>
      <c r="T182" s="49">
        <v>46241.208333333336</v>
      </c>
      <c r="U182" s="50">
        <v>1.011843</v>
      </c>
    </row>
    <row r="183" spans="1:21">
      <c r="A183" s="42">
        <v>46241.25</v>
      </c>
      <c r="B183" s="43" t="s">
        <v>29</v>
      </c>
      <c r="C183" s="44">
        <v>51</v>
      </c>
      <c r="D183" s="44">
        <v>500</v>
      </c>
      <c r="E183" s="44">
        <v>261.65269999999998</v>
      </c>
      <c r="F183" s="44">
        <v>170.26929999999999</v>
      </c>
      <c r="G183" s="11">
        <f t="shared" si="4"/>
        <v>1.0050790000000001</v>
      </c>
      <c r="H183" s="35">
        <f t="shared" si="5"/>
        <v>500.24826030000003</v>
      </c>
      <c r="R183" s="48" t="s">
        <v>36</v>
      </c>
      <c r="S183" s="48" t="s">
        <v>36</v>
      </c>
      <c r="T183" s="49">
        <v>46241.25</v>
      </c>
      <c r="U183" s="50">
        <v>1.0050790000000001</v>
      </c>
    </row>
    <row r="184" spans="1:21">
      <c r="A184" s="42">
        <v>46241.291666666664</v>
      </c>
      <c r="B184" s="43" t="s">
        <v>29</v>
      </c>
      <c r="C184" s="44">
        <v>48</v>
      </c>
      <c r="D184" s="44">
        <v>500</v>
      </c>
      <c r="E184" s="44">
        <v>261.31349999999998</v>
      </c>
      <c r="F184" s="44">
        <v>168.64750000000001</v>
      </c>
      <c r="G184" s="11">
        <f t="shared" si="4"/>
        <v>1.003233</v>
      </c>
      <c r="H184" s="35">
        <f t="shared" si="5"/>
        <v>500.15801770000002</v>
      </c>
      <c r="R184" s="48" t="s">
        <v>36</v>
      </c>
      <c r="S184" s="48" t="s">
        <v>36</v>
      </c>
      <c r="T184" s="49">
        <v>46241.291666666664</v>
      </c>
      <c r="U184" s="50">
        <v>1.003233</v>
      </c>
    </row>
    <row r="185" spans="1:21">
      <c r="A185" s="42">
        <v>46241.333333333336</v>
      </c>
      <c r="B185" s="43" t="s">
        <v>29</v>
      </c>
      <c r="C185" s="44">
        <v>45</v>
      </c>
      <c r="D185" s="44">
        <v>500</v>
      </c>
      <c r="E185" s="44">
        <v>260.97199999999998</v>
      </c>
      <c r="F185" s="44">
        <v>167.01490000000001</v>
      </c>
      <c r="G185" s="11">
        <f t="shared" si="4"/>
        <v>1.001387</v>
      </c>
      <c r="H185" s="35">
        <f t="shared" si="5"/>
        <v>500.06777507999999</v>
      </c>
      <c r="R185" s="48" t="s">
        <v>36</v>
      </c>
      <c r="S185" s="48" t="s">
        <v>36</v>
      </c>
      <c r="T185" s="49">
        <v>46241.333333333336</v>
      </c>
      <c r="U185" s="50">
        <v>1.001387</v>
      </c>
    </row>
    <row r="186" spans="1:21">
      <c r="A186" s="42">
        <v>46241.375</v>
      </c>
      <c r="B186" s="43" t="s">
        <v>29</v>
      </c>
      <c r="C186" s="44">
        <v>42.5</v>
      </c>
      <c r="D186" s="44">
        <v>500</v>
      </c>
      <c r="E186" s="44">
        <v>260.62849999999997</v>
      </c>
      <c r="F186" s="44">
        <v>165.3724</v>
      </c>
      <c r="G186" s="11">
        <f t="shared" si="4"/>
        <v>0.95538259999999997</v>
      </c>
      <c r="H186" s="35">
        <f t="shared" si="5"/>
        <v>500.04313883999998</v>
      </c>
      <c r="R186" s="48" t="s">
        <v>36</v>
      </c>
      <c r="S186" s="48" t="s">
        <v>36</v>
      </c>
      <c r="T186" s="49">
        <v>46241.375</v>
      </c>
      <c r="U186" s="50">
        <v>0.95538259999999997</v>
      </c>
    </row>
    <row r="187" spans="1:21">
      <c r="A187" s="42">
        <v>46241.416666666664</v>
      </c>
      <c r="B187" s="43" t="s">
        <v>29</v>
      </c>
      <c r="C187" s="44">
        <v>40</v>
      </c>
      <c r="D187" s="44">
        <v>500</v>
      </c>
      <c r="E187" s="44">
        <v>260.28309999999999</v>
      </c>
      <c r="F187" s="44">
        <v>163.7209</v>
      </c>
      <c r="G187" s="11">
        <f t="shared" si="4"/>
        <v>0.90937849999999998</v>
      </c>
      <c r="H187" s="35">
        <f t="shared" si="5"/>
        <v>500.01850259999998</v>
      </c>
      <c r="R187" s="48" t="s">
        <v>36</v>
      </c>
      <c r="S187" s="48" t="s">
        <v>36</v>
      </c>
      <c r="T187" s="49">
        <v>46241.416666666664</v>
      </c>
      <c r="U187" s="50">
        <v>0.90937849999999998</v>
      </c>
    </row>
    <row r="188" spans="1:21">
      <c r="A188" s="42">
        <v>46241.458333333336</v>
      </c>
      <c r="B188" s="43" t="s">
        <v>29</v>
      </c>
      <c r="C188" s="44">
        <v>37.5</v>
      </c>
      <c r="D188" s="44">
        <v>500</v>
      </c>
      <c r="E188" s="44">
        <v>259.93369999999999</v>
      </c>
      <c r="F188" s="44">
        <v>162.06039999999999</v>
      </c>
      <c r="G188" s="11">
        <f t="shared" si="4"/>
        <v>0.57881950000000004</v>
      </c>
      <c r="H188" s="35">
        <f t="shared" si="5"/>
        <v>500.01177689999997</v>
      </c>
      <c r="R188" s="48" t="s">
        <v>36</v>
      </c>
      <c r="S188" s="48" t="s">
        <v>36</v>
      </c>
      <c r="T188" s="49">
        <v>46241.458333333336</v>
      </c>
      <c r="U188" s="50">
        <v>0.57881950000000004</v>
      </c>
    </row>
    <row r="189" spans="1:21">
      <c r="A189" s="42">
        <v>46241.5</v>
      </c>
      <c r="B189" s="43" t="s">
        <v>29</v>
      </c>
      <c r="C189" s="44">
        <v>35</v>
      </c>
      <c r="D189" s="44">
        <v>500</v>
      </c>
      <c r="E189" s="44">
        <v>259.5727</v>
      </c>
      <c r="F189" s="44">
        <v>160.39089999999999</v>
      </c>
      <c r="G189" s="11">
        <f t="shared" si="4"/>
        <v>0.24826029999999999</v>
      </c>
      <c r="H189" s="35">
        <f t="shared" si="5"/>
        <v>500.00505120899999</v>
      </c>
      <c r="R189" s="48" t="s">
        <v>36</v>
      </c>
      <c r="S189" s="48" t="s">
        <v>36</v>
      </c>
      <c r="T189" s="49">
        <v>46241.5</v>
      </c>
      <c r="U189" s="50">
        <v>0.24826029999999999</v>
      </c>
    </row>
    <row r="190" spans="1:21">
      <c r="A190" s="42">
        <v>46241.541666666664</v>
      </c>
      <c r="B190" s="43" t="s">
        <v>29</v>
      </c>
      <c r="C190" s="44">
        <v>33</v>
      </c>
      <c r="D190" s="44">
        <v>500</v>
      </c>
      <c r="E190" s="44">
        <v>259.20999999999998</v>
      </c>
      <c r="F190" s="44">
        <v>158.7133</v>
      </c>
      <c r="G190" s="11">
        <f t="shared" si="4"/>
        <v>0.15801770000000001</v>
      </c>
      <c r="H190" s="35">
        <f t="shared" si="5"/>
        <v>500.00321509399998</v>
      </c>
      <c r="R190" s="48" t="s">
        <v>36</v>
      </c>
      <c r="S190" s="48" t="s">
        <v>36</v>
      </c>
      <c r="T190" s="49">
        <v>46241.541666666664</v>
      </c>
      <c r="U190" s="50">
        <v>0.15801770000000001</v>
      </c>
    </row>
    <row r="191" spans="1:21">
      <c r="A191" s="42">
        <v>46241.583333333336</v>
      </c>
      <c r="B191" s="43" t="s">
        <v>29</v>
      </c>
      <c r="C191" s="44">
        <v>31</v>
      </c>
      <c r="D191" s="44">
        <v>500</v>
      </c>
      <c r="E191" s="44">
        <v>258.8458</v>
      </c>
      <c r="F191" s="44">
        <v>157.02850000000001</v>
      </c>
      <c r="G191" s="11">
        <f t="shared" si="4"/>
        <v>6.7775080000000001E-2</v>
      </c>
      <c r="H191" s="35">
        <f t="shared" si="5"/>
        <v>500.00137898000003</v>
      </c>
      <c r="R191" s="48" t="s">
        <v>36</v>
      </c>
      <c r="S191" s="48" t="s">
        <v>36</v>
      </c>
      <c r="T191" s="49">
        <v>46241.583333333336</v>
      </c>
      <c r="U191" s="50">
        <v>6.7775080000000001E-2</v>
      </c>
    </row>
    <row r="192" spans="1:21">
      <c r="A192" s="42">
        <v>46241.625</v>
      </c>
      <c r="B192" s="43" t="s">
        <v>29</v>
      </c>
      <c r="C192" s="44">
        <v>28.5</v>
      </c>
      <c r="D192" s="44">
        <v>500</v>
      </c>
      <c r="E192" s="44">
        <v>258.47980000000001</v>
      </c>
      <c r="F192" s="44">
        <v>155.3356</v>
      </c>
      <c r="G192" s="11">
        <f t="shared" si="4"/>
        <v>4.3138839999999998E-2</v>
      </c>
      <c r="H192" s="35">
        <f t="shared" si="5"/>
        <v>500.00087772069998</v>
      </c>
      <c r="R192" s="48" t="s">
        <v>36</v>
      </c>
      <c r="S192" s="48" t="s">
        <v>36</v>
      </c>
      <c r="T192" s="49">
        <v>46241.625</v>
      </c>
      <c r="U192" s="50">
        <v>4.3138839999999998E-2</v>
      </c>
    </row>
    <row r="193" spans="1:21">
      <c r="A193" s="42">
        <v>46241.666666666664</v>
      </c>
      <c r="B193" s="43" t="s">
        <v>29</v>
      </c>
      <c r="C193" s="44">
        <v>26</v>
      </c>
      <c r="D193" s="44">
        <v>500</v>
      </c>
      <c r="E193" s="44">
        <v>258.11180000000002</v>
      </c>
      <c r="F193" s="44">
        <v>153.6337</v>
      </c>
      <c r="G193" s="11">
        <f t="shared" si="4"/>
        <v>1.8502600000000001E-2</v>
      </c>
      <c r="H193" s="35">
        <f t="shared" si="5"/>
        <v>500.00037646160001</v>
      </c>
      <c r="R193" s="48" t="s">
        <v>36</v>
      </c>
      <c r="S193" s="48" t="s">
        <v>36</v>
      </c>
      <c r="T193" s="49">
        <v>46241.666666666664</v>
      </c>
      <c r="U193" s="50">
        <v>1.8502600000000001E-2</v>
      </c>
    </row>
    <row r="194" spans="1:21">
      <c r="A194" s="42">
        <v>46241.708333333336</v>
      </c>
      <c r="B194" s="43" t="s">
        <v>29</v>
      </c>
      <c r="C194" s="44">
        <v>24.5</v>
      </c>
      <c r="D194" s="44">
        <v>500</v>
      </c>
      <c r="E194" s="44">
        <v>257.73379999999997</v>
      </c>
      <c r="F194" s="44">
        <v>151.9246</v>
      </c>
      <c r="G194" s="11">
        <f t="shared" si="4"/>
        <v>1.17769E-2</v>
      </c>
      <c r="H194" s="35">
        <f t="shared" si="5"/>
        <v>500.00023961779999</v>
      </c>
      <c r="R194" s="48" t="s">
        <v>36</v>
      </c>
      <c r="S194" s="48" t="s">
        <v>36</v>
      </c>
      <c r="T194" s="49">
        <v>46241.708333333336</v>
      </c>
      <c r="U194" s="50">
        <v>1.17769E-2</v>
      </c>
    </row>
    <row r="195" spans="1:21">
      <c r="A195" s="42">
        <v>46241.75</v>
      </c>
      <c r="B195" s="43" t="s">
        <v>29</v>
      </c>
      <c r="C195" s="44">
        <v>23</v>
      </c>
      <c r="D195" s="44">
        <v>500</v>
      </c>
      <c r="E195" s="44">
        <v>257.35079999999999</v>
      </c>
      <c r="F195" s="44">
        <v>150.21010000000001</v>
      </c>
      <c r="G195" s="11">
        <f t="shared" ref="G195:G258" si="6">U195</f>
        <v>5.0512090000000001E-3</v>
      </c>
      <c r="H195" s="35">
        <f t="shared" ref="H195:H258" si="7">D195+G201</f>
        <v>500.00010277400003</v>
      </c>
      <c r="R195" s="48" t="s">
        <v>36</v>
      </c>
      <c r="S195" s="48" t="s">
        <v>36</v>
      </c>
      <c r="T195" s="49">
        <v>46241.75</v>
      </c>
      <c r="U195" s="50">
        <v>5.0512090000000001E-3</v>
      </c>
    </row>
    <row r="196" spans="1:21">
      <c r="A196" s="42">
        <v>46241.791666666664</v>
      </c>
      <c r="B196" s="43" t="s">
        <v>29</v>
      </c>
      <c r="C196" s="44">
        <v>21</v>
      </c>
      <c r="D196" s="44">
        <v>500</v>
      </c>
      <c r="E196" s="44">
        <v>256.96640000000002</v>
      </c>
      <c r="F196" s="44">
        <v>148.48929999999999</v>
      </c>
      <c r="G196" s="11">
        <f t="shared" si="6"/>
        <v>3.2150939999999999E-3</v>
      </c>
      <c r="H196" s="35">
        <f t="shared" si="7"/>
        <v>500.00006541565</v>
      </c>
      <c r="R196" s="48" t="s">
        <v>36</v>
      </c>
      <c r="S196" s="48" t="s">
        <v>36</v>
      </c>
      <c r="T196" s="49">
        <v>46241.791666666664</v>
      </c>
      <c r="U196" s="50">
        <v>3.2150939999999999E-3</v>
      </c>
    </row>
    <row r="197" spans="1:21">
      <c r="A197" s="42">
        <v>46241.833333333336</v>
      </c>
      <c r="B197" s="43" t="s">
        <v>29</v>
      </c>
      <c r="C197" s="44">
        <v>19</v>
      </c>
      <c r="D197" s="44">
        <v>500</v>
      </c>
      <c r="E197" s="44">
        <v>256.5804</v>
      </c>
      <c r="F197" s="44">
        <v>146.76130000000001</v>
      </c>
      <c r="G197" s="11">
        <f t="shared" si="6"/>
        <v>1.3789799999999999E-3</v>
      </c>
      <c r="H197" s="35">
        <f t="shared" si="7"/>
        <v>500.00002805730003</v>
      </c>
      <c r="R197" s="48" t="s">
        <v>36</v>
      </c>
      <c r="S197" s="48" t="s">
        <v>36</v>
      </c>
      <c r="T197" s="49">
        <v>46241.833333333336</v>
      </c>
      <c r="U197" s="50">
        <v>1.3789799999999999E-3</v>
      </c>
    </row>
    <row r="198" spans="1:21">
      <c r="A198" s="42">
        <v>46241.875</v>
      </c>
      <c r="B198" s="43" t="s">
        <v>29</v>
      </c>
      <c r="C198" s="44">
        <v>17</v>
      </c>
      <c r="D198" s="44">
        <v>500</v>
      </c>
      <c r="E198" s="44">
        <v>256.19279999999998</v>
      </c>
      <c r="F198" s="44">
        <v>145.02610000000001</v>
      </c>
      <c r="G198" s="11">
        <f t="shared" si="6"/>
        <v>8.7772070000000004E-4</v>
      </c>
      <c r="H198" s="35">
        <f t="shared" si="7"/>
        <v>500.00001785847002</v>
      </c>
      <c r="R198" s="48" t="s">
        <v>36</v>
      </c>
      <c r="S198" s="48" t="s">
        <v>36</v>
      </c>
      <c r="T198" s="49">
        <v>46241.875</v>
      </c>
      <c r="U198" s="50">
        <v>8.7772070000000004E-4</v>
      </c>
    </row>
    <row r="199" spans="1:21">
      <c r="A199" s="42">
        <v>46241.916666666664</v>
      </c>
      <c r="B199" s="43" t="s">
        <v>29</v>
      </c>
      <c r="C199" s="44">
        <v>15</v>
      </c>
      <c r="D199" s="44">
        <v>500</v>
      </c>
      <c r="E199" s="44">
        <v>255.79640000000001</v>
      </c>
      <c r="F199" s="44">
        <v>143.28370000000001</v>
      </c>
      <c r="G199" s="11">
        <f t="shared" si="6"/>
        <v>3.7646160000000001E-4</v>
      </c>
      <c r="H199" s="35">
        <f t="shared" si="7"/>
        <v>500.00000765964398</v>
      </c>
      <c r="R199" s="48" t="s">
        <v>36</v>
      </c>
      <c r="S199" s="48" t="s">
        <v>36</v>
      </c>
      <c r="T199" s="49">
        <v>46241.916666666664</v>
      </c>
      <c r="U199" s="50">
        <v>3.7646160000000001E-4</v>
      </c>
    </row>
    <row r="200" spans="1:21">
      <c r="A200" s="42">
        <v>46241.958333333336</v>
      </c>
      <c r="B200" s="43" t="s">
        <v>29</v>
      </c>
      <c r="C200" s="44">
        <v>13.5</v>
      </c>
      <c r="D200" s="44">
        <v>500</v>
      </c>
      <c r="E200" s="44">
        <v>255.3914</v>
      </c>
      <c r="F200" s="44">
        <v>141.535</v>
      </c>
      <c r="G200" s="11">
        <f t="shared" si="6"/>
        <v>2.3961779999999999E-4</v>
      </c>
      <c r="H200" s="35">
        <f t="shared" si="7"/>
        <v>500.000004875363</v>
      </c>
      <c r="R200" s="48" t="s">
        <v>36</v>
      </c>
      <c r="S200" s="48" t="s">
        <v>36</v>
      </c>
      <c r="T200" s="49">
        <v>46241.958333333336</v>
      </c>
      <c r="U200" s="50">
        <v>2.3961779999999999E-4</v>
      </c>
    </row>
    <row r="201" spans="1:21">
      <c r="A201" s="42">
        <v>46242</v>
      </c>
      <c r="B201" s="43" t="s">
        <v>29</v>
      </c>
      <c r="C201" s="44">
        <v>12</v>
      </c>
      <c r="D201" s="44">
        <v>500</v>
      </c>
      <c r="E201" s="44">
        <v>254.98509999999999</v>
      </c>
      <c r="F201" s="44">
        <v>139.7809</v>
      </c>
      <c r="G201" s="11">
        <f t="shared" si="6"/>
        <v>1.02774E-4</v>
      </c>
      <c r="H201" s="35">
        <f t="shared" si="7"/>
        <v>500.00000209108299</v>
      </c>
      <c r="R201" s="48" t="s">
        <v>36</v>
      </c>
      <c r="S201" s="48" t="s">
        <v>36</v>
      </c>
      <c r="T201" s="49">
        <v>46242</v>
      </c>
      <c r="U201" s="50">
        <v>1.02774E-4</v>
      </c>
    </row>
    <row r="202" spans="1:21">
      <c r="A202" s="42">
        <v>46242.041666666664</v>
      </c>
      <c r="B202" s="43" t="s">
        <v>29</v>
      </c>
      <c r="C202" s="44">
        <v>11</v>
      </c>
      <c r="D202" s="44">
        <v>500</v>
      </c>
      <c r="E202" s="44">
        <v>254.5778</v>
      </c>
      <c r="F202" s="44">
        <v>138.0223</v>
      </c>
      <c r="G202" s="11">
        <f t="shared" si="6"/>
        <v>6.5415650000000001E-5</v>
      </c>
      <c r="H202" s="35">
        <f t="shared" si="7"/>
        <v>500.00000133097399</v>
      </c>
      <c r="R202" s="48" t="s">
        <v>36</v>
      </c>
      <c r="S202" s="48" t="s">
        <v>36</v>
      </c>
      <c r="T202" s="49">
        <v>46242.041666666664</v>
      </c>
      <c r="U202" s="50">
        <v>6.5415650000000001E-5</v>
      </c>
    </row>
    <row r="203" spans="1:21">
      <c r="A203" s="42">
        <v>46242.083333333336</v>
      </c>
      <c r="B203" s="43" t="s">
        <v>29</v>
      </c>
      <c r="C203" s="44">
        <v>10</v>
      </c>
      <c r="D203" s="44">
        <v>500</v>
      </c>
      <c r="E203" s="44">
        <v>254.16970000000001</v>
      </c>
      <c r="F203" s="44">
        <v>136.26009999999999</v>
      </c>
      <c r="G203" s="11">
        <f t="shared" si="6"/>
        <v>2.80573E-5</v>
      </c>
      <c r="H203" s="35">
        <f t="shared" si="7"/>
        <v>500.00000057086572</v>
      </c>
      <c r="R203" s="48" t="s">
        <v>36</v>
      </c>
      <c r="S203" s="48" t="s">
        <v>36</v>
      </c>
      <c r="T203" s="49">
        <v>46242.083333333336</v>
      </c>
      <c r="U203" s="50">
        <v>2.80573E-5</v>
      </c>
    </row>
    <row r="204" spans="1:21">
      <c r="A204" s="42">
        <v>46242.125</v>
      </c>
      <c r="B204" s="43" t="s">
        <v>29</v>
      </c>
      <c r="C204" s="44">
        <v>9</v>
      </c>
      <c r="D204" s="44">
        <v>500</v>
      </c>
      <c r="E204" s="44">
        <v>253.75139999999999</v>
      </c>
      <c r="F204" s="44">
        <v>134.49430000000001</v>
      </c>
      <c r="G204" s="11">
        <f t="shared" si="6"/>
        <v>1.785847E-5</v>
      </c>
      <c r="H204" s="35">
        <f t="shared" si="7"/>
        <v>500.00000036335592</v>
      </c>
      <c r="R204" s="48" t="s">
        <v>36</v>
      </c>
      <c r="S204" s="48" t="s">
        <v>36</v>
      </c>
      <c r="T204" s="49">
        <v>46242.125</v>
      </c>
      <c r="U204" s="50">
        <v>1.785847E-5</v>
      </c>
    </row>
    <row r="205" spans="1:21">
      <c r="A205" s="42">
        <v>46242.166666666664</v>
      </c>
      <c r="B205" s="43" t="s">
        <v>29</v>
      </c>
      <c r="C205" s="44">
        <v>8</v>
      </c>
      <c r="D205" s="44">
        <v>500</v>
      </c>
      <c r="E205" s="44">
        <v>253.32560000000001</v>
      </c>
      <c r="F205" s="44">
        <v>132.72489999999999</v>
      </c>
      <c r="G205" s="11">
        <f t="shared" si="6"/>
        <v>7.6596440000000007E-6</v>
      </c>
      <c r="H205" s="35">
        <f t="shared" si="7"/>
        <v>500.00000015584629</v>
      </c>
      <c r="R205" s="48" t="s">
        <v>36</v>
      </c>
      <c r="S205" s="48" t="s">
        <v>36</v>
      </c>
      <c r="T205" s="49">
        <v>46242.166666666664</v>
      </c>
      <c r="U205" s="50">
        <v>7.6596440000000007E-6</v>
      </c>
    </row>
    <row r="206" spans="1:21">
      <c r="A206" s="42">
        <v>46242.208333333336</v>
      </c>
      <c r="B206" s="43" t="s">
        <v>29</v>
      </c>
      <c r="C206" s="44">
        <v>7</v>
      </c>
      <c r="D206" s="44">
        <v>500</v>
      </c>
      <c r="E206" s="44">
        <v>252.899</v>
      </c>
      <c r="F206" s="44">
        <v>130.95189999999999</v>
      </c>
      <c r="G206" s="11">
        <f t="shared" si="6"/>
        <v>4.8753630000000004E-6</v>
      </c>
      <c r="H206" s="35">
        <f t="shared" si="7"/>
        <v>500.00000009919614</v>
      </c>
      <c r="R206" s="48" t="s">
        <v>36</v>
      </c>
      <c r="S206" s="48" t="s">
        <v>36</v>
      </c>
      <c r="T206" s="49">
        <v>46242.208333333336</v>
      </c>
      <c r="U206" s="50">
        <v>4.8753630000000004E-6</v>
      </c>
    </row>
    <row r="207" spans="1:21">
      <c r="A207" s="42">
        <v>46242.25</v>
      </c>
      <c r="B207" s="43" t="s">
        <v>29</v>
      </c>
      <c r="C207" s="44">
        <v>6</v>
      </c>
      <c r="D207" s="44">
        <v>500</v>
      </c>
      <c r="E207" s="44">
        <v>252.47149999999999</v>
      </c>
      <c r="F207" s="44">
        <v>129.17529999999999</v>
      </c>
      <c r="G207" s="11">
        <f t="shared" si="6"/>
        <v>2.0910829999999999E-6</v>
      </c>
      <c r="H207" s="35">
        <f t="shared" si="7"/>
        <v>500.00000004254605</v>
      </c>
      <c r="R207" s="48" t="s">
        <v>36</v>
      </c>
      <c r="S207" s="48" t="s">
        <v>36</v>
      </c>
      <c r="T207" s="49">
        <v>46242.25</v>
      </c>
      <c r="U207" s="50">
        <v>2.0910829999999999E-6</v>
      </c>
    </row>
    <row r="208" spans="1:21">
      <c r="A208" s="42">
        <v>46242.291666666664</v>
      </c>
      <c r="B208" s="43" t="s">
        <v>29</v>
      </c>
      <c r="C208" s="44">
        <v>5</v>
      </c>
      <c r="D208" s="44">
        <v>500</v>
      </c>
      <c r="E208" s="44">
        <v>252.04310000000001</v>
      </c>
      <c r="F208" s="44">
        <v>127.3951</v>
      </c>
      <c r="G208" s="11">
        <f t="shared" si="6"/>
        <v>1.330974E-6</v>
      </c>
      <c r="H208" s="35">
        <f t="shared" si="7"/>
        <v>500.00000002708055</v>
      </c>
      <c r="R208" s="48" t="s">
        <v>36</v>
      </c>
      <c r="S208" s="48" t="s">
        <v>36</v>
      </c>
      <c r="T208" s="49">
        <v>46242.291666666664</v>
      </c>
      <c r="U208" s="50">
        <v>1.330974E-6</v>
      </c>
    </row>
    <row r="209" spans="1:21">
      <c r="A209" s="42">
        <v>46242.333333333336</v>
      </c>
      <c r="B209" s="43" t="s">
        <v>29</v>
      </c>
      <c r="C209" s="44">
        <v>4</v>
      </c>
      <c r="D209" s="44">
        <v>500</v>
      </c>
      <c r="E209" s="44">
        <v>251.59880000000001</v>
      </c>
      <c r="F209" s="44">
        <v>125.6113</v>
      </c>
      <c r="G209" s="11">
        <f t="shared" si="6"/>
        <v>5.7086569999999999E-7</v>
      </c>
      <c r="H209" s="35">
        <f t="shared" si="7"/>
        <v>500.00000001161504</v>
      </c>
      <c r="R209" s="48" t="s">
        <v>36</v>
      </c>
      <c r="S209" s="48" t="s">
        <v>36</v>
      </c>
      <c r="T209" s="49">
        <v>46242.333333333336</v>
      </c>
      <c r="U209" s="50">
        <v>5.7086569999999999E-7</v>
      </c>
    </row>
    <row r="210" spans="1:21">
      <c r="A210" s="42">
        <v>46242.375</v>
      </c>
      <c r="B210" s="43" t="s">
        <v>29</v>
      </c>
      <c r="C210" s="44">
        <v>3.5</v>
      </c>
      <c r="D210" s="44">
        <v>500</v>
      </c>
      <c r="E210" s="44">
        <v>251.15219999999999</v>
      </c>
      <c r="F210" s="44">
        <v>123.8248</v>
      </c>
      <c r="G210" s="11">
        <f t="shared" si="6"/>
        <v>3.633559E-7</v>
      </c>
      <c r="H210" s="35">
        <f t="shared" si="7"/>
        <v>500.000000007393</v>
      </c>
      <c r="R210" s="48" t="s">
        <v>36</v>
      </c>
      <c r="S210" s="48" t="s">
        <v>36</v>
      </c>
      <c r="T210" s="49">
        <v>46242.375</v>
      </c>
      <c r="U210" s="50">
        <v>3.633559E-7</v>
      </c>
    </row>
    <row r="211" spans="1:21">
      <c r="A211" s="42">
        <v>46242.416666666664</v>
      </c>
      <c r="B211" s="43" t="s">
        <v>29</v>
      </c>
      <c r="C211" s="44">
        <v>3</v>
      </c>
      <c r="D211" s="44">
        <v>500</v>
      </c>
      <c r="E211" s="44">
        <v>250.70509999999999</v>
      </c>
      <c r="F211" s="44">
        <v>122.0365</v>
      </c>
      <c r="G211" s="11">
        <f t="shared" si="6"/>
        <v>1.5584630000000001E-7</v>
      </c>
      <c r="H211" s="35">
        <f t="shared" si="7"/>
        <v>500.0000000031709</v>
      </c>
      <c r="R211" s="48" t="s">
        <v>36</v>
      </c>
      <c r="S211" s="48" t="s">
        <v>36</v>
      </c>
      <c r="T211" s="49">
        <v>46242.416666666664</v>
      </c>
      <c r="U211" s="50">
        <v>1.5584630000000001E-7</v>
      </c>
    </row>
    <row r="212" spans="1:21">
      <c r="A212" s="42">
        <v>46242.458333333336</v>
      </c>
      <c r="B212" s="43" t="s">
        <v>29</v>
      </c>
      <c r="C212" s="44">
        <v>2.5</v>
      </c>
      <c r="D212" s="44">
        <v>500</v>
      </c>
      <c r="E212" s="44">
        <v>250.2576</v>
      </c>
      <c r="F212" s="44">
        <v>120.24639999999999</v>
      </c>
      <c r="G212" s="11">
        <f t="shared" si="6"/>
        <v>9.9196159999999995E-8</v>
      </c>
      <c r="H212" s="35">
        <f t="shared" si="7"/>
        <v>500.00000000201828</v>
      </c>
      <c r="R212" s="48" t="s">
        <v>36</v>
      </c>
      <c r="S212" s="48" t="s">
        <v>36</v>
      </c>
      <c r="T212" s="49">
        <v>46242.458333333336</v>
      </c>
      <c r="U212" s="50">
        <v>9.9196159999999995E-8</v>
      </c>
    </row>
    <row r="213" spans="1:21">
      <c r="A213" s="42">
        <v>46242.5</v>
      </c>
      <c r="B213" s="43" t="s">
        <v>29</v>
      </c>
      <c r="C213" s="44">
        <v>2</v>
      </c>
      <c r="D213" s="44">
        <v>500</v>
      </c>
      <c r="E213" s="44">
        <v>249.80099999999999</v>
      </c>
      <c r="F213" s="44">
        <v>118.4545</v>
      </c>
      <c r="G213" s="11">
        <f t="shared" si="6"/>
        <v>4.2546040000000002E-8</v>
      </c>
      <c r="H213" s="35">
        <f t="shared" si="7"/>
        <v>500.00000000086567</v>
      </c>
      <c r="R213" s="48" t="s">
        <v>36</v>
      </c>
      <c r="S213" s="48" t="s">
        <v>36</v>
      </c>
      <c r="T213" s="49">
        <v>46242.5</v>
      </c>
      <c r="U213" s="50">
        <v>4.2546040000000002E-8</v>
      </c>
    </row>
    <row r="214" spans="1:21">
      <c r="A214" s="42">
        <v>46242.541666666664</v>
      </c>
      <c r="B214" s="43" t="s">
        <v>29</v>
      </c>
      <c r="C214" s="44">
        <v>1.5</v>
      </c>
      <c r="D214" s="44">
        <v>500</v>
      </c>
      <c r="E214" s="44">
        <v>249.33250000000001</v>
      </c>
      <c r="F214" s="44">
        <v>116.66079999999999</v>
      </c>
      <c r="G214" s="11">
        <f t="shared" si="6"/>
        <v>2.7080550000000002E-8</v>
      </c>
      <c r="H214" s="35">
        <f t="shared" si="7"/>
        <v>500.00000000055098</v>
      </c>
      <c r="R214" s="48" t="s">
        <v>36</v>
      </c>
      <c r="S214" s="48" t="s">
        <v>36</v>
      </c>
      <c r="T214" s="49">
        <v>46242.541666666664</v>
      </c>
      <c r="U214" s="50">
        <v>2.7080550000000002E-8</v>
      </c>
    </row>
    <row r="215" spans="1:21">
      <c r="A215" s="42">
        <v>46242.583333333336</v>
      </c>
      <c r="B215" s="43" t="s">
        <v>29</v>
      </c>
      <c r="C215" s="44">
        <v>1</v>
      </c>
      <c r="D215" s="44">
        <v>500</v>
      </c>
      <c r="E215" s="44">
        <v>248.86349999999999</v>
      </c>
      <c r="F215" s="44">
        <v>114.8653</v>
      </c>
      <c r="G215" s="11">
        <f t="shared" si="6"/>
        <v>1.1615069999999999E-8</v>
      </c>
      <c r="H215" s="35">
        <f t="shared" si="7"/>
        <v>500.0000000002363</v>
      </c>
      <c r="R215" s="48" t="s">
        <v>36</v>
      </c>
      <c r="S215" s="48" t="s">
        <v>36</v>
      </c>
      <c r="T215" s="49">
        <v>46242.583333333336</v>
      </c>
      <c r="U215" s="50">
        <v>1.1615069999999999E-8</v>
      </c>
    </row>
    <row r="216" spans="1:21">
      <c r="A216" s="42">
        <v>46242.625</v>
      </c>
      <c r="B216" s="43" t="s">
        <v>29</v>
      </c>
      <c r="C216" s="44">
        <v>0.5</v>
      </c>
      <c r="D216" s="44">
        <v>500</v>
      </c>
      <c r="E216" s="44">
        <v>248.39400000000001</v>
      </c>
      <c r="F216" s="44">
        <v>113.068</v>
      </c>
      <c r="G216" s="11">
        <f t="shared" si="6"/>
        <v>7.392991E-9</v>
      </c>
      <c r="H216" s="35">
        <f t="shared" si="7"/>
        <v>500.00000000015041</v>
      </c>
      <c r="R216" s="48" t="s">
        <v>36</v>
      </c>
      <c r="S216" s="48" t="s">
        <v>36</v>
      </c>
      <c r="T216" s="49">
        <v>46242.625</v>
      </c>
      <c r="U216" s="50">
        <v>7.392991E-9</v>
      </c>
    </row>
    <row r="217" spans="1:21">
      <c r="A217" s="42">
        <v>46242.666666666664</v>
      </c>
      <c r="B217" s="43" t="s">
        <v>29</v>
      </c>
      <c r="C217" s="47">
        <v>9.2599999999999999E-9</v>
      </c>
      <c r="D217" s="44">
        <v>500</v>
      </c>
      <c r="E217" s="44">
        <v>247.92009999999999</v>
      </c>
      <c r="F217" s="44">
        <v>111.2689</v>
      </c>
      <c r="G217" s="11">
        <f t="shared" si="6"/>
        <v>3.1709140000000002E-9</v>
      </c>
      <c r="H217" s="35">
        <f t="shared" si="7"/>
        <v>500.00000000006452</v>
      </c>
      <c r="R217" s="48" t="s">
        <v>36</v>
      </c>
      <c r="S217" s="48" t="s">
        <v>36</v>
      </c>
      <c r="T217" s="49">
        <v>46242.666666666664</v>
      </c>
      <c r="U217" s="50">
        <v>3.1709140000000002E-9</v>
      </c>
    </row>
    <row r="218" spans="1:21">
      <c r="A218" s="42">
        <v>46242.708333333336</v>
      </c>
      <c r="B218" s="43" t="s">
        <v>29</v>
      </c>
      <c r="C218" s="44">
        <v>0</v>
      </c>
      <c r="D218" s="44">
        <v>500</v>
      </c>
      <c r="E218" s="44">
        <v>247.42500000000001</v>
      </c>
      <c r="F218" s="44">
        <v>109.4689</v>
      </c>
      <c r="G218" s="11">
        <f t="shared" si="6"/>
        <v>2.0182869999999999E-9</v>
      </c>
      <c r="H218" s="35">
        <f t="shared" si="7"/>
        <v>500.00000000004104</v>
      </c>
      <c r="R218" s="48" t="s">
        <v>36</v>
      </c>
      <c r="S218" s="48" t="s">
        <v>36</v>
      </c>
      <c r="T218" s="49">
        <v>46242.708333333336</v>
      </c>
      <c r="U218" s="50">
        <v>2.0182869999999999E-9</v>
      </c>
    </row>
    <row r="219" spans="1:21">
      <c r="A219" s="42">
        <v>46242.75</v>
      </c>
      <c r="B219" s="43" t="s">
        <v>29</v>
      </c>
      <c r="C219" s="44">
        <v>0</v>
      </c>
      <c r="D219" s="44">
        <v>500</v>
      </c>
      <c r="E219" s="44">
        <v>246.93</v>
      </c>
      <c r="F219" s="44">
        <v>107.66889999999999</v>
      </c>
      <c r="G219" s="11">
        <f t="shared" si="6"/>
        <v>8.6565969999999999E-10</v>
      </c>
      <c r="H219" s="35">
        <f t="shared" si="7"/>
        <v>500.00000000001762</v>
      </c>
      <c r="R219" s="48" t="s">
        <v>36</v>
      </c>
      <c r="S219" s="48" t="s">
        <v>36</v>
      </c>
      <c r="T219" s="49">
        <v>46242.75</v>
      </c>
      <c r="U219" s="50">
        <v>8.6565969999999999E-10</v>
      </c>
    </row>
    <row r="220" spans="1:21">
      <c r="A220" s="42">
        <v>46242.791666666664</v>
      </c>
      <c r="B220" s="43" t="s">
        <v>29</v>
      </c>
      <c r="C220" s="44">
        <v>0</v>
      </c>
      <c r="D220" s="44">
        <v>500</v>
      </c>
      <c r="E220" s="44">
        <v>246.4349</v>
      </c>
      <c r="F220" s="44">
        <v>105.8689</v>
      </c>
      <c r="G220" s="11">
        <f t="shared" si="6"/>
        <v>5.5099229999999999E-10</v>
      </c>
      <c r="H220" s="35">
        <f t="shared" si="7"/>
        <v>500.0000000000112</v>
      </c>
      <c r="R220" s="48" t="s">
        <v>36</v>
      </c>
      <c r="S220" s="48" t="s">
        <v>36</v>
      </c>
      <c r="T220" s="49">
        <v>46242.791666666664</v>
      </c>
      <c r="U220" s="50">
        <v>5.5099229999999999E-10</v>
      </c>
    </row>
    <row r="221" spans="1:21">
      <c r="A221" s="42">
        <v>46242.833333333336</v>
      </c>
      <c r="B221" s="43" t="s">
        <v>29</v>
      </c>
      <c r="C221" s="44">
        <v>0</v>
      </c>
      <c r="D221" s="44">
        <v>500</v>
      </c>
      <c r="E221" s="44">
        <v>245.93709999999999</v>
      </c>
      <c r="F221" s="44">
        <v>104.0689</v>
      </c>
      <c r="G221" s="11">
        <f t="shared" si="6"/>
        <v>2.3632509999999999E-10</v>
      </c>
      <c r="H221" s="35">
        <f t="shared" si="7"/>
        <v>500.00000000000483</v>
      </c>
      <c r="R221" s="48" t="s">
        <v>36</v>
      </c>
      <c r="S221" s="48" t="s">
        <v>36</v>
      </c>
      <c r="T221" s="49">
        <v>46242.833333333336</v>
      </c>
      <c r="U221" s="50">
        <v>2.3632509999999999E-10</v>
      </c>
    </row>
    <row r="222" spans="1:21">
      <c r="A222" s="42">
        <v>46242.875</v>
      </c>
      <c r="B222" s="43" t="s">
        <v>29</v>
      </c>
      <c r="C222" s="44">
        <v>0</v>
      </c>
      <c r="D222" s="44">
        <v>500</v>
      </c>
      <c r="E222" s="44">
        <v>245.41919999999999</v>
      </c>
      <c r="F222" s="44">
        <v>102.2689</v>
      </c>
      <c r="G222" s="11">
        <f t="shared" si="6"/>
        <v>1.5042090000000001E-10</v>
      </c>
      <c r="H222" s="35">
        <f t="shared" si="7"/>
        <v>500.00000000000307</v>
      </c>
      <c r="R222" s="48" t="s">
        <v>36</v>
      </c>
      <c r="S222" s="48" t="s">
        <v>36</v>
      </c>
      <c r="T222" s="49">
        <v>46242.875</v>
      </c>
      <c r="U222" s="50">
        <v>1.5042090000000001E-10</v>
      </c>
    </row>
    <row r="223" spans="1:21">
      <c r="A223" s="42">
        <v>46242.916666666664</v>
      </c>
      <c r="B223" s="43" t="s">
        <v>29</v>
      </c>
      <c r="C223" s="44">
        <v>0</v>
      </c>
      <c r="D223" s="44">
        <v>500</v>
      </c>
      <c r="E223" s="44">
        <v>244.90129999999999</v>
      </c>
      <c r="F223" s="44">
        <v>100.4689</v>
      </c>
      <c r="G223" s="11">
        <f t="shared" si="6"/>
        <v>6.4516749999999999E-11</v>
      </c>
      <c r="H223" s="35">
        <f t="shared" si="7"/>
        <v>500.00000000000131</v>
      </c>
      <c r="R223" s="48" t="s">
        <v>36</v>
      </c>
      <c r="S223" s="48" t="s">
        <v>36</v>
      </c>
      <c r="T223" s="49">
        <v>46242.916666666664</v>
      </c>
      <c r="U223" s="50">
        <v>6.4516749999999999E-11</v>
      </c>
    </row>
    <row r="224" spans="1:21">
      <c r="A224" s="42">
        <v>46242.958333333336</v>
      </c>
      <c r="B224" s="43" t="s">
        <v>29</v>
      </c>
      <c r="C224" s="44">
        <v>0</v>
      </c>
      <c r="D224" s="44">
        <v>500</v>
      </c>
      <c r="E224" s="44">
        <v>244.38339999999999</v>
      </c>
      <c r="F224" s="44">
        <v>98.668909999999997</v>
      </c>
      <c r="G224" s="11">
        <f t="shared" si="6"/>
        <v>4.1064900000000003E-11</v>
      </c>
      <c r="H224" s="35">
        <f t="shared" si="7"/>
        <v>500.00000000000085</v>
      </c>
      <c r="R224" s="48" t="s">
        <v>36</v>
      </c>
      <c r="S224" s="48" t="s">
        <v>36</v>
      </c>
      <c r="T224" s="49">
        <v>46242.958333333336</v>
      </c>
      <c r="U224" s="50">
        <v>4.1064900000000003E-11</v>
      </c>
    </row>
    <row r="225" spans="1:21">
      <c r="A225" s="42">
        <v>46243</v>
      </c>
      <c r="B225" s="43" t="s">
        <v>29</v>
      </c>
      <c r="C225" s="44">
        <v>0</v>
      </c>
      <c r="D225" s="44">
        <v>500</v>
      </c>
      <c r="E225" s="44">
        <v>243.86009999999999</v>
      </c>
      <c r="F225" s="44">
        <v>96.86891</v>
      </c>
      <c r="G225" s="11">
        <f t="shared" si="6"/>
        <v>1.7613069999999999E-11</v>
      </c>
      <c r="H225" s="35">
        <f t="shared" si="7"/>
        <v>500.00000000000034</v>
      </c>
      <c r="R225" s="48" t="s">
        <v>36</v>
      </c>
      <c r="S225" s="48" t="s">
        <v>36</v>
      </c>
      <c r="T225" s="49">
        <v>46243</v>
      </c>
      <c r="U225" s="50">
        <v>1.7613069999999999E-11</v>
      </c>
    </row>
    <row r="226" spans="1:21">
      <c r="A226" s="42">
        <v>46243.041666666664</v>
      </c>
      <c r="B226" s="43" t="s">
        <v>29</v>
      </c>
      <c r="C226" s="44">
        <v>0</v>
      </c>
      <c r="D226" s="44">
        <v>500</v>
      </c>
      <c r="E226" s="44">
        <v>243.3212</v>
      </c>
      <c r="F226" s="44">
        <v>95.068910000000002</v>
      </c>
      <c r="G226" s="11">
        <f t="shared" si="6"/>
        <v>1.121072E-11</v>
      </c>
      <c r="H226" s="35">
        <f t="shared" si="7"/>
        <v>500.00000000000023</v>
      </c>
      <c r="R226" s="48" t="s">
        <v>36</v>
      </c>
      <c r="S226" s="48" t="s">
        <v>36</v>
      </c>
      <c r="T226" s="49">
        <v>46243.041666666664</v>
      </c>
      <c r="U226" s="50">
        <v>1.121072E-11</v>
      </c>
    </row>
    <row r="227" spans="1:21">
      <c r="A227" s="42">
        <v>46243.083333333336</v>
      </c>
      <c r="B227" s="43" t="s">
        <v>29</v>
      </c>
      <c r="C227" s="44">
        <v>0</v>
      </c>
      <c r="D227" s="44">
        <v>500</v>
      </c>
      <c r="E227" s="44">
        <v>242.78229999999999</v>
      </c>
      <c r="F227" s="44">
        <v>93.268910000000005</v>
      </c>
      <c r="G227" s="11">
        <f t="shared" si="6"/>
        <v>4.8083690000000003E-12</v>
      </c>
      <c r="H227" s="35">
        <f t="shared" si="7"/>
        <v>500.00000000000011</v>
      </c>
      <c r="R227" s="48" t="s">
        <v>36</v>
      </c>
      <c r="S227" s="48" t="s">
        <v>36</v>
      </c>
      <c r="T227" s="49">
        <v>46243.083333333336</v>
      </c>
      <c r="U227" s="50">
        <v>4.8083690000000003E-12</v>
      </c>
    </row>
    <row r="228" spans="1:21">
      <c r="A228" s="42">
        <v>46243.125</v>
      </c>
      <c r="B228" s="43" t="s">
        <v>29</v>
      </c>
      <c r="C228" s="44">
        <v>0</v>
      </c>
      <c r="D228" s="44">
        <v>500</v>
      </c>
      <c r="E228" s="44">
        <v>242.24350000000001</v>
      </c>
      <c r="F228" s="44">
        <v>91.468900000000005</v>
      </c>
      <c r="G228" s="11">
        <f t="shared" si="6"/>
        <v>3.0605260000000002E-12</v>
      </c>
      <c r="H228" s="35">
        <f t="shared" si="7"/>
        <v>500.00000000000006</v>
      </c>
      <c r="R228" s="48" t="s">
        <v>36</v>
      </c>
      <c r="S228" s="48" t="s">
        <v>36</v>
      </c>
      <c r="T228" s="49">
        <v>46243.125</v>
      </c>
      <c r="U228" s="50">
        <v>3.0605260000000002E-12</v>
      </c>
    </row>
    <row r="229" spans="1:21">
      <c r="A229" s="42">
        <v>46243.166666666664</v>
      </c>
      <c r="B229" s="43" t="s">
        <v>29</v>
      </c>
      <c r="C229" s="44">
        <v>0</v>
      </c>
      <c r="D229" s="44">
        <v>500</v>
      </c>
      <c r="E229" s="44">
        <v>241.69300000000001</v>
      </c>
      <c r="F229" s="44">
        <v>89.668899999999994</v>
      </c>
      <c r="G229" s="11">
        <f t="shared" si="6"/>
        <v>1.3126850000000001E-12</v>
      </c>
      <c r="H229" s="35">
        <f t="shared" si="7"/>
        <v>500</v>
      </c>
      <c r="R229" s="48" t="s">
        <v>36</v>
      </c>
      <c r="S229" s="48" t="s">
        <v>36</v>
      </c>
      <c r="T229" s="49">
        <v>46243.166666666664</v>
      </c>
      <c r="U229" s="50">
        <v>1.3126850000000001E-12</v>
      </c>
    </row>
    <row r="230" spans="1:21">
      <c r="A230" s="42">
        <v>46243.208333333336</v>
      </c>
      <c r="B230" s="43" t="s">
        <v>29</v>
      </c>
      <c r="C230" s="44">
        <v>0</v>
      </c>
      <c r="D230" s="44">
        <v>500</v>
      </c>
      <c r="E230" s="44">
        <v>241.13300000000001</v>
      </c>
      <c r="F230" s="44">
        <v>87.868899999999996</v>
      </c>
      <c r="G230" s="11">
        <f t="shared" si="6"/>
        <v>8.3552360000000002E-13</v>
      </c>
      <c r="H230" s="35">
        <f t="shared" si="7"/>
        <v>500</v>
      </c>
      <c r="R230" s="48" t="s">
        <v>36</v>
      </c>
      <c r="S230" s="48" t="s">
        <v>36</v>
      </c>
      <c r="T230" s="49">
        <v>46243.208333333336</v>
      </c>
      <c r="U230" s="50">
        <v>8.3552360000000002E-13</v>
      </c>
    </row>
    <row r="231" spans="1:21">
      <c r="A231" s="42">
        <v>46243.25</v>
      </c>
      <c r="B231" s="43" t="s">
        <v>29</v>
      </c>
      <c r="C231" s="44">
        <v>0</v>
      </c>
      <c r="D231" s="44">
        <v>500</v>
      </c>
      <c r="E231" s="44">
        <v>240.57300000000001</v>
      </c>
      <c r="F231" s="44">
        <v>86.068889999999996</v>
      </c>
      <c r="G231" s="11">
        <f t="shared" si="6"/>
        <v>3.5836300000000001E-13</v>
      </c>
      <c r="H231" s="35">
        <f t="shared" si="7"/>
        <v>500</v>
      </c>
      <c r="R231" s="48" t="s">
        <v>36</v>
      </c>
      <c r="S231" s="48" t="s">
        <v>36</v>
      </c>
      <c r="T231" s="49">
        <v>46243.25</v>
      </c>
      <c r="U231" s="50">
        <v>3.5836300000000001E-13</v>
      </c>
    </row>
    <row r="232" spans="1:21">
      <c r="A232" s="42">
        <v>46243.291666666664</v>
      </c>
      <c r="B232" s="43" t="s">
        <v>29</v>
      </c>
      <c r="C232" s="44">
        <v>0</v>
      </c>
      <c r="D232" s="44">
        <v>500</v>
      </c>
      <c r="E232" s="44">
        <v>240.01300000000001</v>
      </c>
      <c r="F232" s="44">
        <v>84.268889999999999</v>
      </c>
      <c r="G232" s="11">
        <f t="shared" si="6"/>
        <v>2.2809790000000001E-13</v>
      </c>
      <c r="H232" s="35">
        <f t="shared" si="7"/>
        <v>500</v>
      </c>
      <c r="R232" s="48" t="s">
        <v>36</v>
      </c>
      <c r="S232" s="48" t="s">
        <v>36</v>
      </c>
      <c r="T232" s="49">
        <v>46243.291666666664</v>
      </c>
      <c r="U232" s="50">
        <v>2.2809790000000001E-13</v>
      </c>
    </row>
    <row r="233" spans="1:21">
      <c r="A233" s="42">
        <v>46243.333333333336</v>
      </c>
      <c r="B233" s="43" t="s">
        <v>29</v>
      </c>
      <c r="C233" s="44">
        <v>0</v>
      </c>
      <c r="D233" s="44">
        <v>500</v>
      </c>
      <c r="E233" s="44">
        <v>239.43039999999999</v>
      </c>
      <c r="F233" s="44">
        <v>82.468890000000002</v>
      </c>
      <c r="G233" s="11">
        <f t="shared" si="6"/>
        <v>9.7833089999999997E-14</v>
      </c>
      <c r="H233" s="35">
        <f t="shared" si="7"/>
        <v>500</v>
      </c>
      <c r="R233" s="48" t="s">
        <v>36</v>
      </c>
      <c r="S233" s="48" t="s">
        <v>36</v>
      </c>
      <c r="T233" s="49">
        <v>46243.333333333336</v>
      </c>
      <c r="U233" s="50">
        <v>9.7833089999999997E-14</v>
      </c>
    </row>
    <row r="234" spans="1:21">
      <c r="A234" s="42">
        <v>46243.375</v>
      </c>
      <c r="B234" s="43" t="s">
        <v>29</v>
      </c>
      <c r="C234" s="44">
        <v>0</v>
      </c>
      <c r="D234" s="44">
        <v>500</v>
      </c>
      <c r="E234" s="44">
        <v>238.84729999999999</v>
      </c>
      <c r="F234" s="44">
        <v>80.668880000000001</v>
      </c>
      <c r="G234" s="11">
        <f t="shared" si="6"/>
        <v>6.2270740000000002E-14</v>
      </c>
      <c r="H234" s="35">
        <f t="shared" si="7"/>
        <v>500</v>
      </c>
      <c r="R234" s="48" t="s">
        <v>36</v>
      </c>
      <c r="S234" s="48" t="s">
        <v>36</v>
      </c>
      <c r="T234" s="49">
        <v>46243.375</v>
      </c>
      <c r="U234" s="50">
        <v>6.2270740000000002E-14</v>
      </c>
    </row>
    <row r="235" spans="1:21">
      <c r="A235" s="42">
        <v>46243.416666666664</v>
      </c>
      <c r="B235" s="43" t="s">
        <v>29</v>
      </c>
      <c r="C235" s="44">
        <v>0</v>
      </c>
      <c r="D235" s="44">
        <v>476.56420000000003</v>
      </c>
      <c r="E235" s="44">
        <v>238.27789999999999</v>
      </c>
      <c r="F235" s="44">
        <v>78.911069999999995</v>
      </c>
      <c r="G235" s="11">
        <f t="shared" si="6"/>
        <v>2.6708429999999999E-14</v>
      </c>
      <c r="H235" s="35">
        <f t="shared" si="7"/>
        <v>476.56420000000003</v>
      </c>
      <c r="R235" s="48" t="s">
        <v>36</v>
      </c>
      <c r="S235" s="48" t="s">
        <v>36</v>
      </c>
      <c r="T235" s="49">
        <v>46243.416666666664</v>
      </c>
      <c r="U235" s="50">
        <v>2.6708429999999999E-14</v>
      </c>
    </row>
    <row r="236" spans="1:21">
      <c r="A236" s="42">
        <v>46243.458333333336</v>
      </c>
      <c r="B236" s="43" t="s">
        <v>29</v>
      </c>
      <c r="C236" s="44">
        <v>0</v>
      </c>
      <c r="D236" s="44">
        <v>8.4099999999999995E-4</v>
      </c>
      <c r="E236" s="44">
        <v>238</v>
      </c>
      <c r="F236" s="44">
        <v>78.053250000000006</v>
      </c>
      <c r="G236" s="11">
        <f t="shared" si="6"/>
        <v>1.6999910000000001E-14</v>
      </c>
      <c r="H236" s="35">
        <f t="shared" si="7"/>
        <v>8.4100000000034581E-4</v>
      </c>
      <c r="R236" s="48" t="s">
        <v>36</v>
      </c>
      <c r="S236" s="48" t="s">
        <v>36</v>
      </c>
      <c r="T236" s="49">
        <v>46243.458333333336</v>
      </c>
      <c r="U236" s="50">
        <v>1.6999910000000001E-14</v>
      </c>
    </row>
    <row r="237" spans="1:21">
      <c r="A237" s="42">
        <v>46243.5</v>
      </c>
      <c r="B237" s="43" t="s">
        <v>29</v>
      </c>
      <c r="C237" s="44">
        <v>0</v>
      </c>
      <c r="D237" s="44">
        <v>0</v>
      </c>
      <c r="E237" s="44">
        <v>238</v>
      </c>
      <c r="F237" s="44">
        <v>78.053250000000006</v>
      </c>
      <c r="G237" s="11">
        <f t="shared" si="6"/>
        <v>7.2914029999999996E-15</v>
      </c>
      <c r="H237" s="35">
        <f t="shared" si="7"/>
        <v>1.483539E-16</v>
      </c>
      <c r="R237" s="48" t="s">
        <v>36</v>
      </c>
      <c r="S237" s="48" t="s">
        <v>36</v>
      </c>
      <c r="T237" s="49">
        <v>46243.5</v>
      </c>
      <c r="U237" s="50">
        <v>7.2914029999999996E-15</v>
      </c>
    </row>
    <row r="238" spans="1:21">
      <c r="A238" s="42">
        <v>46243.541666666664</v>
      </c>
      <c r="B238" s="43" t="s">
        <v>29</v>
      </c>
      <c r="C238" s="44">
        <v>0</v>
      </c>
      <c r="D238" s="44">
        <v>0</v>
      </c>
      <c r="E238" s="44">
        <v>238</v>
      </c>
      <c r="F238" s="44">
        <v>78.053250000000006</v>
      </c>
      <c r="G238" s="11">
        <f t="shared" si="6"/>
        <v>4.6409759999999999E-15</v>
      </c>
      <c r="H238" s="35">
        <f t="shared" si="7"/>
        <v>9.4427229999999994E-17</v>
      </c>
      <c r="R238" s="48" t="s">
        <v>36</v>
      </c>
      <c r="S238" s="48" t="s">
        <v>36</v>
      </c>
      <c r="T238" s="49">
        <v>46243.541666666664</v>
      </c>
      <c r="U238" s="50">
        <v>4.6409759999999999E-15</v>
      </c>
    </row>
    <row r="239" spans="1:21">
      <c r="A239" s="42">
        <v>46243.583333333336</v>
      </c>
      <c r="B239" s="43" t="s">
        <v>29</v>
      </c>
      <c r="C239" s="44">
        <v>0</v>
      </c>
      <c r="D239" s="44">
        <v>0</v>
      </c>
      <c r="E239" s="44">
        <v>238</v>
      </c>
      <c r="F239" s="44">
        <v>78.053250000000006</v>
      </c>
      <c r="G239" s="11">
        <f t="shared" si="6"/>
        <v>1.9905529999999998E-15</v>
      </c>
      <c r="H239" s="35">
        <f t="shared" si="7"/>
        <v>4.0500619999999998E-17</v>
      </c>
      <c r="R239" s="48" t="s">
        <v>36</v>
      </c>
      <c r="S239" s="48" t="s">
        <v>36</v>
      </c>
      <c r="T239" s="49">
        <v>46243.583333333336</v>
      </c>
      <c r="U239" s="50">
        <v>1.9905529999999998E-15</v>
      </c>
    </row>
    <row r="240" spans="1:21">
      <c r="A240" s="42">
        <v>46243.625</v>
      </c>
      <c r="B240" s="43" t="s">
        <v>29</v>
      </c>
      <c r="C240" s="44">
        <v>0</v>
      </c>
      <c r="D240" s="44">
        <v>0</v>
      </c>
      <c r="E240" s="44">
        <v>238</v>
      </c>
      <c r="F240" s="44">
        <v>78.053250000000006</v>
      </c>
      <c r="G240" s="11">
        <f t="shared" si="6"/>
        <v>1.266986E-15</v>
      </c>
      <c r="H240" s="35">
        <f t="shared" si="7"/>
        <v>2.5778640000000001E-17</v>
      </c>
      <c r="R240" s="48" t="s">
        <v>36</v>
      </c>
      <c r="S240" s="48" t="s">
        <v>36</v>
      </c>
      <c r="T240" s="49">
        <v>46243.625</v>
      </c>
      <c r="U240" s="50">
        <v>1.266986E-15</v>
      </c>
    </row>
    <row r="241" spans="1:21">
      <c r="A241" s="42">
        <v>46243.666666666664</v>
      </c>
      <c r="B241" s="43" t="s">
        <v>29</v>
      </c>
      <c r="C241" s="44">
        <v>0</v>
      </c>
      <c r="D241" s="44">
        <v>0</v>
      </c>
      <c r="E241" s="44">
        <v>238</v>
      </c>
      <c r="F241" s="44">
        <v>78.053250000000006</v>
      </c>
      <c r="G241" s="11">
        <f t="shared" si="6"/>
        <v>5.4342099999999998E-16</v>
      </c>
      <c r="H241" s="35">
        <f t="shared" si="7"/>
        <v>1.105667E-17</v>
      </c>
      <c r="R241" s="48" t="s">
        <v>36</v>
      </c>
      <c r="S241" s="48" t="s">
        <v>36</v>
      </c>
      <c r="T241" s="49">
        <v>46243.666666666664</v>
      </c>
      <c r="U241" s="50">
        <v>5.4342099999999998E-16</v>
      </c>
    </row>
    <row r="242" spans="1:21">
      <c r="A242" s="42">
        <v>46243.708333333336</v>
      </c>
      <c r="B242" s="43" t="s">
        <v>29</v>
      </c>
      <c r="C242" s="44">
        <v>0</v>
      </c>
      <c r="D242" s="44">
        <v>0</v>
      </c>
      <c r="E242" s="44">
        <v>238</v>
      </c>
      <c r="F242" s="44">
        <v>78.053250000000006</v>
      </c>
      <c r="G242" s="11">
        <f t="shared" si="6"/>
        <v>3.4588729999999998E-16</v>
      </c>
      <c r="H242" s="35">
        <f t="shared" si="7"/>
        <v>7.0375669999999994E-18</v>
      </c>
      <c r="R242" s="48" t="s">
        <v>36</v>
      </c>
      <c r="S242" s="48" t="s">
        <v>36</v>
      </c>
      <c r="T242" s="49">
        <v>46243.708333333336</v>
      </c>
      <c r="U242" s="50">
        <v>3.4588729999999998E-16</v>
      </c>
    </row>
    <row r="243" spans="1:21">
      <c r="A243" s="42">
        <v>46243.75</v>
      </c>
      <c r="B243" s="43" t="s">
        <v>29</v>
      </c>
      <c r="C243" s="44">
        <v>0</v>
      </c>
      <c r="D243" s="44">
        <v>0</v>
      </c>
      <c r="E243" s="44">
        <v>238</v>
      </c>
      <c r="F243" s="44">
        <v>78.053250000000006</v>
      </c>
      <c r="G243" s="11">
        <f t="shared" si="6"/>
        <v>1.483539E-16</v>
      </c>
      <c r="H243" s="35">
        <f t="shared" si="7"/>
        <v>3.0184710000000001E-18</v>
      </c>
      <c r="R243" s="48" t="s">
        <v>36</v>
      </c>
      <c r="S243" s="48" t="s">
        <v>36</v>
      </c>
      <c r="T243" s="49">
        <v>46243.75</v>
      </c>
      <c r="U243" s="50">
        <v>1.483539E-16</v>
      </c>
    </row>
    <row r="244" spans="1:21">
      <c r="A244" s="42">
        <v>46243.791666666664</v>
      </c>
      <c r="B244" s="43" t="s">
        <v>29</v>
      </c>
      <c r="C244" s="44">
        <v>0</v>
      </c>
      <c r="D244" s="44">
        <v>0</v>
      </c>
      <c r="E244" s="44">
        <v>238</v>
      </c>
      <c r="F244" s="44">
        <v>78.053250000000006</v>
      </c>
      <c r="G244" s="11">
        <f t="shared" si="6"/>
        <v>9.4427229999999994E-17</v>
      </c>
      <c r="H244" s="35">
        <f t="shared" si="7"/>
        <v>1.9212559999999998E-18</v>
      </c>
      <c r="R244" s="48" t="s">
        <v>36</v>
      </c>
      <c r="S244" s="48" t="s">
        <v>36</v>
      </c>
      <c r="T244" s="49">
        <v>46243.791666666664</v>
      </c>
      <c r="U244" s="50">
        <v>9.4427229999999994E-17</v>
      </c>
    </row>
    <row r="245" spans="1:21">
      <c r="A245" s="42">
        <v>46243.833333333336</v>
      </c>
      <c r="B245" s="43" t="s">
        <v>29</v>
      </c>
      <c r="C245" s="44">
        <v>0</v>
      </c>
      <c r="D245" s="44">
        <v>0</v>
      </c>
      <c r="E245" s="44">
        <v>238</v>
      </c>
      <c r="F245" s="44">
        <v>78.053250000000006</v>
      </c>
      <c r="G245" s="11">
        <f t="shared" si="6"/>
        <v>4.0500619999999998E-17</v>
      </c>
      <c r="H245" s="35">
        <f t="shared" si="7"/>
        <v>8.2404259999999999E-19</v>
      </c>
      <c r="R245" s="48" t="s">
        <v>36</v>
      </c>
      <c r="S245" s="48" t="s">
        <v>36</v>
      </c>
      <c r="T245" s="49">
        <v>46243.833333333336</v>
      </c>
      <c r="U245" s="50">
        <v>4.0500619999999998E-17</v>
      </c>
    </row>
    <row r="246" spans="1:21">
      <c r="A246" s="42">
        <v>46243.875</v>
      </c>
      <c r="B246" s="43" t="s">
        <v>29</v>
      </c>
      <c r="C246" s="44">
        <v>0</v>
      </c>
      <c r="D246" s="44">
        <v>0</v>
      </c>
      <c r="E246" s="44">
        <v>238</v>
      </c>
      <c r="F246" s="44">
        <v>78.053250000000006</v>
      </c>
      <c r="G246" s="11">
        <f t="shared" si="6"/>
        <v>2.5778640000000001E-17</v>
      </c>
      <c r="H246" s="35">
        <f t="shared" si="7"/>
        <v>5.2450290000000003E-19</v>
      </c>
      <c r="R246" s="48" t="s">
        <v>36</v>
      </c>
      <c r="S246" s="48" t="s">
        <v>36</v>
      </c>
      <c r="T246" s="49">
        <v>46243.875</v>
      </c>
      <c r="U246" s="50">
        <v>2.5778640000000001E-17</v>
      </c>
    </row>
    <row r="247" spans="1:21">
      <c r="A247" s="42">
        <v>46243.916666666664</v>
      </c>
      <c r="B247" s="43" t="s">
        <v>29</v>
      </c>
      <c r="C247" s="44">
        <v>0</v>
      </c>
      <c r="D247" s="44">
        <v>0</v>
      </c>
      <c r="E247" s="44">
        <v>238</v>
      </c>
      <c r="F247" s="44">
        <v>78.053250000000006</v>
      </c>
      <c r="G247" s="11">
        <f t="shared" si="6"/>
        <v>1.105667E-17</v>
      </c>
      <c r="H247" s="35">
        <f t="shared" si="7"/>
        <v>2.2496359999999999E-19</v>
      </c>
      <c r="R247" s="48" t="s">
        <v>36</v>
      </c>
      <c r="S247" s="48" t="s">
        <v>36</v>
      </c>
      <c r="T247" s="49">
        <v>46243.916666666664</v>
      </c>
      <c r="U247" s="50">
        <v>1.105667E-17</v>
      </c>
    </row>
    <row r="248" spans="1:21">
      <c r="A248" s="42">
        <v>46243.958333333336</v>
      </c>
      <c r="B248" s="43" t="s">
        <v>29</v>
      </c>
      <c r="C248" s="44">
        <v>0</v>
      </c>
      <c r="D248" s="44">
        <v>0</v>
      </c>
      <c r="E248" s="44">
        <v>238</v>
      </c>
      <c r="F248" s="44">
        <v>78.053250000000006</v>
      </c>
      <c r="G248" s="11">
        <f t="shared" si="6"/>
        <v>7.0375669999999994E-18</v>
      </c>
      <c r="H248" s="35">
        <f t="shared" si="7"/>
        <v>1.431893E-19</v>
      </c>
      <c r="R248" s="48" t="s">
        <v>36</v>
      </c>
      <c r="S248" s="48" t="s">
        <v>36</v>
      </c>
      <c r="T248" s="49">
        <v>46243.958333333336</v>
      </c>
      <c r="U248" s="50">
        <v>7.0375669999999994E-18</v>
      </c>
    </row>
    <row r="249" spans="1:21">
      <c r="A249" s="42">
        <v>46244</v>
      </c>
      <c r="B249" s="43" t="s">
        <v>29</v>
      </c>
      <c r="C249" s="44">
        <v>0</v>
      </c>
      <c r="D249" s="44">
        <v>0</v>
      </c>
      <c r="E249" s="44">
        <v>238</v>
      </c>
      <c r="F249" s="44">
        <v>78.053250000000006</v>
      </c>
      <c r="G249" s="11">
        <f t="shared" si="6"/>
        <v>3.0184710000000001E-18</v>
      </c>
      <c r="H249" s="35">
        <f t="shared" si="7"/>
        <v>6.1415070000000005E-20</v>
      </c>
      <c r="R249" s="48" t="s">
        <v>36</v>
      </c>
      <c r="S249" s="48" t="s">
        <v>36</v>
      </c>
      <c r="T249" s="49">
        <v>46244</v>
      </c>
      <c r="U249" s="50">
        <v>3.0184710000000001E-18</v>
      </c>
    </row>
    <row r="250" spans="1:21">
      <c r="A250" s="42">
        <v>46244.041666666664</v>
      </c>
      <c r="B250" s="43" t="s">
        <v>29</v>
      </c>
      <c r="C250" s="44">
        <v>0</v>
      </c>
      <c r="D250" s="44">
        <v>0</v>
      </c>
      <c r="E250" s="44">
        <v>238</v>
      </c>
      <c r="F250" s="44">
        <v>78.053250000000006</v>
      </c>
      <c r="G250" s="11">
        <f t="shared" si="6"/>
        <v>1.9212559999999998E-18</v>
      </c>
      <c r="H250" s="35">
        <f t="shared" si="7"/>
        <v>3.9090680000000001E-20</v>
      </c>
      <c r="R250" s="48" t="s">
        <v>36</v>
      </c>
      <c r="S250" s="48" t="s">
        <v>36</v>
      </c>
      <c r="T250" s="49">
        <v>46244.041666666664</v>
      </c>
      <c r="U250" s="50">
        <v>1.9212559999999998E-18</v>
      </c>
    </row>
    <row r="251" spans="1:21">
      <c r="A251" s="42">
        <v>46244.083333333336</v>
      </c>
      <c r="B251" s="43" t="s">
        <v>29</v>
      </c>
      <c r="C251" s="44">
        <v>0</v>
      </c>
      <c r="D251" s="44">
        <v>0</v>
      </c>
      <c r="E251" s="44">
        <v>238</v>
      </c>
      <c r="F251" s="44">
        <v>78.053250000000006</v>
      </c>
      <c r="G251" s="11">
        <f t="shared" si="6"/>
        <v>8.2404259999999999E-19</v>
      </c>
      <c r="H251" s="35">
        <f t="shared" si="7"/>
        <v>1.6766309999999999E-20</v>
      </c>
      <c r="R251" s="48" t="s">
        <v>36</v>
      </c>
      <c r="S251" s="48" t="s">
        <v>36</v>
      </c>
      <c r="T251" s="49">
        <v>46244.083333333336</v>
      </c>
      <c r="U251" s="50">
        <v>8.2404259999999999E-19</v>
      </c>
    </row>
    <row r="252" spans="1:21">
      <c r="A252" s="42">
        <v>46244.125</v>
      </c>
      <c r="B252" s="43" t="s">
        <v>29</v>
      </c>
      <c r="C252" s="44">
        <v>0</v>
      </c>
      <c r="D252" s="44">
        <v>0</v>
      </c>
      <c r="E252" s="44">
        <v>238</v>
      </c>
      <c r="F252" s="44">
        <v>78.053250000000006</v>
      </c>
      <c r="G252" s="11">
        <f t="shared" si="6"/>
        <v>5.2450290000000003E-19</v>
      </c>
      <c r="H252" s="35">
        <f t="shared" si="7"/>
        <v>1.067175E-20</v>
      </c>
      <c r="R252" s="48" t="s">
        <v>36</v>
      </c>
      <c r="S252" s="48" t="s">
        <v>36</v>
      </c>
      <c r="T252" s="49">
        <v>46244.125</v>
      </c>
      <c r="U252" s="50">
        <v>5.2450290000000003E-19</v>
      </c>
    </row>
    <row r="253" spans="1:21">
      <c r="A253" s="42">
        <v>46244.166666666664</v>
      </c>
      <c r="B253" s="43" t="s">
        <v>29</v>
      </c>
      <c r="C253" s="44">
        <v>0</v>
      </c>
      <c r="D253" s="44">
        <v>0</v>
      </c>
      <c r="E253" s="44">
        <v>238</v>
      </c>
      <c r="F253" s="44">
        <v>78.053250000000006</v>
      </c>
      <c r="G253" s="11">
        <f t="shared" si="6"/>
        <v>2.2496359999999999E-19</v>
      </c>
      <c r="H253" s="35">
        <f t="shared" si="7"/>
        <v>4.5772039999999999E-21</v>
      </c>
      <c r="R253" s="48" t="s">
        <v>36</v>
      </c>
      <c r="S253" s="48" t="s">
        <v>36</v>
      </c>
      <c r="T253" s="49">
        <v>46244.166666666664</v>
      </c>
      <c r="U253" s="50">
        <v>2.2496359999999999E-19</v>
      </c>
    </row>
    <row r="254" spans="1:21">
      <c r="A254" s="42">
        <v>46244.208333333336</v>
      </c>
      <c r="B254" s="43" t="s">
        <v>29</v>
      </c>
      <c r="C254" s="44">
        <v>0</v>
      </c>
      <c r="D254" s="44">
        <v>0</v>
      </c>
      <c r="E254" s="44">
        <v>238</v>
      </c>
      <c r="F254" s="44">
        <v>78.053250000000006</v>
      </c>
      <c r="G254" s="11">
        <f t="shared" si="6"/>
        <v>1.431893E-19</v>
      </c>
      <c r="H254" s="35">
        <f t="shared" si="7"/>
        <v>2.9133890000000002E-21</v>
      </c>
      <c r="R254" s="48" t="s">
        <v>36</v>
      </c>
      <c r="S254" s="48" t="s">
        <v>36</v>
      </c>
      <c r="T254" s="49">
        <v>46244.208333333336</v>
      </c>
      <c r="U254" s="50">
        <v>1.431893E-19</v>
      </c>
    </row>
    <row r="255" spans="1:21">
      <c r="A255" s="42">
        <v>46244.25</v>
      </c>
      <c r="B255" s="43" t="s">
        <v>29</v>
      </c>
      <c r="C255" s="44">
        <v>0</v>
      </c>
      <c r="D255" s="44">
        <v>0</v>
      </c>
      <c r="E255" s="44">
        <v>238</v>
      </c>
      <c r="F255" s="44">
        <v>78.053250000000006</v>
      </c>
      <c r="G255" s="11">
        <f t="shared" si="6"/>
        <v>6.1415070000000005E-20</v>
      </c>
      <c r="H255" s="35">
        <f t="shared" si="7"/>
        <v>1.2495769999999999E-21</v>
      </c>
      <c r="R255" s="48" t="s">
        <v>36</v>
      </c>
      <c r="S255" s="48" t="s">
        <v>36</v>
      </c>
      <c r="T255" s="49">
        <v>46244.25</v>
      </c>
      <c r="U255" s="50">
        <v>6.1415070000000005E-20</v>
      </c>
    </row>
    <row r="256" spans="1:21">
      <c r="A256" s="42">
        <v>46244.291666666664</v>
      </c>
      <c r="B256" s="43" t="s">
        <v>29</v>
      </c>
      <c r="C256" s="44">
        <v>0</v>
      </c>
      <c r="D256" s="44">
        <v>0</v>
      </c>
      <c r="E256" s="44">
        <v>238</v>
      </c>
      <c r="F256" s="44">
        <v>78.053250000000006</v>
      </c>
      <c r="G256" s="11">
        <f t="shared" si="6"/>
        <v>3.9090680000000001E-20</v>
      </c>
      <c r="H256" s="35">
        <f t="shared" si="7"/>
        <v>7.9535519999999997E-22</v>
      </c>
      <c r="R256" s="48" t="s">
        <v>36</v>
      </c>
      <c r="S256" s="48" t="s">
        <v>36</v>
      </c>
      <c r="T256" s="49">
        <v>46244.291666666664</v>
      </c>
      <c r="U256" s="50">
        <v>3.9090680000000001E-20</v>
      </c>
    </row>
    <row r="257" spans="1:21">
      <c r="A257" s="42">
        <v>46244.333333333336</v>
      </c>
      <c r="B257" s="43" t="s">
        <v>29</v>
      </c>
      <c r="C257" s="44">
        <v>0</v>
      </c>
      <c r="D257" s="44">
        <v>0</v>
      </c>
      <c r="E257" s="44">
        <v>238</v>
      </c>
      <c r="F257" s="44">
        <v>78.053250000000006</v>
      </c>
      <c r="G257" s="11">
        <f t="shared" si="6"/>
        <v>1.6766309999999999E-20</v>
      </c>
      <c r="H257" s="35">
        <f t="shared" si="7"/>
        <v>3.4113440000000001E-22</v>
      </c>
      <c r="R257" s="48" t="s">
        <v>36</v>
      </c>
      <c r="S257" s="48" t="s">
        <v>36</v>
      </c>
      <c r="T257" s="49">
        <v>46244.333333333336</v>
      </c>
      <c r="U257" s="50">
        <v>1.6766309999999999E-20</v>
      </c>
    </row>
    <row r="258" spans="1:21">
      <c r="A258" s="42">
        <v>46244.375</v>
      </c>
      <c r="B258" s="43" t="s">
        <v>29</v>
      </c>
      <c r="C258" s="44">
        <v>0</v>
      </c>
      <c r="D258" s="44">
        <v>0</v>
      </c>
      <c r="E258" s="44">
        <v>238</v>
      </c>
      <c r="F258" s="44">
        <v>78.053250000000006</v>
      </c>
      <c r="G258" s="11">
        <f t="shared" si="6"/>
        <v>1.067175E-20</v>
      </c>
      <c r="H258" s="35">
        <f t="shared" si="7"/>
        <v>2.1713200000000002E-22</v>
      </c>
      <c r="R258" s="48" t="s">
        <v>36</v>
      </c>
      <c r="S258" s="48" t="s">
        <v>36</v>
      </c>
      <c r="T258" s="49">
        <v>46244.375</v>
      </c>
      <c r="U258" s="50">
        <v>1.067175E-20</v>
      </c>
    </row>
    <row r="259" spans="1:21">
      <c r="A259" s="42">
        <v>46244.416666666664</v>
      </c>
      <c r="B259" s="43" t="s">
        <v>29</v>
      </c>
      <c r="C259" s="44">
        <v>0</v>
      </c>
      <c r="D259" s="44">
        <v>0</v>
      </c>
      <c r="E259" s="44">
        <v>238</v>
      </c>
      <c r="F259" s="44">
        <v>78.053250000000006</v>
      </c>
      <c r="G259" s="11">
        <f t="shared" ref="G259:G322" si="8">U259</f>
        <v>4.5772039999999999E-21</v>
      </c>
      <c r="H259" s="35">
        <f t="shared" ref="H259:H322" si="9">D259+G265</f>
        <v>9.3129700000000003E-23</v>
      </c>
      <c r="R259" s="48" t="s">
        <v>36</v>
      </c>
      <c r="S259" s="48" t="s">
        <v>36</v>
      </c>
      <c r="T259" s="49">
        <v>46244.416666666664</v>
      </c>
      <c r="U259" s="50">
        <v>4.5772039999999999E-21</v>
      </c>
    </row>
    <row r="260" spans="1:21">
      <c r="A260" s="42">
        <v>46244.458333333336</v>
      </c>
      <c r="B260" s="43" t="s">
        <v>29</v>
      </c>
      <c r="C260" s="44">
        <v>0</v>
      </c>
      <c r="D260" s="44">
        <v>0</v>
      </c>
      <c r="E260" s="44">
        <v>238</v>
      </c>
      <c r="F260" s="44">
        <v>78.053250000000006</v>
      </c>
      <c r="G260" s="11">
        <f t="shared" si="8"/>
        <v>2.9133890000000002E-21</v>
      </c>
      <c r="H260" s="35">
        <f t="shared" si="9"/>
        <v>5.9277029999999997E-23</v>
      </c>
      <c r="R260" s="48" t="s">
        <v>36</v>
      </c>
      <c r="S260" s="48" t="s">
        <v>36</v>
      </c>
      <c r="T260" s="49">
        <v>46244.458333333336</v>
      </c>
      <c r="U260" s="50">
        <v>2.9133890000000002E-21</v>
      </c>
    </row>
    <row r="261" spans="1:21">
      <c r="A261" s="42">
        <v>46244.5</v>
      </c>
      <c r="B261" s="43" t="s">
        <v>29</v>
      </c>
      <c r="C261" s="44">
        <v>0</v>
      </c>
      <c r="D261" s="44">
        <v>0</v>
      </c>
      <c r="E261" s="44">
        <v>238</v>
      </c>
      <c r="F261" s="44">
        <v>78.053250000000006</v>
      </c>
      <c r="G261" s="11">
        <f t="shared" si="8"/>
        <v>1.2495769999999999E-21</v>
      </c>
      <c r="H261" s="35">
        <f t="shared" si="9"/>
        <v>2.542441E-23</v>
      </c>
      <c r="R261" s="48" t="s">
        <v>36</v>
      </c>
      <c r="S261" s="48" t="s">
        <v>36</v>
      </c>
      <c r="T261" s="49">
        <v>46244.5</v>
      </c>
      <c r="U261" s="50">
        <v>1.2495769999999999E-21</v>
      </c>
    </row>
    <row r="262" spans="1:21">
      <c r="A262" s="42">
        <v>46244.541666666664</v>
      </c>
      <c r="B262" s="43" t="s">
        <v>29</v>
      </c>
      <c r="C262" s="44">
        <v>0</v>
      </c>
      <c r="D262" s="44">
        <v>0</v>
      </c>
      <c r="E262" s="44">
        <v>238</v>
      </c>
      <c r="F262" s="44">
        <v>78.053250000000006</v>
      </c>
      <c r="G262" s="11">
        <f t="shared" si="8"/>
        <v>7.9535519999999997E-22</v>
      </c>
      <c r="H262" s="35">
        <f t="shared" si="9"/>
        <v>1.6182629999999999E-23</v>
      </c>
      <c r="R262" s="48" t="s">
        <v>36</v>
      </c>
      <c r="S262" s="48" t="s">
        <v>36</v>
      </c>
      <c r="T262" s="49">
        <v>46244.541666666664</v>
      </c>
      <c r="U262" s="50">
        <v>7.9535519999999997E-22</v>
      </c>
    </row>
    <row r="263" spans="1:21">
      <c r="A263" s="42">
        <v>46244.583333333336</v>
      </c>
      <c r="B263" s="43" t="s">
        <v>29</v>
      </c>
      <c r="C263" s="44">
        <v>0</v>
      </c>
      <c r="D263" s="44">
        <v>0</v>
      </c>
      <c r="E263" s="44">
        <v>238</v>
      </c>
      <c r="F263" s="44">
        <v>78.053250000000006</v>
      </c>
      <c r="G263" s="11">
        <f t="shared" si="8"/>
        <v>3.4113440000000001E-22</v>
      </c>
      <c r="H263" s="35">
        <f t="shared" si="9"/>
        <v>6.9408639999999996E-24</v>
      </c>
      <c r="R263" s="48" t="s">
        <v>36</v>
      </c>
      <c r="S263" s="48" t="s">
        <v>36</v>
      </c>
      <c r="T263" s="49">
        <v>46244.583333333336</v>
      </c>
      <c r="U263" s="50">
        <v>3.4113440000000001E-22</v>
      </c>
    </row>
    <row r="264" spans="1:21">
      <c r="A264" s="42">
        <v>46244.625</v>
      </c>
      <c r="B264" s="43" t="s">
        <v>29</v>
      </c>
      <c r="C264" s="44">
        <v>0</v>
      </c>
      <c r="D264" s="44">
        <v>0</v>
      </c>
      <c r="E264" s="44">
        <v>238</v>
      </c>
      <c r="F264" s="44">
        <v>78.053250000000006</v>
      </c>
      <c r="G264" s="11">
        <f t="shared" si="8"/>
        <v>2.1713200000000002E-22</v>
      </c>
      <c r="H264" s="35">
        <f t="shared" si="9"/>
        <v>4.4178579999999997E-24</v>
      </c>
      <c r="R264" s="48" t="s">
        <v>36</v>
      </c>
      <c r="S264" s="48" t="s">
        <v>36</v>
      </c>
      <c r="T264" s="49">
        <v>46244.625</v>
      </c>
      <c r="U264" s="50">
        <v>2.1713200000000002E-22</v>
      </c>
    </row>
    <row r="265" spans="1:21">
      <c r="A265" s="42">
        <v>46244.666666666664</v>
      </c>
      <c r="B265" s="43" t="s">
        <v>29</v>
      </c>
      <c r="C265" s="44">
        <v>0</v>
      </c>
      <c r="D265" s="44">
        <v>0</v>
      </c>
      <c r="E265" s="44">
        <v>238</v>
      </c>
      <c r="F265" s="44">
        <v>78.053250000000006</v>
      </c>
      <c r="G265" s="11">
        <f t="shared" si="8"/>
        <v>9.3129700000000003E-23</v>
      </c>
      <c r="H265" s="35">
        <f t="shared" si="9"/>
        <v>1.8948559999999999E-24</v>
      </c>
      <c r="R265" s="48" t="s">
        <v>36</v>
      </c>
      <c r="S265" s="48" t="s">
        <v>36</v>
      </c>
      <c r="T265" s="49">
        <v>46244.666666666664</v>
      </c>
      <c r="U265" s="50">
        <v>9.3129700000000003E-23</v>
      </c>
    </row>
    <row r="266" spans="1:21">
      <c r="A266" s="42">
        <v>46244.708333333336</v>
      </c>
      <c r="B266" s="43" t="s">
        <v>29</v>
      </c>
      <c r="C266" s="44">
        <v>0</v>
      </c>
      <c r="D266" s="44">
        <v>0</v>
      </c>
      <c r="E266" s="44">
        <v>238</v>
      </c>
      <c r="F266" s="44">
        <v>78.053250000000006</v>
      </c>
      <c r="G266" s="11">
        <f t="shared" si="8"/>
        <v>5.9277029999999997E-23</v>
      </c>
      <c r="H266" s="35">
        <f t="shared" si="9"/>
        <v>1.2060750000000001E-24</v>
      </c>
      <c r="R266" s="48" t="s">
        <v>36</v>
      </c>
      <c r="S266" s="48" t="s">
        <v>36</v>
      </c>
      <c r="T266" s="49">
        <v>46244.708333333336</v>
      </c>
      <c r="U266" s="50">
        <v>5.9277029999999997E-23</v>
      </c>
    </row>
    <row r="267" spans="1:21">
      <c r="A267" s="42">
        <v>46244.75</v>
      </c>
      <c r="B267" s="43" t="s">
        <v>29</v>
      </c>
      <c r="C267" s="44">
        <v>0</v>
      </c>
      <c r="D267" s="44">
        <v>0</v>
      </c>
      <c r="E267" s="44">
        <v>238</v>
      </c>
      <c r="F267" s="44">
        <v>78.053250000000006</v>
      </c>
      <c r="G267" s="11">
        <f t="shared" si="8"/>
        <v>2.542441E-23</v>
      </c>
      <c r="H267" s="35">
        <f t="shared" si="9"/>
        <v>5.1729559999999996E-25</v>
      </c>
      <c r="R267" s="48" t="s">
        <v>36</v>
      </c>
      <c r="S267" s="48" t="s">
        <v>36</v>
      </c>
      <c r="T267" s="49">
        <v>46244.75</v>
      </c>
      <c r="U267" s="50">
        <v>2.542441E-23</v>
      </c>
    </row>
    <row r="268" spans="1:21">
      <c r="A268" s="42">
        <v>46244.791666666664</v>
      </c>
      <c r="B268" s="43" t="s">
        <v>29</v>
      </c>
      <c r="C268" s="44">
        <v>0</v>
      </c>
      <c r="D268" s="44">
        <v>0</v>
      </c>
      <c r="E268" s="44">
        <v>238</v>
      </c>
      <c r="F268" s="44">
        <v>78.053250000000006</v>
      </c>
      <c r="G268" s="11">
        <f t="shared" si="8"/>
        <v>1.6182629999999999E-23</v>
      </c>
      <c r="H268" s="35">
        <f t="shared" si="9"/>
        <v>3.2925849999999999E-25</v>
      </c>
      <c r="R268" s="48" t="s">
        <v>36</v>
      </c>
      <c r="S268" s="48" t="s">
        <v>36</v>
      </c>
      <c r="T268" s="49">
        <v>46244.791666666664</v>
      </c>
      <c r="U268" s="50">
        <v>1.6182629999999999E-23</v>
      </c>
    </row>
    <row r="269" spans="1:21">
      <c r="A269" s="42">
        <v>46244.833333333336</v>
      </c>
      <c r="B269" s="43" t="s">
        <v>29</v>
      </c>
      <c r="C269" s="44">
        <v>0</v>
      </c>
      <c r="D269" s="44">
        <v>0</v>
      </c>
      <c r="E269" s="44">
        <v>238</v>
      </c>
      <c r="F269" s="44">
        <v>78.053250000000006</v>
      </c>
      <c r="G269" s="11">
        <f t="shared" si="8"/>
        <v>6.9408639999999996E-24</v>
      </c>
      <c r="H269" s="35">
        <f t="shared" si="9"/>
        <v>1.412217E-25</v>
      </c>
      <c r="R269" s="48" t="s">
        <v>36</v>
      </c>
      <c r="S269" s="48" t="s">
        <v>36</v>
      </c>
      <c r="T269" s="49">
        <v>46244.833333333336</v>
      </c>
      <c r="U269" s="50">
        <v>6.9408639999999996E-24</v>
      </c>
    </row>
    <row r="270" spans="1:21">
      <c r="A270" s="42">
        <v>46244.875</v>
      </c>
      <c r="B270" s="43" t="s">
        <v>29</v>
      </c>
      <c r="C270" s="44">
        <v>0</v>
      </c>
      <c r="D270" s="44">
        <v>0</v>
      </c>
      <c r="E270" s="44">
        <v>238</v>
      </c>
      <c r="F270" s="44">
        <v>78.053250000000006</v>
      </c>
      <c r="G270" s="11">
        <f t="shared" si="8"/>
        <v>4.4178579999999997E-24</v>
      </c>
      <c r="H270" s="35">
        <f t="shared" si="9"/>
        <v>8.9887580000000003E-26</v>
      </c>
      <c r="R270" s="48" t="s">
        <v>36</v>
      </c>
      <c r="S270" s="48" t="s">
        <v>36</v>
      </c>
      <c r="T270" s="49">
        <v>46244.875</v>
      </c>
      <c r="U270" s="50">
        <v>4.4178579999999997E-24</v>
      </c>
    </row>
    <row r="271" spans="1:21">
      <c r="A271" s="42">
        <v>46244.916666666664</v>
      </c>
      <c r="B271" s="43" t="s">
        <v>29</v>
      </c>
      <c r="C271" s="44">
        <v>0</v>
      </c>
      <c r="D271" s="44">
        <v>0</v>
      </c>
      <c r="E271" s="44">
        <v>238</v>
      </c>
      <c r="F271" s="44">
        <v>78.053250000000006</v>
      </c>
      <c r="G271" s="11">
        <f t="shared" si="8"/>
        <v>1.8948559999999999E-24</v>
      </c>
      <c r="H271" s="35">
        <f t="shared" si="9"/>
        <v>3.8553529999999999E-26</v>
      </c>
      <c r="R271" s="48" t="s">
        <v>36</v>
      </c>
      <c r="S271" s="48" t="s">
        <v>36</v>
      </c>
      <c r="T271" s="49">
        <v>46244.916666666664</v>
      </c>
      <c r="U271" s="50">
        <v>1.8948559999999999E-24</v>
      </c>
    </row>
    <row r="272" spans="1:21">
      <c r="A272" s="42">
        <v>46244.958333333336</v>
      </c>
      <c r="B272" s="43" t="s">
        <v>29</v>
      </c>
      <c r="C272" s="44">
        <v>0</v>
      </c>
      <c r="D272" s="44">
        <v>0</v>
      </c>
      <c r="E272" s="44">
        <v>238</v>
      </c>
      <c r="F272" s="44">
        <v>78.053250000000006</v>
      </c>
      <c r="G272" s="11">
        <f t="shared" si="8"/>
        <v>1.2060750000000001E-24</v>
      </c>
      <c r="H272" s="35">
        <f t="shared" si="9"/>
        <v>2.453931E-26</v>
      </c>
      <c r="R272" s="48" t="s">
        <v>36</v>
      </c>
      <c r="S272" s="48" t="s">
        <v>36</v>
      </c>
      <c r="T272" s="49">
        <v>46244.958333333336</v>
      </c>
      <c r="U272" s="50">
        <v>1.2060750000000001E-24</v>
      </c>
    </row>
    <row r="273" spans="1:21">
      <c r="A273" s="42">
        <v>46245</v>
      </c>
      <c r="B273" s="43" t="s">
        <v>29</v>
      </c>
      <c r="C273" s="44">
        <v>0</v>
      </c>
      <c r="D273" s="44">
        <v>0</v>
      </c>
      <c r="E273" s="44">
        <v>238</v>
      </c>
      <c r="F273" s="44">
        <v>78.053250000000006</v>
      </c>
      <c r="G273" s="11">
        <f t="shared" si="8"/>
        <v>5.1729559999999996E-25</v>
      </c>
      <c r="H273" s="35">
        <f t="shared" si="9"/>
        <v>1.052511E-26</v>
      </c>
      <c r="R273" s="48" t="s">
        <v>36</v>
      </c>
      <c r="S273" s="48" t="s">
        <v>36</v>
      </c>
      <c r="T273" s="49">
        <v>46245</v>
      </c>
      <c r="U273" s="50">
        <v>5.1729559999999996E-25</v>
      </c>
    </row>
    <row r="274" spans="1:21">
      <c r="A274" s="42">
        <v>46245.041666666664</v>
      </c>
      <c r="B274" s="43" t="s">
        <v>29</v>
      </c>
      <c r="C274" s="44">
        <v>0</v>
      </c>
      <c r="D274" s="44">
        <v>0</v>
      </c>
      <c r="E274" s="44">
        <v>238</v>
      </c>
      <c r="F274" s="44">
        <v>78.053250000000006</v>
      </c>
      <c r="G274" s="11">
        <f t="shared" si="8"/>
        <v>3.2925849999999999E-25</v>
      </c>
      <c r="H274" s="35">
        <f t="shared" si="9"/>
        <v>6.699231E-27</v>
      </c>
      <c r="R274" s="48" t="s">
        <v>36</v>
      </c>
      <c r="S274" s="48" t="s">
        <v>36</v>
      </c>
      <c r="T274" s="49">
        <v>46245.041666666664</v>
      </c>
      <c r="U274" s="50">
        <v>3.2925849999999999E-25</v>
      </c>
    </row>
    <row r="275" spans="1:21">
      <c r="A275" s="42">
        <v>46245.083333333336</v>
      </c>
      <c r="B275" s="43" t="s">
        <v>29</v>
      </c>
      <c r="C275" s="44">
        <v>0</v>
      </c>
      <c r="D275" s="44">
        <v>0</v>
      </c>
      <c r="E275" s="44">
        <v>238</v>
      </c>
      <c r="F275" s="44">
        <v>78.053250000000006</v>
      </c>
      <c r="G275" s="11">
        <f t="shared" si="8"/>
        <v>1.412217E-25</v>
      </c>
      <c r="H275" s="35">
        <f t="shared" si="9"/>
        <v>2.8733560000000001E-27</v>
      </c>
      <c r="R275" s="48" t="s">
        <v>36</v>
      </c>
      <c r="S275" s="48" t="s">
        <v>36</v>
      </c>
      <c r="T275" s="49">
        <v>46245.083333333336</v>
      </c>
      <c r="U275" s="50">
        <v>1.412217E-25</v>
      </c>
    </row>
    <row r="276" spans="1:21">
      <c r="A276" s="42">
        <v>46245.125</v>
      </c>
      <c r="B276" s="43" t="s">
        <v>29</v>
      </c>
      <c r="C276" s="44">
        <v>0</v>
      </c>
      <c r="D276" s="44">
        <v>0</v>
      </c>
      <c r="E276" s="44">
        <v>238</v>
      </c>
      <c r="F276" s="44">
        <v>78.053250000000006</v>
      </c>
      <c r="G276" s="11">
        <f t="shared" si="8"/>
        <v>8.9887580000000003E-26</v>
      </c>
      <c r="H276" s="35">
        <f t="shared" si="9"/>
        <v>1.82889E-27</v>
      </c>
      <c r="R276" s="48" t="s">
        <v>36</v>
      </c>
      <c r="S276" s="48" t="s">
        <v>36</v>
      </c>
      <c r="T276" s="49">
        <v>46245.125</v>
      </c>
      <c r="U276" s="50">
        <v>8.9887580000000003E-26</v>
      </c>
    </row>
    <row r="277" spans="1:21">
      <c r="A277" s="42">
        <v>46245.166666666664</v>
      </c>
      <c r="B277" s="43" t="s">
        <v>29</v>
      </c>
      <c r="C277" s="44">
        <v>0</v>
      </c>
      <c r="D277" s="44">
        <v>0</v>
      </c>
      <c r="E277" s="44">
        <v>238</v>
      </c>
      <c r="F277" s="44">
        <v>78.053250000000006</v>
      </c>
      <c r="G277" s="11">
        <f t="shared" si="8"/>
        <v>3.8553529999999999E-26</v>
      </c>
      <c r="H277" s="35">
        <f t="shared" si="9"/>
        <v>7.8442619999999999E-28</v>
      </c>
      <c r="R277" s="48" t="s">
        <v>36</v>
      </c>
      <c r="S277" s="48" t="s">
        <v>36</v>
      </c>
      <c r="T277" s="49">
        <v>46245.166666666664</v>
      </c>
      <c r="U277" s="50">
        <v>3.8553529999999999E-26</v>
      </c>
    </row>
    <row r="278" spans="1:21">
      <c r="A278" s="42">
        <v>46245.208333333336</v>
      </c>
      <c r="B278" s="43" t="s">
        <v>29</v>
      </c>
      <c r="C278" s="44">
        <v>0</v>
      </c>
      <c r="D278" s="44">
        <v>0</v>
      </c>
      <c r="E278" s="44">
        <v>238</v>
      </c>
      <c r="F278" s="44">
        <v>78.053250000000006</v>
      </c>
      <c r="G278" s="11">
        <f t="shared" si="8"/>
        <v>2.453931E-26</v>
      </c>
      <c r="H278" s="35">
        <f t="shared" si="9"/>
        <v>4.9928700000000003E-28</v>
      </c>
      <c r="R278" s="48" t="s">
        <v>36</v>
      </c>
      <c r="S278" s="48" t="s">
        <v>36</v>
      </c>
      <c r="T278" s="49">
        <v>46245.208333333336</v>
      </c>
      <c r="U278" s="50">
        <v>2.453931E-26</v>
      </c>
    </row>
    <row r="279" spans="1:21">
      <c r="A279" s="42">
        <v>46245.25</v>
      </c>
      <c r="B279" s="43" t="s">
        <v>29</v>
      </c>
      <c r="C279" s="44">
        <v>0</v>
      </c>
      <c r="D279" s="44">
        <v>0</v>
      </c>
      <c r="E279" s="44">
        <v>238</v>
      </c>
      <c r="F279" s="44">
        <v>78.053250000000006</v>
      </c>
      <c r="G279" s="11">
        <f t="shared" si="8"/>
        <v>1.052511E-26</v>
      </c>
      <c r="H279" s="35">
        <f t="shared" si="9"/>
        <v>2.1414829999999998E-28</v>
      </c>
      <c r="R279" s="48" t="s">
        <v>36</v>
      </c>
      <c r="S279" s="48" t="s">
        <v>36</v>
      </c>
      <c r="T279" s="49">
        <v>46245.25</v>
      </c>
      <c r="U279" s="50">
        <v>1.052511E-26</v>
      </c>
    </row>
    <row r="280" spans="1:21">
      <c r="A280" s="42">
        <v>46245.291666666664</v>
      </c>
      <c r="B280" s="43" t="s">
        <v>29</v>
      </c>
      <c r="C280" s="44">
        <v>0</v>
      </c>
      <c r="D280" s="44">
        <v>0</v>
      </c>
      <c r="E280" s="44">
        <v>238</v>
      </c>
      <c r="F280" s="44">
        <v>78.053250000000006</v>
      </c>
      <c r="G280" s="11">
        <f t="shared" si="8"/>
        <v>6.699231E-27</v>
      </c>
      <c r="H280" s="35">
        <f t="shared" si="9"/>
        <v>1.3630529999999999E-28</v>
      </c>
      <c r="R280" s="48" t="s">
        <v>36</v>
      </c>
      <c r="S280" s="48" t="s">
        <v>36</v>
      </c>
      <c r="T280" s="49">
        <v>46245.291666666664</v>
      </c>
      <c r="U280" s="50">
        <v>6.699231E-27</v>
      </c>
    </row>
    <row r="281" spans="1:21">
      <c r="A281" s="42">
        <v>46245.333333333336</v>
      </c>
      <c r="B281" s="43" t="s">
        <v>29</v>
      </c>
      <c r="C281" s="44">
        <v>0</v>
      </c>
      <c r="D281" s="44">
        <v>0</v>
      </c>
      <c r="E281" s="44">
        <v>238</v>
      </c>
      <c r="F281" s="44">
        <v>78.053250000000006</v>
      </c>
      <c r="G281" s="11">
        <f t="shared" si="8"/>
        <v>2.8733560000000001E-27</v>
      </c>
      <c r="H281" s="35">
        <f t="shared" si="9"/>
        <v>5.8462489999999997E-29</v>
      </c>
      <c r="R281" s="48" t="s">
        <v>36</v>
      </c>
      <c r="S281" s="48" t="s">
        <v>36</v>
      </c>
      <c r="T281" s="49">
        <v>46245.333333333336</v>
      </c>
      <c r="U281" s="50">
        <v>2.8733560000000001E-27</v>
      </c>
    </row>
    <row r="282" spans="1:21">
      <c r="A282" s="42">
        <v>46245.375</v>
      </c>
      <c r="B282" s="43" t="s">
        <v>29</v>
      </c>
      <c r="C282" s="44">
        <v>0</v>
      </c>
      <c r="D282" s="44">
        <v>0</v>
      </c>
      <c r="E282" s="44">
        <v>238</v>
      </c>
      <c r="F282" s="44">
        <v>78.053250000000006</v>
      </c>
      <c r="G282" s="11">
        <f t="shared" si="8"/>
        <v>1.82889E-27</v>
      </c>
      <c r="H282" s="35">
        <f t="shared" si="9"/>
        <v>3.7211360000000001E-29</v>
      </c>
      <c r="R282" s="48" t="s">
        <v>36</v>
      </c>
      <c r="S282" s="48" t="s">
        <v>36</v>
      </c>
      <c r="T282" s="49">
        <v>46245.375</v>
      </c>
      <c r="U282" s="50">
        <v>1.82889E-27</v>
      </c>
    </row>
    <row r="283" spans="1:21">
      <c r="A283" s="42">
        <v>46245.416666666664</v>
      </c>
      <c r="B283" s="43" t="s">
        <v>29</v>
      </c>
      <c r="C283" s="44">
        <v>0</v>
      </c>
      <c r="D283" s="44">
        <v>0</v>
      </c>
      <c r="E283" s="44">
        <v>238</v>
      </c>
      <c r="F283" s="44">
        <v>78.053250000000006</v>
      </c>
      <c r="G283" s="11">
        <f t="shared" si="8"/>
        <v>7.8442619999999999E-28</v>
      </c>
      <c r="H283" s="35">
        <f t="shared" si="9"/>
        <v>1.5960260000000001E-29</v>
      </c>
      <c r="R283" s="48" t="s">
        <v>36</v>
      </c>
      <c r="S283" s="48" t="s">
        <v>36</v>
      </c>
      <c r="T283" s="49">
        <v>46245.416666666664</v>
      </c>
      <c r="U283" s="50">
        <v>7.8442619999999999E-28</v>
      </c>
    </row>
    <row r="284" spans="1:21">
      <c r="A284" s="42">
        <v>46245.458333333336</v>
      </c>
      <c r="B284" s="43" t="s">
        <v>29</v>
      </c>
      <c r="C284" s="44">
        <v>0</v>
      </c>
      <c r="D284" s="44">
        <v>0</v>
      </c>
      <c r="E284" s="44">
        <v>238</v>
      </c>
      <c r="F284" s="44">
        <v>78.053250000000006</v>
      </c>
      <c r="G284" s="11">
        <f t="shared" si="8"/>
        <v>4.9928700000000003E-28</v>
      </c>
      <c r="H284" s="35">
        <f t="shared" si="9"/>
        <v>1.01587E-29</v>
      </c>
      <c r="R284" s="48" t="s">
        <v>36</v>
      </c>
      <c r="S284" s="48" t="s">
        <v>36</v>
      </c>
      <c r="T284" s="49">
        <v>46245.458333333336</v>
      </c>
      <c r="U284" s="50">
        <v>4.9928700000000003E-28</v>
      </c>
    </row>
    <row r="285" spans="1:21">
      <c r="A285" s="42">
        <v>46245.5</v>
      </c>
      <c r="B285" s="43" t="s">
        <v>29</v>
      </c>
      <c r="C285" s="44">
        <v>0</v>
      </c>
      <c r="D285" s="44">
        <v>0</v>
      </c>
      <c r="E285" s="44">
        <v>238</v>
      </c>
      <c r="F285" s="44">
        <v>78.053250000000006</v>
      </c>
      <c r="G285" s="11">
        <f t="shared" si="8"/>
        <v>2.1414829999999998E-28</v>
      </c>
      <c r="H285" s="35">
        <f t="shared" si="9"/>
        <v>4.3571510000000001E-30</v>
      </c>
      <c r="R285" s="48" t="s">
        <v>36</v>
      </c>
      <c r="S285" s="48" t="s">
        <v>36</v>
      </c>
      <c r="T285" s="49">
        <v>46245.5</v>
      </c>
      <c r="U285" s="50">
        <v>2.1414829999999998E-28</v>
      </c>
    </row>
    <row r="286" spans="1:21">
      <c r="A286" s="42">
        <v>46245.541666666664</v>
      </c>
      <c r="B286" s="43" t="s">
        <v>29</v>
      </c>
      <c r="C286" s="44">
        <v>0</v>
      </c>
      <c r="D286" s="44">
        <v>0</v>
      </c>
      <c r="E286" s="44">
        <v>238</v>
      </c>
      <c r="F286" s="44">
        <v>78.053250000000006</v>
      </c>
      <c r="G286" s="11">
        <f t="shared" si="8"/>
        <v>1.3630529999999999E-28</v>
      </c>
      <c r="H286" s="35">
        <f t="shared" si="9"/>
        <v>2.7733249999999999E-30</v>
      </c>
      <c r="R286" s="48" t="s">
        <v>36</v>
      </c>
      <c r="S286" s="48" t="s">
        <v>36</v>
      </c>
      <c r="T286" s="49">
        <v>46245.541666666664</v>
      </c>
      <c r="U286" s="50">
        <v>1.3630529999999999E-28</v>
      </c>
    </row>
    <row r="287" spans="1:21">
      <c r="A287" s="42">
        <v>46245.583333333336</v>
      </c>
      <c r="B287" s="43" t="s">
        <v>29</v>
      </c>
      <c r="C287" s="44">
        <v>0</v>
      </c>
      <c r="D287" s="44">
        <v>0</v>
      </c>
      <c r="E287" s="44">
        <v>238</v>
      </c>
      <c r="F287" s="44">
        <v>78.053250000000006</v>
      </c>
      <c r="G287" s="11">
        <f t="shared" si="8"/>
        <v>5.8462489999999997E-29</v>
      </c>
      <c r="H287" s="35">
        <f t="shared" si="9"/>
        <v>1.189502E-30</v>
      </c>
      <c r="R287" s="48" t="s">
        <v>36</v>
      </c>
      <c r="S287" s="48" t="s">
        <v>36</v>
      </c>
      <c r="T287" s="49">
        <v>46245.583333333336</v>
      </c>
      <c r="U287" s="50">
        <v>5.8462489999999997E-29</v>
      </c>
    </row>
    <row r="288" spans="1:21">
      <c r="A288" s="42">
        <v>46245.625</v>
      </c>
      <c r="B288" s="43" t="s">
        <v>29</v>
      </c>
      <c r="C288" s="44">
        <v>0</v>
      </c>
      <c r="D288" s="44">
        <v>0</v>
      </c>
      <c r="E288" s="44">
        <v>238</v>
      </c>
      <c r="F288" s="44">
        <v>78.053250000000006</v>
      </c>
      <c r="G288" s="11">
        <f t="shared" si="8"/>
        <v>3.7211360000000001E-29</v>
      </c>
      <c r="H288" s="35">
        <f t="shared" si="9"/>
        <v>7.5711789999999997E-31</v>
      </c>
      <c r="R288" s="48" t="s">
        <v>36</v>
      </c>
      <c r="S288" s="48" t="s">
        <v>36</v>
      </c>
      <c r="T288" s="49">
        <v>46245.625</v>
      </c>
      <c r="U288" s="50">
        <v>3.7211360000000001E-29</v>
      </c>
    </row>
    <row r="289" spans="1:21">
      <c r="A289" s="42">
        <v>46245.666666666664</v>
      </c>
      <c r="B289" s="43" t="s">
        <v>29</v>
      </c>
      <c r="C289" s="44">
        <v>0</v>
      </c>
      <c r="D289" s="44">
        <v>0</v>
      </c>
      <c r="E289" s="44">
        <v>238</v>
      </c>
      <c r="F289" s="44">
        <v>78.053250000000006</v>
      </c>
      <c r="G289" s="11">
        <f t="shared" si="8"/>
        <v>1.5960260000000001E-29</v>
      </c>
      <c r="H289" s="35">
        <f t="shared" si="9"/>
        <v>3.2473409999999999E-31</v>
      </c>
      <c r="R289" s="48" t="s">
        <v>36</v>
      </c>
      <c r="S289" s="48" t="s">
        <v>36</v>
      </c>
      <c r="T289" s="49">
        <v>46245.666666666664</v>
      </c>
      <c r="U289" s="50">
        <v>1.5960260000000001E-29</v>
      </c>
    </row>
    <row r="290" spans="1:21">
      <c r="A290" s="42">
        <v>46245.708333333336</v>
      </c>
      <c r="B290" s="43" t="s">
        <v>29</v>
      </c>
      <c r="C290" s="44">
        <v>0</v>
      </c>
      <c r="D290" s="44">
        <v>0</v>
      </c>
      <c r="E290" s="44">
        <v>238</v>
      </c>
      <c r="F290" s="44">
        <v>78.053250000000006</v>
      </c>
      <c r="G290" s="11">
        <f t="shared" si="8"/>
        <v>1.01587E-29</v>
      </c>
      <c r="H290" s="35">
        <f t="shared" si="9"/>
        <v>2.066932E-31</v>
      </c>
      <c r="R290" s="48" t="s">
        <v>36</v>
      </c>
      <c r="S290" s="48" t="s">
        <v>36</v>
      </c>
      <c r="T290" s="49">
        <v>46245.708333333336</v>
      </c>
      <c r="U290" s="50">
        <v>1.01587E-29</v>
      </c>
    </row>
    <row r="291" spans="1:21">
      <c r="A291" s="42">
        <v>46245.75</v>
      </c>
      <c r="B291" s="43" t="s">
        <v>29</v>
      </c>
      <c r="C291" s="44">
        <v>0</v>
      </c>
      <c r="D291" s="44">
        <v>0</v>
      </c>
      <c r="E291" s="44">
        <v>238</v>
      </c>
      <c r="F291" s="44">
        <v>78.053250000000006</v>
      </c>
      <c r="G291" s="11">
        <f t="shared" si="8"/>
        <v>4.3571510000000001E-30</v>
      </c>
      <c r="H291" s="35">
        <f t="shared" si="9"/>
        <v>8.8652419999999997E-32</v>
      </c>
      <c r="R291" s="48" t="s">
        <v>36</v>
      </c>
      <c r="S291" s="48" t="s">
        <v>36</v>
      </c>
      <c r="T291" s="49">
        <v>46245.75</v>
      </c>
      <c r="U291" s="50">
        <v>4.3571510000000001E-30</v>
      </c>
    </row>
    <row r="292" spans="1:21">
      <c r="A292" s="42">
        <v>46245.791666666664</v>
      </c>
      <c r="B292" s="43" t="s">
        <v>29</v>
      </c>
      <c r="C292" s="44">
        <v>0</v>
      </c>
      <c r="D292" s="44">
        <v>0</v>
      </c>
      <c r="E292" s="44">
        <v>238</v>
      </c>
      <c r="F292" s="44">
        <v>78.053250000000006</v>
      </c>
      <c r="G292" s="11">
        <f t="shared" si="8"/>
        <v>2.7733249999999999E-30</v>
      </c>
      <c r="H292" s="35">
        <f t="shared" si="9"/>
        <v>5.6427240000000004E-32</v>
      </c>
      <c r="R292" s="48" t="s">
        <v>36</v>
      </c>
      <c r="S292" s="48" t="s">
        <v>36</v>
      </c>
      <c r="T292" s="49">
        <v>46245.791666666664</v>
      </c>
      <c r="U292" s="50">
        <v>2.7733249999999999E-30</v>
      </c>
    </row>
    <row r="293" spans="1:21">
      <c r="A293" s="42">
        <v>46245.833333333336</v>
      </c>
      <c r="B293" s="43" t="s">
        <v>29</v>
      </c>
      <c r="C293" s="44">
        <v>0</v>
      </c>
      <c r="D293" s="44">
        <v>0</v>
      </c>
      <c r="E293" s="44">
        <v>238</v>
      </c>
      <c r="F293" s="44">
        <v>78.053250000000006</v>
      </c>
      <c r="G293" s="11">
        <f t="shared" si="8"/>
        <v>1.189502E-30</v>
      </c>
      <c r="H293" s="35">
        <f t="shared" si="9"/>
        <v>2.4202110000000001E-32</v>
      </c>
      <c r="R293" s="48" t="s">
        <v>36</v>
      </c>
      <c r="S293" s="48" t="s">
        <v>36</v>
      </c>
      <c r="T293" s="49">
        <v>46245.833333333336</v>
      </c>
      <c r="U293" s="50">
        <v>1.189502E-30</v>
      </c>
    </row>
    <row r="294" spans="1:21">
      <c r="A294" s="42">
        <v>46245.875</v>
      </c>
      <c r="B294" s="43" t="s">
        <v>29</v>
      </c>
      <c r="C294" s="44">
        <v>0</v>
      </c>
      <c r="D294" s="44">
        <v>0</v>
      </c>
      <c r="E294" s="44">
        <v>238</v>
      </c>
      <c r="F294" s="44">
        <v>78.053250000000006</v>
      </c>
      <c r="G294" s="11">
        <f t="shared" si="8"/>
        <v>7.5711789999999997E-31</v>
      </c>
      <c r="H294" s="35">
        <f t="shared" si="9"/>
        <v>1.540464E-32</v>
      </c>
      <c r="R294" s="48" t="s">
        <v>36</v>
      </c>
      <c r="S294" s="48" t="s">
        <v>36</v>
      </c>
      <c r="T294" s="49">
        <v>46245.875</v>
      </c>
      <c r="U294" s="50">
        <v>7.5711789999999997E-31</v>
      </c>
    </row>
    <row r="295" spans="1:21">
      <c r="A295" s="42">
        <v>46245.916666666664</v>
      </c>
      <c r="B295" s="43" t="s">
        <v>29</v>
      </c>
      <c r="C295" s="44">
        <v>0</v>
      </c>
      <c r="D295" s="44">
        <v>0</v>
      </c>
      <c r="E295" s="44">
        <v>238</v>
      </c>
      <c r="F295" s="44">
        <v>78.053250000000006</v>
      </c>
      <c r="G295" s="11">
        <f t="shared" si="8"/>
        <v>3.2473409999999999E-31</v>
      </c>
      <c r="H295" s="35">
        <f t="shared" si="9"/>
        <v>6.6071760000000001E-33</v>
      </c>
      <c r="R295" s="48" t="s">
        <v>36</v>
      </c>
      <c r="S295" s="48" t="s">
        <v>36</v>
      </c>
      <c r="T295" s="49">
        <v>46245.916666666664</v>
      </c>
      <c r="U295" s="50">
        <v>3.2473409999999999E-31</v>
      </c>
    </row>
    <row r="296" spans="1:21">
      <c r="A296" s="42">
        <v>46245.958333333336</v>
      </c>
      <c r="B296" s="43" t="s">
        <v>29</v>
      </c>
      <c r="C296" s="44">
        <v>0</v>
      </c>
      <c r="D296" s="44">
        <v>0</v>
      </c>
      <c r="E296" s="44">
        <v>238</v>
      </c>
      <c r="F296" s="44">
        <v>78.053250000000006</v>
      </c>
      <c r="G296" s="11">
        <f t="shared" si="8"/>
        <v>2.066932E-31</v>
      </c>
      <c r="H296" s="35">
        <f t="shared" si="9"/>
        <v>4.2054650000000002E-33</v>
      </c>
      <c r="R296" s="48" t="s">
        <v>36</v>
      </c>
      <c r="S296" s="48" t="s">
        <v>36</v>
      </c>
      <c r="T296" s="49">
        <v>46245.958333333336</v>
      </c>
      <c r="U296" s="50">
        <v>2.066932E-31</v>
      </c>
    </row>
    <row r="297" spans="1:21">
      <c r="A297" s="42">
        <v>46246</v>
      </c>
      <c r="B297" s="43" t="s">
        <v>29</v>
      </c>
      <c r="C297" s="44">
        <v>0</v>
      </c>
      <c r="D297" s="44">
        <v>0</v>
      </c>
      <c r="E297" s="44">
        <v>238</v>
      </c>
      <c r="F297" s="44">
        <v>78.053250000000006</v>
      </c>
      <c r="G297" s="11">
        <f t="shared" si="8"/>
        <v>8.8652419999999997E-32</v>
      </c>
      <c r="H297" s="35">
        <f t="shared" si="9"/>
        <v>1.8037589999999999E-33</v>
      </c>
      <c r="R297" s="48" t="s">
        <v>36</v>
      </c>
      <c r="S297" s="48" t="s">
        <v>36</v>
      </c>
      <c r="T297" s="49">
        <v>46246</v>
      </c>
      <c r="U297" s="50">
        <v>8.8652419999999997E-32</v>
      </c>
    </row>
    <row r="298" spans="1:21">
      <c r="A298" s="42">
        <v>46246.041666666664</v>
      </c>
      <c r="B298" s="43" t="s">
        <v>29</v>
      </c>
      <c r="C298" s="44">
        <v>0</v>
      </c>
      <c r="D298" s="44">
        <v>0</v>
      </c>
      <c r="E298" s="44">
        <v>238</v>
      </c>
      <c r="F298" s="44">
        <v>78.053250000000006</v>
      </c>
      <c r="G298" s="11">
        <f t="shared" si="8"/>
        <v>5.6427240000000004E-32</v>
      </c>
      <c r="H298" s="35">
        <f t="shared" si="9"/>
        <v>1.148092E-33</v>
      </c>
      <c r="R298" s="48" t="s">
        <v>36</v>
      </c>
      <c r="S298" s="48" t="s">
        <v>36</v>
      </c>
      <c r="T298" s="49">
        <v>46246.041666666664</v>
      </c>
      <c r="U298" s="50">
        <v>5.6427240000000004E-32</v>
      </c>
    </row>
    <row r="299" spans="1:21">
      <c r="A299" s="42">
        <v>46246.083333333336</v>
      </c>
      <c r="B299" s="43" t="s">
        <v>29</v>
      </c>
      <c r="C299" s="44">
        <v>0</v>
      </c>
      <c r="D299" s="44">
        <v>0</v>
      </c>
      <c r="E299" s="44">
        <v>238</v>
      </c>
      <c r="F299" s="44">
        <v>78.053250000000006</v>
      </c>
      <c r="G299" s="11">
        <f t="shared" si="8"/>
        <v>2.4202110000000001E-32</v>
      </c>
      <c r="H299" s="35">
        <f t="shared" si="9"/>
        <v>4.9242619999999997E-34</v>
      </c>
      <c r="R299" s="48" t="s">
        <v>36</v>
      </c>
      <c r="S299" s="48" t="s">
        <v>36</v>
      </c>
      <c r="T299" s="49">
        <v>46246.083333333336</v>
      </c>
      <c r="U299" s="50">
        <v>2.4202110000000001E-32</v>
      </c>
    </row>
    <row r="300" spans="1:21">
      <c r="A300" s="42">
        <v>46246.125</v>
      </c>
      <c r="B300" s="43" t="s">
        <v>29</v>
      </c>
      <c r="C300" s="44">
        <v>0</v>
      </c>
      <c r="D300" s="44">
        <v>0</v>
      </c>
      <c r="E300" s="44">
        <v>238</v>
      </c>
      <c r="F300" s="44">
        <v>78.053250000000006</v>
      </c>
      <c r="G300" s="11">
        <f t="shared" si="8"/>
        <v>1.540464E-32</v>
      </c>
      <c r="H300" s="35">
        <f t="shared" si="9"/>
        <v>3.1342920000000002E-34</v>
      </c>
      <c r="R300" s="48" t="s">
        <v>36</v>
      </c>
      <c r="S300" s="48" t="s">
        <v>36</v>
      </c>
      <c r="T300" s="49">
        <v>46246.125</v>
      </c>
      <c r="U300" s="50">
        <v>1.540464E-32</v>
      </c>
    </row>
    <row r="301" spans="1:21">
      <c r="A301" s="42">
        <v>46246.166666666664</v>
      </c>
      <c r="B301" s="43" t="s">
        <v>29</v>
      </c>
      <c r="C301" s="44">
        <v>0</v>
      </c>
      <c r="D301" s="44">
        <v>0</v>
      </c>
      <c r="E301" s="44">
        <v>238</v>
      </c>
      <c r="F301" s="44">
        <v>78.053250000000006</v>
      </c>
      <c r="G301" s="11">
        <f t="shared" si="8"/>
        <v>6.6071760000000001E-33</v>
      </c>
      <c r="H301" s="35">
        <f t="shared" si="9"/>
        <v>1.344324E-34</v>
      </c>
      <c r="R301" s="48" t="s">
        <v>36</v>
      </c>
      <c r="S301" s="48" t="s">
        <v>36</v>
      </c>
      <c r="T301" s="49">
        <v>46246.166666666664</v>
      </c>
      <c r="U301" s="50">
        <v>6.6071760000000001E-33</v>
      </c>
    </row>
    <row r="302" spans="1:21">
      <c r="A302" s="42">
        <v>46246.208333333336</v>
      </c>
      <c r="B302" s="43" t="s">
        <v>29</v>
      </c>
      <c r="C302" s="44">
        <v>0</v>
      </c>
      <c r="D302" s="44">
        <v>0</v>
      </c>
      <c r="E302" s="44">
        <v>238</v>
      </c>
      <c r="F302" s="44">
        <v>78.053250000000006</v>
      </c>
      <c r="G302" s="11">
        <f t="shared" si="8"/>
        <v>4.2054650000000002E-33</v>
      </c>
      <c r="H302" s="35">
        <f t="shared" si="9"/>
        <v>8.5566160000000002E-35</v>
      </c>
      <c r="R302" s="48" t="s">
        <v>36</v>
      </c>
      <c r="S302" s="48" t="s">
        <v>36</v>
      </c>
      <c r="T302" s="49">
        <v>46246.208333333336</v>
      </c>
      <c r="U302" s="50">
        <v>4.2054650000000002E-33</v>
      </c>
    </row>
    <row r="303" spans="1:21">
      <c r="A303" s="42">
        <v>46246.25</v>
      </c>
      <c r="B303" s="43" t="s">
        <v>29</v>
      </c>
      <c r="C303" s="44">
        <v>0</v>
      </c>
      <c r="D303" s="44">
        <v>0</v>
      </c>
      <c r="E303" s="44">
        <v>238</v>
      </c>
      <c r="F303" s="44">
        <v>78.053250000000006</v>
      </c>
      <c r="G303" s="11">
        <f t="shared" si="8"/>
        <v>1.8037589999999999E-33</v>
      </c>
      <c r="H303" s="35">
        <f t="shared" si="9"/>
        <v>3.6700030000000001E-35</v>
      </c>
      <c r="R303" s="48" t="s">
        <v>36</v>
      </c>
      <c r="S303" s="48" t="s">
        <v>36</v>
      </c>
      <c r="T303" s="49">
        <v>46246.25</v>
      </c>
      <c r="U303" s="50">
        <v>1.8037589999999999E-33</v>
      </c>
    </row>
    <row r="304" spans="1:21">
      <c r="A304" s="42">
        <v>46246.291666666664</v>
      </c>
      <c r="B304" s="43" t="s">
        <v>29</v>
      </c>
      <c r="C304" s="44">
        <v>0</v>
      </c>
      <c r="D304" s="44">
        <v>0</v>
      </c>
      <c r="E304" s="44">
        <v>238</v>
      </c>
      <c r="F304" s="44">
        <v>78.053250000000006</v>
      </c>
      <c r="G304" s="11">
        <f t="shared" si="8"/>
        <v>1.148092E-33</v>
      </c>
      <c r="H304" s="35">
        <f t="shared" si="9"/>
        <v>2.3359559999999999E-35</v>
      </c>
      <c r="R304" s="48" t="s">
        <v>36</v>
      </c>
      <c r="S304" s="48" t="s">
        <v>36</v>
      </c>
      <c r="T304" s="49">
        <v>46246.291666666664</v>
      </c>
      <c r="U304" s="50">
        <v>1.148092E-33</v>
      </c>
    </row>
    <row r="305" spans="1:21">
      <c r="A305" s="42">
        <v>46246.333333333336</v>
      </c>
      <c r="B305" s="43" t="s">
        <v>29</v>
      </c>
      <c r="C305" s="44">
        <v>0</v>
      </c>
      <c r="D305" s="44">
        <v>0</v>
      </c>
      <c r="E305" s="44">
        <v>238</v>
      </c>
      <c r="F305" s="44">
        <v>78.053250000000006</v>
      </c>
      <c r="G305" s="11">
        <f t="shared" si="8"/>
        <v>4.9242619999999997E-34</v>
      </c>
      <c r="H305" s="35">
        <f t="shared" si="9"/>
        <v>1.0019109999999999E-35</v>
      </c>
      <c r="R305" s="48" t="s">
        <v>36</v>
      </c>
      <c r="S305" s="48" t="s">
        <v>36</v>
      </c>
      <c r="T305" s="49">
        <v>46246.333333333336</v>
      </c>
      <c r="U305" s="50">
        <v>4.9242619999999997E-34</v>
      </c>
    </row>
    <row r="306" spans="1:21">
      <c r="A306" s="42">
        <v>46246.375</v>
      </c>
      <c r="B306" s="43" t="s">
        <v>29</v>
      </c>
      <c r="C306" s="44">
        <v>0</v>
      </c>
      <c r="D306" s="44">
        <v>0</v>
      </c>
      <c r="E306" s="44">
        <v>238</v>
      </c>
      <c r="F306" s="44">
        <v>78.053250000000006</v>
      </c>
      <c r="G306" s="11">
        <f t="shared" si="8"/>
        <v>3.1342920000000002E-34</v>
      </c>
      <c r="H306" s="35">
        <f t="shared" si="9"/>
        <v>6.3771599999999998E-36</v>
      </c>
      <c r="R306" s="48" t="s">
        <v>36</v>
      </c>
      <c r="S306" s="48" t="s">
        <v>36</v>
      </c>
      <c r="T306" s="49">
        <v>46246.375</v>
      </c>
      <c r="U306" s="50">
        <v>3.1342920000000002E-34</v>
      </c>
    </row>
    <row r="307" spans="1:21">
      <c r="A307" s="42">
        <v>46246.416666666664</v>
      </c>
      <c r="B307" s="43" t="s">
        <v>29</v>
      </c>
      <c r="C307" s="44">
        <v>0</v>
      </c>
      <c r="D307" s="44">
        <v>0</v>
      </c>
      <c r="E307" s="44">
        <v>238</v>
      </c>
      <c r="F307" s="44">
        <v>78.053250000000006</v>
      </c>
      <c r="G307" s="11">
        <f t="shared" si="8"/>
        <v>1.344324E-34</v>
      </c>
      <c r="H307" s="35">
        <f t="shared" si="9"/>
        <v>2.735217E-36</v>
      </c>
      <c r="R307" s="48" t="s">
        <v>36</v>
      </c>
      <c r="S307" s="48" t="s">
        <v>36</v>
      </c>
      <c r="T307" s="49">
        <v>46246.416666666664</v>
      </c>
      <c r="U307" s="50">
        <v>1.344324E-34</v>
      </c>
    </row>
    <row r="308" spans="1:21">
      <c r="A308" s="42">
        <v>46246.458333333336</v>
      </c>
      <c r="B308" s="43" t="s">
        <v>29</v>
      </c>
      <c r="C308" s="44">
        <v>0</v>
      </c>
      <c r="D308" s="44">
        <v>0</v>
      </c>
      <c r="E308" s="44">
        <v>238</v>
      </c>
      <c r="F308" s="44">
        <v>78.053250000000006</v>
      </c>
      <c r="G308" s="11">
        <f t="shared" si="8"/>
        <v>8.5566160000000002E-35</v>
      </c>
      <c r="H308" s="35">
        <f t="shared" si="9"/>
        <v>1.740965E-36</v>
      </c>
      <c r="R308" s="48" t="s">
        <v>36</v>
      </c>
      <c r="S308" s="48" t="s">
        <v>36</v>
      </c>
      <c r="T308" s="49">
        <v>46246.458333333336</v>
      </c>
      <c r="U308" s="50">
        <v>8.5566160000000002E-35</v>
      </c>
    </row>
    <row r="309" spans="1:21">
      <c r="A309" s="42">
        <v>46246.5</v>
      </c>
      <c r="B309" s="43" t="s">
        <v>29</v>
      </c>
      <c r="C309" s="44">
        <v>0</v>
      </c>
      <c r="D309" s="44">
        <v>0</v>
      </c>
      <c r="E309" s="44">
        <v>238</v>
      </c>
      <c r="F309" s="44">
        <v>78.053250000000006</v>
      </c>
      <c r="G309" s="11">
        <f t="shared" si="8"/>
        <v>3.6700030000000001E-35</v>
      </c>
      <c r="H309" s="35">
        <f t="shared" si="9"/>
        <v>7.4671420000000003E-37</v>
      </c>
      <c r="R309" s="48" t="s">
        <v>36</v>
      </c>
      <c r="S309" s="48" t="s">
        <v>36</v>
      </c>
      <c r="T309" s="49">
        <v>46246.5</v>
      </c>
      <c r="U309" s="50">
        <v>3.6700030000000001E-35</v>
      </c>
    </row>
    <row r="310" spans="1:21">
      <c r="A310" s="42">
        <v>46246.541666666664</v>
      </c>
      <c r="B310" s="43" t="s">
        <v>29</v>
      </c>
      <c r="C310" s="44">
        <v>0</v>
      </c>
      <c r="D310" s="44">
        <v>0</v>
      </c>
      <c r="E310" s="44">
        <v>238</v>
      </c>
      <c r="F310" s="44">
        <v>78.053250000000006</v>
      </c>
      <c r="G310" s="11">
        <f t="shared" si="8"/>
        <v>2.3359559999999999E-35</v>
      </c>
      <c r="H310" s="35">
        <f t="shared" si="9"/>
        <v>4.7528340000000002E-37</v>
      </c>
      <c r="R310" s="48" t="s">
        <v>36</v>
      </c>
      <c r="S310" s="48" t="s">
        <v>36</v>
      </c>
      <c r="T310" s="49">
        <v>46246.541666666664</v>
      </c>
      <c r="U310" s="50">
        <v>2.3359559999999999E-35</v>
      </c>
    </row>
    <row r="311" spans="1:21">
      <c r="A311" s="42">
        <v>46246.583333333336</v>
      </c>
      <c r="B311" s="43" t="s">
        <v>29</v>
      </c>
      <c r="C311" s="44">
        <v>0</v>
      </c>
      <c r="D311" s="44">
        <v>0</v>
      </c>
      <c r="E311" s="44">
        <v>238</v>
      </c>
      <c r="F311" s="44">
        <v>78.053250000000006</v>
      </c>
      <c r="G311" s="11">
        <f t="shared" si="8"/>
        <v>1.0019109999999999E-35</v>
      </c>
      <c r="H311" s="35">
        <f t="shared" si="9"/>
        <v>2.0385299999999998E-37</v>
      </c>
      <c r="R311" s="48" t="s">
        <v>36</v>
      </c>
      <c r="S311" s="48" t="s">
        <v>36</v>
      </c>
      <c r="T311" s="49">
        <v>46246.583333333336</v>
      </c>
      <c r="U311" s="50">
        <v>1.0019109999999999E-35</v>
      </c>
    </row>
    <row r="312" spans="1:21">
      <c r="A312" s="42">
        <v>46246.625</v>
      </c>
      <c r="B312" s="43" t="s">
        <v>29</v>
      </c>
      <c r="C312" s="44">
        <v>0</v>
      </c>
      <c r="D312" s="44">
        <v>0</v>
      </c>
      <c r="E312" s="44">
        <v>238</v>
      </c>
      <c r="F312" s="44">
        <v>78.053250000000006</v>
      </c>
      <c r="G312" s="11">
        <f t="shared" si="8"/>
        <v>6.3771599999999998E-36</v>
      </c>
      <c r="H312" s="35">
        <f t="shared" si="9"/>
        <v>1.2975240000000001E-37</v>
      </c>
      <c r="R312" s="48" t="s">
        <v>36</v>
      </c>
      <c r="S312" s="48" t="s">
        <v>36</v>
      </c>
      <c r="T312" s="49">
        <v>46246.625</v>
      </c>
      <c r="U312" s="50">
        <v>6.3771599999999998E-36</v>
      </c>
    </row>
    <row r="313" spans="1:21">
      <c r="A313" s="42">
        <v>46246.666666666664</v>
      </c>
      <c r="B313" s="43" t="s">
        <v>29</v>
      </c>
      <c r="C313" s="44">
        <v>0</v>
      </c>
      <c r="D313" s="44">
        <v>0</v>
      </c>
      <c r="E313" s="44">
        <v>238</v>
      </c>
      <c r="F313" s="44">
        <v>78.053250000000006</v>
      </c>
      <c r="G313" s="11">
        <f t="shared" si="8"/>
        <v>2.735217E-36</v>
      </c>
      <c r="H313" s="35">
        <f t="shared" si="9"/>
        <v>5.5651869999999996E-38</v>
      </c>
      <c r="R313" s="48" t="s">
        <v>36</v>
      </c>
      <c r="S313" s="48" t="s">
        <v>36</v>
      </c>
      <c r="T313" s="49">
        <v>46246.666666666664</v>
      </c>
      <c r="U313" s="50">
        <v>2.735217E-36</v>
      </c>
    </row>
    <row r="314" spans="1:21">
      <c r="A314" s="42">
        <v>46246.708333333336</v>
      </c>
      <c r="B314" s="43" t="s">
        <v>29</v>
      </c>
      <c r="C314" s="44">
        <v>0</v>
      </c>
      <c r="D314" s="44">
        <v>0</v>
      </c>
      <c r="E314" s="44">
        <v>238</v>
      </c>
      <c r="F314" s="44">
        <v>78.053250000000006</v>
      </c>
      <c r="G314" s="11">
        <f t="shared" si="8"/>
        <v>1.740965E-36</v>
      </c>
      <c r="H314" s="35">
        <f t="shared" si="9"/>
        <v>3.5422400000000002E-38</v>
      </c>
      <c r="R314" s="48" t="s">
        <v>36</v>
      </c>
      <c r="S314" s="48" t="s">
        <v>36</v>
      </c>
      <c r="T314" s="49">
        <v>46246.708333333336</v>
      </c>
      <c r="U314" s="50">
        <v>1.740965E-36</v>
      </c>
    </row>
    <row r="315" spans="1:21">
      <c r="A315" s="42">
        <v>46246.75</v>
      </c>
      <c r="B315" s="43" t="s">
        <v>29</v>
      </c>
      <c r="C315" s="44">
        <v>0</v>
      </c>
      <c r="D315" s="44">
        <v>0</v>
      </c>
      <c r="E315" s="44">
        <v>238</v>
      </c>
      <c r="F315" s="44">
        <v>78.053250000000006</v>
      </c>
      <c r="G315" s="11">
        <f t="shared" si="8"/>
        <v>7.4671420000000003E-37</v>
      </c>
      <c r="H315" s="35">
        <f t="shared" si="9"/>
        <v>1.5192960000000001E-38</v>
      </c>
      <c r="R315" s="48" t="s">
        <v>36</v>
      </c>
      <c r="S315" s="48" t="s">
        <v>36</v>
      </c>
      <c r="T315" s="49">
        <v>46246.75</v>
      </c>
      <c r="U315" s="50">
        <v>7.4671420000000003E-37</v>
      </c>
    </row>
    <row r="316" spans="1:21">
      <c r="A316" s="42">
        <v>46246.791666666664</v>
      </c>
      <c r="B316" s="43" t="s">
        <v>29</v>
      </c>
      <c r="C316" s="44">
        <v>0</v>
      </c>
      <c r="D316" s="44">
        <v>0</v>
      </c>
      <c r="E316" s="44">
        <v>238</v>
      </c>
      <c r="F316" s="44">
        <v>78.053250000000006</v>
      </c>
      <c r="G316" s="11">
        <f t="shared" si="8"/>
        <v>4.7528340000000002E-37</v>
      </c>
      <c r="H316" s="35">
        <f t="shared" si="9"/>
        <v>9.6703140000000006E-39</v>
      </c>
      <c r="R316" s="48" t="s">
        <v>36</v>
      </c>
      <c r="S316" s="48" t="s">
        <v>36</v>
      </c>
      <c r="T316" s="49">
        <v>46246.791666666664</v>
      </c>
      <c r="U316" s="50">
        <v>4.7528340000000002E-37</v>
      </c>
    </row>
    <row r="317" spans="1:21">
      <c r="A317" s="42">
        <v>46246.833333333336</v>
      </c>
      <c r="B317" s="43" t="s">
        <v>29</v>
      </c>
      <c r="C317" s="44">
        <v>0</v>
      </c>
      <c r="D317" s="44">
        <v>0</v>
      </c>
      <c r="E317" s="44">
        <v>238</v>
      </c>
      <c r="F317" s="44">
        <v>78.053250000000006</v>
      </c>
      <c r="G317" s="11">
        <f t="shared" si="8"/>
        <v>2.0385299999999998E-37</v>
      </c>
      <c r="H317" s="35">
        <f t="shared" si="9"/>
        <v>4.1476779999999999E-39</v>
      </c>
      <c r="R317" s="48" t="s">
        <v>36</v>
      </c>
      <c r="S317" s="48" t="s">
        <v>36</v>
      </c>
      <c r="T317" s="49">
        <v>46246.833333333336</v>
      </c>
      <c r="U317" s="50">
        <v>2.0385299999999998E-37</v>
      </c>
    </row>
    <row r="318" spans="1:21">
      <c r="A318" s="42">
        <v>46246.875</v>
      </c>
      <c r="B318" s="43" t="s">
        <v>29</v>
      </c>
      <c r="C318" s="44">
        <v>0</v>
      </c>
      <c r="D318" s="44">
        <v>0</v>
      </c>
      <c r="E318" s="44">
        <v>238</v>
      </c>
      <c r="F318" s="44">
        <v>78.053250000000006</v>
      </c>
      <c r="G318" s="11">
        <f t="shared" si="8"/>
        <v>1.2975240000000001E-37</v>
      </c>
      <c r="H318" s="35">
        <f t="shared" si="9"/>
        <v>2.6399959999999999E-39</v>
      </c>
      <c r="R318" s="48" t="s">
        <v>36</v>
      </c>
      <c r="S318" s="48" t="s">
        <v>36</v>
      </c>
      <c r="T318" s="49">
        <v>46246.875</v>
      </c>
      <c r="U318" s="50">
        <v>1.2975240000000001E-37</v>
      </c>
    </row>
    <row r="319" spans="1:21">
      <c r="A319" s="42">
        <v>46246.916666666664</v>
      </c>
      <c r="B319" s="43" t="s">
        <v>29</v>
      </c>
      <c r="C319" s="44">
        <v>0</v>
      </c>
      <c r="D319" s="44">
        <v>0</v>
      </c>
      <c r="E319" s="44">
        <v>238</v>
      </c>
      <c r="F319" s="44">
        <v>78.053250000000006</v>
      </c>
      <c r="G319" s="11">
        <f t="shared" si="8"/>
        <v>5.5651869999999996E-38</v>
      </c>
      <c r="H319" s="35">
        <f t="shared" si="9"/>
        <v>1.132316E-39</v>
      </c>
      <c r="R319" s="48" t="s">
        <v>36</v>
      </c>
      <c r="S319" s="48" t="s">
        <v>36</v>
      </c>
      <c r="T319" s="49">
        <v>46246.916666666664</v>
      </c>
      <c r="U319" s="50">
        <v>5.5651869999999996E-38</v>
      </c>
    </row>
    <row r="320" spans="1:21">
      <c r="A320" s="42">
        <v>46246.958333333336</v>
      </c>
      <c r="B320" s="43" t="s">
        <v>29</v>
      </c>
      <c r="C320" s="44">
        <v>0</v>
      </c>
      <c r="D320" s="44">
        <v>0</v>
      </c>
      <c r="E320" s="44">
        <v>238</v>
      </c>
      <c r="F320" s="44">
        <v>78.053250000000006</v>
      </c>
      <c r="G320" s="11">
        <f t="shared" si="8"/>
        <v>3.5422400000000002E-38</v>
      </c>
      <c r="H320" s="35">
        <f t="shared" si="9"/>
        <v>7.2071860000000003E-40</v>
      </c>
      <c r="R320" s="48" t="s">
        <v>36</v>
      </c>
      <c r="S320" s="48" t="s">
        <v>36</v>
      </c>
      <c r="T320" s="49">
        <v>46246.958333333336</v>
      </c>
      <c r="U320" s="50">
        <v>3.5422400000000002E-38</v>
      </c>
    </row>
    <row r="321" spans="1:21">
      <c r="A321" s="42">
        <v>46247</v>
      </c>
      <c r="B321" s="43" t="s">
        <v>29</v>
      </c>
      <c r="C321" s="44">
        <v>0</v>
      </c>
      <c r="D321" s="44">
        <v>0</v>
      </c>
      <c r="E321" s="44">
        <v>238</v>
      </c>
      <c r="F321" s="44">
        <v>78.053250000000006</v>
      </c>
      <c r="G321" s="11">
        <f t="shared" si="8"/>
        <v>1.5192960000000001E-38</v>
      </c>
      <c r="H321" s="35">
        <f t="shared" si="9"/>
        <v>3.0912220000000002E-40</v>
      </c>
      <c r="R321" s="48" t="s">
        <v>36</v>
      </c>
      <c r="S321" s="48" t="s">
        <v>36</v>
      </c>
      <c r="T321" s="49">
        <v>46247</v>
      </c>
      <c r="U321" s="50">
        <v>1.5192960000000001E-38</v>
      </c>
    </row>
    <row r="322" spans="1:21">
      <c r="A322" s="42">
        <v>46247.041666666664</v>
      </c>
      <c r="B322" s="43" t="s">
        <v>29</v>
      </c>
      <c r="C322" s="44">
        <v>0</v>
      </c>
      <c r="D322" s="44">
        <v>0</v>
      </c>
      <c r="E322" s="44">
        <v>238</v>
      </c>
      <c r="F322" s="44">
        <v>78.053250000000006</v>
      </c>
      <c r="G322" s="11">
        <f t="shared" si="8"/>
        <v>9.6703140000000006E-39</v>
      </c>
      <c r="H322" s="35">
        <f t="shared" si="9"/>
        <v>1.9675629999999998E-40</v>
      </c>
      <c r="R322" s="48" t="s">
        <v>36</v>
      </c>
      <c r="S322" s="48" t="s">
        <v>36</v>
      </c>
      <c r="T322" s="49">
        <v>46247.041666666664</v>
      </c>
      <c r="U322" s="50">
        <v>9.6703140000000006E-39</v>
      </c>
    </row>
    <row r="323" spans="1:21">
      <c r="A323" s="42">
        <v>46247.083333333336</v>
      </c>
      <c r="B323" s="43" t="s">
        <v>29</v>
      </c>
      <c r="C323" s="44">
        <v>0</v>
      </c>
      <c r="D323" s="44">
        <v>0</v>
      </c>
      <c r="E323" s="44">
        <v>238</v>
      </c>
      <c r="F323" s="44">
        <v>78.053250000000006</v>
      </c>
      <c r="G323" s="11">
        <f t="shared" ref="G323:G386" si="10">U323</f>
        <v>4.1476779999999999E-39</v>
      </c>
      <c r="H323" s="35">
        <f t="shared" ref="H323:H386" si="11">D323+G329</f>
        <v>8.4390399999999997E-41</v>
      </c>
      <c r="R323" s="48" t="s">
        <v>36</v>
      </c>
      <c r="S323" s="48" t="s">
        <v>36</v>
      </c>
      <c r="T323" s="49">
        <v>46247.083333333336</v>
      </c>
      <c r="U323" s="50">
        <v>4.1476779999999999E-39</v>
      </c>
    </row>
    <row r="324" spans="1:21">
      <c r="A324" s="42">
        <v>46247.125</v>
      </c>
      <c r="B324" s="43" t="s">
        <v>29</v>
      </c>
      <c r="C324" s="44">
        <v>0</v>
      </c>
      <c r="D324" s="44">
        <v>0</v>
      </c>
      <c r="E324" s="44">
        <v>238</v>
      </c>
      <c r="F324" s="44">
        <v>78.053250000000006</v>
      </c>
      <c r="G324" s="11">
        <f t="shared" si="10"/>
        <v>2.6399959999999999E-39</v>
      </c>
      <c r="H324" s="35">
        <f t="shared" si="11"/>
        <v>5.3714569999999995E-41</v>
      </c>
      <c r="R324" s="48" t="s">
        <v>36</v>
      </c>
      <c r="S324" s="48" t="s">
        <v>36</v>
      </c>
      <c r="T324" s="49">
        <v>46247.125</v>
      </c>
      <c r="U324" s="50">
        <v>2.6399959999999999E-39</v>
      </c>
    </row>
    <row r="325" spans="1:21">
      <c r="A325" s="42">
        <v>46247.166666666664</v>
      </c>
      <c r="B325" s="43" t="s">
        <v>29</v>
      </c>
      <c r="C325" s="44">
        <v>0</v>
      </c>
      <c r="D325" s="44">
        <v>0</v>
      </c>
      <c r="E325" s="44">
        <v>238</v>
      </c>
      <c r="F325" s="44">
        <v>78.053250000000006</v>
      </c>
      <c r="G325" s="11">
        <f t="shared" si="10"/>
        <v>1.132316E-39</v>
      </c>
      <c r="H325" s="35">
        <f t="shared" si="11"/>
        <v>2.3038750000000002E-41</v>
      </c>
      <c r="R325" s="48" t="s">
        <v>36</v>
      </c>
      <c r="S325" s="48" t="s">
        <v>36</v>
      </c>
      <c r="T325" s="49">
        <v>46247.166666666664</v>
      </c>
      <c r="U325" s="50">
        <v>1.132316E-39</v>
      </c>
    </row>
    <row r="326" spans="1:21">
      <c r="A326" s="42">
        <v>46247.208333333336</v>
      </c>
      <c r="B326" s="43" t="s">
        <v>29</v>
      </c>
      <c r="C326" s="44">
        <v>0</v>
      </c>
      <c r="D326" s="44">
        <v>0</v>
      </c>
      <c r="E326" s="44">
        <v>238</v>
      </c>
      <c r="F326" s="44">
        <v>78.053250000000006</v>
      </c>
      <c r="G326" s="11">
        <f t="shared" si="10"/>
        <v>7.2071860000000003E-40</v>
      </c>
      <c r="H326" s="35">
        <f t="shared" si="11"/>
        <v>1.4664589999999999E-41</v>
      </c>
      <c r="R326" s="48" t="s">
        <v>36</v>
      </c>
      <c r="S326" s="48" t="s">
        <v>36</v>
      </c>
      <c r="T326" s="49">
        <v>46247.208333333336</v>
      </c>
      <c r="U326" s="50">
        <v>7.2071860000000003E-40</v>
      </c>
    </row>
    <row r="327" spans="1:21">
      <c r="A327" s="42">
        <v>46247.25</v>
      </c>
      <c r="B327" s="43" t="s">
        <v>29</v>
      </c>
      <c r="C327" s="44">
        <v>0</v>
      </c>
      <c r="D327" s="44">
        <v>0</v>
      </c>
      <c r="E327" s="44">
        <v>238</v>
      </c>
      <c r="F327" s="44">
        <v>78.053250000000006</v>
      </c>
      <c r="G327" s="11">
        <f t="shared" si="10"/>
        <v>3.0912220000000002E-40</v>
      </c>
      <c r="H327" s="35">
        <f t="shared" si="11"/>
        <v>6.2890279999999997E-42</v>
      </c>
      <c r="R327" s="48" t="s">
        <v>36</v>
      </c>
      <c r="S327" s="48" t="s">
        <v>36</v>
      </c>
      <c r="T327" s="49">
        <v>46247.25</v>
      </c>
      <c r="U327" s="50">
        <v>3.0912220000000002E-40</v>
      </c>
    </row>
    <row r="328" spans="1:21">
      <c r="A328" s="42">
        <v>46247.291666666664</v>
      </c>
      <c r="B328" s="43" t="s">
        <v>29</v>
      </c>
      <c r="C328" s="44">
        <v>0</v>
      </c>
      <c r="D328" s="44">
        <v>0</v>
      </c>
      <c r="E328" s="44">
        <v>238</v>
      </c>
      <c r="F328" s="44">
        <v>78.053250000000006</v>
      </c>
      <c r="G328" s="11">
        <f t="shared" si="10"/>
        <v>1.9675629999999998E-40</v>
      </c>
      <c r="H328" s="35">
        <f t="shared" si="11"/>
        <v>4.0035100000000003E-42</v>
      </c>
      <c r="R328" s="48" t="s">
        <v>36</v>
      </c>
      <c r="S328" s="48" t="s">
        <v>36</v>
      </c>
      <c r="T328" s="49">
        <v>46247.291666666664</v>
      </c>
      <c r="U328" s="50">
        <v>1.9675629999999998E-40</v>
      </c>
    </row>
    <row r="329" spans="1:21">
      <c r="A329" s="42">
        <v>46247.333333333336</v>
      </c>
      <c r="B329" s="43" t="s">
        <v>29</v>
      </c>
      <c r="C329" s="44">
        <v>0</v>
      </c>
      <c r="D329" s="44">
        <v>0</v>
      </c>
      <c r="E329" s="44">
        <v>238</v>
      </c>
      <c r="F329" s="44">
        <v>78.053250000000006</v>
      </c>
      <c r="G329" s="11">
        <f t="shared" si="10"/>
        <v>8.4390399999999997E-41</v>
      </c>
      <c r="H329" s="35">
        <f t="shared" si="11"/>
        <v>1.716591E-42</v>
      </c>
      <c r="R329" s="48" t="s">
        <v>36</v>
      </c>
      <c r="S329" s="48" t="s">
        <v>36</v>
      </c>
      <c r="T329" s="49">
        <v>46247.333333333336</v>
      </c>
      <c r="U329" s="50">
        <v>8.4390399999999997E-41</v>
      </c>
    </row>
    <row r="330" spans="1:21">
      <c r="A330" s="42">
        <v>46247.375</v>
      </c>
      <c r="B330" s="43" t="s">
        <v>29</v>
      </c>
      <c r="C330" s="44">
        <v>0</v>
      </c>
      <c r="D330" s="44">
        <v>0</v>
      </c>
      <c r="E330" s="44">
        <v>238</v>
      </c>
      <c r="F330" s="44">
        <v>78.053250000000006</v>
      </c>
      <c r="G330" s="11">
        <f t="shared" si="10"/>
        <v>5.3714569999999995E-41</v>
      </c>
      <c r="H330" s="35">
        <f t="shared" si="11"/>
        <v>1.093013E-42</v>
      </c>
      <c r="R330" s="48" t="s">
        <v>36</v>
      </c>
      <c r="S330" s="48" t="s">
        <v>36</v>
      </c>
      <c r="T330" s="49">
        <v>46247.375</v>
      </c>
      <c r="U330" s="50">
        <v>5.3714569999999995E-41</v>
      </c>
    </row>
    <row r="331" spans="1:21">
      <c r="A331" s="42">
        <v>46247.416666666664</v>
      </c>
      <c r="B331" s="43" t="s">
        <v>29</v>
      </c>
      <c r="C331" s="44">
        <v>0</v>
      </c>
      <c r="D331" s="44">
        <v>0</v>
      </c>
      <c r="E331" s="44">
        <v>238</v>
      </c>
      <c r="F331" s="44">
        <v>78.053250000000006</v>
      </c>
      <c r="G331" s="11">
        <f t="shared" si="10"/>
        <v>2.3038750000000002E-41</v>
      </c>
      <c r="H331" s="35">
        <f t="shared" si="11"/>
        <v>4.6803369999999998E-43</v>
      </c>
      <c r="R331" s="48" t="s">
        <v>36</v>
      </c>
      <c r="S331" s="48" t="s">
        <v>36</v>
      </c>
      <c r="T331" s="49">
        <v>46247.416666666664</v>
      </c>
      <c r="U331" s="50">
        <v>2.3038750000000002E-41</v>
      </c>
    </row>
    <row r="332" spans="1:21">
      <c r="A332" s="42">
        <v>46247.458333333336</v>
      </c>
      <c r="B332" s="43" t="s">
        <v>29</v>
      </c>
      <c r="C332" s="44">
        <v>0</v>
      </c>
      <c r="D332" s="44">
        <v>0</v>
      </c>
      <c r="E332" s="44">
        <v>238</v>
      </c>
      <c r="F332" s="44">
        <v>78.053250000000006</v>
      </c>
      <c r="G332" s="11">
        <f t="shared" si="10"/>
        <v>1.4664589999999999E-41</v>
      </c>
      <c r="H332" s="35">
        <f t="shared" si="11"/>
        <v>2.9847660000000001E-43</v>
      </c>
      <c r="R332" s="48" t="s">
        <v>36</v>
      </c>
      <c r="S332" s="48" t="s">
        <v>36</v>
      </c>
      <c r="T332" s="49">
        <v>46247.458333333336</v>
      </c>
      <c r="U332" s="50">
        <v>1.4664589999999999E-41</v>
      </c>
    </row>
    <row r="333" spans="1:21">
      <c r="A333" s="42">
        <v>46247.5</v>
      </c>
      <c r="B333" s="43" t="s">
        <v>29</v>
      </c>
      <c r="C333" s="44">
        <v>0</v>
      </c>
      <c r="D333" s="44">
        <v>0</v>
      </c>
      <c r="E333" s="44">
        <v>238</v>
      </c>
      <c r="F333" s="44">
        <v>78.053250000000006</v>
      </c>
      <c r="G333" s="11">
        <f t="shared" si="10"/>
        <v>6.2890279999999997E-42</v>
      </c>
      <c r="H333" s="35">
        <f t="shared" si="11"/>
        <v>1.2751820000000001E-43</v>
      </c>
      <c r="R333" s="48" t="s">
        <v>36</v>
      </c>
      <c r="S333" s="48" t="s">
        <v>36</v>
      </c>
      <c r="T333" s="49">
        <v>46247.5</v>
      </c>
      <c r="U333" s="50">
        <v>6.2890279999999997E-42</v>
      </c>
    </row>
    <row r="334" spans="1:21">
      <c r="A334" s="42">
        <v>46247.541666666664</v>
      </c>
      <c r="B334" s="43" t="s">
        <v>29</v>
      </c>
      <c r="C334" s="44">
        <v>0</v>
      </c>
      <c r="D334" s="44">
        <v>0</v>
      </c>
      <c r="E334" s="44">
        <v>238</v>
      </c>
      <c r="F334" s="44">
        <v>78.053250000000006</v>
      </c>
      <c r="G334" s="11">
        <f t="shared" si="10"/>
        <v>4.0035100000000003E-42</v>
      </c>
      <c r="H334" s="35">
        <f t="shared" si="11"/>
        <v>8.1275309999999998E-44</v>
      </c>
      <c r="R334" s="48" t="s">
        <v>36</v>
      </c>
      <c r="S334" s="48" t="s">
        <v>36</v>
      </c>
      <c r="T334" s="49">
        <v>46247.541666666664</v>
      </c>
      <c r="U334" s="50">
        <v>4.0035100000000003E-42</v>
      </c>
    </row>
    <row r="335" spans="1:21">
      <c r="A335" s="42">
        <v>46247.583333333336</v>
      </c>
      <c r="B335" s="43" t="s">
        <v>29</v>
      </c>
      <c r="C335" s="44">
        <v>0</v>
      </c>
      <c r="D335" s="44">
        <v>0</v>
      </c>
      <c r="E335" s="44">
        <v>238</v>
      </c>
      <c r="F335" s="44">
        <v>78.053250000000006</v>
      </c>
      <c r="G335" s="11">
        <f t="shared" si="10"/>
        <v>1.716591E-42</v>
      </c>
      <c r="H335" s="35">
        <f t="shared" si="11"/>
        <v>3.5032459999999998E-44</v>
      </c>
      <c r="R335" s="48" t="s">
        <v>36</v>
      </c>
      <c r="S335" s="48" t="s">
        <v>36</v>
      </c>
      <c r="T335" s="49">
        <v>46247.583333333336</v>
      </c>
      <c r="U335" s="50">
        <v>1.716591E-42</v>
      </c>
    </row>
    <row r="336" spans="1:21">
      <c r="A336" s="42">
        <v>46247.625</v>
      </c>
      <c r="B336" s="43" t="s">
        <v>29</v>
      </c>
      <c r="C336" s="44">
        <v>0</v>
      </c>
      <c r="D336" s="44">
        <v>0</v>
      </c>
      <c r="E336" s="44">
        <v>238</v>
      </c>
      <c r="F336" s="44">
        <v>78.053250000000006</v>
      </c>
      <c r="G336" s="11">
        <f t="shared" si="10"/>
        <v>1.093013E-42</v>
      </c>
      <c r="H336" s="35">
        <f t="shared" si="11"/>
        <v>2.2420779999999998E-44</v>
      </c>
      <c r="R336" s="48" t="s">
        <v>36</v>
      </c>
      <c r="S336" s="48" t="s">
        <v>36</v>
      </c>
      <c r="T336" s="49">
        <v>46247.625</v>
      </c>
      <c r="U336" s="50">
        <v>1.093013E-42</v>
      </c>
    </row>
    <row r="337" spans="1:21">
      <c r="A337" s="42">
        <v>46247.666666666664</v>
      </c>
      <c r="B337" s="43" t="s">
        <v>29</v>
      </c>
      <c r="C337" s="44">
        <v>0</v>
      </c>
      <c r="D337" s="44">
        <v>0</v>
      </c>
      <c r="E337" s="44">
        <v>238</v>
      </c>
      <c r="F337" s="44">
        <v>78.053250000000006</v>
      </c>
      <c r="G337" s="11">
        <f t="shared" si="10"/>
        <v>4.6803369999999998E-43</v>
      </c>
      <c r="H337" s="35">
        <f t="shared" si="11"/>
        <v>9.8090889999999996E-45</v>
      </c>
      <c r="R337" s="48" t="s">
        <v>36</v>
      </c>
      <c r="S337" s="48" t="s">
        <v>36</v>
      </c>
      <c r="T337" s="49">
        <v>46247.666666666664</v>
      </c>
      <c r="U337" s="50">
        <v>4.6803369999999998E-43</v>
      </c>
    </row>
    <row r="338" spans="1:21">
      <c r="A338" s="42">
        <v>46247.708333333336</v>
      </c>
      <c r="B338" s="43" t="s">
        <v>29</v>
      </c>
      <c r="C338" s="44">
        <v>0</v>
      </c>
      <c r="D338" s="44">
        <v>0</v>
      </c>
      <c r="E338" s="44">
        <v>238</v>
      </c>
      <c r="F338" s="44">
        <v>78.053250000000006</v>
      </c>
      <c r="G338" s="11">
        <f t="shared" si="10"/>
        <v>2.9847660000000001E-43</v>
      </c>
      <c r="H338" s="35">
        <f t="shared" si="11"/>
        <v>5.6051939999999995E-45</v>
      </c>
      <c r="R338" s="48" t="s">
        <v>36</v>
      </c>
      <c r="S338" s="48" t="s">
        <v>36</v>
      </c>
      <c r="T338" s="49">
        <v>46247.708333333336</v>
      </c>
      <c r="U338" s="50">
        <v>2.9847660000000001E-43</v>
      </c>
    </row>
    <row r="339" spans="1:21">
      <c r="A339" s="42">
        <v>46247.75</v>
      </c>
      <c r="B339" s="43" t="s">
        <v>29</v>
      </c>
      <c r="C339" s="44">
        <v>0</v>
      </c>
      <c r="D339" s="44">
        <v>0</v>
      </c>
      <c r="E339" s="44">
        <v>238</v>
      </c>
      <c r="F339" s="44">
        <v>78.053250000000006</v>
      </c>
      <c r="G339" s="11">
        <f t="shared" si="10"/>
        <v>1.2751820000000001E-43</v>
      </c>
      <c r="H339" s="35">
        <f t="shared" si="11"/>
        <v>2.8025969999999998E-45</v>
      </c>
      <c r="R339" s="48" t="s">
        <v>36</v>
      </c>
      <c r="S339" s="48" t="s">
        <v>36</v>
      </c>
      <c r="T339" s="49">
        <v>46247.75</v>
      </c>
      <c r="U339" s="50">
        <v>1.2751820000000001E-43</v>
      </c>
    </row>
    <row r="340" spans="1:21">
      <c r="A340" s="42">
        <v>46247.791666666664</v>
      </c>
      <c r="B340" s="43" t="s">
        <v>29</v>
      </c>
      <c r="C340" s="44">
        <v>0</v>
      </c>
      <c r="D340" s="44">
        <v>0</v>
      </c>
      <c r="E340" s="44">
        <v>238</v>
      </c>
      <c r="F340" s="44">
        <v>78.053250000000006</v>
      </c>
      <c r="G340" s="11">
        <f t="shared" si="10"/>
        <v>8.1275309999999998E-44</v>
      </c>
      <c r="H340" s="35">
        <f t="shared" si="11"/>
        <v>1.401298E-45</v>
      </c>
      <c r="R340" s="48" t="s">
        <v>36</v>
      </c>
      <c r="S340" s="48" t="s">
        <v>36</v>
      </c>
      <c r="T340" s="49">
        <v>46247.791666666664</v>
      </c>
      <c r="U340" s="50">
        <v>8.1275309999999998E-44</v>
      </c>
    </row>
    <row r="341" spans="1:21">
      <c r="A341" s="42">
        <v>46247.833333333336</v>
      </c>
      <c r="B341" s="43" t="s">
        <v>29</v>
      </c>
      <c r="C341" s="44">
        <v>0</v>
      </c>
      <c r="D341" s="44">
        <v>0</v>
      </c>
      <c r="E341" s="44">
        <v>238</v>
      </c>
      <c r="F341" s="44">
        <v>78.053250000000006</v>
      </c>
      <c r="G341" s="11">
        <f t="shared" si="10"/>
        <v>3.5032459999999998E-44</v>
      </c>
      <c r="H341" s="35">
        <f t="shared" si="11"/>
        <v>1.401298E-45</v>
      </c>
      <c r="R341" s="48" t="s">
        <v>36</v>
      </c>
      <c r="S341" s="48" t="s">
        <v>36</v>
      </c>
      <c r="T341" s="49">
        <v>46247.833333333336</v>
      </c>
      <c r="U341" s="50">
        <v>3.5032459999999998E-44</v>
      </c>
    </row>
    <row r="342" spans="1:21">
      <c r="A342" s="42">
        <v>46247.875</v>
      </c>
      <c r="B342" s="43" t="s">
        <v>29</v>
      </c>
      <c r="C342" s="44">
        <v>0</v>
      </c>
      <c r="D342" s="44">
        <v>0</v>
      </c>
      <c r="E342" s="44">
        <v>238</v>
      </c>
      <c r="F342" s="44">
        <v>78.053250000000006</v>
      </c>
      <c r="G342" s="11">
        <f t="shared" si="10"/>
        <v>2.2420779999999998E-44</v>
      </c>
      <c r="H342" s="35">
        <f t="shared" si="11"/>
        <v>0</v>
      </c>
      <c r="R342" s="48" t="s">
        <v>36</v>
      </c>
      <c r="S342" s="48" t="s">
        <v>36</v>
      </c>
      <c r="T342" s="49">
        <v>46247.875</v>
      </c>
      <c r="U342" s="50">
        <v>2.2420779999999998E-44</v>
      </c>
    </row>
    <row r="343" spans="1:21">
      <c r="A343" s="42">
        <v>46247.916666666664</v>
      </c>
      <c r="B343" s="43" t="s">
        <v>29</v>
      </c>
      <c r="C343" s="44">
        <v>0</v>
      </c>
      <c r="D343" s="44">
        <v>0</v>
      </c>
      <c r="E343" s="44">
        <v>238</v>
      </c>
      <c r="F343" s="44">
        <v>78.053250000000006</v>
      </c>
      <c r="G343" s="11">
        <f t="shared" si="10"/>
        <v>9.8090889999999996E-45</v>
      </c>
      <c r="H343" s="35">
        <f t="shared" si="11"/>
        <v>0</v>
      </c>
      <c r="R343" s="48" t="s">
        <v>36</v>
      </c>
      <c r="S343" s="48" t="s">
        <v>36</v>
      </c>
      <c r="T343" s="49">
        <v>46247.916666666664</v>
      </c>
      <c r="U343" s="50">
        <v>9.8090889999999996E-45</v>
      </c>
    </row>
    <row r="344" spans="1:21">
      <c r="A344" s="42">
        <v>46247.958333333336</v>
      </c>
      <c r="B344" s="43" t="s">
        <v>29</v>
      </c>
      <c r="C344" s="44">
        <v>0</v>
      </c>
      <c r="D344" s="44">
        <v>0</v>
      </c>
      <c r="E344" s="44">
        <v>238</v>
      </c>
      <c r="F344" s="44">
        <v>78.053250000000006</v>
      </c>
      <c r="G344" s="11">
        <f t="shared" si="10"/>
        <v>5.6051939999999995E-45</v>
      </c>
      <c r="H344" s="35">
        <f t="shared" si="11"/>
        <v>0</v>
      </c>
      <c r="R344" s="48" t="s">
        <v>36</v>
      </c>
      <c r="S344" s="48" t="s">
        <v>36</v>
      </c>
      <c r="T344" s="49">
        <v>46247.958333333336</v>
      </c>
      <c r="U344" s="50">
        <v>5.6051939999999995E-45</v>
      </c>
    </row>
    <row r="345" spans="1:21">
      <c r="A345" s="42">
        <v>46248</v>
      </c>
      <c r="B345" s="43" t="s">
        <v>29</v>
      </c>
      <c r="C345" s="44">
        <v>0</v>
      </c>
      <c r="D345" s="44">
        <v>0</v>
      </c>
      <c r="E345" s="44">
        <v>238</v>
      </c>
      <c r="F345" s="44">
        <v>78.053250000000006</v>
      </c>
      <c r="G345" s="11">
        <f t="shared" si="10"/>
        <v>2.8025969999999998E-45</v>
      </c>
      <c r="H345" s="35">
        <f t="shared" si="11"/>
        <v>0</v>
      </c>
      <c r="R345" s="48" t="s">
        <v>36</v>
      </c>
      <c r="S345" s="48" t="s">
        <v>36</v>
      </c>
      <c r="T345" s="49">
        <v>46248</v>
      </c>
      <c r="U345" s="50">
        <v>2.8025969999999998E-45</v>
      </c>
    </row>
    <row r="346" spans="1:21">
      <c r="A346" s="42">
        <v>46248.041666666664</v>
      </c>
      <c r="B346" s="43" t="s">
        <v>29</v>
      </c>
      <c r="C346" s="44">
        <v>0</v>
      </c>
      <c r="D346" s="44">
        <v>0</v>
      </c>
      <c r="E346" s="44">
        <v>238</v>
      </c>
      <c r="F346" s="44">
        <v>78.053250000000006</v>
      </c>
      <c r="G346" s="11">
        <f t="shared" si="10"/>
        <v>1.401298E-45</v>
      </c>
      <c r="H346" s="35">
        <f t="shared" si="11"/>
        <v>0</v>
      </c>
      <c r="R346" s="48" t="s">
        <v>36</v>
      </c>
      <c r="S346" s="48" t="s">
        <v>36</v>
      </c>
      <c r="T346" s="49">
        <v>46248.041666666664</v>
      </c>
      <c r="U346" s="50">
        <v>1.401298E-45</v>
      </c>
    </row>
    <row r="347" spans="1:21">
      <c r="A347" s="42">
        <v>46248.083333333336</v>
      </c>
      <c r="B347" s="43" t="s">
        <v>29</v>
      </c>
      <c r="C347" s="44">
        <v>0</v>
      </c>
      <c r="D347" s="44">
        <v>0</v>
      </c>
      <c r="E347" s="44">
        <v>238</v>
      </c>
      <c r="F347" s="44">
        <v>78.053250000000006</v>
      </c>
      <c r="G347" s="11">
        <f t="shared" si="10"/>
        <v>1.401298E-45</v>
      </c>
      <c r="H347" s="35">
        <f t="shared" si="11"/>
        <v>0</v>
      </c>
      <c r="R347" s="48" t="s">
        <v>36</v>
      </c>
      <c r="S347" s="48" t="s">
        <v>36</v>
      </c>
      <c r="T347" s="49">
        <v>46248.083333333336</v>
      </c>
      <c r="U347" s="50">
        <v>1.401298E-45</v>
      </c>
    </row>
    <row r="348" spans="1:21">
      <c r="A348" s="42">
        <v>46248.125</v>
      </c>
      <c r="B348" s="43" t="s">
        <v>29</v>
      </c>
      <c r="C348" s="44">
        <v>0</v>
      </c>
      <c r="D348" s="44">
        <v>0</v>
      </c>
      <c r="E348" s="44">
        <v>238</v>
      </c>
      <c r="F348" s="44">
        <v>78.053250000000006</v>
      </c>
      <c r="G348" s="11">
        <f t="shared" si="10"/>
        <v>0</v>
      </c>
      <c r="H348" s="35">
        <f t="shared" si="11"/>
        <v>0</v>
      </c>
      <c r="R348" s="48" t="s">
        <v>36</v>
      </c>
      <c r="S348" s="48" t="s">
        <v>36</v>
      </c>
      <c r="T348" s="49">
        <v>46248.125</v>
      </c>
      <c r="U348" s="50">
        <v>0</v>
      </c>
    </row>
    <row r="349" spans="1:21">
      <c r="A349" s="42">
        <v>46248.166666666664</v>
      </c>
      <c r="B349" s="43" t="s">
        <v>29</v>
      </c>
      <c r="C349" s="44">
        <v>0</v>
      </c>
      <c r="D349" s="44">
        <v>0</v>
      </c>
      <c r="E349" s="44">
        <v>238</v>
      </c>
      <c r="F349" s="44">
        <v>78.053250000000006</v>
      </c>
      <c r="G349" s="11">
        <f t="shared" si="10"/>
        <v>0</v>
      </c>
      <c r="H349" s="35">
        <f t="shared" si="11"/>
        <v>0</v>
      </c>
      <c r="R349" s="48" t="s">
        <v>36</v>
      </c>
      <c r="S349" s="48" t="s">
        <v>36</v>
      </c>
      <c r="T349" s="49">
        <v>46248.166666666664</v>
      </c>
      <c r="U349" s="50">
        <v>0</v>
      </c>
    </row>
    <row r="350" spans="1:21">
      <c r="A350" s="42">
        <v>46248.208333333336</v>
      </c>
      <c r="B350" s="43" t="s">
        <v>29</v>
      </c>
      <c r="C350" s="44">
        <v>0</v>
      </c>
      <c r="D350" s="44">
        <v>0</v>
      </c>
      <c r="E350" s="44">
        <v>238</v>
      </c>
      <c r="F350" s="44">
        <v>78.053250000000006</v>
      </c>
      <c r="G350" s="11">
        <f t="shared" si="10"/>
        <v>0</v>
      </c>
      <c r="H350" s="35">
        <f t="shared" si="11"/>
        <v>0</v>
      </c>
      <c r="R350" s="48" t="s">
        <v>36</v>
      </c>
      <c r="S350" s="48" t="s">
        <v>36</v>
      </c>
      <c r="T350" s="49">
        <v>46248.208333333336</v>
      </c>
      <c r="U350" s="50">
        <v>0</v>
      </c>
    </row>
    <row r="351" spans="1:21">
      <c r="A351" s="42">
        <v>46248.25</v>
      </c>
      <c r="B351" s="43" t="s">
        <v>29</v>
      </c>
      <c r="C351" s="44">
        <v>0</v>
      </c>
      <c r="D351" s="44">
        <v>0</v>
      </c>
      <c r="E351" s="44">
        <v>238</v>
      </c>
      <c r="F351" s="44">
        <v>78.053250000000006</v>
      </c>
      <c r="G351" s="11">
        <f t="shared" si="10"/>
        <v>0</v>
      </c>
      <c r="H351" s="35">
        <f t="shared" si="11"/>
        <v>0</v>
      </c>
      <c r="R351" s="48" t="s">
        <v>36</v>
      </c>
      <c r="S351" s="48" t="s">
        <v>36</v>
      </c>
      <c r="T351" s="49">
        <v>46248.25</v>
      </c>
      <c r="U351" s="50">
        <v>0</v>
      </c>
    </row>
    <row r="352" spans="1:21">
      <c r="A352" s="42">
        <v>46248.291666666664</v>
      </c>
      <c r="B352" s="43" t="s">
        <v>29</v>
      </c>
      <c r="C352" s="44">
        <v>0</v>
      </c>
      <c r="D352" s="44">
        <v>0</v>
      </c>
      <c r="E352" s="44">
        <v>238</v>
      </c>
      <c r="F352" s="44">
        <v>78.053250000000006</v>
      </c>
      <c r="G352" s="11">
        <f t="shared" si="10"/>
        <v>0</v>
      </c>
      <c r="H352" s="35">
        <f t="shared" si="11"/>
        <v>0</v>
      </c>
      <c r="R352" s="48" t="s">
        <v>36</v>
      </c>
      <c r="S352" s="48" t="s">
        <v>36</v>
      </c>
      <c r="T352" s="49">
        <v>46248.291666666664</v>
      </c>
      <c r="U352" s="50">
        <v>0</v>
      </c>
    </row>
    <row r="353" spans="1:21">
      <c r="A353" s="42">
        <v>46248.333333333336</v>
      </c>
      <c r="B353" s="43" t="s">
        <v>29</v>
      </c>
      <c r="C353" s="44">
        <v>0</v>
      </c>
      <c r="D353" s="44">
        <v>0</v>
      </c>
      <c r="E353" s="44">
        <v>238</v>
      </c>
      <c r="F353" s="44">
        <v>78.053250000000006</v>
      </c>
      <c r="G353" s="11">
        <f t="shared" si="10"/>
        <v>0</v>
      </c>
      <c r="H353" s="35">
        <f t="shared" si="11"/>
        <v>0</v>
      </c>
      <c r="R353" s="48" t="s">
        <v>36</v>
      </c>
      <c r="S353" s="48" t="s">
        <v>36</v>
      </c>
      <c r="T353" s="49">
        <v>46248.333333333336</v>
      </c>
      <c r="U353" s="50">
        <v>0</v>
      </c>
    </row>
    <row r="354" spans="1:21">
      <c r="A354" s="42">
        <v>46248.375</v>
      </c>
      <c r="B354" s="43" t="s">
        <v>29</v>
      </c>
      <c r="C354" s="44">
        <v>0</v>
      </c>
      <c r="D354" s="44">
        <v>0</v>
      </c>
      <c r="E354" s="44">
        <v>238</v>
      </c>
      <c r="F354" s="44">
        <v>78.053250000000006</v>
      </c>
      <c r="G354" s="11">
        <f t="shared" si="10"/>
        <v>0</v>
      </c>
      <c r="H354" s="35">
        <f t="shared" si="11"/>
        <v>0</v>
      </c>
      <c r="R354" s="48" t="s">
        <v>36</v>
      </c>
      <c r="S354" s="48" t="s">
        <v>36</v>
      </c>
      <c r="T354" s="49">
        <v>46248.375</v>
      </c>
      <c r="U354" s="50">
        <v>0</v>
      </c>
    </row>
    <row r="355" spans="1:21">
      <c r="A355" s="42">
        <v>46248.416666666664</v>
      </c>
      <c r="B355" s="43" t="s">
        <v>29</v>
      </c>
      <c r="C355" s="44">
        <v>0</v>
      </c>
      <c r="D355" s="44">
        <v>0</v>
      </c>
      <c r="E355" s="44">
        <v>238</v>
      </c>
      <c r="F355" s="44">
        <v>78.053250000000006</v>
      </c>
      <c r="G355" s="11">
        <f t="shared" si="10"/>
        <v>0</v>
      </c>
      <c r="H355" s="35">
        <f t="shared" si="11"/>
        <v>0</v>
      </c>
      <c r="R355" s="48" t="s">
        <v>36</v>
      </c>
      <c r="S355" s="48" t="s">
        <v>36</v>
      </c>
      <c r="T355" s="49">
        <v>46248.416666666664</v>
      </c>
      <c r="U355" s="50">
        <v>0</v>
      </c>
    </row>
    <row r="356" spans="1:21">
      <c r="A356" s="42">
        <v>46248.458333333336</v>
      </c>
      <c r="B356" s="43" t="s">
        <v>29</v>
      </c>
      <c r="C356" s="44">
        <v>0</v>
      </c>
      <c r="D356" s="44">
        <v>0</v>
      </c>
      <c r="E356" s="44">
        <v>238</v>
      </c>
      <c r="F356" s="44">
        <v>78.053250000000006</v>
      </c>
      <c r="G356" s="11">
        <f t="shared" si="10"/>
        <v>0</v>
      </c>
      <c r="H356" s="35">
        <f t="shared" si="11"/>
        <v>0</v>
      </c>
      <c r="R356" s="48" t="s">
        <v>36</v>
      </c>
      <c r="S356" s="48" t="s">
        <v>36</v>
      </c>
      <c r="T356" s="49">
        <v>46248.458333333336</v>
      </c>
      <c r="U356" s="50">
        <v>0</v>
      </c>
    </row>
    <row r="357" spans="1:21">
      <c r="A357" s="42">
        <v>46248.5</v>
      </c>
      <c r="B357" s="43" t="s">
        <v>29</v>
      </c>
      <c r="C357" s="44">
        <v>0</v>
      </c>
      <c r="D357" s="44">
        <v>0</v>
      </c>
      <c r="E357" s="44">
        <v>238</v>
      </c>
      <c r="F357" s="44">
        <v>78.053250000000006</v>
      </c>
      <c r="G357" s="11">
        <f t="shared" si="10"/>
        <v>0</v>
      </c>
      <c r="H357" s="35">
        <f t="shared" si="11"/>
        <v>0</v>
      </c>
      <c r="R357" s="48" t="s">
        <v>36</v>
      </c>
      <c r="S357" s="48" t="s">
        <v>36</v>
      </c>
      <c r="T357" s="49">
        <v>46248.5</v>
      </c>
      <c r="U357" s="50">
        <v>0</v>
      </c>
    </row>
    <row r="358" spans="1:21">
      <c r="A358" s="42">
        <v>46248.541666666664</v>
      </c>
      <c r="B358" s="43" t="s">
        <v>29</v>
      </c>
      <c r="C358" s="44">
        <v>0</v>
      </c>
      <c r="D358" s="44">
        <v>0</v>
      </c>
      <c r="E358" s="44">
        <v>238</v>
      </c>
      <c r="F358" s="44">
        <v>78.053250000000006</v>
      </c>
      <c r="G358" s="11">
        <f t="shared" si="10"/>
        <v>0</v>
      </c>
      <c r="H358" s="35">
        <f t="shared" si="11"/>
        <v>0</v>
      </c>
      <c r="R358" s="48" t="s">
        <v>36</v>
      </c>
      <c r="S358" s="48" t="s">
        <v>36</v>
      </c>
      <c r="T358" s="49">
        <v>46248.541666666664</v>
      </c>
      <c r="U358" s="50">
        <v>0</v>
      </c>
    </row>
    <row r="359" spans="1:21">
      <c r="A359" s="42">
        <v>46248.583333333336</v>
      </c>
      <c r="B359" s="43" t="s">
        <v>29</v>
      </c>
      <c r="C359" s="44">
        <v>0</v>
      </c>
      <c r="D359" s="44">
        <v>0</v>
      </c>
      <c r="E359" s="44">
        <v>238</v>
      </c>
      <c r="F359" s="44">
        <v>78.053250000000006</v>
      </c>
      <c r="G359" s="11">
        <f t="shared" si="10"/>
        <v>0</v>
      </c>
      <c r="H359" s="35">
        <f t="shared" si="11"/>
        <v>0</v>
      </c>
      <c r="R359" s="48" t="s">
        <v>36</v>
      </c>
      <c r="S359" s="48" t="s">
        <v>36</v>
      </c>
      <c r="T359" s="49">
        <v>46248.583333333336</v>
      </c>
      <c r="U359" s="50">
        <v>0</v>
      </c>
    </row>
    <row r="360" spans="1:21">
      <c r="A360" s="42">
        <v>46248.625</v>
      </c>
      <c r="B360" s="43" t="s">
        <v>29</v>
      </c>
      <c r="C360" s="44">
        <v>0</v>
      </c>
      <c r="D360" s="44">
        <v>0</v>
      </c>
      <c r="E360" s="44">
        <v>238</v>
      </c>
      <c r="F360" s="44">
        <v>78.053250000000006</v>
      </c>
      <c r="G360" s="11">
        <f t="shared" si="10"/>
        <v>0</v>
      </c>
      <c r="H360" s="35">
        <f t="shared" si="11"/>
        <v>0</v>
      </c>
      <c r="R360" s="48" t="s">
        <v>36</v>
      </c>
      <c r="S360" s="48" t="s">
        <v>36</v>
      </c>
      <c r="T360" s="49">
        <v>46248.625</v>
      </c>
      <c r="U360" s="50">
        <v>0</v>
      </c>
    </row>
    <row r="361" spans="1:21">
      <c r="A361" s="42">
        <v>46248.666666666664</v>
      </c>
      <c r="B361" s="43" t="s">
        <v>29</v>
      </c>
      <c r="C361" s="44">
        <v>0</v>
      </c>
      <c r="D361" s="44">
        <v>0</v>
      </c>
      <c r="E361" s="44">
        <v>238</v>
      </c>
      <c r="F361" s="44">
        <v>78.053250000000006</v>
      </c>
      <c r="G361" s="11">
        <f t="shared" si="10"/>
        <v>0</v>
      </c>
      <c r="H361" s="35">
        <f t="shared" si="11"/>
        <v>0</v>
      </c>
      <c r="R361" s="48" t="s">
        <v>36</v>
      </c>
      <c r="S361" s="48" t="s">
        <v>36</v>
      </c>
      <c r="T361" s="49">
        <v>46248.666666666664</v>
      </c>
      <c r="U361" s="50">
        <v>0</v>
      </c>
    </row>
    <row r="362" spans="1:21">
      <c r="A362" s="42">
        <v>46248.708333333336</v>
      </c>
      <c r="B362" s="43" t="s">
        <v>29</v>
      </c>
      <c r="C362" s="44">
        <v>0</v>
      </c>
      <c r="D362" s="44">
        <v>0</v>
      </c>
      <c r="E362" s="44">
        <v>238</v>
      </c>
      <c r="F362" s="44">
        <v>78.053250000000006</v>
      </c>
      <c r="G362" s="11">
        <f t="shared" si="10"/>
        <v>0</v>
      </c>
      <c r="H362" s="35">
        <f t="shared" si="11"/>
        <v>0</v>
      </c>
      <c r="R362" s="48" t="s">
        <v>36</v>
      </c>
      <c r="S362" s="48" t="s">
        <v>36</v>
      </c>
      <c r="T362" s="49">
        <v>46248.708333333336</v>
      </c>
      <c r="U362" s="50">
        <v>0</v>
      </c>
    </row>
    <row r="363" spans="1:21">
      <c r="A363" s="42">
        <v>46248.75</v>
      </c>
      <c r="B363" s="43" t="s">
        <v>29</v>
      </c>
      <c r="C363" s="44">
        <v>0</v>
      </c>
      <c r="D363" s="44">
        <v>0</v>
      </c>
      <c r="E363" s="44">
        <v>238</v>
      </c>
      <c r="F363" s="44">
        <v>78.053250000000006</v>
      </c>
      <c r="G363" s="11">
        <f t="shared" si="10"/>
        <v>0</v>
      </c>
      <c r="H363" s="35">
        <f t="shared" si="11"/>
        <v>0</v>
      </c>
      <c r="R363" s="48" t="s">
        <v>36</v>
      </c>
      <c r="S363" s="48" t="s">
        <v>36</v>
      </c>
      <c r="T363" s="49">
        <v>46248.75</v>
      </c>
      <c r="U363" s="50">
        <v>0</v>
      </c>
    </row>
    <row r="364" spans="1:21">
      <c r="A364" s="42">
        <v>46248.791666666664</v>
      </c>
      <c r="B364" s="43" t="s">
        <v>29</v>
      </c>
      <c r="C364" s="44">
        <v>0</v>
      </c>
      <c r="D364" s="44">
        <v>0</v>
      </c>
      <c r="E364" s="44">
        <v>238</v>
      </c>
      <c r="F364" s="44">
        <v>78.053250000000006</v>
      </c>
      <c r="G364" s="11">
        <f t="shared" si="10"/>
        <v>0</v>
      </c>
      <c r="H364" s="35">
        <f t="shared" si="11"/>
        <v>0</v>
      </c>
      <c r="R364" s="48" t="s">
        <v>36</v>
      </c>
      <c r="S364" s="48" t="s">
        <v>36</v>
      </c>
      <c r="T364" s="49">
        <v>46248.791666666664</v>
      </c>
      <c r="U364" s="50">
        <v>0</v>
      </c>
    </row>
    <row r="365" spans="1:21">
      <c r="A365" s="42">
        <v>46248.833333333336</v>
      </c>
      <c r="B365" s="43" t="s">
        <v>29</v>
      </c>
      <c r="C365" s="44">
        <v>0</v>
      </c>
      <c r="D365" s="44">
        <v>0</v>
      </c>
      <c r="E365" s="44">
        <v>238</v>
      </c>
      <c r="F365" s="44">
        <v>78.053250000000006</v>
      </c>
      <c r="G365" s="11">
        <f t="shared" si="10"/>
        <v>0</v>
      </c>
      <c r="H365" s="35">
        <f t="shared" si="11"/>
        <v>0</v>
      </c>
      <c r="R365" s="48" t="s">
        <v>36</v>
      </c>
      <c r="S365" s="48" t="s">
        <v>36</v>
      </c>
      <c r="T365" s="49">
        <v>46248.833333333336</v>
      </c>
      <c r="U365" s="50">
        <v>0</v>
      </c>
    </row>
    <row r="366" spans="1:21">
      <c r="A366" s="42">
        <v>46248.875</v>
      </c>
      <c r="B366" s="43" t="s">
        <v>29</v>
      </c>
      <c r="C366" s="44">
        <v>0</v>
      </c>
      <c r="D366" s="44">
        <v>0</v>
      </c>
      <c r="E366" s="44">
        <v>238</v>
      </c>
      <c r="F366" s="44">
        <v>78.053250000000006</v>
      </c>
      <c r="G366" s="11">
        <f t="shared" si="10"/>
        <v>0</v>
      </c>
      <c r="H366" s="35">
        <f t="shared" si="11"/>
        <v>0</v>
      </c>
      <c r="R366" s="48" t="s">
        <v>36</v>
      </c>
      <c r="S366" s="48" t="s">
        <v>36</v>
      </c>
      <c r="T366" s="49">
        <v>46248.875</v>
      </c>
      <c r="U366" s="50">
        <v>0</v>
      </c>
    </row>
    <row r="367" spans="1:21">
      <c r="A367" s="42">
        <v>46248.916666666664</v>
      </c>
      <c r="B367" s="43" t="s">
        <v>29</v>
      </c>
      <c r="C367" s="44">
        <v>0</v>
      </c>
      <c r="D367" s="44">
        <v>0</v>
      </c>
      <c r="E367" s="44">
        <v>238</v>
      </c>
      <c r="F367" s="44">
        <v>78.053250000000006</v>
      </c>
      <c r="G367" s="11">
        <f t="shared" si="10"/>
        <v>0</v>
      </c>
      <c r="H367" s="35">
        <f t="shared" si="11"/>
        <v>0</v>
      </c>
      <c r="R367" s="48" t="s">
        <v>36</v>
      </c>
      <c r="S367" s="48" t="s">
        <v>36</v>
      </c>
      <c r="T367" s="49">
        <v>46248.916666666664</v>
      </c>
      <c r="U367" s="50">
        <v>0</v>
      </c>
    </row>
    <row r="368" spans="1:21">
      <c r="A368" s="42">
        <v>46248.958333333336</v>
      </c>
      <c r="B368" s="43" t="s">
        <v>29</v>
      </c>
      <c r="C368" s="44">
        <v>0</v>
      </c>
      <c r="D368" s="44">
        <v>0</v>
      </c>
      <c r="E368" s="44">
        <v>238</v>
      </c>
      <c r="F368" s="44">
        <v>78.053250000000006</v>
      </c>
      <c r="G368" s="11">
        <f t="shared" si="10"/>
        <v>0</v>
      </c>
      <c r="H368" s="35">
        <f t="shared" si="11"/>
        <v>0</v>
      </c>
      <c r="R368" s="48" t="s">
        <v>36</v>
      </c>
      <c r="S368" s="48" t="s">
        <v>36</v>
      </c>
      <c r="T368" s="49">
        <v>46248.958333333336</v>
      </c>
      <c r="U368" s="50">
        <v>0</v>
      </c>
    </row>
    <row r="369" spans="1:21">
      <c r="A369" s="42">
        <v>46249</v>
      </c>
      <c r="B369" s="43" t="s">
        <v>29</v>
      </c>
      <c r="C369" s="44">
        <v>0</v>
      </c>
      <c r="D369" s="44">
        <v>0</v>
      </c>
      <c r="E369" s="44">
        <v>238</v>
      </c>
      <c r="F369" s="44">
        <v>78.053250000000006</v>
      </c>
      <c r="G369" s="11">
        <f t="shared" si="10"/>
        <v>0</v>
      </c>
      <c r="H369" s="35">
        <f t="shared" si="11"/>
        <v>0</v>
      </c>
      <c r="R369" s="48" t="s">
        <v>36</v>
      </c>
      <c r="S369" s="48" t="s">
        <v>36</v>
      </c>
      <c r="T369" s="49">
        <v>46249</v>
      </c>
      <c r="U369" s="50">
        <v>0</v>
      </c>
    </row>
    <row r="370" spans="1:21">
      <c r="A370" s="42">
        <v>46249.041666666664</v>
      </c>
      <c r="B370" s="43" t="s">
        <v>29</v>
      </c>
      <c r="C370" s="44">
        <v>0</v>
      </c>
      <c r="D370" s="44">
        <v>0</v>
      </c>
      <c r="E370" s="44">
        <v>238</v>
      </c>
      <c r="F370" s="44">
        <v>78.053250000000006</v>
      </c>
      <c r="G370" s="11">
        <f t="shared" si="10"/>
        <v>0</v>
      </c>
      <c r="H370" s="35">
        <f t="shared" si="11"/>
        <v>0</v>
      </c>
      <c r="R370" s="48" t="s">
        <v>36</v>
      </c>
      <c r="S370" s="48" t="s">
        <v>36</v>
      </c>
      <c r="T370" s="49">
        <v>46249.041666666664</v>
      </c>
      <c r="U370" s="50">
        <v>0</v>
      </c>
    </row>
    <row r="371" spans="1:21">
      <c r="A371" s="42">
        <v>46249.083333333336</v>
      </c>
      <c r="B371" s="43" t="s">
        <v>29</v>
      </c>
      <c r="C371" s="44">
        <v>0</v>
      </c>
      <c r="D371" s="44">
        <v>0</v>
      </c>
      <c r="E371" s="44">
        <v>238</v>
      </c>
      <c r="F371" s="44">
        <v>78.053250000000006</v>
      </c>
      <c r="G371" s="11">
        <f t="shared" si="10"/>
        <v>0</v>
      </c>
      <c r="H371" s="35">
        <f t="shared" si="11"/>
        <v>0</v>
      </c>
      <c r="R371" s="48" t="s">
        <v>36</v>
      </c>
      <c r="S371" s="48" t="s">
        <v>36</v>
      </c>
      <c r="T371" s="49">
        <v>46249.083333333336</v>
      </c>
      <c r="U371" s="50">
        <v>0</v>
      </c>
    </row>
    <row r="372" spans="1:21">
      <c r="A372" s="42">
        <v>46249.125</v>
      </c>
      <c r="B372" s="43" t="s">
        <v>29</v>
      </c>
      <c r="C372" s="44">
        <v>0</v>
      </c>
      <c r="D372" s="44">
        <v>0</v>
      </c>
      <c r="E372" s="44">
        <v>238</v>
      </c>
      <c r="F372" s="44">
        <v>78.053250000000006</v>
      </c>
      <c r="G372" s="11">
        <f t="shared" si="10"/>
        <v>0</v>
      </c>
      <c r="H372" s="35">
        <f t="shared" si="11"/>
        <v>0</v>
      </c>
      <c r="R372" s="48" t="s">
        <v>36</v>
      </c>
      <c r="S372" s="48" t="s">
        <v>36</v>
      </c>
      <c r="T372" s="49">
        <v>46249.125</v>
      </c>
      <c r="U372" s="50">
        <v>0</v>
      </c>
    </row>
    <row r="373" spans="1:21">
      <c r="A373" s="42">
        <v>46249.166666666664</v>
      </c>
      <c r="B373" s="43" t="s">
        <v>29</v>
      </c>
      <c r="C373" s="44">
        <v>0</v>
      </c>
      <c r="D373" s="44">
        <v>0</v>
      </c>
      <c r="E373" s="44">
        <v>238</v>
      </c>
      <c r="F373" s="44">
        <v>78.053250000000006</v>
      </c>
      <c r="G373" s="11">
        <f t="shared" si="10"/>
        <v>0</v>
      </c>
      <c r="H373" s="35">
        <f t="shared" si="11"/>
        <v>0</v>
      </c>
      <c r="R373" s="48" t="s">
        <v>36</v>
      </c>
      <c r="S373" s="48" t="s">
        <v>36</v>
      </c>
      <c r="T373" s="49">
        <v>46249.166666666664</v>
      </c>
      <c r="U373" s="50">
        <v>0</v>
      </c>
    </row>
    <row r="374" spans="1:21">
      <c r="A374" s="42">
        <v>46249.208333333336</v>
      </c>
      <c r="B374" s="43" t="s">
        <v>29</v>
      </c>
      <c r="C374" s="44">
        <v>0</v>
      </c>
      <c r="D374" s="44">
        <v>0</v>
      </c>
      <c r="E374" s="44">
        <v>238</v>
      </c>
      <c r="F374" s="44">
        <v>78.053250000000006</v>
      </c>
      <c r="G374" s="11">
        <f t="shared" si="10"/>
        <v>0</v>
      </c>
      <c r="H374" s="35">
        <f t="shared" si="11"/>
        <v>0</v>
      </c>
      <c r="R374" s="48" t="s">
        <v>36</v>
      </c>
      <c r="S374" s="48" t="s">
        <v>36</v>
      </c>
      <c r="T374" s="49">
        <v>46249.208333333336</v>
      </c>
      <c r="U374" s="50">
        <v>0</v>
      </c>
    </row>
    <row r="375" spans="1:21">
      <c r="A375" s="42">
        <v>46249.25</v>
      </c>
      <c r="B375" s="43" t="s">
        <v>29</v>
      </c>
      <c r="C375" s="44">
        <v>0</v>
      </c>
      <c r="D375" s="44">
        <v>0</v>
      </c>
      <c r="E375" s="44">
        <v>238</v>
      </c>
      <c r="F375" s="44">
        <v>78.053250000000006</v>
      </c>
      <c r="G375" s="11">
        <f t="shared" si="10"/>
        <v>0</v>
      </c>
      <c r="H375" s="35">
        <f t="shared" si="11"/>
        <v>0</v>
      </c>
      <c r="R375" s="48" t="s">
        <v>36</v>
      </c>
      <c r="S375" s="48" t="s">
        <v>36</v>
      </c>
      <c r="T375" s="49">
        <v>46249.25</v>
      </c>
      <c r="U375" s="50">
        <v>0</v>
      </c>
    </row>
    <row r="376" spans="1:21">
      <c r="A376" s="42">
        <v>46249.291666666664</v>
      </c>
      <c r="B376" s="43" t="s">
        <v>29</v>
      </c>
      <c r="C376" s="44">
        <v>0</v>
      </c>
      <c r="D376" s="44">
        <v>0</v>
      </c>
      <c r="E376" s="44">
        <v>238</v>
      </c>
      <c r="F376" s="44">
        <v>78.053250000000006</v>
      </c>
      <c r="G376" s="11">
        <f t="shared" si="10"/>
        <v>0</v>
      </c>
      <c r="H376" s="35">
        <f t="shared" si="11"/>
        <v>0</v>
      </c>
      <c r="R376" s="48" t="s">
        <v>36</v>
      </c>
      <c r="S376" s="48" t="s">
        <v>36</v>
      </c>
      <c r="T376" s="49">
        <v>46249.291666666664</v>
      </c>
      <c r="U376" s="50">
        <v>0</v>
      </c>
    </row>
    <row r="377" spans="1:21">
      <c r="A377" s="42">
        <v>46249.333333333336</v>
      </c>
      <c r="B377" s="43" t="s">
        <v>29</v>
      </c>
      <c r="C377" s="44">
        <v>0</v>
      </c>
      <c r="D377" s="44">
        <v>0</v>
      </c>
      <c r="E377" s="44">
        <v>238</v>
      </c>
      <c r="F377" s="44">
        <v>78.053250000000006</v>
      </c>
      <c r="G377" s="11">
        <f t="shared" si="10"/>
        <v>0</v>
      </c>
      <c r="H377" s="35">
        <f t="shared" si="11"/>
        <v>0</v>
      </c>
      <c r="R377" s="48" t="s">
        <v>36</v>
      </c>
      <c r="S377" s="48" t="s">
        <v>36</v>
      </c>
      <c r="T377" s="49">
        <v>46249.333333333336</v>
      </c>
      <c r="U377" s="50">
        <v>0</v>
      </c>
    </row>
    <row r="378" spans="1:21">
      <c r="A378" s="42">
        <v>46249.375</v>
      </c>
      <c r="B378" s="43" t="s">
        <v>29</v>
      </c>
      <c r="C378" s="44">
        <v>0</v>
      </c>
      <c r="D378" s="44">
        <v>0</v>
      </c>
      <c r="E378" s="44">
        <v>238</v>
      </c>
      <c r="F378" s="44">
        <v>78.053250000000006</v>
      </c>
      <c r="G378" s="11">
        <f t="shared" si="10"/>
        <v>0</v>
      </c>
      <c r="H378" s="35">
        <f t="shared" si="11"/>
        <v>0</v>
      </c>
      <c r="R378" s="48" t="s">
        <v>36</v>
      </c>
      <c r="S378" s="48" t="s">
        <v>36</v>
      </c>
      <c r="T378" s="49">
        <v>46249.375</v>
      </c>
      <c r="U378" s="50">
        <v>0</v>
      </c>
    </row>
    <row r="379" spans="1:21">
      <c r="A379" s="42">
        <v>46249.416666666664</v>
      </c>
      <c r="B379" s="43" t="s">
        <v>29</v>
      </c>
      <c r="C379" s="44">
        <v>0</v>
      </c>
      <c r="D379" s="44">
        <v>0</v>
      </c>
      <c r="E379" s="44">
        <v>238</v>
      </c>
      <c r="F379" s="44">
        <v>78.053250000000006</v>
      </c>
      <c r="G379" s="11">
        <f t="shared" si="10"/>
        <v>0</v>
      </c>
      <c r="H379" s="35">
        <f t="shared" si="11"/>
        <v>0</v>
      </c>
      <c r="R379" s="48" t="s">
        <v>36</v>
      </c>
      <c r="S379" s="48" t="s">
        <v>36</v>
      </c>
      <c r="T379" s="49">
        <v>46249.416666666664</v>
      </c>
      <c r="U379" s="50">
        <v>0</v>
      </c>
    </row>
    <row r="380" spans="1:21">
      <c r="A380" s="42">
        <v>46249.458333333336</v>
      </c>
      <c r="B380" s="43" t="s">
        <v>29</v>
      </c>
      <c r="C380" s="44">
        <v>0</v>
      </c>
      <c r="D380" s="44">
        <v>0</v>
      </c>
      <c r="E380" s="44">
        <v>238</v>
      </c>
      <c r="F380" s="44">
        <v>78.053250000000006</v>
      </c>
      <c r="G380" s="11">
        <f t="shared" si="10"/>
        <v>0</v>
      </c>
      <c r="H380" s="35">
        <f t="shared" si="11"/>
        <v>0</v>
      </c>
      <c r="R380" s="48" t="s">
        <v>36</v>
      </c>
      <c r="S380" s="48" t="s">
        <v>36</v>
      </c>
      <c r="T380" s="49">
        <v>46249.458333333336</v>
      </c>
      <c r="U380" s="50">
        <v>0</v>
      </c>
    </row>
    <row r="381" spans="1:21">
      <c r="A381" s="42">
        <v>46249.5</v>
      </c>
      <c r="B381" s="43" t="s">
        <v>29</v>
      </c>
      <c r="C381" s="44">
        <v>0</v>
      </c>
      <c r="D381" s="44">
        <v>0</v>
      </c>
      <c r="E381" s="44">
        <v>238</v>
      </c>
      <c r="F381" s="44">
        <v>78.053250000000006</v>
      </c>
      <c r="G381" s="11">
        <f t="shared" si="10"/>
        <v>0</v>
      </c>
      <c r="H381" s="35">
        <f t="shared" si="11"/>
        <v>0</v>
      </c>
      <c r="R381" s="48" t="s">
        <v>36</v>
      </c>
      <c r="S381" s="48" t="s">
        <v>36</v>
      </c>
      <c r="T381" s="49">
        <v>46249.5</v>
      </c>
      <c r="U381" s="50">
        <v>0</v>
      </c>
    </row>
    <row r="382" spans="1:21">
      <c r="A382" s="42">
        <v>46249.541666666664</v>
      </c>
      <c r="B382" s="43" t="s">
        <v>29</v>
      </c>
      <c r="C382" s="44">
        <v>0</v>
      </c>
      <c r="D382" s="44">
        <v>0</v>
      </c>
      <c r="E382" s="44">
        <v>238</v>
      </c>
      <c r="F382" s="44">
        <v>78.053250000000006</v>
      </c>
      <c r="G382" s="11">
        <f t="shared" si="10"/>
        <v>0</v>
      </c>
      <c r="H382" s="35">
        <f t="shared" si="11"/>
        <v>0</v>
      </c>
      <c r="R382" s="48" t="s">
        <v>36</v>
      </c>
      <c r="S382" s="48" t="s">
        <v>36</v>
      </c>
      <c r="T382" s="49">
        <v>46249.541666666664</v>
      </c>
      <c r="U382" s="50">
        <v>0</v>
      </c>
    </row>
    <row r="383" spans="1:21">
      <c r="A383" s="42">
        <v>46249.583333333336</v>
      </c>
      <c r="B383" s="43" t="s">
        <v>29</v>
      </c>
      <c r="C383" s="44">
        <v>0</v>
      </c>
      <c r="D383" s="44">
        <v>0</v>
      </c>
      <c r="E383" s="44">
        <v>238</v>
      </c>
      <c r="F383" s="44">
        <v>78.053250000000006</v>
      </c>
      <c r="G383" s="11">
        <f t="shared" si="10"/>
        <v>0</v>
      </c>
      <c r="H383" s="35">
        <f t="shared" si="11"/>
        <v>0</v>
      </c>
      <c r="R383" s="48" t="s">
        <v>36</v>
      </c>
      <c r="S383" s="48" t="s">
        <v>36</v>
      </c>
      <c r="T383" s="49">
        <v>46249.583333333336</v>
      </c>
      <c r="U383" s="50">
        <v>0</v>
      </c>
    </row>
    <row r="384" spans="1:21">
      <c r="A384" s="42">
        <v>46249.625</v>
      </c>
      <c r="B384" s="43" t="s">
        <v>29</v>
      </c>
      <c r="C384" s="44">
        <v>0</v>
      </c>
      <c r="D384" s="44">
        <v>0</v>
      </c>
      <c r="E384" s="44">
        <v>238</v>
      </c>
      <c r="F384" s="44">
        <v>78.053250000000006</v>
      </c>
      <c r="G384" s="11">
        <f t="shared" si="10"/>
        <v>0</v>
      </c>
      <c r="H384" s="35">
        <f t="shared" si="11"/>
        <v>0</v>
      </c>
      <c r="R384" s="48" t="s">
        <v>36</v>
      </c>
      <c r="S384" s="48" t="s">
        <v>36</v>
      </c>
      <c r="T384" s="49">
        <v>46249.625</v>
      </c>
      <c r="U384" s="50">
        <v>0</v>
      </c>
    </row>
    <row r="385" spans="1:21">
      <c r="A385" s="42">
        <v>46249.666666666664</v>
      </c>
      <c r="B385" s="43" t="s">
        <v>29</v>
      </c>
      <c r="C385" s="44">
        <v>0</v>
      </c>
      <c r="D385" s="44">
        <v>0</v>
      </c>
      <c r="E385" s="44">
        <v>238</v>
      </c>
      <c r="F385" s="44">
        <v>78.053250000000006</v>
      </c>
      <c r="G385" s="11">
        <f t="shared" si="10"/>
        <v>0</v>
      </c>
      <c r="H385" s="35">
        <f t="shared" si="11"/>
        <v>0</v>
      </c>
      <c r="R385" s="48" t="s">
        <v>36</v>
      </c>
      <c r="S385" s="48" t="s">
        <v>36</v>
      </c>
      <c r="T385" s="49">
        <v>46249.666666666664</v>
      </c>
      <c r="U385" s="50">
        <v>0</v>
      </c>
    </row>
    <row r="386" spans="1:21">
      <c r="A386" s="42">
        <v>46249.708333333336</v>
      </c>
      <c r="B386" s="43" t="s">
        <v>29</v>
      </c>
      <c r="C386" s="44">
        <v>0</v>
      </c>
      <c r="D386" s="44">
        <v>0</v>
      </c>
      <c r="E386" s="44">
        <v>238</v>
      </c>
      <c r="F386" s="44">
        <v>78.053250000000006</v>
      </c>
      <c r="G386" s="11">
        <f t="shared" si="10"/>
        <v>0</v>
      </c>
      <c r="H386" s="35">
        <f t="shared" si="11"/>
        <v>0</v>
      </c>
      <c r="R386" s="48" t="s">
        <v>36</v>
      </c>
      <c r="S386" s="48" t="s">
        <v>36</v>
      </c>
      <c r="T386" s="49">
        <v>46249.708333333336</v>
      </c>
      <c r="U386" s="50">
        <v>0</v>
      </c>
    </row>
    <row r="387" spans="1:21">
      <c r="A387" s="42">
        <v>46249.75</v>
      </c>
      <c r="B387" s="43" t="s">
        <v>29</v>
      </c>
      <c r="C387" s="44">
        <v>0</v>
      </c>
      <c r="D387" s="44">
        <v>0</v>
      </c>
      <c r="E387" s="44">
        <v>238</v>
      </c>
      <c r="F387" s="44">
        <v>78.053250000000006</v>
      </c>
      <c r="G387" s="11">
        <f t="shared" ref="G387:G450" si="12">U387</f>
        <v>0</v>
      </c>
      <c r="H387" s="35">
        <f t="shared" ref="H387:H450" si="13">D387+G393</f>
        <v>0</v>
      </c>
      <c r="R387" s="48" t="s">
        <v>36</v>
      </c>
      <c r="S387" s="48" t="s">
        <v>36</v>
      </c>
      <c r="T387" s="49">
        <v>46249.75</v>
      </c>
      <c r="U387" s="50">
        <v>0</v>
      </c>
    </row>
    <row r="388" spans="1:21">
      <c r="A388" s="42">
        <v>46249.791666666664</v>
      </c>
      <c r="B388" s="43" t="s">
        <v>29</v>
      </c>
      <c r="C388" s="44">
        <v>0</v>
      </c>
      <c r="D388" s="44">
        <v>0</v>
      </c>
      <c r="E388" s="44">
        <v>238</v>
      </c>
      <c r="F388" s="44">
        <v>78.053250000000006</v>
      </c>
      <c r="G388" s="11">
        <f t="shared" si="12"/>
        <v>0</v>
      </c>
      <c r="H388" s="35">
        <f t="shared" si="13"/>
        <v>0</v>
      </c>
      <c r="R388" s="48" t="s">
        <v>36</v>
      </c>
      <c r="S388" s="48" t="s">
        <v>36</v>
      </c>
      <c r="T388" s="49">
        <v>46249.791666666664</v>
      </c>
      <c r="U388" s="50">
        <v>0</v>
      </c>
    </row>
    <row r="389" spans="1:21">
      <c r="A389" s="42">
        <v>46249.833333333336</v>
      </c>
      <c r="B389" s="43" t="s">
        <v>29</v>
      </c>
      <c r="C389" s="44">
        <v>0</v>
      </c>
      <c r="D389" s="44">
        <v>0</v>
      </c>
      <c r="E389" s="44">
        <v>238</v>
      </c>
      <c r="F389" s="44">
        <v>78.053250000000006</v>
      </c>
      <c r="G389" s="11">
        <f t="shared" si="12"/>
        <v>0</v>
      </c>
      <c r="H389" s="35">
        <f t="shared" si="13"/>
        <v>0</v>
      </c>
      <c r="R389" s="48" t="s">
        <v>36</v>
      </c>
      <c r="S389" s="48" t="s">
        <v>36</v>
      </c>
      <c r="T389" s="49">
        <v>46249.833333333336</v>
      </c>
      <c r="U389" s="50">
        <v>0</v>
      </c>
    </row>
    <row r="390" spans="1:21">
      <c r="A390" s="42">
        <v>46249.875</v>
      </c>
      <c r="B390" s="43" t="s">
        <v>29</v>
      </c>
      <c r="C390" s="44">
        <v>0</v>
      </c>
      <c r="D390" s="44">
        <v>0</v>
      </c>
      <c r="E390" s="44">
        <v>238</v>
      </c>
      <c r="F390" s="44">
        <v>78.053250000000006</v>
      </c>
      <c r="G390" s="11">
        <f t="shared" si="12"/>
        <v>0</v>
      </c>
      <c r="H390" s="35">
        <f t="shared" si="13"/>
        <v>0</v>
      </c>
      <c r="R390" s="48" t="s">
        <v>36</v>
      </c>
      <c r="S390" s="48" t="s">
        <v>36</v>
      </c>
      <c r="T390" s="49">
        <v>46249.875</v>
      </c>
      <c r="U390" s="50">
        <v>0</v>
      </c>
    </row>
    <row r="391" spans="1:21">
      <c r="A391" s="42">
        <v>46249.916666666664</v>
      </c>
      <c r="B391" s="43" t="s">
        <v>29</v>
      </c>
      <c r="C391" s="44">
        <v>0</v>
      </c>
      <c r="D391" s="44">
        <v>0</v>
      </c>
      <c r="E391" s="44">
        <v>238</v>
      </c>
      <c r="F391" s="44">
        <v>78.053250000000006</v>
      </c>
      <c r="G391" s="11">
        <f t="shared" si="12"/>
        <v>0</v>
      </c>
      <c r="H391" s="35">
        <f t="shared" si="13"/>
        <v>0</v>
      </c>
      <c r="R391" s="48" t="s">
        <v>36</v>
      </c>
      <c r="S391" s="48" t="s">
        <v>36</v>
      </c>
      <c r="T391" s="49">
        <v>46249.916666666664</v>
      </c>
      <c r="U391" s="50">
        <v>0</v>
      </c>
    </row>
    <row r="392" spans="1:21">
      <c r="A392" s="42">
        <v>46249.958333333336</v>
      </c>
      <c r="B392" s="43" t="s">
        <v>29</v>
      </c>
      <c r="C392" s="44">
        <v>0</v>
      </c>
      <c r="D392" s="44">
        <v>0</v>
      </c>
      <c r="E392" s="44">
        <v>238</v>
      </c>
      <c r="F392" s="44">
        <v>78.053250000000006</v>
      </c>
      <c r="G392" s="11">
        <f t="shared" si="12"/>
        <v>0</v>
      </c>
      <c r="H392" s="35">
        <f t="shared" si="13"/>
        <v>0</v>
      </c>
      <c r="R392" s="48" t="s">
        <v>36</v>
      </c>
      <c r="S392" s="48" t="s">
        <v>36</v>
      </c>
      <c r="T392" s="49">
        <v>46249.958333333336</v>
      </c>
      <c r="U392" s="50">
        <v>0</v>
      </c>
    </row>
    <row r="393" spans="1:21">
      <c r="A393" s="42">
        <v>46250</v>
      </c>
      <c r="B393" s="43" t="s">
        <v>29</v>
      </c>
      <c r="C393" s="44">
        <v>0</v>
      </c>
      <c r="D393" s="44">
        <v>0</v>
      </c>
      <c r="E393" s="44">
        <v>238</v>
      </c>
      <c r="F393" s="44">
        <v>78.053250000000006</v>
      </c>
      <c r="G393" s="11">
        <f t="shared" si="12"/>
        <v>0</v>
      </c>
      <c r="H393" s="35">
        <f t="shared" si="13"/>
        <v>0</v>
      </c>
      <c r="R393" s="48" t="s">
        <v>36</v>
      </c>
      <c r="S393" s="48" t="s">
        <v>36</v>
      </c>
      <c r="T393" s="49">
        <v>46250</v>
      </c>
      <c r="U393" s="50">
        <v>0</v>
      </c>
    </row>
    <row r="394" spans="1:21">
      <c r="A394" s="42">
        <v>46250.041666666664</v>
      </c>
      <c r="B394" s="43" t="s">
        <v>29</v>
      </c>
      <c r="C394" s="44">
        <v>0</v>
      </c>
      <c r="D394" s="44">
        <v>0</v>
      </c>
      <c r="E394" s="44">
        <v>238</v>
      </c>
      <c r="F394" s="44">
        <v>78.053250000000006</v>
      </c>
      <c r="G394" s="11">
        <f t="shared" si="12"/>
        <v>0</v>
      </c>
      <c r="H394" s="35">
        <f t="shared" si="13"/>
        <v>0</v>
      </c>
      <c r="R394" s="48" t="s">
        <v>36</v>
      </c>
      <c r="S394" s="48" t="s">
        <v>36</v>
      </c>
      <c r="T394" s="49">
        <v>46250.041666666664</v>
      </c>
      <c r="U394" s="50">
        <v>0</v>
      </c>
    </row>
    <row r="395" spans="1:21">
      <c r="A395" s="42">
        <v>46250.083333333336</v>
      </c>
      <c r="B395" s="43" t="s">
        <v>29</v>
      </c>
      <c r="C395" s="44">
        <v>0</v>
      </c>
      <c r="D395" s="44">
        <v>0</v>
      </c>
      <c r="E395" s="44">
        <v>238</v>
      </c>
      <c r="F395" s="44">
        <v>78.053250000000006</v>
      </c>
      <c r="G395" s="11">
        <f t="shared" si="12"/>
        <v>0</v>
      </c>
      <c r="H395" s="35">
        <f t="shared" si="13"/>
        <v>0</v>
      </c>
      <c r="R395" s="48" t="s">
        <v>36</v>
      </c>
      <c r="S395" s="48" t="s">
        <v>36</v>
      </c>
      <c r="T395" s="49">
        <v>46250.083333333336</v>
      </c>
      <c r="U395" s="50">
        <v>0</v>
      </c>
    </row>
    <row r="396" spans="1:21">
      <c r="A396" s="42">
        <v>46250.125</v>
      </c>
      <c r="B396" s="43" t="s">
        <v>29</v>
      </c>
      <c r="C396" s="44">
        <v>0</v>
      </c>
      <c r="D396" s="44">
        <v>0</v>
      </c>
      <c r="E396" s="44">
        <v>238</v>
      </c>
      <c r="F396" s="44">
        <v>78.053250000000006</v>
      </c>
      <c r="G396" s="11">
        <f t="shared" si="12"/>
        <v>0</v>
      </c>
      <c r="H396" s="35">
        <f t="shared" si="13"/>
        <v>0</v>
      </c>
      <c r="R396" s="48" t="s">
        <v>36</v>
      </c>
      <c r="S396" s="48" t="s">
        <v>36</v>
      </c>
      <c r="T396" s="49">
        <v>46250.125</v>
      </c>
      <c r="U396" s="50">
        <v>0</v>
      </c>
    </row>
    <row r="397" spans="1:21">
      <c r="A397" s="42">
        <v>46250.166666666664</v>
      </c>
      <c r="B397" s="43" t="s">
        <v>29</v>
      </c>
      <c r="C397" s="44">
        <v>0</v>
      </c>
      <c r="D397" s="44">
        <v>0</v>
      </c>
      <c r="E397" s="44">
        <v>238</v>
      </c>
      <c r="F397" s="44">
        <v>78.053250000000006</v>
      </c>
      <c r="G397" s="11">
        <f t="shared" si="12"/>
        <v>0</v>
      </c>
      <c r="H397" s="35">
        <f t="shared" si="13"/>
        <v>0</v>
      </c>
      <c r="R397" s="48" t="s">
        <v>36</v>
      </c>
      <c r="S397" s="48" t="s">
        <v>36</v>
      </c>
      <c r="T397" s="49">
        <v>46250.166666666664</v>
      </c>
      <c r="U397" s="50">
        <v>0</v>
      </c>
    </row>
    <row r="398" spans="1:21">
      <c r="A398" s="42">
        <v>46250.208333333336</v>
      </c>
      <c r="B398" s="43" t="s">
        <v>29</v>
      </c>
      <c r="C398" s="44">
        <v>0</v>
      </c>
      <c r="D398" s="44">
        <v>0</v>
      </c>
      <c r="E398" s="44">
        <v>238</v>
      </c>
      <c r="F398" s="44">
        <v>78.053250000000006</v>
      </c>
      <c r="G398" s="11">
        <f t="shared" si="12"/>
        <v>0</v>
      </c>
      <c r="H398" s="35">
        <f t="shared" si="13"/>
        <v>0</v>
      </c>
      <c r="R398" s="48" t="s">
        <v>36</v>
      </c>
      <c r="S398" s="48" t="s">
        <v>36</v>
      </c>
      <c r="T398" s="49">
        <v>46250.208333333336</v>
      </c>
      <c r="U398" s="50">
        <v>0</v>
      </c>
    </row>
    <row r="399" spans="1:21">
      <c r="A399" s="42">
        <v>46250.25</v>
      </c>
      <c r="B399" s="43" t="s">
        <v>29</v>
      </c>
      <c r="C399" s="44">
        <v>0</v>
      </c>
      <c r="D399" s="44">
        <v>0</v>
      </c>
      <c r="E399" s="44">
        <v>238</v>
      </c>
      <c r="F399" s="44">
        <v>78.053250000000006</v>
      </c>
      <c r="G399" s="11">
        <f t="shared" si="12"/>
        <v>0</v>
      </c>
      <c r="H399" s="35">
        <f t="shared" si="13"/>
        <v>0</v>
      </c>
      <c r="R399" s="48" t="s">
        <v>36</v>
      </c>
      <c r="S399" s="48" t="s">
        <v>36</v>
      </c>
      <c r="T399" s="49">
        <v>46250.25</v>
      </c>
      <c r="U399" s="50">
        <v>0</v>
      </c>
    </row>
    <row r="400" spans="1:21">
      <c r="A400" s="42">
        <v>46250.291666666664</v>
      </c>
      <c r="B400" s="43" t="s">
        <v>29</v>
      </c>
      <c r="C400" s="44">
        <v>0</v>
      </c>
      <c r="D400" s="44">
        <v>0</v>
      </c>
      <c r="E400" s="44">
        <v>238</v>
      </c>
      <c r="F400" s="44">
        <v>78.053250000000006</v>
      </c>
      <c r="G400" s="11">
        <f t="shared" si="12"/>
        <v>0</v>
      </c>
      <c r="H400" s="35">
        <f t="shared" si="13"/>
        <v>0</v>
      </c>
      <c r="R400" s="48" t="s">
        <v>36</v>
      </c>
      <c r="S400" s="48" t="s">
        <v>36</v>
      </c>
      <c r="T400" s="49">
        <v>46250.291666666664</v>
      </c>
      <c r="U400" s="50">
        <v>0</v>
      </c>
    </row>
    <row r="401" spans="1:21">
      <c r="A401" s="42">
        <v>46250.333333333336</v>
      </c>
      <c r="B401" s="43" t="s">
        <v>29</v>
      </c>
      <c r="C401" s="44">
        <v>0</v>
      </c>
      <c r="D401" s="44">
        <v>0</v>
      </c>
      <c r="E401" s="44">
        <v>238</v>
      </c>
      <c r="F401" s="44">
        <v>78.053250000000006</v>
      </c>
      <c r="G401" s="11">
        <f t="shared" si="12"/>
        <v>0</v>
      </c>
      <c r="H401" s="35">
        <f t="shared" si="13"/>
        <v>0</v>
      </c>
      <c r="R401" s="48" t="s">
        <v>36</v>
      </c>
      <c r="S401" s="48" t="s">
        <v>36</v>
      </c>
      <c r="T401" s="49">
        <v>46250.333333333336</v>
      </c>
      <c r="U401" s="50">
        <v>0</v>
      </c>
    </row>
    <row r="402" spans="1:21">
      <c r="A402" s="42">
        <v>46250.375</v>
      </c>
      <c r="B402" s="43" t="s">
        <v>29</v>
      </c>
      <c r="C402" s="44">
        <v>0</v>
      </c>
      <c r="D402" s="44">
        <v>0</v>
      </c>
      <c r="E402" s="44">
        <v>238</v>
      </c>
      <c r="F402" s="44">
        <v>78.053250000000006</v>
      </c>
      <c r="G402" s="11">
        <f t="shared" si="12"/>
        <v>0</v>
      </c>
      <c r="H402" s="35">
        <f t="shared" si="13"/>
        <v>0</v>
      </c>
      <c r="R402" s="48" t="s">
        <v>36</v>
      </c>
      <c r="S402" s="48" t="s">
        <v>36</v>
      </c>
      <c r="T402" s="49">
        <v>46250.375</v>
      </c>
      <c r="U402" s="50">
        <v>0</v>
      </c>
    </row>
    <row r="403" spans="1:21">
      <c r="A403" s="42">
        <v>46250.416666666664</v>
      </c>
      <c r="B403" s="43" t="s">
        <v>29</v>
      </c>
      <c r="C403" s="44">
        <v>0</v>
      </c>
      <c r="D403" s="44">
        <v>0</v>
      </c>
      <c r="E403" s="44">
        <v>238</v>
      </c>
      <c r="F403" s="44">
        <v>78.053250000000006</v>
      </c>
      <c r="G403" s="11">
        <f t="shared" si="12"/>
        <v>0</v>
      </c>
      <c r="H403" s="35">
        <f t="shared" si="13"/>
        <v>0</v>
      </c>
      <c r="R403" s="48" t="s">
        <v>36</v>
      </c>
      <c r="S403" s="48" t="s">
        <v>36</v>
      </c>
      <c r="T403" s="49">
        <v>46250.416666666664</v>
      </c>
      <c r="U403" s="50">
        <v>0</v>
      </c>
    </row>
    <row r="404" spans="1:21">
      <c r="A404" s="42">
        <v>46250.458333333336</v>
      </c>
      <c r="B404" s="43" t="s">
        <v>29</v>
      </c>
      <c r="C404" s="44">
        <v>0</v>
      </c>
      <c r="D404" s="44">
        <v>0</v>
      </c>
      <c r="E404" s="44">
        <v>238</v>
      </c>
      <c r="F404" s="44">
        <v>78.053250000000006</v>
      </c>
      <c r="G404" s="11">
        <f t="shared" si="12"/>
        <v>0</v>
      </c>
      <c r="H404" s="35">
        <f t="shared" si="13"/>
        <v>0</v>
      </c>
      <c r="R404" s="48" t="s">
        <v>36</v>
      </c>
      <c r="S404" s="48" t="s">
        <v>36</v>
      </c>
      <c r="T404" s="49">
        <v>46250.458333333336</v>
      </c>
      <c r="U404" s="50">
        <v>0</v>
      </c>
    </row>
    <row r="405" spans="1:21">
      <c r="A405" s="42">
        <v>46250.5</v>
      </c>
      <c r="B405" s="43" t="s">
        <v>29</v>
      </c>
      <c r="C405" s="44">
        <v>0</v>
      </c>
      <c r="D405" s="44">
        <v>0</v>
      </c>
      <c r="E405" s="44">
        <v>238</v>
      </c>
      <c r="F405" s="44">
        <v>78.053250000000006</v>
      </c>
      <c r="G405" s="11">
        <f t="shared" si="12"/>
        <v>0</v>
      </c>
      <c r="H405" s="35">
        <f t="shared" si="13"/>
        <v>0</v>
      </c>
      <c r="R405" s="48" t="s">
        <v>36</v>
      </c>
      <c r="S405" s="48" t="s">
        <v>36</v>
      </c>
      <c r="T405" s="49">
        <v>46250.5</v>
      </c>
      <c r="U405" s="50">
        <v>0</v>
      </c>
    </row>
    <row r="406" spans="1:21">
      <c r="A406" s="42">
        <v>46250.541666666664</v>
      </c>
      <c r="B406" s="43" t="s">
        <v>29</v>
      </c>
      <c r="C406" s="44">
        <v>0</v>
      </c>
      <c r="D406" s="44">
        <v>0</v>
      </c>
      <c r="E406" s="44">
        <v>238</v>
      </c>
      <c r="F406" s="44">
        <v>78.053250000000006</v>
      </c>
      <c r="G406" s="11">
        <f t="shared" si="12"/>
        <v>0</v>
      </c>
      <c r="H406" s="35">
        <f t="shared" si="13"/>
        <v>0</v>
      </c>
      <c r="R406" s="48" t="s">
        <v>36</v>
      </c>
      <c r="S406" s="48" t="s">
        <v>36</v>
      </c>
      <c r="T406" s="49">
        <v>46250.541666666664</v>
      </c>
      <c r="U406" s="50">
        <v>0</v>
      </c>
    </row>
    <row r="407" spans="1:21">
      <c r="A407" s="42">
        <v>46250.583333333336</v>
      </c>
      <c r="B407" s="43" t="s">
        <v>29</v>
      </c>
      <c r="C407" s="44">
        <v>0</v>
      </c>
      <c r="D407" s="44">
        <v>0</v>
      </c>
      <c r="E407" s="44">
        <v>238</v>
      </c>
      <c r="F407" s="44">
        <v>78.053250000000006</v>
      </c>
      <c r="G407" s="11">
        <f t="shared" si="12"/>
        <v>0</v>
      </c>
      <c r="H407" s="35">
        <f t="shared" si="13"/>
        <v>0</v>
      </c>
      <c r="R407" s="48" t="s">
        <v>36</v>
      </c>
      <c r="S407" s="48" t="s">
        <v>36</v>
      </c>
      <c r="T407" s="49">
        <v>46250.583333333336</v>
      </c>
      <c r="U407" s="50">
        <v>0</v>
      </c>
    </row>
    <row r="408" spans="1:21">
      <c r="A408" s="42">
        <v>46250.625</v>
      </c>
      <c r="B408" s="43" t="s">
        <v>29</v>
      </c>
      <c r="C408" s="44">
        <v>0</v>
      </c>
      <c r="D408" s="44">
        <v>0</v>
      </c>
      <c r="E408" s="44">
        <v>238</v>
      </c>
      <c r="F408" s="44">
        <v>78.053250000000006</v>
      </c>
      <c r="G408" s="11">
        <f t="shared" si="12"/>
        <v>0</v>
      </c>
      <c r="H408" s="35">
        <f t="shared" si="13"/>
        <v>0</v>
      </c>
      <c r="R408" s="48" t="s">
        <v>36</v>
      </c>
      <c r="S408" s="48" t="s">
        <v>36</v>
      </c>
      <c r="T408" s="49">
        <v>46250.625</v>
      </c>
      <c r="U408" s="50">
        <v>0</v>
      </c>
    </row>
    <row r="409" spans="1:21">
      <c r="A409" s="42">
        <v>46250.666666666664</v>
      </c>
      <c r="B409" s="43" t="s">
        <v>29</v>
      </c>
      <c r="C409" s="44">
        <v>0</v>
      </c>
      <c r="D409" s="44">
        <v>0</v>
      </c>
      <c r="E409" s="44">
        <v>238</v>
      </c>
      <c r="F409" s="44">
        <v>78.053250000000006</v>
      </c>
      <c r="G409" s="11">
        <f t="shared" si="12"/>
        <v>0</v>
      </c>
      <c r="H409" s="35">
        <f t="shared" si="13"/>
        <v>0</v>
      </c>
      <c r="R409" s="48" t="s">
        <v>36</v>
      </c>
      <c r="S409" s="48" t="s">
        <v>36</v>
      </c>
      <c r="T409" s="49">
        <v>46250.666666666664</v>
      </c>
      <c r="U409" s="50">
        <v>0</v>
      </c>
    </row>
    <row r="410" spans="1:21">
      <c r="A410" s="42">
        <v>46250.708333333336</v>
      </c>
      <c r="B410" s="43" t="s">
        <v>29</v>
      </c>
      <c r="C410" s="44">
        <v>0</v>
      </c>
      <c r="D410" s="44">
        <v>0</v>
      </c>
      <c r="E410" s="44">
        <v>238</v>
      </c>
      <c r="F410" s="44">
        <v>78.053250000000006</v>
      </c>
      <c r="G410" s="11">
        <f t="shared" si="12"/>
        <v>0</v>
      </c>
      <c r="H410" s="35">
        <f t="shared" si="13"/>
        <v>0</v>
      </c>
      <c r="R410" s="48" t="s">
        <v>36</v>
      </c>
      <c r="S410" s="48" t="s">
        <v>36</v>
      </c>
      <c r="T410" s="49">
        <v>46250.708333333336</v>
      </c>
      <c r="U410" s="50">
        <v>0</v>
      </c>
    </row>
    <row r="411" spans="1:21">
      <c r="A411" s="42">
        <v>46250.75</v>
      </c>
      <c r="B411" s="43" t="s">
        <v>29</v>
      </c>
      <c r="C411" s="44">
        <v>0</v>
      </c>
      <c r="D411" s="44">
        <v>0</v>
      </c>
      <c r="E411" s="44">
        <v>238</v>
      </c>
      <c r="F411" s="44">
        <v>78.053250000000006</v>
      </c>
      <c r="G411" s="11">
        <f t="shared" si="12"/>
        <v>0</v>
      </c>
      <c r="H411" s="35">
        <f t="shared" si="13"/>
        <v>0</v>
      </c>
      <c r="R411" s="48" t="s">
        <v>36</v>
      </c>
      <c r="S411" s="48" t="s">
        <v>36</v>
      </c>
      <c r="T411" s="49">
        <v>46250.75</v>
      </c>
      <c r="U411" s="50">
        <v>0</v>
      </c>
    </row>
    <row r="412" spans="1:21">
      <c r="A412" s="42">
        <v>46250.791666666664</v>
      </c>
      <c r="B412" s="43" t="s">
        <v>29</v>
      </c>
      <c r="C412" s="44">
        <v>0</v>
      </c>
      <c r="D412" s="44">
        <v>0</v>
      </c>
      <c r="E412" s="44">
        <v>238</v>
      </c>
      <c r="F412" s="44">
        <v>78.053250000000006</v>
      </c>
      <c r="G412" s="11">
        <f t="shared" si="12"/>
        <v>0</v>
      </c>
      <c r="H412" s="35">
        <f t="shared" si="13"/>
        <v>0</v>
      </c>
      <c r="R412" s="48" t="s">
        <v>36</v>
      </c>
      <c r="S412" s="48" t="s">
        <v>36</v>
      </c>
      <c r="T412" s="49">
        <v>46250.791666666664</v>
      </c>
      <c r="U412" s="50">
        <v>0</v>
      </c>
    </row>
    <row r="413" spans="1:21">
      <c r="A413" s="42">
        <v>46250.833333333336</v>
      </c>
      <c r="B413" s="43" t="s">
        <v>29</v>
      </c>
      <c r="C413" s="44">
        <v>0</v>
      </c>
      <c r="D413" s="44">
        <v>0</v>
      </c>
      <c r="E413" s="44">
        <v>238</v>
      </c>
      <c r="F413" s="44">
        <v>78.053250000000006</v>
      </c>
      <c r="G413" s="11">
        <f t="shared" si="12"/>
        <v>0</v>
      </c>
      <c r="H413" s="35">
        <f t="shared" si="13"/>
        <v>0</v>
      </c>
      <c r="R413" s="48" t="s">
        <v>36</v>
      </c>
      <c r="S413" s="48" t="s">
        <v>36</v>
      </c>
      <c r="T413" s="49">
        <v>46250.833333333336</v>
      </c>
      <c r="U413" s="50">
        <v>0</v>
      </c>
    </row>
    <row r="414" spans="1:21">
      <c r="A414" s="42">
        <v>46250.875</v>
      </c>
      <c r="B414" s="43" t="s">
        <v>29</v>
      </c>
      <c r="C414" s="44">
        <v>0</v>
      </c>
      <c r="D414" s="44">
        <v>0</v>
      </c>
      <c r="E414" s="44">
        <v>238</v>
      </c>
      <c r="F414" s="44">
        <v>78.053250000000006</v>
      </c>
      <c r="G414" s="11">
        <f t="shared" si="12"/>
        <v>0</v>
      </c>
      <c r="H414" s="35">
        <f t="shared" si="13"/>
        <v>0</v>
      </c>
      <c r="R414" s="48" t="s">
        <v>36</v>
      </c>
      <c r="S414" s="48" t="s">
        <v>36</v>
      </c>
      <c r="T414" s="49">
        <v>46250.875</v>
      </c>
      <c r="U414" s="50">
        <v>0</v>
      </c>
    </row>
    <row r="415" spans="1:21">
      <c r="A415" s="42">
        <v>46250.916666666664</v>
      </c>
      <c r="B415" s="43" t="s">
        <v>29</v>
      </c>
      <c r="C415" s="44">
        <v>0</v>
      </c>
      <c r="D415" s="44">
        <v>0</v>
      </c>
      <c r="E415" s="44">
        <v>238</v>
      </c>
      <c r="F415" s="44">
        <v>78.053250000000006</v>
      </c>
      <c r="G415" s="11">
        <f t="shared" si="12"/>
        <v>0</v>
      </c>
      <c r="H415" s="35">
        <f t="shared" si="13"/>
        <v>0</v>
      </c>
      <c r="R415" s="48" t="s">
        <v>36</v>
      </c>
      <c r="S415" s="48" t="s">
        <v>36</v>
      </c>
      <c r="T415" s="49">
        <v>46250.916666666664</v>
      </c>
      <c r="U415" s="50">
        <v>0</v>
      </c>
    </row>
    <row r="416" spans="1:21">
      <c r="A416" s="42">
        <v>46250.958333333336</v>
      </c>
      <c r="B416" s="43" t="s">
        <v>29</v>
      </c>
      <c r="C416" s="44">
        <v>0</v>
      </c>
      <c r="D416" s="44">
        <v>0</v>
      </c>
      <c r="E416" s="44">
        <v>238</v>
      </c>
      <c r="F416" s="44">
        <v>78.053250000000006</v>
      </c>
      <c r="G416" s="11">
        <f t="shared" si="12"/>
        <v>0</v>
      </c>
      <c r="H416" s="35">
        <f t="shared" si="13"/>
        <v>0</v>
      </c>
      <c r="R416" s="48" t="s">
        <v>36</v>
      </c>
      <c r="S416" s="48" t="s">
        <v>36</v>
      </c>
      <c r="T416" s="49">
        <v>46250.958333333336</v>
      </c>
      <c r="U416" s="50">
        <v>0</v>
      </c>
    </row>
    <row r="417" spans="1:21">
      <c r="A417" s="42">
        <v>46251</v>
      </c>
      <c r="B417" s="43" t="s">
        <v>29</v>
      </c>
      <c r="C417" s="44">
        <v>0</v>
      </c>
      <c r="D417" s="44">
        <v>0</v>
      </c>
      <c r="E417" s="44">
        <v>238</v>
      </c>
      <c r="F417" s="44">
        <v>78.053250000000006</v>
      </c>
      <c r="G417" s="11">
        <f t="shared" si="12"/>
        <v>0</v>
      </c>
      <c r="H417" s="35">
        <f t="shared" si="13"/>
        <v>0</v>
      </c>
      <c r="R417" s="48" t="s">
        <v>36</v>
      </c>
      <c r="S417" s="48" t="s">
        <v>36</v>
      </c>
      <c r="T417" s="49">
        <v>46251</v>
      </c>
      <c r="U417" s="50">
        <v>0</v>
      </c>
    </row>
    <row r="418" spans="1:21">
      <c r="A418" s="42">
        <v>46251.041666666664</v>
      </c>
      <c r="B418" s="43" t="s">
        <v>29</v>
      </c>
      <c r="C418" s="44">
        <v>0</v>
      </c>
      <c r="D418" s="44">
        <v>0</v>
      </c>
      <c r="E418" s="44">
        <v>238</v>
      </c>
      <c r="F418" s="44">
        <v>78.053250000000006</v>
      </c>
      <c r="G418" s="11">
        <f t="shared" si="12"/>
        <v>0</v>
      </c>
      <c r="H418" s="35">
        <f t="shared" si="13"/>
        <v>0</v>
      </c>
      <c r="R418" s="48" t="s">
        <v>36</v>
      </c>
      <c r="S418" s="48" t="s">
        <v>36</v>
      </c>
      <c r="T418" s="49">
        <v>46251.041666666664</v>
      </c>
      <c r="U418" s="50">
        <v>0</v>
      </c>
    </row>
    <row r="419" spans="1:21">
      <c r="A419" s="42">
        <v>46251.083333333336</v>
      </c>
      <c r="B419" s="43" t="s">
        <v>29</v>
      </c>
      <c r="C419" s="44">
        <v>0</v>
      </c>
      <c r="D419" s="44">
        <v>0</v>
      </c>
      <c r="E419" s="44">
        <v>238</v>
      </c>
      <c r="F419" s="44">
        <v>78.053250000000006</v>
      </c>
      <c r="G419" s="11">
        <f t="shared" si="12"/>
        <v>0</v>
      </c>
      <c r="H419" s="35">
        <f t="shared" si="13"/>
        <v>0</v>
      </c>
      <c r="R419" s="48" t="s">
        <v>36</v>
      </c>
      <c r="S419" s="48" t="s">
        <v>36</v>
      </c>
      <c r="T419" s="49">
        <v>46251.083333333336</v>
      </c>
      <c r="U419" s="50">
        <v>0</v>
      </c>
    </row>
    <row r="420" spans="1:21">
      <c r="A420" s="42">
        <v>46251.125</v>
      </c>
      <c r="B420" s="43" t="s">
        <v>29</v>
      </c>
      <c r="C420" s="44">
        <v>0</v>
      </c>
      <c r="D420" s="44">
        <v>0</v>
      </c>
      <c r="E420" s="44">
        <v>238</v>
      </c>
      <c r="F420" s="44">
        <v>78.053250000000006</v>
      </c>
      <c r="G420" s="11">
        <f t="shared" si="12"/>
        <v>0</v>
      </c>
      <c r="H420" s="35">
        <f t="shared" si="13"/>
        <v>0</v>
      </c>
      <c r="R420" s="48" t="s">
        <v>36</v>
      </c>
      <c r="S420" s="48" t="s">
        <v>36</v>
      </c>
      <c r="T420" s="49">
        <v>46251.125</v>
      </c>
      <c r="U420" s="50">
        <v>0</v>
      </c>
    </row>
    <row r="421" spans="1:21">
      <c r="A421" s="42">
        <v>46251.166666666664</v>
      </c>
      <c r="B421" s="43" t="s">
        <v>29</v>
      </c>
      <c r="C421" s="44">
        <v>0</v>
      </c>
      <c r="D421" s="44">
        <v>0</v>
      </c>
      <c r="E421" s="44">
        <v>238</v>
      </c>
      <c r="F421" s="44">
        <v>78.053250000000006</v>
      </c>
      <c r="G421" s="11">
        <f t="shared" si="12"/>
        <v>0</v>
      </c>
      <c r="H421" s="35">
        <f t="shared" si="13"/>
        <v>0</v>
      </c>
      <c r="R421" s="48" t="s">
        <v>36</v>
      </c>
      <c r="S421" s="48" t="s">
        <v>36</v>
      </c>
      <c r="T421" s="49">
        <v>46251.166666666664</v>
      </c>
      <c r="U421" s="50">
        <v>0</v>
      </c>
    </row>
    <row r="422" spans="1:21">
      <c r="A422" s="42">
        <v>46251.208333333336</v>
      </c>
      <c r="B422" s="43" t="s">
        <v>29</v>
      </c>
      <c r="C422" s="44">
        <v>0</v>
      </c>
      <c r="D422" s="44">
        <v>0</v>
      </c>
      <c r="E422" s="44">
        <v>238</v>
      </c>
      <c r="F422" s="44">
        <v>78.053250000000006</v>
      </c>
      <c r="G422" s="11">
        <f t="shared" si="12"/>
        <v>0</v>
      </c>
      <c r="H422" s="35">
        <f t="shared" si="13"/>
        <v>0</v>
      </c>
      <c r="R422" s="48" t="s">
        <v>36</v>
      </c>
      <c r="S422" s="48" t="s">
        <v>36</v>
      </c>
      <c r="T422" s="49">
        <v>46251.208333333336</v>
      </c>
      <c r="U422" s="50">
        <v>0</v>
      </c>
    </row>
    <row r="423" spans="1:21">
      <c r="A423" s="42">
        <v>46251.25</v>
      </c>
      <c r="B423" s="43" t="s">
        <v>29</v>
      </c>
      <c r="C423" s="44">
        <v>0</v>
      </c>
      <c r="D423" s="44">
        <v>0</v>
      </c>
      <c r="E423" s="44">
        <v>238</v>
      </c>
      <c r="F423" s="44">
        <v>78.053250000000006</v>
      </c>
      <c r="G423" s="11">
        <f t="shared" si="12"/>
        <v>0</v>
      </c>
      <c r="H423" s="35">
        <f t="shared" si="13"/>
        <v>0</v>
      </c>
      <c r="R423" s="48" t="s">
        <v>36</v>
      </c>
      <c r="S423" s="48" t="s">
        <v>36</v>
      </c>
      <c r="T423" s="49">
        <v>46251.25</v>
      </c>
      <c r="U423" s="50">
        <v>0</v>
      </c>
    </row>
    <row r="424" spans="1:21">
      <c r="A424" s="42">
        <v>46251.291666666664</v>
      </c>
      <c r="B424" s="43" t="s">
        <v>29</v>
      </c>
      <c r="C424" s="44">
        <v>0</v>
      </c>
      <c r="D424" s="44">
        <v>0</v>
      </c>
      <c r="E424" s="44">
        <v>238</v>
      </c>
      <c r="F424" s="44">
        <v>78.053250000000006</v>
      </c>
      <c r="G424" s="11">
        <f t="shared" si="12"/>
        <v>0</v>
      </c>
      <c r="H424" s="35">
        <f t="shared" si="13"/>
        <v>0</v>
      </c>
      <c r="R424" s="48" t="s">
        <v>36</v>
      </c>
      <c r="S424" s="48" t="s">
        <v>36</v>
      </c>
      <c r="T424" s="49">
        <v>46251.291666666664</v>
      </c>
      <c r="U424" s="50">
        <v>0</v>
      </c>
    </row>
    <row r="425" spans="1:21">
      <c r="A425" s="42">
        <v>46251.333333333336</v>
      </c>
      <c r="B425" s="43" t="s">
        <v>29</v>
      </c>
      <c r="C425" s="44">
        <v>0</v>
      </c>
      <c r="D425" s="44">
        <v>0</v>
      </c>
      <c r="E425" s="44">
        <v>238</v>
      </c>
      <c r="F425" s="44">
        <v>78.053250000000006</v>
      </c>
      <c r="G425" s="11">
        <f t="shared" si="12"/>
        <v>0</v>
      </c>
      <c r="H425" s="35">
        <f t="shared" si="13"/>
        <v>0</v>
      </c>
      <c r="R425" s="48" t="s">
        <v>36</v>
      </c>
      <c r="S425" s="48" t="s">
        <v>36</v>
      </c>
      <c r="T425" s="49">
        <v>46251.333333333336</v>
      </c>
      <c r="U425" s="50">
        <v>0</v>
      </c>
    </row>
    <row r="426" spans="1:21">
      <c r="A426" s="42">
        <v>46251.375</v>
      </c>
      <c r="B426" s="43" t="s">
        <v>29</v>
      </c>
      <c r="C426" s="44">
        <v>0</v>
      </c>
      <c r="D426" s="44">
        <v>0</v>
      </c>
      <c r="E426" s="44">
        <v>238</v>
      </c>
      <c r="F426" s="44">
        <v>78.053250000000006</v>
      </c>
      <c r="G426" s="11">
        <f t="shared" si="12"/>
        <v>0</v>
      </c>
      <c r="H426" s="35">
        <f t="shared" si="13"/>
        <v>0</v>
      </c>
      <c r="R426" s="48" t="s">
        <v>36</v>
      </c>
      <c r="S426" s="48" t="s">
        <v>36</v>
      </c>
      <c r="T426" s="49">
        <v>46251.375</v>
      </c>
      <c r="U426" s="50">
        <v>0</v>
      </c>
    </row>
    <row r="427" spans="1:21">
      <c r="A427" s="42">
        <v>46251.416666666664</v>
      </c>
      <c r="B427" s="43" t="s">
        <v>29</v>
      </c>
      <c r="C427" s="44">
        <v>0</v>
      </c>
      <c r="D427" s="44">
        <v>0</v>
      </c>
      <c r="E427" s="44">
        <v>238</v>
      </c>
      <c r="F427" s="44">
        <v>78.053250000000006</v>
      </c>
      <c r="G427" s="11">
        <f t="shared" si="12"/>
        <v>0</v>
      </c>
      <c r="H427" s="35">
        <f t="shared" si="13"/>
        <v>0</v>
      </c>
      <c r="R427" s="48" t="s">
        <v>36</v>
      </c>
      <c r="S427" s="48" t="s">
        <v>36</v>
      </c>
      <c r="T427" s="49">
        <v>46251.416666666664</v>
      </c>
      <c r="U427" s="50">
        <v>0</v>
      </c>
    </row>
    <row r="428" spans="1:21">
      <c r="A428" s="42">
        <v>46251.458333333336</v>
      </c>
      <c r="B428" s="43" t="s">
        <v>29</v>
      </c>
      <c r="C428" s="44">
        <v>0</v>
      </c>
      <c r="D428" s="44">
        <v>0</v>
      </c>
      <c r="E428" s="44">
        <v>238</v>
      </c>
      <c r="F428" s="44">
        <v>78.053250000000006</v>
      </c>
      <c r="G428" s="11">
        <f t="shared" si="12"/>
        <v>0</v>
      </c>
      <c r="H428" s="35">
        <f t="shared" si="13"/>
        <v>0</v>
      </c>
      <c r="R428" s="48" t="s">
        <v>36</v>
      </c>
      <c r="S428" s="48" t="s">
        <v>36</v>
      </c>
      <c r="T428" s="49">
        <v>46251.458333333336</v>
      </c>
      <c r="U428" s="50">
        <v>0</v>
      </c>
    </row>
    <row r="429" spans="1:21">
      <c r="A429" s="42">
        <v>46251.5</v>
      </c>
      <c r="B429" s="43" t="s">
        <v>29</v>
      </c>
      <c r="C429" s="44">
        <v>0</v>
      </c>
      <c r="D429" s="44">
        <v>0</v>
      </c>
      <c r="E429" s="44">
        <v>238</v>
      </c>
      <c r="F429" s="44">
        <v>78.053250000000006</v>
      </c>
      <c r="G429" s="11">
        <f t="shared" si="12"/>
        <v>0</v>
      </c>
      <c r="H429" s="35">
        <f t="shared" si="13"/>
        <v>0</v>
      </c>
      <c r="R429" s="48" t="s">
        <v>36</v>
      </c>
      <c r="S429" s="48" t="s">
        <v>36</v>
      </c>
      <c r="T429" s="49">
        <v>46251.5</v>
      </c>
      <c r="U429" s="50">
        <v>0</v>
      </c>
    </row>
    <row r="430" spans="1:21">
      <c r="A430" s="42">
        <v>46251.541666666664</v>
      </c>
      <c r="B430" s="43" t="s">
        <v>29</v>
      </c>
      <c r="C430" s="44">
        <v>0</v>
      </c>
      <c r="D430" s="44">
        <v>0</v>
      </c>
      <c r="E430" s="44">
        <v>238</v>
      </c>
      <c r="F430" s="44">
        <v>78.053250000000006</v>
      </c>
      <c r="G430" s="11">
        <f t="shared" si="12"/>
        <v>0</v>
      </c>
      <c r="H430" s="35">
        <f t="shared" si="13"/>
        <v>0</v>
      </c>
      <c r="R430" s="48" t="s">
        <v>36</v>
      </c>
      <c r="S430" s="48" t="s">
        <v>36</v>
      </c>
      <c r="T430" s="49">
        <v>46251.541666666664</v>
      </c>
      <c r="U430" s="50">
        <v>0</v>
      </c>
    </row>
    <row r="431" spans="1:21">
      <c r="A431" s="42">
        <v>46251.583333333336</v>
      </c>
      <c r="B431" s="43" t="s">
        <v>29</v>
      </c>
      <c r="C431" s="44">
        <v>0</v>
      </c>
      <c r="D431" s="44">
        <v>0</v>
      </c>
      <c r="E431" s="44">
        <v>238</v>
      </c>
      <c r="F431" s="44">
        <v>78.053250000000006</v>
      </c>
      <c r="G431" s="11">
        <f t="shared" si="12"/>
        <v>0</v>
      </c>
      <c r="H431" s="35">
        <f t="shared" si="13"/>
        <v>0</v>
      </c>
      <c r="R431" s="48" t="s">
        <v>36</v>
      </c>
      <c r="S431" s="48" t="s">
        <v>36</v>
      </c>
      <c r="T431" s="49">
        <v>46251.583333333336</v>
      </c>
      <c r="U431" s="50">
        <v>0</v>
      </c>
    </row>
    <row r="432" spans="1:21">
      <c r="A432" s="42">
        <v>46251.625</v>
      </c>
      <c r="B432" s="43" t="s">
        <v>29</v>
      </c>
      <c r="C432" s="44">
        <v>0</v>
      </c>
      <c r="D432" s="44">
        <v>0</v>
      </c>
      <c r="E432" s="44">
        <v>238</v>
      </c>
      <c r="F432" s="44">
        <v>78.053250000000006</v>
      </c>
      <c r="G432" s="11">
        <f t="shared" si="12"/>
        <v>0</v>
      </c>
      <c r="H432" s="35">
        <f t="shared" si="13"/>
        <v>0</v>
      </c>
      <c r="R432" s="48" t="s">
        <v>36</v>
      </c>
      <c r="S432" s="48" t="s">
        <v>36</v>
      </c>
      <c r="T432" s="49">
        <v>46251.625</v>
      </c>
      <c r="U432" s="50">
        <v>0</v>
      </c>
    </row>
    <row r="433" spans="1:21">
      <c r="A433" s="42">
        <v>46251.666666666664</v>
      </c>
      <c r="B433" s="43" t="s">
        <v>29</v>
      </c>
      <c r="C433" s="44">
        <v>0</v>
      </c>
      <c r="D433" s="44">
        <v>0</v>
      </c>
      <c r="E433" s="44">
        <v>238</v>
      </c>
      <c r="F433" s="44">
        <v>78.053250000000006</v>
      </c>
      <c r="G433" s="11">
        <f t="shared" si="12"/>
        <v>0</v>
      </c>
      <c r="H433" s="35">
        <f t="shared" si="13"/>
        <v>0</v>
      </c>
      <c r="R433" s="48" t="s">
        <v>36</v>
      </c>
      <c r="S433" s="48" t="s">
        <v>36</v>
      </c>
      <c r="T433" s="49">
        <v>46251.666666666664</v>
      </c>
      <c r="U433" s="50">
        <v>0</v>
      </c>
    </row>
    <row r="434" spans="1:21">
      <c r="A434" s="42">
        <v>46251.708333333336</v>
      </c>
      <c r="B434" s="43" t="s">
        <v>29</v>
      </c>
      <c r="C434" s="44">
        <v>0</v>
      </c>
      <c r="D434" s="44">
        <v>0</v>
      </c>
      <c r="E434" s="44">
        <v>238</v>
      </c>
      <c r="F434" s="44">
        <v>78.053250000000006</v>
      </c>
      <c r="G434" s="11">
        <f t="shared" si="12"/>
        <v>0</v>
      </c>
      <c r="H434" s="35">
        <f t="shared" si="13"/>
        <v>0</v>
      </c>
      <c r="R434" s="48" t="s">
        <v>36</v>
      </c>
      <c r="S434" s="48" t="s">
        <v>36</v>
      </c>
      <c r="T434" s="49">
        <v>46251.708333333336</v>
      </c>
      <c r="U434" s="50">
        <v>0</v>
      </c>
    </row>
    <row r="435" spans="1:21">
      <c r="A435" s="42">
        <v>46251.75</v>
      </c>
      <c r="B435" s="43" t="s">
        <v>29</v>
      </c>
      <c r="C435" s="44">
        <v>0</v>
      </c>
      <c r="D435" s="44">
        <v>0</v>
      </c>
      <c r="E435" s="44">
        <v>238</v>
      </c>
      <c r="F435" s="44">
        <v>78.053250000000006</v>
      </c>
      <c r="G435" s="11">
        <f t="shared" si="12"/>
        <v>0</v>
      </c>
      <c r="H435" s="35">
        <f t="shared" si="13"/>
        <v>0</v>
      </c>
      <c r="R435" s="48" t="s">
        <v>36</v>
      </c>
      <c r="S435" s="48" t="s">
        <v>36</v>
      </c>
      <c r="T435" s="49">
        <v>46251.75</v>
      </c>
      <c r="U435" s="50">
        <v>0</v>
      </c>
    </row>
    <row r="436" spans="1:21">
      <c r="A436" s="42">
        <v>46251.791666666664</v>
      </c>
      <c r="B436" s="43" t="s">
        <v>29</v>
      </c>
      <c r="C436" s="44">
        <v>0</v>
      </c>
      <c r="D436" s="44">
        <v>0</v>
      </c>
      <c r="E436" s="44">
        <v>238</v>
      </c>
      <c r="F436" s="44">
        <v>78.053250000000006</v>
      </c>
      <c r="G436" s="11">
        <f t="shared" si="12"/>
        <v>0</v>
      </c>
      <c r="H436" s="35">
        <f t="shared" si="13"/>
        <v>0</v>
      </c>
      <c r="R436" s="48" t="s">
        <v>36</v>
      </c>
      <c r="S436" s="48" t="s">
        <v>36</v>
      </c>
      <c r="T436" s="49">
        <v>46251.791666666664</v>
      </c>
      <c r="U436" s="50">
        <v>0</v>
      </c>
    </row>
    <row r="437" spans="1:21">
      <c r="A437" s="42">
        <v>46251.833333333336</v>
      </c>
      <c r="B437" s="43" t="s">
        <v>29</v>
      </c>
      <c r="C437" s="44">
        <v>0</v>
      </c>
      <c r="D437" s="44">
        <v>0</v>
      </c>
      <c r="E437" s="44">
        <v>238</v>
      </c>
      <c r="F437" s="44">
        <v>78.053250000000006</v>
      </c>
      <c r="G437" s="11">
        <f t="shared" si="12"/>
        <v>0</v>
      </c>
      <c r="H437" s="35">
        <f t="shared" si="13"/>
        <v>0</v>
      </c>
      <c r="R437" s="48" t="s">
        <v>36</v>
      </c>
      <c r="S437" s="48" t="s">
        <v>36</v>
      </c>
      <c r="T437" s="49">
        <v>46251.833333333336</v>
      </c>
      <c r="U437" s="50">
        <v>0</v>
      </c>
    </row>
    <row r="438" spans="1:21">
      <c r="A438" s="42">
        <v>46251.875</v>
      </c>
      <c r="B438" s="43" t="s">
        <v>29</v>
      </c>
      <c r="C438" s="44">
        <v>0</v>
      </c>
      <c r="D438" s="44">
        <v>0</v>
      </c>
      <c r="E438" s="44">
        <v>238</v>
      </c>
      <c r="F438" s="44">
        <v>78.053250000000006</v>
      </c>
      <c r="G438" s="11">
        <f t="shared" si="12"/>
        <v>0</v>
      </c>
      <c r="H438" s="35">
        <f t="shared" si="13"/>
        <v>0</v>
      </c>
      <c r="R438" s="48" t="s">
        <v>36</v>
      </c>
      <c r="S438" s="48" t="s">
        <v>36</v>
      </c>
      <c r="T438" s="49">
        <v>46251.875</v>
      </c>
      <c r="U438" s="50">
        <v>0</v>
      </c>
    </row>
    <row r="439" spans="1:21">
      <c r="A439" s="42">
        <v>46251.916666666664</v>
      </c>
      <c r="B439" s="43" t="s">
        <v>29</v>
      </c>
      <c r="C439" s="44">
        <v>0</v>
      </c>
      <c r="D439" s="44">
        <v>0</v>
      </c>
      <c r="E439" s="44">
        <v>238</v>
      </c>
      <c r="F439" s="44">
        <v>78.053250000000006</v>
      </c>
      <c r="G439" s="11">
        <f t="shared" si="12"/>
        <v>0</v>
      </c>
      <c r="H439" s="35">
        <f t="shared" si="13"/>
        <v>0</v>
      </c>
      <c r="R439" s="48" t="s">
        <v>36</v>
      </c>
      <c r="S439" s="48" t="s">
        <v>36</v>
      </c>
      <c r="T439" s="49">
        <v>46251.916666666664</v>
      </c>
      <c r="U439" s="50">
        <v>0</v>
      </c>
    </row>
    <row r="440" spans="1:21">
      <c r="A440" s="42">
        <v>46251.958333333336</v>
      </c>
      <c r="B440" s="43" t="s">
        <v>29</v>
      </c>
      <c r="C440" s="44">
        <v>0</v>
      </c>
      <c r="D440" s="44">
        <v>0</v>
      </c>
      <c r="E440" s="44">
        <v>238</v>
      </c>
      <c r="F440" s="44">
        <v>78.053250000000006</v>
      </c>
      <c r="G440" s="11">
        <f t="shared" si="12"/>
        <v>0</v>
      </c>
      <c r="H440" s="35">
        <f t="shared" si="13"/>
        <v>0</v>
      </c>
      <c r="R440" s="48" t="s">
        <v>36</v>
      </c>
      <c r="S440" s="48" t="s">
        <v>36</v>
      </c>
      <c r="T440" s="49">
        <v>46251.958333333336</v>
      </c>
      <c r="U440" s="50">
        <v>0</v>
      </c>
    </row>
    <row r="441" spans="1:21">
      <c r="A441" s="42">
        <v>46252</v>
      </c>
      <c r="B441" s="43" t="s">
        <v>29</v>
      </c>
      <c r="C441" s="44">
        <v>0</v>
      </c>
      <c r="D441" s="44">
        <v>0</v>
      </c>
      <c r="E441" s="44">
        <v>238</v>
      </c>
      <c r="F441" s="44">
        <v>78.053250000000006</v>
      </c>
      <c r="G441" s="11">
        <f t="shared" si="12"/>
        <v>0</v>
      </c>
      <c r="H441" s="35">
        <f t="shared" si="13"/>
        <v>0</v>
      </c>
      <c r="R441" s="48" t="s">
        <v>36</v>
      </c>
      <c r="S441" s="48" t="s">
        <v>36</v>
      </c>
      <c r="T441" s="49">
        <v>46252</v>
      </c>
      <c r="U441" s="50">
        <v>0</v>
      </c>
    </row>
    <row r="442" spans="1:21">
      <c r="A442" s="42">
        <v>46252.041666666664</v>
      </c>
      <c r="B442" s="43" t="s">
        <v>29</v>
      </c>
      <c r="C442" s="44">
        <v>0</v>
      </c>
      <c r="D442" s="44">
        <v>0</v>
      </c>
      <c r="E442" s="44">
        <v>238</v>
      </c>
      <c r="F442" s="44">
        <v>78.053250000000006</v>
      </c>
      <c r="G442" s="11">
        <f t="shared" si="12"/>
        <v>0</v>
      </c>
      <c r="H442" s="35">
        <f t="shared" si="13"/>
        <v>0</v>
      </c>
      <c r="R442" s="48" t="s">
        <v>36</v>
      </c>
      <c r="S442" s="48" t="s">
        <v>36</v>
      </c>
      <c r="T442" s="49">
        <v>46252.041666666664</v>
      </c>
      <c r="U442" s="50">
        <v>0</v>
      </c>
    </row>
    <row r="443" spans="1:21">
      <c r="A443" s="42">
        <v>46252.083333333336</v>
      </c>
      <c r="B443" s="43" t="s">
        <v>29</v>
      </c>
      <c r="C443" s="44">
        <v>0</v>
      </c>
      <c r="D443" s="44">
        <v>0</v>
      </c>
      <c r="E443" s="44">
        <v>238</v>
      </c>
      <c r="F443" s="44">
        <v>78.053250000000006</v>
      </c>
      <c r="G443" s="11">
        <f t="shared" si="12"/>
        <v>0</v>
      </c>
      <c r="H443" s="35">
        <f t="shared" si="13"/>
        <v>0</v>
      </c>
      <c r="R443" s="48" t="s">
        <v>36</v>
      </c>
      <c r="S443" s="48" t="s">
        <v>36</v>
      </c>
      <c r="T443" s="49">
        <v>46252.083333333336</v>
      </c>
      <c r="U443" s="50">
        <v>0</v>
      </c>
    </row>
    <row r="444" spans="1:21">
      <c r="A444" s="42">
        <v>46252.125</v>
      </c>
      <c r="B444" s="43" t="s">
        <v>29</v>
      </c>
      <c r="C444" s="44">
        <v>0</v>
      </c>
      <c r="D444" s="44">
        <v>0</v>
      </c>
      <c r="E444" s="44">
        <v>238</v>
      </c>
      <c r="F444" s="44">
        <v>78.053250000000006</v>
      </c>
      <c r="G444" s="11">
        <f t="shared" si="12"/>
        <v>0</v>
      </c>
      <c r="H444" s="35">
        <f t="shared" si="13"/>
        <v>0</v>
      </c>
      <c r="R444" s="48" t="s">
        <v>36</v>
      </c>
      <c r="S444" s="48" t="s">
        <v>36</v>
      </c>
      <c r="T444" s="49">
        <v>46252.125</v>
      </c>
      <c r="U444" s="50">
        <v>0</v>
      </c>
    </row>
    <row r="445" spans="1:21">
      <c r="A445" s="42">
        <v>46252.166666666664</v>
      </c>
      <c r="B445" s="43" t="s">
        <v>29</v>
      </c>
      <c r="C445" s="44">
        <v>0</v>
      </c>
      <c r="D445" s="44">
        <v>0</v>
      </c>
      <c r="E445" s="44">
        <v>238</v>
      </c>
      <c r="F445" s="44">
        <v>78.053250000000006</v>
      </c>
      <c r="G445" s="11">
        <f t="shared" si="12"/>
        <v>0</v>
      </c>
      <c r="H445" s="35">
        <f t="shared" si="13"/>
        <v>0</v>
      </c>
      <c r="R445" s="48" t="s">
        <v>36</v>
      </c>
      <c r="S445" s="48" t="s">
        <v>36</v>
      </c>
      <c r="T445" s="49">
        <v>46252.166666666664</v>
      </c>
      <c r="U445" s="50">
        <v>0</v>
      </c>
    </row>
    <row r="446" spans="1:21">
      <c r="A446" s="42">
        <v>46252.208333333336</v>
      </c>
      <c r="B446" s="43" t="s">
        <v>29</v>
      </c>
      <c r="C446" s="44">
        <v>0</v>
      </c>
      <c r="D446" s="44">
        <v>0</v>
      </c>
      <c r="E446" s="44">
        <v>238</v>
      </c>
      <c r="F446" s="44">
        <v>78.053250000000006</v>
      </c>
      <c r="G446" s="11">
        <f t="shared" si="12"/>
        <v>0</v>
      </c>
      <c r="H446" s="35">
        <f t="shared" si="13"/>
        <v>0</v>
      </c>
      <c r="R446" s="48" t="s">
        <v>36</v>
      </c>
      <c r="S446" s="48" t="s">
        <v>36</v>
      </c>
      <c r="T446" s="49">
        <v>46252.208333333336</v>
      </c>
      <c r="U446" s="50">
        <v>0</v>
      </c>
    </row>
    <row r="447" spans="1:21">
      <c r="A447" s="42">
        <v>46252.25</v>
      </c>
      <c r="B447" s="43" t="s">
        <v>29</v>
      </c>
      <c r="C447" s="44">
        <v>0</v>
      </c>
      <c r="D447" s="44">
        <v>0</v>
      </c>
      <c r="E447" s="44">
        <v>238</v>
      </c>
      <c r="F447" s="44">
        <v>78.053250000000006</v>
      </c>
      <c r="G447" s="11">
        <f t="shared" si="12"/>
        <v>0</v>
      </c>
      <c r="H447" s="35">
        <f t="shared" si="13"/>
        <v>0</v>
      </c>
      <c r="R447" s="48" t="s">
        <v>36</v>
      </c>
      <c r="S447" s="48" t="s">
        <v>36</v>
      </c>
      <c r="T447" s="49">
        <v>46252.25</v>
      </c>
      <c r="U447" s="50">
        <v>0</v>
      </c>
    </row>
    <row r="448" spans="1:21">
      <c r="A448" s="42">
        <v>46252.291666666664</v>
      </c>
      <c r="B448" s="43" t="s">
        <v>29</v>
      </c>
      <c r="C448" s="44">
        <v>0</v>
      </c>
      <c r="D448" s="44">
        <v>0</v>
      </c>
      <c r="E448" s="44">
        <v>238</v>
      </c>
      <c r="F448" s="44">
        <v>78.053250000000006</v>
      </c>
      <c r="G448" s="11">
        <f t="shared" si="12"/>
        <v>0</v>
      </c>
      <c r="H448" s="35">
        <f t="shared" si="13"/>
        <v>0</v>
      </c>
      <c r="R448" s="48" t="s">
        <v>36</v>
      </c>
      <c r="S448" s="48" t="s">
        <v>36</v>
      </c>
      <c r="T448" s="49">
        <v>46252.291666666664</v>
      </c>
      <c r="U448" s="50">
        <v>0</v>
      </c>
    </row>
    <row r="449" spans="1:21">
      <c r="A449" s="42">
        <v>46252.333333333336</v>
      </c>
      <c r="B449" s="43" t="s">
        <v>29</v>
      </c>
      <c r="C449" s="44">
        <v>0</v>
      </c>
      <c r="D449" s="44">
        <v>0</v>
      </c>
      <c r="E449" s="44">
        <v>238</v>
      </c>
      <c r="F449" s="44">
        <v>78.053250000000006</v>
      </c>
      <c r="G449" s="11">
        <f t="shared" si="12"/>
        <v>0</v>
      </c>
      <c r="H449" s="35">
        <f t="shared" si="13"/>
        <v>0</v>
      </c>
      <c r="R449" s="48" t="s">
        <v>36</v>
      </c>
      <c r="S449" s="48" t="s">
        <v>36</v>
      </c>
      <c r="T449" s="49">
        <v>46252.333333333336</v>
      </c>
      <c r="U449" s="50">
        <v>0</v>
      </c>
    </row>
    <row r="450" spans="1:21">
      <c r="A450" s="42">
        <v>46252.375</v>
      </c>
      <c r="B450" s="43" t="s">
        <v>29</v>
      </c>
      <c r="C450" s="44">
        <v>0</v>
      </c>
      <c r="D450" s="44">
        <v>0</v>
      </c>
      <c r="E450" s="44">
        <v>238</v>
      </c>
      <c r="F450" s="44">
        <v>78.053250000000006</v>
      </c>
      <c r="G450" s="11">
        <f t="shared" si="12"/>
        <v>0</v>
      </c>
      <c r="H450" s="35">
        <f t="shared" si="13"/>
        <v>0</v>
      </c>
      <c r="R450" s="48" t="s">
        <v>36</v>
      </c>
      <c r="S450" s="48" t="s">
        <v>36</v>
      </c>
      <c r="T450" s="49">
        <v>46252.375</v>
      </c>
      <c r="U450" s="50">
        <v>0</v>
      </c>
    </row>
    <row r="451" spans="1:21">
      <c r="A451" s="42">
        <v>46252.416666666664</v>
      </c>
      <c r="B451" s="43" t="s">
        <v>29</v>
      </c>
      <c r="C451" s="44">
        <v>0</v>
      </c>
      <c r="D451" s="44">
        <v>0</v>
      </c>
      <c r="E451" s="44">
        <v>238</v>
      </c>
      <c r="F451" s="44">
        <v>78.053250000000006</v>
      </c>
      <c r="G451" s="11">
        <f t="shared" ref="G451:G514" si="14">U451</f>
        <v>0</v>
      </c>
      <c r="H451" s="35">
        <f t="shared" ref="H451:H514" si="15">D451+G457</f>
        <v>0</v>
      </c>
      <c r="R451" s="48" t="s">
        <v>36</v>
      </c>
      <c r="S451" s="48" t="s">
        <v>36</v>
      </c>
      <c r="T451" s="49">
        <v>46252.416666666664</v>
      </c>
      <c r="U451" s="50">
        <v>0</v>
      </c>
    </row>
    <row r="452" spans="1:21">
      <c r="A452" s="42">
        <v>46252.458333333336</v>
      </c>
      <c r="B452" s="43" t="s">
        <v>29</v>
      </c>
      <c r="C452" s="44">
        <v>0</v>
      </c>
      <c r="D452" s="44">
        <v>0</v>
      </c>
      <c r="E452" s="44">
        <v>238</v>
      </c>
      <c r="F452" s="44">
        <v>78.053250000000006</v>
      </c>
      <c r="G452" s="11">
        <f t="shared" si="14"/>
        <v>0</v>
      </c>
      <c r="H452" s="35">
        <f t="shared" si="15"/>
        <v>0</v>
      </c>
      <c r="R452" s="48" t="s">
        <v>36</v>
      </c>
      <c r="S452" s="48" t="s">
        <v>36</v>
      </c>
      <c r="T452" s="49">
        <v>46252.458333333336</v>
      </c>
      <c r="U452" s="50">
        <v>0</v>
      </c>
    </row>
    <row r="453" spans="1:21">
      <c r="A453" s="42">
        <v>46252.5</v>
      </c>
      <c r="B453" s="43" t="s">
        <v>29</v>
      </c>
      <c r="C453" s="44">
        <v>0</v>
      </c>
      <c r="D453" s="44">
        <v>0</v>
      </c>
      <c r="E453" s="44">
        <v>238</v>
      </c>
      <c r="F453" s="44">
        <v>78.053250000000006</v>
      </c>
      <c r="G453" s="11">
        <f t="shared" si="14"/>
        <v>0</v>
      </c>
      <c r="H453" s="35">
        <f t="shared" si="15"/>
        <v>0</v>
      </c>
      <c r="R453" s="48" t="s">
        <v>36</v>
      </c>
      <c r="S453" s="48" t="s">
        <v>36</v>
      </c>
      <c r="T453" s="49">
        <v>46252.5</v>
      </c>
      <c r="U453" s="50">
        <v>0</v>
      </c>
    </row>
    <row r="454" spans="1:21">
      <c r="A454" s="42">
        <v>46252.541666666664</v>
      </c>
      <c r="B454" s="43" t="s">
        <v>29</v>
      </c>
      <c r="C454" s="44">
        <v>0</v>
      </c>
      <c r="D454" s="44">
        <v>0</v>
      </c>
      <c r="E454" s="44">
        <v>238</v>
      </c>
      <c r="F454" s="44">
        <v>78.053250000000006</v>
      </c>
      <c r="G454" s="11">
        <f t="shared" si="14"/>
        <v>0</v>
      </c>
      <c r="H454" s="35">
        <f t="shared" si="15"/>
        <v>0</v>
      </c>
      <c r="R454" s="48" t="s">
        <v>36</v>
      </c>
      <c r="S454" s="48" t="s">
        <v>36</v>
      </c>
      <c r="T454" s="49">
        <v>46252.541666666664</v>
      </c>
      <c r="U454" s="50">
        <v>0</v>
      </c>
    </row>
    <row r="455" spans="1:21">
      <c r="A455" s="42">
        <v>46252.583333333336</v>
      </c>
      <c r="B455" s="43" t="s">
        <v>29</v>
      </c>
      <c r="C455" s="44">
        <v>0</v>
      </c>
      <c r="D455" s="44">
        <v>0</v>
      </c>
      <c r="E455" s="44">
        <v>238</v>
      </c>
      <c r="F455" s="44">
        <v>78.053250000000006</v>
      </c>
      <c r="G455" s="11">
        <f t="shared" si="14"/>
        <v>0</v>
      </c>
      <c r="H455" s="35">
        <f t="shared" si="15"/>
        <v>0</v>
      </c>
      <c r="R455" s="48" t="s">
        <v>36</v>
      </c>
      <c r="S455" s="48" t="s">
        <v>36</v>
      </c>
      <c r="T455" s="49">
        <v>46252.583333333336</v>
      </c>
      <c r="U455" s="50">
        <v>0</v>
      </c>
    </row>
    <row r="456" spans="1:21">
      <c r="A456" s="42">
        <v>46252.625</v>
      </c>
      <c r="B456" s="43" t="s">
        <v>29</v>
      </c>
      <c r="C456" s="44">
        <v>0</v>
      </c>
      <c r="D456" s="44">
        <v>0</v>
      </c>
      <c r="E456" s="44">
        <v>238</v>
      </c>
      <c r="F456" s="44">
        <v>78.053250000000006</v>
      </c>
      <c r="G456" s="11">
        <f t="shared" si="14"/>
        <v>0</v>
      </c>
      <c r="H456" s="35">
        <f t="shared" si="15"/>
        <v>0</v>
      </c>
      <c r="R456" s="48" t="s">
        <v>36</v>
      </c>
      <c r="S456" s="48" t="s">
        <v>36</v>
      </c>
      <c r="T456" s="49">
        <v>46252.625</v>
      </c>
      <c r="U456" s="50">
        <v>0</v>
      </c>
    </row>
    <row r="457" spans="1:21">
      <c r="A457" s="42">
        <v>46252.666666666664</v>
      </c>
      <c r="B457" s="43" t="s">
        <v>29</v>
      </c>
      <c r="C457" s="44">
        <v>0</v>
      </c>
      <c r="D457" s="44">
        <v>0</v>
      </c>
      <c r="E457" s="44">
        <v>238</v>
      </c>
      <c r="F457" s="44">
        <v>78.053250000000006</v>
      </c>
      <c r="G457" s="11">
        <f t="shared" si="14"/>
        <v>0</v>
      </c>
      <c r="H457" s="35">
        <f t="shared" si="15"/>
        <v>0</v>
      </c>
      <c r="R457" s="48" t="s">
        <v>36</v>
      </c>
      <c r="S457" s="48" t="s">
        <v>36</v>
      </c>
      <c r="T457" s="49">
        <v>46252.666666666664</v>
      </c>
      <c r="U457" s="50">
        <v>0</v>
      </c>
    </row>
    <row r="458" spans="1:21">
      <c r="A458" s="42">
        <v>46252.708333333336</v>
      </c>
      <c r="B458" s="43" t="s">
        <v>29</v>
      </c>
      <c r="C458" s="44">
        <v>0</v>
      </c>
      <c r="D458" s="44">
        <v>0</v>
      </c>
      <c r="E458" s="44">
        <v>238</v>
      </c>
      <c r="F458" s="44">
        <v>78.053250000000006</v>
      </c>
      <c r="G458" s="11">
        <f t="shared" si="14"/>
        <v>0</v>
      </c>
      <c r="H458" s="35">
        <f t="shared" si="15"/>
        <v>0</v>
      </c>
      <c r="R458" s="48" t="s">
        <v>36</v>
      </c>
      <c r="S458" s="48" t="s">
        <v>36</v>
      </c>
      <c r="T458" s="49">
        <v>46252.708333333336</v>
      </c>
      <c r="U458" s="50">
        <v>0</v>
      </c>
    </row>
    <row r="459" spans="1:21">
      <c r="A459" s="42">
        <v>46252.75</v>
      </c>
      <c r="B459" s="43" t="s">
        <v>29</v>
      </c>
      <c r="C459" s="44">
        <v>0</v>
      </c>
      <c r="D459" s="44">
        <v>0</v>
      </c>
      <c r="E459" s="44">
        <v>238</v>
      </c>
      <c r="F459" s="44">
        <v>78.053250000000006</v>
      </c>
      <c r="G459" s="11">
        <f t="shared" si="14"/>
        <v>0</v>
      </c>
      <c r="H459" s="35">
        <f t="shared" si="15"/>
        <v>0</v>
      </c>
      <c r="R459" s="48" t="s">
        <v>36</v>
      </c>
      <c r="S459" s="48" t="s">
        <v>36</v>
      </c>
      <c r="T459" s="49">
        <v>46252.75</v>
      </c>
      <c r="U459" s="50">
        <v>0</v>
      </c>
    </row>
    <row r="460" spans="1:21">
      <c r="A460" s="42">
        <v>46252.791666666664</v>
      </c>
      <c r="B460" s="43" t="s">
        <v>29</v>
      </c>
      <c r="C460" s="44">
        <v>0</v>
      </c>
      <c r="D460" s="44">
        <v>0</v>
      </c>
      <c r="E460" s="44">
        <v>238</v>
      </c>
      <c r="F460" s="44">
        <v>78.053250000000006</v>
      </c>
      <c r="G460" s="11">
        <f t="shared" si="14"/>
        <v>0</v>
      </c>
      <c r="H460" s="35">
        <f t="shared" si="15"/>
        <v>0</v>
      </c>
      <c r="R460" s="48" t="s">
        <v>36</v>
      </c>
      <c r="S460" s="48" t="s">
        <v>36</v>
      </c>
      <c r="T460" s="49">
        <v>46252.791666666664</v>
      </c>
      <c r="U460" s="50">
        <v>0</v>
      </c>
    </row>
    <row r="461" spans="1:21">
      <c r="A461" s="42">
        <v>46252.833333333336</v>
      </c>
      <c r="B461" s="43" t="s">
        <v>29</v>
      </c>
      <c r="C461" s="44">
        <v>0</v>
      </c>
      <c r="D461" s="44">
        <v>0</v>
      </c>
      <c r="E461" s="44">
        <v>238</v>
      </c>
      <c r="F461" s="44">
        <v>78.053250000000006</v>
      </c>
      <c r="G461" s="11">
        <f t="shared" si="14"/>
        <v>0</v>
      </c>
      <c r="H461" s="35">
        <f t="shared" si="15"/>
        <v>0</v>
      </c>
      <c r="R461" s="48" t="s">
        <v>36</v>
      </c>
      <c r="S461" s="48" t="s">
        <v>36</v>
      </c>
      <c r="T461" s="49">
        <v>46252.833333333336</v>
      </c>
      <c r="U461" s="50">
        <v>0</v>
      </c>
    </row>
    <row r="462" spans="1:21">
      <c r="A462" s="42">
        <v>46252.875</v>
      </c>
      <c r="B462" s="43" t="s">
        <v>29</v>
      </c>
      <c r="C462" s="44">
        <v>0</v>
      </c>
      <c r="D462" s="44">
        <v>0</v>
      </c>
      <c r="E462" s="44">
        <v>238</v>
      </c>
      <c r="F462" s="44">
        <v>78.053250000000006</v>
      </c>
      <c r="G462" s="11">
        <f t="shared" si="14"/>
        <v>0</v>
      </c>
      <c r="H462" s="35">
        <f t="shared" si="15"/>
        <v>0</v>
      </c>
      <c r="R462" s="48" t="s">
        <v>36</v>
      </c>
      <c r="S462" s="48" t="s">
        <v>36</v>
      </c>
      <c r="T462" s="49">
        <v>46252.875</v>
      </c>
      <c r="U462" s="50">
        <v>0</v>
      </c>
    </row>
    <row r="463" spans="1:21">
      <c r="A463" s="42">
        <v>46252.916666666664</v>
      </c>
      <c r="B463" s="43" t="s">
        <v>29</v>
      </c>
      <c r="C463" s="44">
        <v>0</v>
      </c>
      <c r="D463" s="44">
        <v>0</v>
      </c>
      <c r="E463" s="44">
        <v>238</v>
      </c>
      <c r="F463" s="44">
        <v>78.053250000000006</v>
      </c>
      <c r="G463" s="11">
        <f t="shared" si="14"/>
        <v>0</v>
      </c>
      <c r="H463" s="35">
        <f t="shared" si="15"/>
        <v>0</v>
      </c>
      <c r="R463" s="48" t="s">
        <v>36</v>
      </c>
      <c r="S463" s="48" t="s">
        <v>36</v>
      </c>
      <c r="T463" s="49">
        <v>46252.916666666664</v>
      </c>
      <c r="U463" s="50">
        <v>0</v>
      </c>
    </row>
    <row r="464" spans="1:21">
      <c r="A464" s="42">
        <v>46252.958333333336</v>
      </c>
      <c r="B464" s="43" t="s">
        <v>29</v>
      </c>
      <c r="C464" s="44">
        <v>0</v>
      </c>
      <c r="D464" s="44">
        <v>0</v>
      </c>
      <c r="E464" s="44">
        <v>238</v>
      </c>
      <c r="F464" s="44">
        <v>78.053250000000006</v>
      </c>
      <c r="G464" s="11">
        <f t="shared" si="14"/>
        <v>0</v>
      </c>
      <c r="H464" s="35">
        <f t="shared" si="15"/>
        <v>0</v>
      </c>
      <c r="R464" s="48" t="s">
        <v>36</v>
      </c>
      <c r="S464" s="48" t="s">
        <v>36</v>
      </c>
      <c r="T464" s="49">
        <v>46252.958333333336</v>
      </c>
      <c r="U464" s="50">
        <v>0</v>
      </c>
    </row>
    <row r="465" spans="1:21">
      <c r="A465" s="42">
        <v>46253</v>
      </c>
      <c r="B465" s="43" t="s">
        <v>29</v>
      </c>
      <c r="C465" s="44">
        <v>0</v>
      </c>
      <c r="D465" s="44">
        <v>0</v>
      </c>
      <c r="E465" s="44">
        <v>238</v>
      </c>
      <c r="F465" s="44">
        <v>78.053250000000006</v>
      </c>
      <c r="G465" s="11">
        <f t="shared" si="14"/>
        <v>0</v>
      </c>
      <c r="H465" s="35">
        <f t="shared" si="15"/>
        <v>0</v>
      </c>
      <c r="R465" s="48" t="s">
        <v>36</v>
      </c>
      <c r="S465" s="48" t="s">
        <v>36</v>
      </c>
      <c r="T465" s="49">
        <v>46253</v>
      </c>
      <c r="U465" s="50">
        <v>0</v>
      </c>
    </row>
    <row r="466" spans="1:21">
      <c r="A466" s="42">
        <v>46253.041666666664</v>
      </c>
      <c r="B466" s="43" t="s">
        <v>29</v>
      </c>
      <c r="C466" s="44">
        <v>0</v>
      </c>
      <c r="D466" s="44">
        <v>0</v>
      </c>
      <c r="E466" s="44">
        <v>238</v>
      </c>
      <c r="F466" s="44">
        <v>78.053250000000006</v>
      </c>
      <c r="G466" s="11">
        <f t="shared" si="14"/>
        <v>0</v>
      </c>
      <c r="H466" s="35">
        <f t="shared" si="15"/>
        <v>0</v>
      </c>
      <c r="R466" s="48" t="s">
        <v>36</v>
      </c>
      <c r="S466" s="48" t="s">
        <v>36</v>
      </c>
      <c r="T466" s="49">
        <v>46253.041666666664</v>
      </c>
      <c r="U466" s="50">
        <v>0</v>
      </c>
    </row>
    <row r="467" spans="1:21">
      <c r="A467" s="42">
        <v>46253.083333333336</v>
      </c>
      <c r="B467" s="43" t="s">
        <v>29</v>
      </c>
      <c r="C467" s="44">
        <v>0</v>
      </c>
      <c r="D467" s="44">
        <v>0</v>
      </c>
      <c r="E467" s="44">
        <v>238</v>
      </c>
      <c r="F467" s="44">
        <v>78.053250000000006</v>
      </c>
      <c r="G467" s="11">
        <f t="shared" si="14"/>
        <v>0</v>
      </c>
      <c r="H467" s="35">
        <f t="shared" si="15"/>
        <v>0</v>
      </c>
      <c r="R467" s="48" t="s">
        <v>36</v>
      </c>
      <c r="S467" s="48" t="s">
        <v>36</v>
      </c>
      <c r="T467" s="49">
        <v>46253.083333333336</v>
      </c>
      <c r="U467" s="50">
        <v>0</v>
      </c>
    </row>
    <row r="468" spans="1:21">
      <c r="A468" s="42">
        <v>46253.125</v>
      </c>
      <c r="B468" s="43" t="s">
        <v>29</v>
      </c>
      <c r="C468" s="44">
        <v>0</v>
      </c>
      <c r="D468" s="44">
        <v>0</v>
      </c>
      <c r="E468" s="44">
        <v>238</v>
      </c>
      <c r="F468" s="44">
        <v>78.053250000000006</v>
      </c>
      <c r="G468" s="11">
        <f t="shared" si="14"/>
        <v>0</v>
      </c>
      <c r="H468" s="35">
        <f t="shared" si="15"/>
        <v>0</v>
      </c>
      <c r="R468" s="48" t="s">
        <v>36</v>
      </c>
      <c r="S468" s="48" t="s">
        <v>36</v>
      </c>
      <c r="T468" s="49">
        <v>46253.125</v>
      </c>
      <c r="U468" s="50">
        <v>0</v>
      </c>
    </row>
    <row r="469" spans="1:21">
      <c r="A469" s="42">
        <v>46253.166666666664</v>
      </c>
      <c r="B469" s="43" t="s">
        <v>29</v>
      </c>
      <c r="C469" s="44">
        <v>0</v>
      </c>
      <c r="D469" s="44">
        <v>0</v>
      </c>
      <c r="E469" s="44">
        <v>238</v>
      </c>
      <c r="F469" s="44">
        <v>78.053250000000006</v>
      </c>
      <c r="G469" s="11">
        <f t="shared" si="14"/>
        <v>0</v>
      </c>
      <c r="H469" s="35">
        <f t="shared" si="15"/>
        <v>0</v>
      </c>
      <c r="R469" s="48" t="s">
        <v>36</v>
      </c>
      <c r="S469" s="48" t="s">
        <v>36</v>
      </c>
      <c r="T469" s="49">
        <v>46253.166666666664</v>
      </c>
      <c r="U469" s="50">
        <v>0</v>
      </c>
    </row>
    <row r="470" spans="1:21">
      <c r="A470" s="42">
        <v>46253.208333333336</v>
      </c>
      <c r="B470" s="43" t="s">
        <v>29</v>
      </c>
      <c r="C470" s="44">
        <v>0</v>
      </c>
      <c r="D470" s="44">
        <v>0</v>
      </c>
      <c r="E470" s="44">
        <v>238</v>
      </c>
      <c r="F470" s="44">
        <v>78.053250000000006</v>
      </c>
      <c r="G470" s="11">
        <f t="shared" si="14"/>
        <v>0</v>
      </c>
      <c r="H470" s="35">
        <f t="shared" si="15"/>
        <v>0</v>
      </c>
      <c r="R470" s="48" t="s">
        <v>36</v>
      </c>
      <c r="S470" s="48" t="s">
        <v>36</v>
      </c>
      <c r="T470" s="49">
        <v>46253.208333333336</v>
      </c>
      <c r="U470" s="50">
        <v>0</v>
      </c>
    </row>
    <row r="471" spans="1:21">
      <c r="A471" s="42">
        <v>46253.25</v>
      </c>
      <c r="B471" s="43" t="s">
        <v>29</v>
      </c>
      <c r="C471" s="44">
        <v>0</v>
      </c>
      <c r="D471" s="44">
        <v>0</v>
      </c>
      <c r="E471" s="44">
        <v>238</v>
      </c>
      <c r="F471" s="44">
        <v>78.053250000000006</v>
      </c>
      <c r="G471" s="11">
        <f t="shared" si="14"/>
        <v>0</v>
      </c>
      <c r="H471" s="35">
        <f t="shared" si="15"/>
        <v>0</v>
      </c>
      <c r="R471" s="48" t="s">
        <v>36</v>
      </c>
      <c r="S471" s="48" t="s">
        <v>36</v>
      </c>
      <c r="T471" s="49">
        <v>46253.25</v>
      </c>
      <c r="U471" s="50">
        <v>0</v>
      </c>
    </row>
    <row r="472" spans="1:21">
      <c r="A472" s="42">
        <v>46253.291666666664</v>
      </c>
      <c r="B472" s="43" t="s">
        <v>29</v>
      </c>
      <c r="C472" s="44">
        <v>0</v>
      </c>
      <c r="D472" s="44">
        <v>0</v>
      </c>
      <c r="E472" s="44">
        <v>238</v>
      </c>
      <c r="F472" s="44">
        <v>78.053250000000006</v>
      </c>
      <c r="G472" s="11">
        <f t="shared" si="14"/>
        <v>0</v>
      </c>
      <c r="H472" s="35">
        <f t="shared" si="15"/>
        <v>0</v>
      </c>
      <c r="R472" s="48" t="s">
        <v>36</v>
      </c>
      <c r="S472" s="48" t="s">
        <v>36</v>
      </c>
      <c r="T472" s="49">
        <v>46253.291666666664</v>
      </c>
      <c r="U472" s="50">
        <v>0</v>
      </c>
    </row>
    <row r="473" spans="1:21">
      <c r="A473" s="42">
        <v>46253.333333333336</v>
      </c>
      <c r="B473" s="43" t="s">
        <v>29</v>
      </c>
      <c r="C473" s="44">
        <v>0</v>
      </c>
      <c r="D473" s="44">
        <v>0</v>
      </c>
      <c r="E473" s="44">
        <v>238</v>
      </c>
      <c r="F473" s="44">
        <v>78.053250000000006</v>
      </c>
      <c r="G473" s="11">
        <f t="shared" si="14"/>
        <v>0</v>
      </c>
      <c r="H473" s="35">
        <f t="shared" si="15"/>
        <v>0</v>
      </c>
      <c r="R473" s="48" t="s">
        <v>36</v>
      </c>
      <c r="S473" s="48" t="s">
        <v>36</v>
      </c>
      <c r="T473" s="49">
        <v>46253.333333333336</v>
      </c>
      <c r="U473" s="50">
        <v>0</v>
      </c>
    </row>
    <row r="474" spans="1:21">
      <c r="A474" s="42">
        <v>46253.375</v>
      </c>
      <c r="B474" s="43" t="s">
        <v>29</v>
      </c>
      <c r="C474" s="44">
        <v>0</v>
      </c>
      <c r="D474" s="44">
        <v>0</v>
      </c>
      <c r="E474" s="44">
        <v>238</v>
      </c>
      <c r="F474" s="44">
        <v>78.053250000000006</v>
      </c>
      <c r="G474" s="11">
        <f t="shared" si="14"/>
        <v>0</v>
      </c>
      <c r="H474" s="35">
        <f t="shared" si="15"/>
        <v>0</v>
      </c>
      <c r="R474" s="48" t="s">
        <v>36</v>
      </c>
      <c r="S474" s="48" t="s">
        <v>36</v>
      </c>
      <c r="T474" s="49">
        <v>46253.375</v>
      </c>
      <c r="U474" s="50">
        <v>0</v>
      </c>
    </row>
    <row r="475" spans="1:21">
      <c r="A475" s="42">
        <v>46253.416666666664</v>
      </c>
      <c r="B475" s="43" t="s">
        <v>29</v>
      </c>
      <c r="C475" s="44">
        <v>0</v>
      </c>
      <c r="D475" s="44">
        <v>0</v>
      </c>
      <c r="E475" s="44">
        <v>238</v>
      </c>
      <c r="F475" s="44">
        <v>78.053250000000006</v>
      </c>
      <c r="G475" s="11">
        <f t="shared" si="14"/>
        <v>0</v>
      </c>
      <c r="H475" s="35">
        <f t="shared" si="15"/>
        <v>0</v>
      </c>
      <c r="R475" s="48" t="s">
        <v>36</v>
      </c>
      <c r="S475" s="48" t="s">
        <v>36</v>
      </c>
      <c r="T475" s="49">
        <v>46253.416666666664</v>
      </c>
      <c r="U475" s="50">
        <v>0</v>
      </c>
    </row>
    <row r="476" spans="1:21">
      <c r="A476" s="42">
        <v>46253.458333333336</v>
      </c>
      <c r="B476" s="43" t="s">
        <v>29</v>
      </c>
      <c r="C476" s="44">
        <v>0</v>
      </c>
      <c r="D476" s="44">
        <v>0</v>
      </c>
      <c r="E476" s="44">
        <v>238</v>
      </c>
      <c r="F476" s="44">
        <v>78.053250000000006</v>
      </c>
      <c r="G476" s="11">
        <f t="shared" si="14"/>
        <v>0</v>
      </c>
      <c r="H476" s="35">
        <f t="shared" si="15"/>
        <v>0</v>
      </c>
      <c r="R476" s="48" t="s">
        <v>36</v>
      </c>
      <c r="S476" s="48" t="s">
        <v>36</v>
      </c>
      <c r="T476" s="49">
        <v>46253.458333333336</v>
      </c>
      <c r="U476" s="50">
        <v>0</v>
      </c>
    </row>
    <row r="477" spans="1:21">
      <c r="A477" s="42">
        <v>46253.5</v>
      </c>
      <c r="B477" s="43" t="s">
        <v>29</v>
      </c>
      <c r="C477" s="44">
        <v>0</v>
      </c>
      <c r="D477" s="44">
        <v>0</v>
      </c>
      <c r="E477" s="44">
        <v>238</v>
      </c>
      <c r="F477" s="44">
        <v>78.053250000000006</v>
      </c>
      <c r="G477" s="11">
        <f t="shared" si="14"/>
        <v>0</v>
      </c>
      <c r="H477" s="35">
        <f t="shared" si="15"/>
        <v>0</v>
      </c>
      <c r="R477" s="48" t="s">
        <v>36</v>
      </c>
      <c r="S477" s="48" t="s">
        <v>36</v>
      </c>
      <c r="T477" s="49">
        <v>46253.5</v>
      </c>
      <c r="U477" s="50">
        <v>0</v>
      </c>
    </row>
    <row r="478" spans="1:21">
      <c r="A478" s="42">
        <v>46253.541666666664</v>
      </c>
      <c r="B478" s="43" t="s">
        <v>29</v>
      </c>
      <c r="C478" s="44">
        <v>0</v>
      </c>
      <c r="D478" s="44">
        <v>0</v>
      </c>
      <c r="E478" s="44">
        <v>238</v>
      </c>
      <c r="F478" s="44">
        <v>78.053250000000006</v>
      </c>
      <c r="G478" s="11">
        <f t="shared" si="14"/>
        <v>0</v>
      </c>
      <c r="H478" s="35">
        <f t="shared" si="15"/>
        <v>0</v>
      </c>
      <c r="R478" s="48" t="s">
        <v>36</v>
      </c>
      <c r="S478" s="48" t="s">
        <v>36</v>
      </c>
      <c r="T478" s="49">
        <v>46253.541666666664</v>
      </c>
      <c r="U478" s="50">
        <v>0</v>
      </c>
    </row>
    <row r="479" spans="1:21">
      <c r="A479" s="42">
        <v>46253.583333333336</v>
      </c>
      <c r="B479" s="43" t="s">
        <v>29</v>
      </c>
      <c r="C479" s="44">
        <v>0</v>
      </c>
      <c r="D479" s="44">
        <v>0</v>
      </c>
      <c r="E479" s="44">
        <v>238</v>
      </c>
      <c r="F479" s="44">
        <v>78.053250000000006</v>
      </c>
      <c r="G479" s="11">
        <f t="shared" si="14"/>
        <v>0</v>
      </c>
      <c r="H479" s="35">
        <f t="shared" si="15"/>
        <v>0</v>
      </c>
      <c r="R479" s="48" t="s">
        <v>36</v>
      </c>
      <c r="S479" s="48" t="s">
        <v>36</v>
      </c>
      <c r="T479" s="49">
        <v>46253.583333333336</v>
      </c>
      <c r="U479" s="50">
        <v>0</v>
      </c>
    </row>
    <row r="480" spans="1:21">
      <c r="A480" s="42">
        <v>46253.625</v>
      </c>
      <c r="B480" s="43" t="s">
        <v>29</v>
      </c>
      <c r="C480" s="44">
        <v>0</v>
      </c>
      <c r="D480" s="44">
        <v>0</v>
      </c>
      <c r="E480" s="44">
        <v>238</v>
      </c>
      <c r="F480" s="44">
        <v>78.053250000000006</v>
      </c>
      <c r="G480" s="11">
        <f t="shared" si="14"/>
        <v>0</v>
      </c>
      <c r="H480" s="35">
        <f t="shared" si="15"/>
        <v>0</v>
      </c>
      <c r="R480" s="48" t="s">
        <v>36</v>
      </c>
      <c r="S480" s="48" t="s">
        <v>36</v>
      </c>
      <c r="T480" s="49">
        <v>46253.625</v>
      </c>
      <c r="U480" s="50">
        <v>0</v>
      </c>
    </row>
    <row r="481" spans="1:21">
      <c r="A481" s="42">
        <v>46253.666666666664</v>
      </c>
      <c r="B481" s="43" t="s">
        <v>29</v>
      </c>
      <c r="C481" s="44">
        <v>0</v>
      </c>
      <c r="D481" s="44">
        <v>0</v>
      </c>
      <c r="E481" s="44">
        <v>238</v>
      </c>
      <c r="F481" s="44">
        <v>78.053250000000006</v>
      </c>
      <c r="G481" s="11">
        <f t="shared" si="14"/>
        <v>0</v>
      </c>
      <c r="H481" s="35">
        <f t="shared" si="15"/>
        <v>0</v>
      </c>
      <c r="R481" s="48" t="s">
        <v>36</v>
      </c>
      <c r="S481" s="48" t="s">
        <v>36</v>
      </c>
      <c r="T481" s="49">
        <v>46253.666666666664</v>
      </c>
      <c r="U481" s="50">
        <v>0</v>
      </c>
    </row>
    <row r="482" spans="1:21">
      <c r="A482" s="42">
        <v>46253.708333333336</v>
      </c>
      <c r="B482" s="43" t="s">
        <v>29</v>
      </c>
      <c r="C482" s="44">
        <v>0</v>
      </c>
      <c r="D482" s="44">
        <v>0</v>
      </c>
      <c r="E482" s="44">
        <v>238</v>
      </c>
      <c r="F482" s="44">
        <v>78.053250000000006</v>
      </c>
      <c r="G482" s="11">
        <f t="shared" si="14"/>
        <v>0</v>
      </c>
      <c r="H482" s="35">
        <f t="shared" si="15"/>
        <v>0</v>
      </c>
      <c r="R482" s="48" t="s">
        <v>36</v>
      </c>
      <c r="S482" s="48" t="s">
        <v>36</v>
      </c>
      <c r="T482" s="49">
        <v>46253.708333333336</v>
      </c>
      <c r="U482" s="50">
        <v>0</v>
      </c>
    </row>
    <row r="483" spans="1:21">
      <c r="A483" s="42">
        <v>46253.75</v>
      </c>
      <c r="B483" s="43" t="s">
        <v>29</v>
      </c>
      <c r="C483" s="44">
        <v>0</v>
      </c>
      <c r="D483" s="44">
        <v>0</v>
      </c>
      <c r="E483" s="44">
        <v>238</v>
      </c>
      <c r="F483" s="44">
        <v>78.053250000000006</v>
      </c>
      <c r="G483" s="11">
        <f t="shared" si="14"/>
        <v>0</v>
      </c>
      <c r="H483" s="35">
        <f t="shared" si="15"/>
        <v>0</v>
      </c>
      <c r="R483" s="48" t="s">
        <v>36</v>
      </c>
      <c r="S483" s="48" t="s">
        <v>36</v>
      </c>
      <c r="T483" s="49">
        <v>46253.75</v>
      </c>
      <c r="U483" s="50">
        <v>0</v>
      </c>
    </row>
    <row r="484" spans="1:21">
      <c r="A484" s="42">
        <v>46253.791666666664</v>
      </c>
      <c r="B484" s="43" t="s">
        <v>29</v>
      </c>
      <c r="C484" s="44">
        <v>0</v>
      </c>
      <c r="D484" s="44">
        <v>0</v>
      </c>
      <c r="E484" s="44">
        <v>238</v>
      </c>
      <c r="F484" s="44">
        <v>78.053250000000006</v>
      </c>
      <c r="G484" s="11">
        <f t="shared" si="14"/>
        <v>0</v>
      </c>
      <c r="H484" s="35">
        <f t="shared" si="15"/>
        <v>0</v>
      </c>
      <c r="R484" s="48" t="s">
        <v>36</v>
      </c>
      <c r="S484" s="48" t="s">
        <v>36</v>
      </c>
      <c r="T484" s="49">
        <v>46253.791666666664</v>
      </c>
      <c r="U484" s="50">
        <v>0</v>
      </c>
    </row>
    <row r="485" spans="1:21">
      <c r="A485" s="42">
        <v>46253.833333333336</v>
      </c>
      <c r="B485" s="43" t="s">
        <v>29</v>
      </c>
      <c r="C485" s="44">
        <v>0</v>
      </c>
      <c r="D485" s="44">
        <v>0</v>
      </c>
      <c r="E485" s="44">
        <v>238</v>
      </c>
      <c r="F485" s="44">
        <v>78.053250000000006</v>
      </c>
      <c r="G485" s="11">
        <f t="shared" si="14"/>
        <v>0</v>
      </c>
      <c r="H485" s="35">
        <f t="shared" si="15"/>
        <v>0</v>
      </c>
      <c r="R485" s="48" t="s">
        <v>36</v>
      </c>
      <c r="S485" s="48" t="s">
        <v>36</v>
      </c>
      <c r="T485" s="49">
        <v>46253.833333333336</v>
      </c>
      <c r="U485" s="50">
        <v>0</v>
      </c>
    </row>
    <row r="486" spans="1:21">
      <c r="A486" s="42">
        <v>46253.875</v>
      </c>
      <c r="B486" s="43" t="s">
        <v>29</v>
      </c>
      <c r="C486" s="44">
        <v>0</v>
      </c>
      <c r="D486" s="44">
        <v>0</v>
      </c>
      <c r="E486" s="44">
        <v>238</v>
      </c>
      <c r="F486" s="44">
        <v>78.053250000000006</v>
      </c>
      <c r="G486" s="11">
        <f t="shared" si="14"/>
        <v>0</v>
      </c>
      <c r="H486" s="35">
        <f t="shared" si="15"/>
        <v>0</v>
      </c>
      <c r="R486" s="48" t="s">
        <v>36</v>
      </c>
      <c r="S486" s="48" t="s">
        <v>36</v>
      </c>
      <c r="T486" s="49">
        <v>46253.875</v>
      </c>
      <c r="U486" s="50">
        <v>0</v>
      </c>
    </row>
    <row r="487" spans="1:21">
      <c r="A487" s="42">
        <v>46253.916666666664</v>
      </c>
      <c r="B487" s="43" t="s">
        <v>29</v>
      </c>
      <c r="C487" s="44">
        <v>0</v>
      </c>
      <c r="D487" s="44">
        <v>0</v>
      </c>
      <c r="E487" s="44">
        <v>238</v>
      </c>
      <c r="F487" s="44">
        <v>78.053250000000006</v>
      </c>
      <c r="G487" s="11">
        <f t="shared" si="14"/>
        <v>0</v>
      </c>
      <c r="H487" s="35">
        <f t="shared" si="15"/>
        <v>0</v>
      </c>
      <c r="R487" s="48" t="s">
        <v>36</v>
      </c>
      <c r="S487" s="48" t="s">
        <v>36</v>
      </c>
      <c r="T487" s="49">
        <v>46253.916666666664</v>
      </c>
      <c r="U487" s="50">
        <v>0</v>
      </c>
    </row>
    <row r="488" spans="1:21">
      <c r="A488" s="42">
        <v>46253.958333333336</v>
      </c>
      <c r="B488" s="43" t="s">
        <v>29</v>
      </c>
      <c r="C488" s="44">
        <v>0</v>
      </c>
      <c r="D488" s="44">
        <v>0</v>
      </c>
      <c r="E488" s="44">
        <v>238</v>
      </c>
      <c r="F488" s="44">
        <v>78.053250000000006</v>
      </c>
      <c r="G488" s="11">
        <f t="shared" si="14"/>
        <v>0</v>
      </c>
      <c r="H488" s="35">
        <f t="shared" si="15"/>
        <v>0</v>
      </c>
      <c r="R488" s="48" t="s">
        <v>36</v>
      </c>
      <c r="S488" s="48" t="s">
        <v>36</v>
      </c>
      <c r="T488" s="49">
        <v>46253.958333333336</v>
      </c>
      <c r="U488" s="50">
        <v>0</v>
      </c>
    </row>
    <row r="489" spans="1:21">
      <c r="A489" s="42">
        <v>46254</v>
      </c>
      <c r="B489" s="43" t="s">
        <v>29</v>
      </c>
      <c r="C489" s="44">
        <v>0</v>
      </c>
      <c r="D489" s="44">
        <v>0</v>
      </c>
      <c r="E489" s="44">
        <v>238</v>
      </c>
      <c r="F489" s="44">
        <v>78.053250000000006</v>
      </c>
      <c r="G489" s="11">
        <f t="shared" si="14"/>
        <v>0</v>
      </c>
      <c r="H489" s="35">
        <f t="shared" si="15"/>
        <v>0</v>
      </c>
      <c r="R489" s="48" t="s">
        <v>36</v>
      </c>
      <c r="S489" s="48" t="s">
        <v>36</v>
      </c>
      <c r="T489" s="49">
        <v>46254</v>
      </c>
      <c r="U489" s="50">
        <v>0</v>
      </c>
    </row>
    <row r="490" spans="1:21">
      <c r="A490" s="42">
        <v>46254.041666666664</v>
      </c>
      <c r="B490" s="43" t="s">
        <v>29</v>
      </c>
      <c r="C490" s="44">
        <v>0</v>
      </c>
      <c r="D490" s="44">
        <v>0</v>
      </c>
      <c r="E490" s="44">
        <v>238</v>
      </c>
      <c r="F490" s="44">
        <v>78.053250000000006</v>
      </c>
      <c r="G490" s="11">
        <f t="shared" si="14"/>
        <v>0</v>
      </c>
      <c r="H490" s="35">
        <f t="shared" si="15"/>
        <v>0</v>
      </c>
      <c r="R490" s="48" t="s">
        <v>36</v>
      </c>
      <c r="S490" s="48" t="s">
        <v>36</v>
      </c>
      <c r="T490" s="49">
        <v>46254.041666666664</v>
      </c>
      <c r="U490" s="50">
        <v>0</v>
      </c>
    </row>
    <row r="491" spans="1:21">
      <c r="A491" s="42">
        <v>46254.083333333336</v>
      </c>
      <c r="B491" s="43" t="s">
        <v>29</v>
      </c>
      <c r="C491" s="44">
        <v>0</v>
      </c>
      <c r="D491" s="44">
        <v>0</v>
      </c>
      <c r="E491" s="44">
        <v>238</v>
      </c>
      <c r="F491" s="44">
        <v>78.053250000000006</v>
      </c>
      <c r="G491" s="11">
        <f t="shared" si="14"/>
        <v>0</v>
      </c>
      <c r="H491" s="35">
        <f t="shared" si="15"/>
        <v>0</v>
      </c>
      <c r="R491" s="48" t="s">
        <v>36</v>
      </c>
      <c r="S491" s="48" t="s">
        <v>36</v>
      </c>
      <c r="T491" s="49">
        <v>46254.083333333336</v>
      </c>
      <c r="U491" s="50">
        <v>0</v>
      </c>
    </row>
    <row r="492" spans="1:21">
      <c r="A492" s="42">
        <v>46254.125</v>
      </c>
      <c r="B492" s="43" t="s">
        <v>29</v>
      </c>
      <c r="C492" s="44">
        <v>0</v>
      </c>
      <c r="D492" s="44">
        <v>0</v>
      </c>
      <c r="E492" s="44">
        <v>238</v>
      </c>
      <c r="F492" s="44">
        <v>78.053250000000006</v>
      </c>
      <c r="G492" s="11">
        <f t="shared" si="14"/>
        <v>0</v>
      </c>
      <c r="H492" s="35">
        <f t="shared" si="15"/>
        <v>0</v>
      </c>
      <c r="R492" s="48" t="s">
        <v>36</v>
      </c>
      <c r="S492" s="48" t="s">
        <v>36</v>
      </c>
      <c r="T492" s="49">
        <v>46254.125</v>
      </c>
      <c r="U492" s="50">
        <v>0</v>
      </c>
    </row>
    <row r="493" spans="1:21">
      <c r="A493" s="42">
        <v>46254.166666666664</v>
      </c>
      <c r="B493" s="43" t="s">
        <v>29</v>
      </c>
      <c r="C493" s="44">
        <v>0</v>
      </c>
      <c r="D493" s="44">
        <v>0</v>
      </c>
      <c r="E493" s="44">
        <v>238</v>
      </c>
      <c r="F493" s="44">
        <v>78.053250000000006</v>
      </c>
      <c r="G493" s="11">
        <f t="shared" si="14"/>
        <v>0</v>
      </c>
      <c r="H493" s="35">
        <f t="shared" si="15"/>
        <v>0</v>
      </c>
      <c r="R493" s="48" t="s">
        <v>36</v>
      </c>
      <c r="S493" s="48" t="s">
        <v>36</v>
      </c>
      <c r="T493" s="49">
        <v>46254.166666666664</v>
      </c>
      <c r="U493" s="50">
        <v>0</v>
      </c>
    </row>
    <row r="494" spans="1:21">
      <c r="A494" s="42">
        <v>46254.208333333336</v>
      </c>
      <c r="B494" s="43" t="s">
        <v>29</v>
      </c>
      <c r="C494" s="44">
        <v>0</v>
      </c>
      <c r="D494" s="44">
        <v>0</v>
      </c>
      <c r="E494" s="44">
        <v>238</v>
      </c>
      <c r="F494" s="44">
        <v>78.053250000000006</v>
      </c>
      <c r="G494" s="11">
        <f t="shared" si="14"/>
        <v>0</v>
      </c>
      <c r="H494" s="35">
        <f t="shared" si="15"/>
        <v>0</v>
      </c>
      <c r="R494" s="48" t="s">
        <v>36</v>
      </c>
      <c r="S494" s="48" t="s">
        <v>36</v>
      </c>
      <c r="T494" s="49">
        <v>46254.208333333336</v>
      </c>
      <c r="U494" s="50">
        <v>0</v>
      </c>
    </row>
    <row r="495" spans="1:21">
      <c r="A495" s="42">
        <v>46254.25</v>
      </c>
      <c r="B495" s="43" t="s">
        <v>29</v>
      </c>
      <c r="C495" s="44">
        <v>0</v>
      </c>
      <c r="D495" s="44">
        <v>0</v>
      </c>
      <c r="E495" s="44">
        <v>238</v>
      </c>
      <c r="F495" s="44">
        <v>78.053250000000006</v>
      </c>
      <c r="G495" s="11">
        <f t="shared" si="14"/>
        <v>0</v>
      </c>
      <c r="H495" s="35">
        <f t="shared" si="15"/>
        <v>0</v>
      </c>
      <c r="R495" s="48" t="s">
        <v>36</v>
      </c>
      <c r="S495" s="48" t="s">
        <v>36</v>
      </c>
      <c r="T495" s="49">
        <v>46254.25</v>
      </c>
      <c r="U495" s="50">
        <v>0</v>
      </c>
    </row>
    <row r="496" spans="1:21">
      <c r="A496" s="42">
        <v>46254.291666666664</v>
      </c>
      <c r="B496" s="43" t="s">
        <v>29</v>
      </c>
      <c r="C496" s="44">
        <v>0</v>
      </c>
      <c r="D496" s="44">
        <v>0</v>
      </c>
      <c r="E496" s="44">
        <v>238</v>
      </c>
      <c r="F496" s="44">
        <v>78.053250000000006</v>
      </c>
      <c r="G496" s="11">
        <f t="shared" si="14"/>
        <v>0</v>
      </c>
      <c r="H496" s="35">
        <f t="shared" si="15"/>
        <v>0</v>
      </c>
      <c r="R496" s="48" t="s">
        <v>36</v>
      </c>
      <c r="S496" s="48" t="s">
        <v>36</v>
      </c>
      <c r="T496" s="49">
        <v>46254.291666666664</v>
      </c>
      <c r="U496" s="50">
        <v>0</v>
      </c>
    </row>
    <row r="497" spans="1:21">
      <c r="A497" s="42">
        <v>46254.333333333336</v>
      </c>
      <c r="B497" s="43" t="s">
        <v>29</v>
      </c>
      <c r="C497" s="44">
        <v>0</v>
      </c>
      <c r="D497" s="44">
        <v>0</v>
      </c>
      <c r="E497" s="44">
        <v>238</v>
      </c>
      <c r="F497" s="44">
        <v>78.053250000000006</v>
      </c>
      <c r="G497" s="11">
        <f t="shared" si="14"/>
        <v>0</v>
      </c>
      <c r="H497" s="35">
        <f t="shared" si="15"/>
        <v>0</v>
      </c>
      <c r="R497" s="48" t="s">
        <v>36</v>
      </c>
      <c r="S497" s="48" t="s">
        <v>36</v>
      </c>
      <c r="T497" s="49">
        <v>46254.333333333336</v>
      </c>
      <c r="U497" s="50">
        <v>0</v>
      </c>
    </row>
    <row r="498" spans="1:21">
      <c r="A498" s="42">
        <v>46254.375</v>
      </c>
      <c r="B498" s="43" t="s">
        <v>29</v>
      </c>
      <c r="C498" s="44">
        <v>0</v>
      </c>
      <c r="D498" s="44">
        <v>0</v>
      </c>
      <c r="E498" s="44">
        <v>238</v>
      </c>
      <c r="F498" s="44">
        <v>78.053250000000006</v>
      </c>
      <c r="G498" s="11">
        <f t="shared" si="14"/>
        <v>0</v>
      </c>
      <c r="H498" s="35">
        <f t="shared" si="15"/>
        <v>0</v>
      </c>
      <c r="R498" s="48" t="s">
        <v>36</v>
      </c>
      <c r="S498" s="48" t="s">
        <v>36</v>
      </c>
      <c r="T498" s="49">
        <v>46254.375</v>
      </c>
      <c r="U498" s="50">
        <v>0</v>
      </c>
    </row>
    <row r="499" spans="1:21">
      <c r="A499" s="42">
        <v>46254.416666666664</v>
      </c>
      <c r="B499" s="43" t="s">
        <v>29</v>
      </c>
      <c r="C499" s="44">
        <v>0</v>
      </c>
      <c r="D499" s="44">
        <v>0</v>
      </c>
      <c r="E499" s="44">
        <v>238</v>
      </c>
      <c r="F499" s="44">
        <v>78.053250000000006</v>
      </c>
      <c r="G499" s="11">
        <f t="shared" si="14"/>
        <v>0</v>
      </c>
      <c r="H499" s="35">
        <f t="shared" si="15"/>
        <v>0</v>
      </c>
      <c r="R499" s="48" t="s">
        <v>36</v>
      </c>
      <c r="S499" s="48" t="s">
        <v>36</v>
      </c>
      <c r="T499" s="49">
        <v>46254.416666666664</v>
      </c>
      <c r="U499" s="50">
        <v>0</v>
      </c>
    </row>
    <row r="500" spans="1:21">
      <c r="A500" s="42">
        <v>46254.458333333336</v>
      </c>
      <c r="B500" s="43" t="s">
        <v>29</v>
      </c>
      <c r="C500" s="44">
        <v>0</v>
      </c>
      <c r="D500" s="44">
        <v>0</v>
      </c>
      <c r="E500" s="44">
        <v>238</v>
      </c>
      <c r="F500" s="44">
        <v>78.053250000000006</v>
      </c>
      <c r="G500" s="11">
        <f t="shared" si="14"/>
        <v>0</v>
      </c>
      <c r="H500" s="35">
        <f t="shared" si="15"/>
        <v>0</v>
      </c>
      <c r="R500" s="48" t="s">
        <v>36</v>
      </c>
      <c r="S500" s="48" t="s">
        <v>36</v>
      </c>
      <c r="T500" s="49">
        <v>46254.458333333336</v>
      </c>
      <c r="U500" s="50">
        <v>0</v>
      </c>
    </row>
    <row r="501" spans="1:21">
      <c r="A501" s="42">
        <v>46254.5</v>
      </c>
      <c r="B501" s="43" t="s">
        <v>29</v>
      </c>
      <c r="C501" s="44">
        <v>0</v>
      </c>
      <c r="D501" s="44">
        <v>0</v>
      </c>
      <c r="E501" s="44">
        <v>238</v>
      </c>
      <c r="F501" s="44">
        <v>78.053250000000006</v>
      </c>
      <c r="G501" s="11">
        <f t="shared" si="14"/>
        <v>0</v>
      </c>
      <c r="H501" s="35">
        <f t="shared" si="15"/>
        <v>0</v>
      </c>
      <c r="R501" s="48" t="s">
        <v>36</v>
      </c>
      <c r="S501" s="48" t="s">
        <v>36</v>
      </c>
      <c r="T501" s="49">
        <v>46254.5</v>
      </c>
      <c r="U501" s="50">
        <v>0</v>
      </c>
    </row>
    <row r="502" spans="1:21">
      <c r="A502" s="42">
        <v>46254.541666666664</v>
      </c>
      <c r="B502" s="43" t="s">
        <v>29</v>
      </c>
      <c r="C502" s="44">
        <v>0</v>
      </c>
      <c r="D502" s="44">
        <v>0</v>
      </c>
      <c r="E502" s="44">
        <v>238</v>
      </c>
      <c r="F502" s="44">
        <v>78.053250000000006</v>
      </c>
      <c r="G502" s="11">
        <f t="shared" si="14"/>
        <v>0</v>
      </c>
      <c r="H502" s="35">
        <f t="shared" si="15"/>
        <v>0</v>
      </c>
      <c r="R502" s="48" t="s">
        <v>36</v>
      </c>
      <c r="S502" s="48" t="s">
        <v>36</v>
      </c>
      <c r="T502" s="49">
        <v>46254.541666666664</v>
      </c>
      <c r="U502" s="50">
        <v>0</v>
      </c>
    </row>
    <row r="503" spans="1:21">
      <c r="A503" s="42">
        <v>46254.583333333336</v>
      </c>
      <c r="B503" s="43" t="s">
        <v>29</v>
      </c>
      <c r="C503" s="44">
        <v>0</v>
      </c>
      <c r="D503" s="44">
        <v>0</v>
      </c>
      <c r="E503" s="44">
        <v>238</v>
      </c>
      <c r="F503" s="44">
        <v>78.053250000000006</v>
      </c>
      <c r="G503" s="11">
        <f t="shared" si="14"/>
        <v>0</v>
      </c>
      <c r="H503" s="35">
        <f t="shared" si="15"/>
        <v>0</v>
      </c>
      <c r="R503" s="48" t="s">
        <v>36</v>
      </c>
      <c r="S503" s="48" t="s">
        <v>36</v>
      </c>
      <c r="T503" s="49">
        <v>46254.583333333336</v>
      </c>
      <c r="U503" s="50">
        <v>0</v>
      </c>
    </row>
    <row r="504" spans="1:21">
      <c r="A504" s="42">
        <v>46254.625</v>
      </c>
      <c r="B504" s="43" t="s">
        <v>29</v>
      </c>
      <c r="C504" s="44">
        <v>0</v>
      </c>
      <c r="D504" s="44">
        <v>0</v>
      </c>
      <c r="E504" s="44">
        <v>238</v>
      </c>
      <c r="F504" s="44">
        <v>78.053250000000006</v>
      </c>
      <c r="G504" s="11">
        <f t="shared" si="14"/>
        <v>0</v>
      </c>
      <c r="H504" s="35">
        <f t="shared" si="15"/>
        <v>0</v>
      </c>
      <c r="R504" s="48" t="s">
        <v>36</v>
      </c>
      <c r="S504" s="48" t="s">
        <v>36</v>
      </c>
      <c r="T504" s="49">
        <v>46254.625</v>
      </c>
      <c r="U504" s="50">
        <v>0</v>
      </c>
    </row>
    <row r="505" spans="1:21">
      <c r="A505" s="42">
        <v>46254.666666666664</v>
      </c>
      <c r="B505" s="43" t="s">
        <v>29</v>
      </c>
      <c r="C505" s="44">
        <v>0</v>
      </c>
      <c r="D505" s="44">
        <v>0</v>
      </c>
      <c r="E505" s="44">
        <v>238</v>
      </c>
      <c r="F505" s="44">
        <v>78.053250000000006</v>
      </c>
      <c r="G505" s="11">
        <f t="shared" si="14"/>
        <v>0</v>
      </c>
      <c r="H505" s="35">
        <f t="shared" si="15"/>
        <v>0</v>
      </c>
      <c r="R505" s="48" t="s">
        <v>36</v>
      </c>
      <c r="S505" s="48" t="s">
        <v>36</v>
      </c>
      <c r="T505" s="49">
        <v>46254.666666666664</v>
      </c>
      <c r="U505" s="50">
        <v>0</v>
      </c>
    </row>
    <row r="506" spans="1:21">
      <c r="A506" s="42">
        <v>46254.708333333336</v>
      </c>
      <c r="B506" s="43" t="s">
        <v>29</v>
      </c>
      <c r="C506" s="44">
        <v>0</v>
      </c>
      <c r="D506" s="44">
        <v>0</v>
      </c>
      <c r="E506" s="44">
        <v>238</v>
      </c>
      <c r="F506" s="44">
        <v>78.053250000000006</v>
      </c>
      <c r="G506" s="11">
        <f t="shared" si="14"/>
        <v>0</v>
      </c>
      <c r="H506" s="35">
        <f t="shared" si="15"/>
        <v>0</v>
      </c>
      <c r="R506" s="48" t="s">
        <v>36</v>
      </c>
      <c r="S506" s="48" t="s">
        <v>36</v>
      </c>
      <c r="T506" s="49">
        <v>46254.708333333336</v>
      </c>
      <c r="U506" s="50">
        <v>0</v>
      </c>
    </row>
    <row r="507" spans="1:21">
      <c r="A507" s="42">
        <v>46254.75</v>
      </c>
      <c r="B507" s="43" t="s">
        <v>29</v>
      </c>
      <c r="C507" s="44">
        <v>0</v>
      </c>
      <c r="D507" s="44">
        <v>0</v>
      </c>
      <c r="E507" s="44">
        <v>238</v>
      </c>
      <c r="F507" s="44">
        <v>78.053250000000006</v>
      </c>
      <c r="G507" s="11">
        <f t="shared" si="14"/>
        <v>0</v>
      </c>
      <c r="H507" s="35">
        <f t="shared" si="15"/>
        <v>0</v>
      </c>
      <c r="R507" s="48" t="s">
        <v>36</v>
      </c>
      <c r="S507" s="48" t="s">
        <v>36</v>
      </c>
      <c r="T507" s="49">
        <v>46254.75</v>
      </c>
      <c r="U507" s="50">
        <v>0</v>
      </c>
    </row>
    <row r="508" spans="1:21">
      <c r="A508" s="42">
        <v>46254.791666666664</v>
      </c>
      <c r="B508" s="43" t="s">
        <v>29</v>
      </c>
      <c r="C508" s="44">
        <v>0</v>
      </c>
      <c r="D508" s="44">
        <v>0</v>
      </c>
      <c r="E508" s="44">
        <v>238</v>
      </c>
      <c r="F508" s="44">
        <v>78.053250000000006</v>
      </c>
      <c r="G508" s="11">
        <f t="shared" si="14"/>
        <v>0</v>
      </c>
      <c r="H508" s="35">
        <f t="shared" si="15"/>
        <v>0</v>
      </c>
      <c r="R508" s="48" t="s">
        <v>36</v>
      </c>
      <c r="S508" s="48" t="s">
        <v>36</v>
      </c>
      <c r="T508" s="49">
        <v>46254.791666666664</v>
      </c>
      <c r="U508" s="50">
        <v>0</v>
      </c>
    </row>
    <row r="509" spans="1:21">
      <c r="A509" s="42">
        <v>46254.833333333336</v>
      </c>
      <c r="B509" s="43" t="s">
        <v>29</v>
      </c>
      <c r="C509" s="44">
        <v>0</v>
      </c>
      <c r="D509" s="44">
        <v>0</v>
      </c>
      <c r="E509" s="44">
        <v>238</v>
      </c>
      <c r="F509" s="44">
        <v>78.053250000000006</v>
      </c>
      <c r="G509" s="11">
        <f t="shared" si="14"/>
        <v>0</v>
      </c>
      <c r="H509" s="35">
        <f t="shared" si="15"/>
        <v>0</v>
      </c>
      <c r="R509" s="48" t="s">
        <v>36</v>
      </c>
      <c r="S509" s="48" t="s">
        <v>36</v>
      </c>
      <c r="T509" s="49">
        <v>46254.833333333336</v>
      </c>
      <c r="U509" s="50">
        <v>0</v>
      </c>
    </row>
    <row r="510" spans="1:21">
      <c r="A510" s="42">
        <v>46254.875</v>
      </c>
      <c r="B510" s="43" t="s">
        <v>29</v>
      </c>
      <c r="C510" s="44">
        <v>0</v>
      </c>
      <c r="D510" s="44">
        <v>0</v>
      </c>
      <c r="E510" s="44">
        <v>238</v>
      </c>
      <c r="F510" s="44">
        <v>78.053250000000006</v>
      </c>
      <c r="G510" s="11">
        <f t="shared" si="14"/>
        <v>0</v>
      </c>
      <c r="H510" s="35">
        <f t="shared" si="15"/>
        <v>0</v>
      </c>
      <c r="R510" s="48" t="s">
        <v>36</v>
      </c>
      <c r="S510" s="48" t="s">
        <v>36</v>
      </c>
      <c r="T510" s="49">
        <v>46254.875</v>
      </c>
      <c r="U510" s="50">
        <v>0</v>
      </c>
    </row>
    <row r="511" spans="1:21">
      <c r="A511" s="42">
        <v>46254.916666666664</v>
      </c>
      <c r="B511" s="43" t="s">
        <v>29</v>
      </c>
      <c r="C511" s="44">
        <v>0</v>
      </c>
      <c r="D511" s="44">
        <v>0</v>
      </c>
      <c r="E511" s="44">
        <v>238</v>
      </c>
      <c r="F511" s="44">
        <v>78.053250000000006</v>
      </c>
      <c r="G511" s="11">
        <f t="shared" si="14"/>
        <v>0</v>
      </c>
      <c r="H511" s="35">
        <f t="shared" si="15"/>
        <v>0</v>
      </c>
      <c r="R511" s="48" t="s">
        <v>36</v>
      </c>
      <c r="S511" s="48" t="s">
        <v>36</v>
      </c>
      <c r="T511" s="49">
        <v>46254.916666666664</v>
      </c>
      <c r="U511" s="50">
        <v>0</v>
      </c>
    </row>
    <row r="512" spans="1:21">
      <c r="A512" s="42">
        <v>46254.958333333336</v>
      </c>
      <c r="B512" s="43" t="s">
        <v>29</v>
      </c>
      <c r="C512" s="44">
        <v>0</v>
      </c>
      <c r="D512" s="44">
        <v>0</v>
      </c>
      <c r="E512" s="44">
        <v>238</v>
      </c>
      <c r="F512" s="44">
        <v>78.053250000000006</v>
      </c>
      <c r="G512" s="11">
        <f t="shared" si="14"/>
        <v>0</v>
      </c>
      <c r="H512" s="35">
        <f t="shared" si="15"/>
        <v>0</v>
      </c>
      <c r="R512" s="48" t="s">
        <v>36</v>
      </c>
      <c r="S512" s="48" t="s">
        <v>36</v>
      </c>
      <c r="T512" s="49">
        <v>46254.958333333336</v>
      </c>
      <c r="U512" s="50">
        <v>0</v>
      </c>
    </row>
    <row r="513" spans="1:21">
      <c r="A513" s="42">
        <v>46255</v>
      </c>
      <c r="B513" s="43" t="s">
        <v>29</v>
      </c>
      <c r="C513" s="44">
        <v>0</v>
      </c>
      <c r="D513" s="44">
        <v>0</v>
      </c>
      <c r="E513" s="44">
        <v>238</v>
      </c>
      <c r="F513" s="44">
        <v>78.053250000000006</v>
      </c>
      <c r="G513" s="11">
        <f t="shared" si="14"/>
        <v>0</v>
      </c>
      <c r="H513" s="35">
        <f t="shared" si="15"/>
        <v>0</v>
      </c>
      <c r="R513" s="48" t="s">
        <v>36</v>
      </c>
      <c r="S513" s="48" t="s">
        <v>36</v>
      </c>
      <c r="T513" s="49">
        <v>46255</v>
      </c>
      <c r="U513" s="50">
        <v>0</v>
      </c>
    </row>
    <row r="514" spans="1:21">
      <c r="A514" s="42">
        <v>46255.041666666664</v>
      </c>
      <c r="B514" s="43" t="s">
        <v>29</v>
      </c>
      <c r="C514" s="44">
        <v>0</v>
      </c>
      <c r="D514" s="44">
        <v>0</v>
      </c>
      <c r="E514" s="44">
        <v>238</v>
      </c>
      <c r="F514" s="44">
        <v>78.053250000000006</v>
      </c>
      <c r="G514" s="11">
        <f t="shared" si="14"/>
        <v>0</v>
      </c>
      <c r="H514" s="35">
        <f t="shared" si="15"/>
        <v>0</v>
      </c>
      <c r="R514" s="48" t="s">
        <v>36</v>
      </c>
      <c r="S514" s="48" t="s">
        <v>36</v>
      </c>
      <c r="T514" s="49">
        <v>46255.041666666664</v>
      </c>
      <c r="U514" s="50">
        <v>0</v>
      </c>
    </row>
    <row r="515" spans="1:21">
      <c r="A515" s="42">
        <v>46255.083333333336</v>
      </c>
      <c r="B515" s="43" t="s">
        <v>29</v>
      </c>
      <c r="C515" s="44">
        <v>0</v>
      </c>
      <c r="D515" s="44">
        <v>0</v>
      </c>
      <c r="E515" s="44">
        <v>238</v>
      </c>
      <c r="F515" s="44">
        <v>78.053250000000006</v>
      </c>
      <c r="G515" s="11">
        <f t="shared" ref="G515:G578" si="16">U515</f>
        <v>0</v>
      </c>
      <c r="H515" s="35">
        <f t="shared" ref="H515:H578" si="17">D515+G521</f>
        <v>0</v>
      </c>
      <c r="R515" s="48" t="s">
        <v>36</v>
      </c>
      <c r="S515" s="48" t="s">
        <v>36</v>
      </c>
      <c r="T515" s="49">
        <v>46255.083333333336</v>
      </c>
      <c r="U515" s="50">
        <v>0</v>
      </c>
    </row>
    <row r="516" spans="1:21">
      <c r="A516" s="42">
        <v>46255.125</v>
      </c>
      <c r="B516" s="43" t="s">
        <v>29</v>
      </c>
      <c r="C516" s="44">
        <v>0</v>
      </c>
      <c r="D516" s="44">
        <v>0</v>
      </c>
      <c r="E516" s="44">
        <v>238</v>
      </c>
      <c r="F516" s="44">
        <v>78.053250000000006</v>
      </c>
      <c r="G516" s="11">
        <f t="shared" si="16"/>
        <v>0</v>
      </c>
      <c r="H516" s="35">
        <f t="shared" si="17"/>
        <v>0</v>
      </c>
      <c r="R516" s="48" t="s">
        <v>36</v>
      </c>
      <c r="S516" s="48" t="s">
        <v>36</v>
      </c>
      <c r="T516" s="49">
        <v>46255.125</v>
      </c>
      <c r="U516" s="50">
        <v>0</v>
      </c>
    </row>
    <row r="517" spans="1:21">
      <c r="A517" s="42">
        <v>46255.166666666664</v>
      </c>
      <c r="B517" s="43" t="s">
        <v>29</v>
      </c>
      <c r="C517" s="44">
        <v>0</v>
      </c>
      <c r="D517" s="44">
        <v>0</v>
      </c>
      <c r="E517" s="44">
        <v>238</v>
      </c>
      <c r="F517" s="44">
        <v>78.053250000000006</v>
      </c>
      <c r="G517" s="11">
        <f t="shared" si="16"/>
        <v>0</v>
      </c>
      <c r="H517" s="35">
        <f t="shared" si="17"/>
        <v>0</v>
      </c>
      <c r="R517" s="48" t="s">
        <v>36</v>
      </c>
      <c r="S517" s="48" t="s">
        <v>36</v>
      </c>
      <c r="T517" s="49">
        <v>46255.166666666664</v>
      </c>
      <c r="U517" s="50">
        <v>0</v>
      </c>
    </row>
    <row r="518" spans="1:21">
      <c r="A518" s="42">
        <v>46255.208333333336</v>
      </c>
      <c r="B518" s="43" t="s">
        <v>29</v>
      </c>
      <c r="C518" s="44">
        <v>0</v>
      </c>
      <c r="D518" s="44">
        <v>0</v>
      </c>
      <c r="E518" s="44">
        <v>238</v>
      </c>
      <c r="F518" s="44">
        <v>78.053250000000006</v>
      </c>
      <c r="G518" s="11">
        <f t="shared" si="16"/>
        <v>0</v>
      </c>
      <c r="H518" s="35">
        <f t="shared" si="17"/>
        <v>0</v>
      </c>
      <c r="R518" s="48" t="s">
        <v>36</v>
      </c>
      <c r="S518" s="48" t="s">
        <v>36</v>
      </c>
      <c r="T518" s="49">
        <v>46255.208333333336</v>
      </c>
      <c r="U518" s="50">
        <v>0</v>
      </c>
    </row>
    <row r="519" spans="1:21">
      <c r="A519" s="42">
        <v>46255.25</v>
      </c>
      <c r="B519" s="43" t="s">
        <v>29</v>
      </c>
      <c r="C519" s="44">
        <v>0</v>
      </c>
      <c r="D519" s="44">
        <v>0</v>
      </c>
      <c r="E519" s="44">
        <v>238</v>
      </c>
      <c r="F519" s="44">
        <v>78.053250000000006</v>
      </c>
      <c r="G519" s="11">
        <f t="shared" si="16"/>
        <v>0</v>
      </c>
      <c r="H519" s="35">
        <f t="shared" si="17"/>
        <v>0</v>
      </c>
      <c r="R519" s="48" t="s">
        <v>36</v>
      </c>
      <c r="S519" s="48" t="s">
        <v>36</v>
      </c>
      <c r="T519" s="49">
        <v>46255.25</v>
      </c>
      <c r="U519" s="50">
        <v>0</v>
      </c>
    </row>
    <row r="520" spans="1:21">
      <c r="A520" s="42">
        <v>46255.291666666664</v>
      </c>
      <c r="B520" s="43" t="s">
        <v>29</v>
      </c>
      <c r="C520" s="44">
        <v>0</v>
      </c>
      <c r="D520" s="44">
        <v>0</v>
      </c>
      <c r="E520" s="44">
        <v>238</v>
      </c>
      <c r="F520" s="44">
        <v>78.053250000000006</v>
      </c>
      <c r="G520" s="11">
        <f t="shared" si="16"/>
        <v>0</v>
      </c>
      <c r="H520" s="35">
        <f t="shared" si="17"/>
        <v>0</v>
      </c>
      <c r="R520" s="48" t="s">
        <v>36</v>
      </c>
      <c r="S520" s="48" t="s">
        <v>36</v>
      </c>
      <c r="T520" s="49">
        <v>46255.291666666664</v>
      </c>
      <c r="U520" s="50">
        <v>0</v>
      </c>
    </row>
    <row r="521" spans="1:21">
      <c r="A521" s="42">
        <v>46255.333333333336</v>
      </c>
      <c r="B521" s="43" t="s">
        <v>29</v>
      </c>
      <c r="C521" s="44">
        <v>0</v>
      </c>
      <c r="D521" s="44">
        <v>0</v>
      </c>
      <c r="E521" s="44">
        <v>238</v>
      </c>
      <c r="F521" s="44">
        <v>78.053250000000006</v>
      </c>
      <c r="G521" s="11">
        <f t="shared" si="16"/>
        <v>0</v>
      </c>
      <c r="H521" s="35">
        <f t="shared" si="17"/>
        <v>0</v>
      </c>
      <c r="R521" s="48" t="s">
        <v>36</v>
      </c>
      <c r="S521" s="48" t="s">
        <v>36</v>
      </c>
      <c r="T521" s="49">
        <v>46255.333333333336</v>
      </c>
      <c r="U521" s="50">
        <v>0</v>
      </c>
    </row>
    <row r="522" spans="1:21">
      <c r="A522" s="42">
        <v>46255.375</v>
      </c>
      <c r="B522" s="43" t="s">
        <v>29</v>
      </c>
      <c r="C522" s="44">
        <v>0</v>
      </c>
      <c r="D522" s="44">
        <v>0</v>
      </c>
      <c r="E522" s="44">
        <v>238</v>
      </c>
      <c r="F522" s="44">
        <v>78.053250000000006</v>
      </c>
      <c r="G522" s="11">
        <f t="shared" si="16"/>
        <v>0</v>
      </c>
      <c r="H522" s="35">
        <f t="shared" si="17"/>
        <v>0</v>
      </c>
      <c r="R522" s="48" t="s">
        <v>36</v>
      </c>
      <c r="S522" s="48" t="s">
        <v>36</v>
      </c>
      <c r="T522" s="49">
        <v>46255.375</v>
      </c>
      <c r="U522" s="50">
        <v>0</v>
      </c>
    </row>
    <row r="523" spans="1:21">
      <c r="A523" s="42">
        <v>46255.416666666664</v>
      </c>
      <c r="B523" s="43" t="s">
        <v>29</v>
      </c>
      <c r="C523" s="44">
        <v>0</v>
      </c>
      <c r="D523" s="44">
        <v>0</v>
      </c>
      <c r="E523" s="44">
        <v>238</v>
      </c>
      <c r="F523" s="44">
        <v>78.053250000000006</v>
      </c>
      <c r="G523" s="11">
        <f t="shared" si="16"/>
        <v>0</v>
      </c>
      <c r="H523" s="35">
        <f t="shared" si="17"/>
        <v>0</v>
      </c>
      <c r="R523" s="48" t="s">
        <v>36</v>
      </c>
      <c r="S523" s="48" t="s">
        <v>36</v>
      </c>
      <c r="T523" s="49">
        <v>46255.416666666664</v>
      </c>
      <c r="U523" s="50">
        <v>0</v>
      </c>
    </row>
    <row r="524" spans="1:21">
      <c r="A524" s="42">
        <v>46255.458333333336</v>
      </c>
      <c r="B524" s="43" t="s">
        <v>29</v>
      </c>
      <c r="C524" s="44">
        <v>0</v>
      </c>
      <c r="D524" s="44">
        <v>0</v>
      </c>
      <c r="E524" s="44">
        <v>238</v>
      </c>
      <c r="F524" s="44">
        <v>78.053250000000006</v>
      </c>
      <c r="G524" s="11">
        <f t="shared" si="16"/>
        <v>0</v>
      </c>
      <c r="H524" s="35">
        <f t="shared" si="17"/>
        <v>0</v>
      </c>
      <c r="R524" s="48" t="s">
        <v>36</v>
      </c>
      <c r="S524" s="48" t="s">
        <v>36</v>
      </c>
      <c r="T524" s="49">
        <v>46255.458333333336</v>
      </c>
      <c r="U524" s="50">
        <v>0</v>
      </c>
    </row>
    <row r="525" spans="1:21">
      <c r="A525" s="42">
        <v>46255.5</v>
      </c>
      <c r="B525" s="43" t="s">
        <v>29</v>
      </c>
      <c r="C525" s="44">
        <v>0</v>
      </c>
      <c r="D525" s="44">
        <v>0</v>
      </c>
      <c r="E525" s="44">
        <v>238</v>
      </c>
      <c r="F525" s="44">
        <v>78.053250000000006</v>
      </c>
      <c r="G525" s="11">
        <f t="shared" si="16"/>
        <v>0</v>
      </c>
      <c r="H525" s="35">
        <f t="shared" si="17"/>
        <v>0</v>
      </c>
      <c r="R525" s="48" t="s">
        <v>36</v>
      </c>
      <c r="S525" s="48" t="s">
        <v>36</v>
      </c>
      <c r="T525" s="49">
        <v>46255.5</v>
      </c>
      <c r="U525" s="50">
        <v>0</v>
      </c>
    </row>
    <row r="526" spans="1:21">
      <c r="A526" s="42">
        <v>46255.541666666664</v>
      </c>
      <c r="B526" s="43" t="s">
        <v>29</v>
      </c>
      <c r="C526" s="44">
        <v>0</v>
      </c>
      <c r="D526" s="44">
        <v>0</v>
      </c>
      <c r="E526" s="44">
        <v>238</v>
      </c>
      <c r="F526" s="44">
        <v>78.053250000000006</v>
      </c>
      <c r="G526" s="11">
        <f t="shared" si="16"/>
        <v>0</v>
      </c>
      <c r="H526" s="35">
        <f t="shared" si="17"/>
        <v>0</v>
      </c>
      <c r="R526" s="48" t="s">
        <v>36</v>
      </c>
      <c r="S526" s="48" t="s">
        <v>36</v>
      </c>
      <c r="T526" s="49">
        <v>46255.541666666664</v>
      </c>
      <c r="U526" s="50">
        <v>0</v>
      </c>
    </row>
    <row r="527" spans="1:21">
      <c r="A527" s="42">
        <v>46255.583333333336</v>
      </c>
      <c r="B527" s="43" t="s">
        <v>29</v>
      </c>
      <c r="C527" s="44">
        <v>0</v>
      </c>
      <c r="D527" s="44">
        <v>0</v>
      </c>
      <c r="E527" s="44">
        <v>238</v>
      </c>
      <c r="F527" s="44">
        <v>78.053250000000006</v>
      </c>
      <c r="G527" s="11">
        <f t="shared" si="16"/>
        <v>0</v>
      </c>
      <c r="H527" s="35">
        <f t="shared" si="17"/>
        <v>0</v>
      </c>
      <c r="R527" s="48" t="s">
        <v>36</v>
      </c>
      <c r="S527" s="48" t="s">
        <v>36</v>
      </c>
      <c r="T527" s="49">
        <v>46255.583333333336</v>
      </c>
      <c r="U527" s="50">
        <v>0</v>
      </c>
    </row>
    <row r="528" spans="1:21">
      <c r="A528" s="42">
        <v>46255.625</v>
      </c>
      <c r="B528" s="43" t="s">
        <v>29</v>
      </c>
      <c r="C528" s="44">
        <v>0</v>
      </c>
      <c r="D528" s="44">
        <v>0</v>
      </c>
      <c r="E528" s="44">
        <v>238</v>
      </c>
      <c r="F528" s="44">
        <v>78.053250000000006</v>
      </c>
      <c r="G528" s="11">
        <f t="shared" si="16"/>
        <v>0</v>
      </c>
      <c r="H528" s="35">
        <f t="shared" si="17"/>
        <v>0</v>
      </c>
      <c r="R528" s="48" t="s">
        <v>36</v>
      </c>
      <c r="S528" s="48" t="s">
        <v>36</v>
      </c>
      <c r="T528" s="49">
        <v>46255.625</v>
      </c>
      <c r="U528" s="50">
        <v>0</v>
      </c>
    </row>
    <row r="529" spans="1:21">
      <c r="A529" s="42">
        <v>46255.666666666664</v>
      </c>
      <c r="B529" s="43" t="s">
        <v>29</v>
      </c>
      <c r="C529" s="44">
        <v>0</v>
      </c>
      <c r="D529" s="44">
        <v>0</v>
      </c>
      <c r="E529" s="44">
        <v>238</v>
      </c>
      <c r="F529" s="44">
        <v>78.053250000000006</v>
      </c>
      <c r="G529" s="11">
        <f t="shared" si="16"/>
        <v>0</v>
      </c>
      <c r="H529" s="35">
        <f t="shared" si="17"/>
        <v>0</v>
      </c>
      <c r="R529" s="48" t="s">
        <v>36</v>
      </c>
      <c r="S529" s="48" t="s">
        <v>36</v>
      </c>
      <c r="T529" s="49">
        <v>46255.666666666664</v>
      </c>
      <c r="U529" s="50">
        <v>0</v>
      </c>
    </row>
    <row r="530" spans="1:21">
      <c r="A530" s="42">
        <v>46255.708333333336</v>
      </c>
      <c r="B530" s="43" t="s">
        <v>29</v>
      </c>
      <c r="C530" s="44">
        <v>0</v>
      </c>
      <c r="D530" s="44">
        <v>0</v>
      </c>
      <c r="E530" s="44">
        <v>238</v>
      </c>
      <c r="F530" s="44">
        <v>78.053250000000006</v>
      </c>
      <c r="G530" s="11">
        <f t="shared" si="16"/>
        <v>0</v>
      </c>
      <c r="H530" s="35">
        <f t="shared" si="17"/>
        <v>0</v>
      </c>
      <c r="R530" s="48" t="s">
        <v>36</v>
      </c>
      <c r="S530" s="48" t="s">
        <v>36</v>
      </c>
      <c r="T530" s="49">
        <v>46255.708333333336</v>
      </c>
      <c r="U530" s="50">
        <v>0</v>
      </c>
    </row>
    <row r="531" spans="1:21">
      <c r="A531" s="42">
        <v>46255.75</v>
      </c>
      <c r="B531" s="43" t="s">
        <v>29</v>
      </c>
      <c r="C531" s="44">
        <v>0</v>
      </c>
      <c r="D531" s="44">
        <v>0</v>
      </c>
      <c r="E531" s="44">
        <v>238</v>
      </c>
      <c r="F531" s="44">
        <v>78.053250000000006</v>
      </c>
      <c r="G531" s="11">
        <f t="shared" si="16"/>
        <v>0</v>
      </c>
      <c r="H531" s="35">
        <f t="shared" si="17"/>
        <v>0</v>
      </c>
      <c r="R531" s="48" t="s">
        <v>36</v>
      </c>
      <c r="S531" s="48" t="s">
        <v>36</v>
      </c>
      <c r="T531" s="49">
        <v>46255.75</v>
      </c>
      <c r="U531" s="50">
        <v>0</v>
      </c>
    </row>
    <row r="532" spans="1:21">
      <c r="A532" s="42">
        <v>46255.791666666664</v>
      </c>
      <c r="B532" s="43" t="s">
        <v>29</v>
      </c>
      <c r="C532" s="44">
        <v>0</v>
      </c>
      <c r="D532" s="44">
        <v>0</v>
      </c>
      <c r="E532" s="44">
        <v>238</v>
      </c>
      <c r="F532" s="44">
        <v>78.053250000000006</v>
      </c>
      <c r="G532" s="11">
        <f t="shared" si="16"/>
        <v>0</v>
      </c>
      <c r="H532" s="35">
        <f t="shared" si="17"/>
        <v>0</v>
      </c>
      <c r="R532" s="48" t="s">
        <v>36</v>
      </c>
      <c r="S532" s="48" t="s">
        <v>36</v>
      </c>
      <c r="T532" s="49">
        <v>46255.791666666664</v>
      </c>
      <c r="U532" s="50">
        <v>0</v>
      </c>
    </row>
    <row r="533" spans="1:21">
      <c r="A533" s="42">
        <v>46255.833333333336</v>
      </c>
      <c r="B533" s="43" t="s">
        <v>29</v>
      </c>
      <c r="C533" s="44">
        <v>0</v>
      </c>
      <c r="D533" s="44">
        <v>0</v>
      </c>
      <c r="E533" s="44">
        <v>238</v>
      </c>
      <c r="F533" s="44">
        <v>78.053250000000006</v>
      </c>
      <c r="G533" s="11">
        <f t="shared" si="16"/>
        <v>0</v>
      </c>
      <c r="H533" s="35">
        <f t="shared" si="17"/>
        <v>0</v>
      </c>
      <c r="R533" s="48" t="s">
        <v>36</v>
      </c>
      <c r="S533" s="48" t="s">
        <v>36</v>
      </c>
      <c r="T533" s="49">
        <v>46255.833333333336</v>
      </c>
      <c r="U533" s="50">
        <v>0</v>
      </c>
    </row>
    <row r="534" spans="1:21">
      <c r="A534" s="42">
        <v>46255.875</v>
      </c>
      <c r="B534" s="43" t="s">
        <v>29</v>
      </c>
      <c r="C534" s="44">
        <v>0</v>
      </c>
      <c r="D534" s="44">
        <v>0</v>
      </c>
      <c r="E534" s="44">
        <v>238</v>
      </c>
      <c r="F534" s="44">
        <v>78.053250000000006</v>
      </c>
      <c r="G534" s="11">
        <f t="shared" si="16"/>
        <v>0</v>
      </c>
      <c r="H534" s="35">
        <f t="shared" si="17"/>
        <v>0</v>
      </c>
      <c r="R534" s="48" t="s">
        <v>36</v>
      </c>
      <c r="S534" s="48" t="s">
        <v>36</v>
      </c>
      <c r="T534" s="49">
        <v>46255.875</v>
      </c>
      <c r="U534" s="50">
        <v>0</v>
      </c>
    </row>
    <row r="535" spans="1:21">
      <c r="A535" s="42">
        <v>46255.916666666664</v>
      </c>
      <c r="B535" s="43" t="s">
        <v>29</v>
      </c>
      <c r="C535" s="44">
        <v>0</v>
      </c>
      <c r="D535" s="44">
        <v>0</v>
      </c>
      <c r="E535" s="44">
        <v>238</v>
      </c>
      <c r="F535" s="44">
        <v>78.053250000000006</v>
      </c>
      <c r="G535" s="11">
        <f t="shared" si="16"/>
        <v>0</v>
      </c>
      <c r="H535" s="35">
        <f t="shared" si="17"/>
        <v>0</v>
      </c>
      <c r="R535" s="48" t="s">
        <v>36</v>
      </c>
      <c r="S535" s="48" t="s">
        <v>36</v>
      </c>
      <c r="T535" s="49">
        <v>46255.916666666664</v>
      </c>
      <c r="U535" s="50">
        <v>0</v>
      </c>
    </row>
    <row r="536" spans="1:21">
      <c r="A536" s="42">
        <v>46255.958333333336</v>
      </c>
      <c r="B536" s="43" t="s">
        <v>29</v>
      </c>
      <c r="C536" s="44">
        <v>0</v>
      </c>
      <c r="D536" s="44">
        <v>0</v>
      </c>
      <c r="E536" s="44">
        <v>238</v>
      </c>
      <c r="F536" s="44">
        <v>78.053250000000006</v>
      </c>
      <c r="G536" s="11">
        <f t="shared" si="16"/>
        <v>0</v>
      </c>
      <c r="H536" s="35">
        <f t="shared" si="17"/>
        <v>0</v>
      </c>
      <c r="R536" s="48" t="s">
        <v>36</v>
      </c>
      <c r="S536" s="48" t="s">
        <v>36</v>
      </c>
      <c r="T536" s="49">
        <v>46255.958333333336</v>
      </c>
      <c r="U536" s="50">
        <v>0</v>
      </c>
    </row>
    <row r="537" spans="1:21">
      <c r="A537" s="42">
        <v>46256</v>
      </c>
      <c r="B537" s="43" t="s">
        <v>29</v>
      </c>
      <c r="C537" s="44">
        <v>0</v>
      </c>
      <c r="D537" s="44">
        <v>0</v>
      </c>
      <c r="E537" s="44">
        <v>238</v>
      </c>
      <c r="F537" s="44">
        <v>78.053250000000006</v>
      </c>
      <c r="G537" s="11">
        <f t="shared" si="16"/>
        <v>0</v>
      </c>
      <c r="H537" s="35">
        <f t="shared" si="17"/>
        <v>0</v>
      </c>
      <c r="R537" s="48" t="s">
        <v>36</v>
      </c>
      <c r="S537" s="48" t="s">
        <v>36</v>
      </c>
      <c r="T537" s="49">
        <v>46256</v>
      </c>
      <c r="U537" s="50">
        <v>0</v>
      </c>
    </row>
    <row r="538" spans="1:21">
      <c r="A538" s="42">
        <v>46256.041666666664</v>
      </c>
      <c r="B538" s="43" t="s">
        <v>29</v>
      </c>
      <c r="C538" s="44">
        <v>0</v>
      </c>
      <c r="D538" s="44">
        <v>0</v>
      </c>
      <c r="E538" s="44">
        <v>238</v>
      </c>
      <c r="F538" s="44">
        <v>78.053250000000006</v>
      </c>
      <c r="G538" s="11">
        <f t="shared" si="16"/>
        <v>0</v>
      </c>
      <c r="H538" s="35">
        <f t="shared" si="17"/>
        <v>0</v>
      </c>
      <c r="R538" s="48" t="s">
        <v>36</v>
      </c>
      <c r="S538" s="48" t="s">
        <v>36</v>
      </c>
      <c r="T538" s="49">
        <v>46256.041666666664</v>
      </c>
      <c r="U538" s="50">
        <v>0</v>
      </c>
    </row>
    <row r="539" spans="1:21">
      <c r="A539" s="42">
        <v>46256.083333333336</v>
      </c>
      <c r="B539" s="43" t="s">
        <v>29</v>
      </c>
      <c r="C539" s="44">
        <v>0</v>
      </c>
      <c r="D539" s="44">
        <v>0</v>
      </c>
      <c r="E539" s="44">
        <v>238</v>
      </c>
      <c r="F539" s="44">
        <v>78.053250000000006</v>
      </c>
      <c r="G539" s="11">
        <f t="shared" si="16"/>
        <v>0</v>
      </c>
      <c r="H539" s="35">
        <f t="shared" si="17"/>
        <v>0</v>
      </c>
      <c r="R539" s="48" t="s">
        <v>36</v>
      </c>
      <c r="S539" s="48" t="s">
        <v>36</v>
      </c>
      <c r="T539" s="49">
        <v>46256.083333333336</v>
      </c>
      <c r="U539" s="50">
        <v>0</v>
      </c>
    </row>
    <row r="540" spans="1:21">
      <c r="A540" s="42">
        <v>46256.125</v>
      </c>
      <c r="B540" s="43" t="s">
        <v>29</v>
      </c>
      <c r="C540" s="44">
        <v>0</v>
      </c>
      <c r="D540" s="44">
        <v>0</v>
      </c>
      <c r="E540" s="44">
        <v>238</v>
      </c>
      <c r="F540" s="44">
        <v>78.053250000000006</v>
      </c>
      <c r="G540" s="11">
        <f t="shared" si="16"/>
        <v>0</v>
      </c>
      <c r="H540" s="35">
        <f t="shared" si="17"/>
        <v>0</v>
      </c>
      <c r="R540" s="48" t="s">
        <v>36</v>
      </c>
      <c r="S540" s="48" t="s">
        <v>36</v>
      </c>
      <c r="T540" s="49">
        <v>46256.125</v>
      </c>
      <c r="U540" s="50">
        <v>0</v>
      </c>
    </row>
    <row r="541" spans="1:21">
      <c r="A541" s="42">
        <v>46256.166666666664</v>
      </c>
      <c r="B541" s="43" t="s">
        <v>29</v>
      </c>
      <c r="C541" s="44">
        <v>0</v>
      </c>
      <c r="D541" s="44">
        <v>0</v>
      </c>
      <c r="E541" s="44">
        <v>238</v>
      </c>
      <c r="F541" s="44">
        <v>78.053250000000006</v>
      </c>
      <c r="G541" s="11">
        <f t="shared" si="16"/>
        <v>0</v>
      </c>
      <c r="H541" s="35">
        <f t="shared" si="17"/>
        <v>0</v>
      </c>
      <c r="R541" s="48" t="s">
        <v>36</v>
      </c>
      <c r="S541" s="48" t="s">
        <v>36</v>
      </c>
      <c r="T541" s="49">
        <v>46256.166666666664</v>
      </c>
      <c r="U541" s="50">
        <v>0</v>
      </c>
    </row>
    <row r="542" spans="1:21">
      <c r="A542" s="42">
        <v>46256.208333333336</v>
      </c>
      <c r="B542" s="43" t="s">
        <v>29</v>
      </c>
      <c r="C542" s="44">
        <v>0</v>
      </c>
      <c r="D542" s="44">
        <v>0</v>
      </c>
      <c r="E542" s="44">
        <v>238</v>
      </c>
      <c r="F542" s="44">
        <v>78.053250000000006</v>
      </c>
      <c r="G542" s="11">
        <f t="shared" si="16"/>
        <v>0</v>
      </c>
      <c r="H542" s="35">
        <f t="shared" si="17"/>
        <v>0</v>
      </c>
      <c r="R542" s="48" t="s">
        <v>36</v>
      </c>
      <c r="S542" s="48" t="s">
        <v>36</v>
      </c>
      <c r="T542" s="49">
        <v>46256.208333333336</v>
      </c>
      <c r="U542" s="50">
        <v>0</v>
      </c>
    </row>
    <row r="543" spans="1:21">
      <c r="A543" s="42">
        <v>46256.25</v>
      </c>
      <c r="B543" s="43" t="s">
        <v>29</v>
      </c>
      <c r="C543" s="44">
        <v>0</v>
      </c>
      <c r="D543" s="44">
        <v>0</v>
      </c>
      <c r="E543" s="44">
        <v>238</v>
      </c>
      <c r="F543" s="44">
        <v>78.053250000000006</v>
      </c>
      <c r="G543" s="11">
        <f t="shared" si="16"/>
        <v>0</v>
      </c>
      <c r="H543" s="35">
        <f t="shared" si="17"/>
        <v>0</v>
      </c>
      <c r="R543" s="48" t="s">
        <v>36</v>
      </c>
      <c r="S543" s="48" t="s">
        <v>36</v>
      </c>
      <c r="T543" s="49">
        <v>46256.25</v>
      </c>
      <c r="U543" s="50">
        <v>0</v>
      </c>
    </row>
    <row r="544" spans="1:21">
      <c r="A544" s="42">
        <v>46256.291666666664</v>
      </c>
      <c r="B544" s="43" t="s">
        <v>29</v>
      </c>
      <c r="C544" s="44">
        <v>0</v>
      </c>
      <c r="D544" s="44">
        <v>0</v>
      </c>
      <c r="E544" s="44">
        <v>238</v>
      </c>
      <c r="F544" s="44">
        <v>78.053250000000006</v>
      </c>
      <c r="G544" s="11">
        <f t="shared" si="16"/>
        <v>0</v>
      </c>
      <c r="H544" s="35">
        <f t="shared" si="17"/>
        <v>0</v>
      </c>
      <c r="R544" s="48" t="s">
        <v>36</v>
      </c>
      <c r="S544" s="48" t="s">
        <v>36</v>
      </c>
      <c r="T544" s="49">
        <v>46256.291666666664</v>
      </c>
      <c r="U544" s="50">
        <v>0</v>
      </c>
    </row>
    <row r="545" spans="1:21">
      <c r="A545" s="42">
        <v>46256.333333333336</v>
      </c>
      <c r="B545" s="43" t="s">
        <v>29</v>
      </c>
      <c r="C545" s="44">
        <v>0</v>
      </c>
      <c r="D545" s="44">
        <v>0</v>
      </c>
      <c r="E545" s="44">
        <v>238</v>
      </c>
      <c r="F545" s="44">
        <v>78.053250000000006</v>
      </c>
      <c r="G545" s="11">
        <f t="shared" si="16"/>
        <v>0</v>
      </c>
      <c r="H545" s="35">
        <f t="shared" si="17"/>
        <v>0</v>
      </c>
      <c r="R545" s="48" t="s">
        <v>36</v>
      </c>
      <c r="S545" s="48" t="s">
        <v>36</v>
      </c>
      <c r="T545" s="49">
        <v>46256.333333333336</v>
      </c>
      <c r="U545" s="50">
        <v>0</v>
      </c>
    </row>
    <row r="546" spans="1:21">
      <c r="A546" s="42">
        <v>46256.375</v>
      </c>
      <c r="B546" s="43" t="s">
        <v>29</v>
      </c>
      <c r="C546" s="44">
        <v>0</v>
      </c>
      <c r="D546" s="44">
        <v>0</v>
      </c>
      <c r="E546" s="44">
        <v>238</v>
      </c>
      <c r="F546" s="44">
        <v>78.053250000000006</v>
      </c>
      <c r="G546" s="11">
        <f t="shared" si="16"/>
        <v>0</v>
      </c>
      <c r="H546" s="35">
        <f t="shared" si="17"/>
        <v>0</v>
      </c>
      <c r="R546" s="48" t="s">
        <v>36</v>
      </c>
      <c r="S546" s="48" t="s">
        <v>36</v>
      </c>
      <c r="T546" s="49">
        <v>46256.375</v>
      </c>
      <c r="U546" s="50">
        <v>0</v>
      </c>
    </row>
    <row r="547" spans="1:21">
      <c r="A547" s="42">
        <v>46256.416666666664</v>
      </c>
      <c r="B547" s="43" t="s">
        <v>29</v>
      </c>
      <c r="C547" s="44">
        <v>0</v>
      </c>
      <c r="D547" s="44">
        <v>0</v>
      </c>
      <c r="E547" s="44">
        <v>238</v>
      </c>
      <c r="F547" s="44">
        <v>78.053250000000006</v>
      </c>
      <c r="G547" s="11">
        <f t="shared" si="16"/>
        <v>0</v>
      </c>
      <c r="H547" s="35">
        <f t="shared" si="17"/>
        <v>0</v>
      </c>
      <c r="R547" s="48" t="s">
        <v>36</v>
      </c>
      <c r="S547" s="48" t="s">
        <v>36</v>
      </c>
      <c r="T547" s="49">
        <v>46256.416666666664</v>
      </c>
      <c r="U547" s="50">
        <v>0</v>
      </c>
    </row>
    <row r="548" spans="1:21">
      <c r="A548" s="42">
        <v>46256.458333333336</v>
      </c>
      <c r="B548" s="43" t="s">
        <v>29</v>
      </c>
      <c r="C548" s="44">
        <v>0</v>
      </c>
      <c r="D548" s="44">
        <v>0</v>
      </c>
      <c r="E548" s="44">
        <v>238</v>
      </c>
      <c r="F548" s="44">
        <v>78.053250000000006</v>
      </c>
      <c r="G548" s="11">
        <f t="shared" si="16"/>
        <v>0</v>
      </c>
      <c r="H548" s="35">
        <f t="shared" si="17"/>
        <v>0</v>
      </c>
      <c r="R548" s="48" t="s">
        <v>36</v>
      </c>
      <c r="S548" s="48" t="s">
        <v>36</v>
      </c>
      <c r="T548" s="49">
        <v>46256.458333333336</v>
      </c>
      <c r="U548" s="50">
        <v>0</v>
      </c>
    </row>
    <row r="549" spans="1:21">
      <c r="A549" s="42">
        <v>46256.5</v>
      </c>
      <c r="B549" s="43" t="s">
        <v>29</v>
      </c>
      <c r="C549" s="44">
        <v>0</v>
      </c>
      <c r="D549" s="44">
        <v>0</v>
      </c>
      <c r="E549" s="44">
        <v>238</v>
      </c>
      <c r="F549" s="44">
        <v>78.053250000000006</v>
      </c>
      <c r="G549" s="11">
        <f t="shared" si="16"/>
        <v>0</v>
      </c>
      <c r="H549" s="35">
        <f t="shared" si="17"/>
        <v>0</v>
      </c>
      <c r="R549" s="48" t="s">
        <v>36</v>
      </c>
      <c r="S549" s="48" t="s">
        <v>36</v>
      </c>
      <c r="T549" s="49">
        <v>46256.5</v>
      </c>
      <c r="U549" s="50">
        <v>0</v>
      </c>
    </row>
    <row r="550" spans="1:21">
      <c r="A550" s="42">
        <v>46256.541666666664</v>
      </c>
      <c r="B550" s="43" t="s">
        <v>29</v>
      </c>
      <c r="C550" s="44">
        <v>0</v>
      </c>
      <c r="D550" s="44">
        <v>0</v>
      </c>
      <c r="E550" s="44">
        <v>238</v>
      </c>
      <c r="F550" s="44">
        <v>78.053250000000006</v>
      </c>
      <c r="G550" s="11">
        <f t="shared" si="16"/>
        <v>0</v>
      </c>
      <c r="H550" s="35">
        <f t="shared" si="17"/>
        <v>0</v>
      </c>
      <c r="R550" s="48" t="s">
        <v>36</v>
      </c>
      <c r="S550" s="48" t="s">
        <v>36</v>
      </c>
      <c r="T550" s="49">
        <v>46256.541666666664</v>
      </c>
      <c r="U550" s="50">
        <v>0</v>
      </c>
    </row>
    <row r="551" spans="1:21">
      <c r="A551" s="42">
        <v>46256.583333333336</v>
      </c>
      <c r="B551" s="43" t="s">
        <v>29</v>
      </c>
      <c r="C551" s="44">
        <v>0</v>
      </c>
      <c r="D551" s="44">
        <v>0</v>
      </c>
      <c r="E551" s="44">
        <v>238</v>
      </c>
      <c r="F551" s="44">
        <v>78.053250000000006</v>
      </c>
      <c r="G551" s="11">
        <f t="shared" si="16"/>
        <v>0</v>
      </c>
      <c r="H551" s="35">
        <f t="shared" si="17"/>
        <v>0</v>
      </c>
      <c r="R551" s="48" t="s">
        <v>36</v>
      </c>
      <c r="S551" s="48" t="s">
        <v>36</v>
      </c>
      <c r="T551" s="49">
        <v>46256.583333333336</v>
      </c>
      <c r="U551" s="50">
        <v>0</v>
      </c>
    </row>
    <row r="552" spans="1:21">
      <c r="A552" s="42">
        <v>46256.625</v>
      </c>
      <c r="B552" s="43" t="s">
        <v>29</v>
      </c>
      <c r="C552" s="44">
        <v>0</v>
      </c>
      <c r="D552" s="44">
        <v>0</v>
      </c>
      <c r="E552" s="44">
        <v>238</v>
      </c>
      <c r="F552" s="44">
        <v>78.053250000000006</v>
      </c>
      <c r="G552" s="11">
        <f t="shared" si="16"/>
        <v>0</v>
      </c>
      <c r="H552" s="35">
        <f t="shared" si="17"/>
        <v>0</v>
      </c>
      <c r="R552" s="48" t="s">
        <v>36</v>
      </c>
      <c r="S552" s="48" t="s">
        <v>36</v>
      </c>
      <c r="T552" s="49">
        <v>46256.625</v>
      </c>
      <c r="U552" s="50">
        <v>0</v>
      </c>
    </row>
    <row r="553" spans="1:21">
      <c r="A553" s="42">
        <v>46256.666666666664</v>
      </c>
      <c r="B553" s="43" t="s">
        <v>29</v>
      </c>
      <c r="C553" s="44">
        <v>0</v>
      </c>
      <c r="D553" s="44">
        <v>0</v>
      </c>
      <c r="E553" s="44">
        <v>238</v>
      </c>
      <c r="F553" s="44">
        <v>78.053250000000006</v>
      </c>
      <c r="G553" s="11">
        <f t="shared" si="16"/>
        <v>0</v>
      </c>
      <c r="H553" s="35">
        <f t="shared" si="17"/>
        <v>0</v>
      </c>
      <c r="R553" s="48" t="s">
        <v>36</v>
      </c>
      <c r="S553" s="48" t="s">
        <v>36</v>
      </c>
      <c r="T553" s="49">
        <v>46256.666666666664</v>
      </c>
      <c r="U553" s="50">
        <v>0</v>
      </c>
    </row>
    <row r="554" spans="1:21">
      <c r="A554" s="42">
        <v>46256.708333333336</v>
      </c>
      <c r="B554" s="43" t="s">
        <v>29</v>
      </c>
      <c r="C554" s="44">
        <v>0</v>
      </c>
      <c r="D554" s="44">
        <v>0</v>
      </c>
      <c r="E554" s="44">
        <v>238</v>
      </c>
      <c r="F554" s="44">
        <v>78.053250000000006</v>
      </c>
      <c r="G554" s="11">
        <f t="shared" si="16"/>
        <v>0</v>
      </c>
      <c r="H554" s="35">
        <f t="shared" si="17"/>
        <v>0</v>
      </c>
      <c r="R554" s="48" t="s">
        <v>36</v>
      </c>
      <c r="S554" s="48" t="s">
        <v>36</v>
      </c>
      <c r="T554" s="49">
        <v>46256.708333333336</v>
      </c>
      <c r="U554" s="50">
        <v>0</v>
      </c>
    </row>
    <row r="555" spans="1:21">
      <c r="A555" s="42">
        <v>46256.75</v>
      </c>
      <c r="B555" s="43" t="s">
        <v>29</v>
      </c>
      <c r="C555" s="44">
        <v>0</v>
      </c>
      <c r="D555" s="44">
        <v>0</v>
      </c>
      <c r="E555" s="44">
        <v>238</v>
      </c>
      <c r="F555" s="44">
        <v>78.053250000000006</v>
      </c>
      <c r="G555" s="11">
        <f t="shared" si="16"/>
        <v>0</v>
      </c>
      <c r="H555" s="35">
        <f t="shared" si="17"/>
        <v>0</v>
      </c>
      <c r="R555" s="48" t="s">
        <v>36</v>
      </c>
      <c r="S555" s="48" t="s">
        <v>36</v>
      </c>
      <c r="T555" s="49">
        <v>46256.75</v>
      </c>
      <c r="U555" s="50">
        <v>0</v>
      </c>
    </row>
    <row r="556" spans="1:21">
      <c r="A556" s="42">
        <v>46256.791666666664</v>
      </c>
      <c r="B556" s="43" t="s">
        <v>29</v>
      </c>
      <c r="C556" s="44">
        <v>0</v>
      </c>
      <c r="D556" s="44">
        <v>0</v>
      </c>
      <c r="E556" s="44">
        <v>238</v>
      </c>
      <c r="F556" s="44">
        <v>78.053250000000006</v>
      </c>
      <c r="G556" s="11">
        <f t="shared" si="16"/>
        <v>0</v>
      </c>
      <c r="H556" s="35">
        <f t="shared" si="17"/>
        <v>0</v>
      </c>
      <c r="R556" s="48" t="s">
        <v>36</v>
      </c>
      <c r="S556" s="48" t="s">
        <v>36</v>
      </c>
      <c r="T556" s="49">
        <v>46256.791666666664</v>
      </c>
      <c r="U556" s="50">
        <v>0</v>
      </c>
    </row>
    <row r="557" spans="1:21">
      <c r="A557" s="42">
        <v>46256.833333333336</v>
      </c>
      <c r="B557" s="43" t="s">
        <v>29</v>
      </c>
      <c r="C557" s="44">
        <v>0</v>
      </c>
      <c r="D557" s="44">
        <v>0</v>
      </c>
      <c r="E557" s="44">
        <v>238</v>
      </c>
      <c r="F557" s="44">
        <v>78.053250000000006</v>
      </c>
      <c r="G557" s="11">
        <f t="shared" si="16"/>
        <v>0</v>
      </c>
      <c r="H557" s="35">
        <f t="shared" si="17"/>
        <v>0</v>
      </c>
      <c r="R557" s="48" t="s">
        <v>36</v>
      </c>
      <c r="S557" s="48" t="s">
        <v>36</v>
      </c>
      <c r="T557" s="49">
        <v>46256.833333333336</v>
      </c>
      <c r="U557" s="50">
        <v>0</v>
      </c>
    </row>
    <row r="558" spans="1:21">
      <c r="A558" s="42">
        <v>46256.875</v>
      </c>
      <c r="B558" s="43" t="s">
        <v>29</v>
      </c>
      <c r="C558" s="44">
        <v>0</v>
      </c>
      <c r="D558" s="44">
        <v>0</v>
      </c>
      <c r="E558" s="44">
        <v>238</v>
      </c>
      <c r="F558" s="44">
        <v>78.053250000000006</v>
      </c>
      <c r="G558" s="11">
        <f t="shared" si="16"/>
        <v>0</v>
      </c>
      <c r="H558" s="35">
        <f t="shared" si="17"/>
        <v>0</v>
      </c>
      <c r="R558" s="48" t="s">
        <v>36</v>
      </c>
      <c r="S558" s="48" t="s">
        <v>36</v>
      </c>
      <c r="T558" s="49">
        <v>46256.875</v>
      </c>
      <c r="U558" s="50">
        <v>0</v>
      </c>
    </row>
    <row r="559" spans="1:21">
      <c r="A559" s="42">
        <v>46256.916666666664</v>
      </c>
      <c r="B559" s="43" t="s">
        <v>29</v>
      </c>
      <c r="C559" s="44">
        <v>0</v>
      </c>
      <c r="D559" s="44">
        <v>0</v>
      </c>
      <c r="E559" s="44">
        <v>238</v>
      </c>
      <c r="F559" s="44">
        <v>78.053250000000006</v>
      </c>
      <c r="G559" s="11">
        <f t="shared" si="16"/>
        <v>0</v>
      </c>
      <c r="H559" s="35">
        <f t="shared" si="17"/>
        <v>0</v>
      </c>
      <c r="R559" s="48" t="s">
        <v>36</v>
      </c>
      <c r="S559" s="48" t="s">
        <v>36</v>
      </c>
      <c r="T559" s="49">
        <v>46256.916666666664</v>
      </c>
      <c r="U559" s="50">
        <v>0</v>
      </c>
    </row>
    <row r="560" spans="1:21">
      <c r="A560" s="42">
        <v>46256.958333333336</v>
      </c>
      <c r="B560" s="43" t="s">
        <v>29</v>
      </c>
      <c r="C560" s="44">
        <v>0</v>
      </c>
      <c r="D560" s="44">
        <v>0</v>
      </c>
      <c r="E560" s="44">
        <v>238</v>
      </c>
      <c r="F560" s="44">
        <v>78.053250000000006</v>
      </c>
      <c r="G560" s="11">
        <f t="shared" si="16"/>
        <v>0</v>
      </c>
      <c r="H560" s="35">
        <f t="shared" si="17"/>
        <v>0</v>
      </c>
      <c r="R560" s="48" t="s">
        <v>36</v>
      </c>
      <c r="S560" s="48" t="s">
        <v>36</v>
      </c>
      <c r="T560" s="49">
        <v>46256.958333333336</v>
      </c>
      <c r="U560" s="50">
        <v>0</v>
      </c>
    </row>
    <row r="561" spans="1:21">
      <c r="A561" s="42">
        <v>46257</v>
      </c>
      <c r="B561" s="43" t="s">
        <v>29</v>
      </c>
      <c r="C561" s="44">
        <v>0</v>
      </c>
      <c r="D561" s="44">
        <v>0</v>
      </c>
      <c r="E561" s="44">
        <v>238</v>
      </c>
      <c r="F561" s="44">
        <v>78.053250000000006</v>
      </c>
      <c r="G561" s="11">
        <f t="shared" si="16"/>
        <v>0</v>
      </c>
      <c r="H561" s="35">
        <f t="shared" si="17"/>
        <v>0</v>
      </c>
      <c r="R561" s="48" t="s">
        <v>36</v>
      </c>
      <c r="S561" s="48" t="s">
        <v>36</v>
      </c>
      <c r="T561" s="49">
        <v>46257</v>
      </c>
      <c r="U561" s="50">
        <v>0</v>
      </c>
    </row>
    <row r="562" spans="1:21">
      <c r="A562" s="42">
        <v>46257.041666666664</v>
      </c>
      <c r="B562" s="43" t="s">
        <v>29</v>
      </c>
      <c r="C562" s="44">
        <v>0</v>
      </c>
      <c r="D562" s="44">
        <v>0</v>
      </c>
      <c r="E562" s="44">
        <v>238</v>
      </c>
      <c r="F562" s="44">
        <v>78.053250000000006</v>
      </c>
      <c r="G562" s="11">
        <f t="shared" si="16"/>
        <v>0</v>
      </c>
      <c r="H562" s="35">
        <f t="shared" si="17"/>
        <v>0</v>
      </c>
      <c r="R562" s="48" t="s">
        <v>36</v>
      </c>
      <c r="S562" s="48" t="s">
        <v>36</v>
      </c>
      <c r="T562" s="49">
        <v>46257.041666666664</v>
      </c>
      <c r="U562" s="50">
        <v>0</v>
      </c>
    </row>
    <row r="563" spans="1:21">
      <c r="A563" s="42">
        <v>46257.083333333336</v>
      </c>
      <c r="B563" s="43" t="s">
        <v>29</v>
      </c>
      <c r="C563" s="44">
        <v>0</v>
      </c>
      <c r="D563" s="44">
        <v>0</v>
      </c>
      <c r="E563" s="44">
        <v>238</v>
      </c>
      <c r="F563" s="44">
        <v>78.053250000000006</v>
      </c>
      <c r="G563" s="11">
        <f t="shared" si="16"/>
        <v>0</v>
      </c>
      <c r="H563" s="35">
        <f t="shared" si="17"/>
        <v>0</v>
      </c>
      <c r="R563" s="48" t="s">
        <v>36</v>
      </c>
      <c r="S563" s="48" t="s">
        <v>36</v>
      </c>
      <c r="T563" s="49">
        <v>46257.083333333336</v>
      </c>
      <c r="U563" s="50">
        <v>0</v>
      </c>
    </row>
    <row r="564" spans="1:21">
      <c r="A564" s="42">
        <v>46257.125</v>
      </c>
      <c r="B564" s="43" t="s">
        <v>29</v>
      </c>
      <c r="C564" s="44">
        <v>0</v>
      </c>
      <c r="D564" s="44">
        <v>0</v>
      </c>
      <c r="E564" s="44">
        <v>238</v>
      </c>
      <c r="F564" s="44">
        <v>78.053250000000006</v>
      </c>
      <c r="G564" s="11">
        <f t="shared" si="16"/>
        <v>0</v>
      </c>
      <c r="H564" s="35">
        <f t="shared" si="17"/>
        <v>0</v>
      </c>
      <c r="R564" s="48" t="s">
        <v>36</v>
      </c>
      <c r="S564" s="48" t="s">
        <v>36</v>
      </c>
      <c r="T564" s="49">
        <v>46257.125</v>
      </c>
      <c r="U564" s="50">
        <v>0</v>
      </c>
    </row>
    <row r="565" spans="1:21">
      <c r="A565" s="42">
        <v>46257.166666666664</v>
      </c>
      <c r="B565" s="43" t="s">
        <v>29</v>
      </c>
      <c r="C565" s="44">
        <v>0</v>
      </c>
      <c r="D565" s="44">
        <v>0</v>
      </c>
      <c r="E565" s="44">
        <v>238</v>
      </c>
      <c r="F565" s="44">
        <v>78.053250000000006</v>
      </c>
      <c r="G565" s="11">
        <f t="shared" si="16"/>
        <v>0</v>
      </c>
      <c r="H565" s="35">
        <f t="shared" si="17"/>
        <v>0</v>
      </c>
      <c r="R565" s="48" t="s">
        <v>36</v>
      </c>
      <c r="S565" s="48" t="s">
        <v>36</v>
      </c>
      <c r="T565" s="49">
        <v>46257.166666666664</v>
      </c>
      <c r="U565" s="50">
        <v>0</v>
      </c>
    </row>
    <row r="566" spans="1:21">
      <c r="A566" s="42">
        <v>46257.208333333336</v>
      </c>
      <c r="B566" s="43" t="s">
        <v>29</v>
      </c>
      <c r="C566" s="44">
        <v>0</v>
      </c>
      <c r="D566" s="44">
        <v>0</v>
      </c>
      <c r="E566" s="44">
        <v>238</v>
      </c>
      <c r="F566" s="44">
        <v>78.053250000000006</v>
      </c>
      <c r="G566" s="11">
        <f t="shared" si="16"/>
        <v>0</v>
      </c>
      <c r="H566" s="35">
        <f t="shared" si="17"/>
        <v>0</v>
      </c>
      <c r="R566" s="48" t="s">
        <v>36</v>
      </c>
      <c r="S566" s="48" t="s">
        <v>36</v>
      </c>
      <c r="T566" s="49">
        <v>46257.208333333336</v>
      </c>
      <c r="U566" s="50">
        <v>0</v>
      </c>
    </row>
    <row r="567" spans="1:21">
      <c r="A567" s="42">
        <v>46257.25</v>
      </c>
      <c r="B567" s="43" t="s">
        <v>29</v>
      </c>
      <c r="C567" s="44">
        <v>0</v>
      </c>
      <c r="D567" s="44">
        <v>0</v>
      </c>
      <c r="E567" s="44">
        <v>238</v>
      </c>
      <c r="F567" s="44">
        <v>78.053250000000006</v>
      </c>
      <c r="G567" s="11">
        <f t="shared" si="16"/>
        <v>0</v>
      </c>
      <c r="H567" s="35">
        <f t="shared" si="17"/>
        <v>0</v>
      </c>
      <c r="R567" s="48" t="s">
        <v>36</v>
      </c>
      <c r="S567" s="48" t="s">
        <v>36</v>
      </c>
      <c r="T567" s="49">
        <v>46257.25</v>
      </c>
      <c r="U567" s="50">
        <v>0</v>
      </c>
    </row>
    <row r="568" spans="1:21">
      <c r="A568" s="42">
        <v>46257.291666666664</v>
      </c>
      <c r="B568" s="43" t="s">
        <v>29</v>
      </c>
      <c r="C568" s="44">
        <v>0</v>
      </c>
      <c r="D568" s="44">
        <v>0</v>
      </c>
      <c r="E568" s="44">
        <v>238</v>
      </c>
      <c r="F568" s="44">
        <v>78.053250000000006</v>
      </c>
      <c r="G568" s="11">
        <f t="shared" si="16"/>
        <v>0</v>
      </c>
      <c r="H568" s="35">
        <f t="shared" si="17"/>
        <v>0</v>
      </c>
      <c r="R568" s="48" t="s">
        <v>36</v>
      </c>
      <c r="S568" s="48" t="s">
        <v>36</v>
      </c>
      <c r="T568" s="49">
        <v>46257.291666666664</v>
      </c>
      <c r="U568" s="50">
        <v>0</v>
      </c>
    </row>
    <row r="569" spans="1:21">
      <c r="A569" s="42">
        <v>46257.333333333336</v>
      </c>
      <c r="B569" s="43" t="s">
        <v>29</v>
      </c>
      <c r="C569" s="44">
        <v>0</v>
      </c>
      <c r="D569" s="44">
        <v>0</v>
      </c>
      <c r="E569" s="44">
        <v>238</v>
      </c>
      <c r="F569" s="44">
        <v>78.053250000000006</v>
      </c>
      <c r="G569" s="11">
        <f t="shared" si="16"/>
        <v>0</v>
      </c>
      <c r="H569" s="35">
        <f t="shared" si="17"/>
        <v>0</v>
      </c>
      <c r="R569" s="48" t="s">
        <v>36</v>
      </c>
      <c r="S569" s="48" t="s">
        <v>36</v>
      </c>
      <c r="T569" s="49">
        <v>46257.333333333336</v>
      </c>
      <c r="U569" s="50">
        <v>0</v>
      </c>
    </row>
    <row r="570" spans="1:21">
      <c r="A570" s="42">
        <v>46257.375</v>
      </c>
      <c r="B570" s="43" t="s">
        <v>29</v>
      </c>
      <c r="C570" s="44">
        <v>0</v>
      </c>
      <c r="D570" s="44">
        <v>0</v>
      </c>
      <c r="E570" s="44">
        <v>238</v>
      </c>
      <c r="F570" s="44">
        <v>78.053250000000006</v>
      </c>
      <c r="G570" s="11">
        <f t="shared" si="16"/>
        <v>0</v>
      </c>
      <c r="H570" s="35">
        <f t="shared" si="17"/>
        <v>0</v>
      </c>
      <c r="R570" s="48" t="s">
        <v>36</v>
      </c>
      <c r="S570" s="48" t="s">
        <v>36</v>
      </c>
      <c r="T570" s="49">
        <v>46257.375</v>
      </c>
      <c r="U570" s="50">
        <v>0</v>
      </c>
    </row>
    <row r="571" spans="1:21">
      <c r="A571" s="42">
        <v>46257.416666666664</v>
      </c>
      <c r="B571" s="43" t="s">
        <v>29</v>
      </c>
      <c r="C571" s="44">
        <v>0</v>
      </c>
      <c r="D571" s="44">
        <v>0</v>
      </c>
      <c r="E571" s="44">
        <v>238</v>
      </c>
      <c r="F571" s="44">
        <v>78.053250000000006</v>
      </c>
      <c r="G571" s="11">
        <f t="shared" si="16"/>
        <v>0</v>
      </c>
      <c r="H571" s="35">
        <f t="shared" si="17"/>
        <v>0</v>
      </c>
      <c r="R571" s="48" t="s">
        <v>36</v>
      </c>
      <c r="S571" s="48" t="s">
        <v>36</v>
      </c>
      <c r="T571" s="49">
        <v>46257.416666666664</v>
      </c>
      <c r="U571" s="50">
        <v>0</v>
      </c>
    </row>
    <row r="572" spans="1:21">
      <c r="A572" s="42">
        <v>46257.458333333336</v>
      </c>
      <c r="B572" s="43" t="s">
        <v>29</v>
      </c>
      <c r="C572" s="44">
        <v>0</v>
      </c>
      <c r="D572" s="44">
        <v>0</v>
      </c>
      <c r="E572" s="44">
        <v>238</v>
      </c>
      <c r="F572" s="44">
        <v>78.053250000000006</v>
      </c>
      <c r="G572" s="11">
        <f t="shared" si="16"/>
        <v>0</v>
      </c>
      <c r="H572" s="35">
        <f t="shared" si="17"/>
        <v>0</v>
      </c>
      <c r="R572" s="48" t="s">
        <v>36</v>
      </c>
      <c r="S572" s="48" t="s">
        <v>36</v>
      </c>
      <c r="T572" s="49">
        <v>46257.458333333336</v>
      </c>
      <c r="U572" s="50">
        <v>0</v>
      </c>
    </row>
    <row r="573" spans="1:21">
      <c r="A573" s="42">
        <v>46257.5</v>
      </c>
      <c r="B573" s="43" t="s">
        <v>29</v>
      </c>
      <c r="C573" s="44">
        <v>0</v>
      </c>
      <c r="D573" s="44">
        <v>0</v>
      </c>
      <c r="E573" s="44">
        <v>238</v>
      </c>
      <c r="F573" s="44">
        <v>78.053250000000006</v>
      </c>
      <c r="G573" s="11">
        <f t="shared" si="16"/>
        <v>0</v>
      </c>
      <c r="H573" s="35">
        <f t="shared" si="17"/>
        <v>0</v>
      </c>
      <c r="R573" s="48" t="s">
        <v>36</v>
      </c>
      <c r="S573" s="48" t="s">
        <v>36</v>
      </c>
      <c r="T573" s="49">
        <v>46257.5</v>
      </c>
      <c r="U573" s="50">
        <v>0</v>
      </c>
    </row>
    <row r="574" spans="1:21">
      <c r="A574" s="42">
        <v>46257.541666666664</v>
      </c>
      <c r="B574" s="43" t="s">
        <v>29</v>
      </c>
      <c r="C574" s="44">
        <v>0</v>
      </c>
      <c r="D574" s="44">
        <v>0</v>
      </c>
      <c r="E574" s="44">
        <v>238</v>
      </c>
      <c r="F574" s="44">
        <v>78.053250000000006</v>
      </c>
      <c r="G574" s="11">
        <f t="shared" si="16"/>
        <v>0</v>
      </c>
      <c r="H574" s="35">
        <f t="shared" si="17"/>
        <v>0</v>
      </c>
      <c r="R574" s="48" t="s">
        <v>36</v>
      </c>
      <c r="S574" s="48" t="s">
        <v>36</v>
      </c>
      <c r="T574" s="49">
        <v>46257.541666666664</v>
      </c>
      <c r="U574" s="50">
        <v>0</v>
      </c>
    </row>
    <row r="575" spans="1:21">
      <c r="A575" s="42">
        <v>46257.583333333336</v>
      </c>
      <c r="B575" s="43" t="s">
        <v>29</v>
      </c>
      <c r="C575" s="44">
        <v>0</v>
      </c>
      <c r="D575" s="44">
        <v>0</v>
      </c>
      <c r="E575" s="44">
        <v>238</v>
      </c>
      <c r="F575" s="44">
        <v>78.053250000000006</v>
      </c>
      <c r="G575" s="11">
        <f t="shared" si="16"/>
        <v>0</v>
      </c>
      <c r="H575" s="35">
        <f t="shared" si="17"/>
        <v>0</v>
      </c>
      <c r="R575" s="48" t="s">
        <v>36</v>
      </c>
      <c r="S575" s="48" t="s">
        <v>36</v>
      </c>
      <c r="T575" s="49">
        <v>46257.583333333336</v>
      </c>
      <c r="U575" s="50">
        <v>0</v>
      </c>
    </row>
    <row r="576" spans="1:21">
      <c r="A576" s="42">
        <v>46257.625</v>
      </c>
      <c r="B576" s="43" t="s">
        <v>29</v>
      </c>
      <c r="C576" s="44">
        <v>0</v>
      </c>
      <c r="D576" s="44">
        <v>0</v>
      </c>
      <c r="E576" s="44">
        <v>238</v>
      </c>
      <c r="F576" s="44">
        <v>78.053250000000006</v>
      </c>
      <c r="G576" s="11">
        <f t="shared" si="16"/>
        <v>0</v>
      </c>
      <c r="H576" s="35">
        <f t="shared" si="17"/>
        <v>0</v>
      </c>
      <c r="R576" s="48" t="s">
        <v>36</v>
      </c>
      <c r="S576" s="48" t="s">
        <v>36</v>
      </c>
      <c r="T576" s="49">
        <v>46257.625</v>
      </c>
      <c r="U576" s="50">
        <v>0</v>
      </c>
    </row>
    <row r="577" spans="1:21">
      <c r="A577" s="42">
        <v>46257.666666666664</v>
      </c>
      <c r="B577" s="43" t="s">
        <v>29</v>
      </c>
      <c r="C577" s="44">
        <v>0</v>
      </c>
      <c r="D577" s="44">
        <v>0</v>
      </c>
      <c r="E577" s="44">
        <v>238</v>
      </c>
      <c r="F577" s="44">
        <v>78.053250000000006</v>
      </c>
      <c r="G577" s="11">
        <f t="shared" si="16"/>
        <v>0</v>
      </c>
      <c r="H577" s="35">
        <f t="shared" si="17"/>
        <v>0</v>
      </c>
      <c r="R577" s="48" t="s">
        <v>36</v>
      </c>
      <c r="S577" s="48" t="s">
        <v>36</v>
      </c>
      <c r="T577" s="49">
        <v>46257.666666666664</v>
      </c>
      <c r="U577" s="50">
        <v>0</v>
      </c>
    </row>
    <row r="578" spans="1:21">
      <c r="A578" s="42">
        <v>46257.708333333336</v>
      </c>
      <c r="B578" s="43" t="s">
        <v>29</v>
      </c>
      <c r="C578" s="44">
        <v>0</v>
      </c>
      <c r="D578" s="44">
        <v>0</v>
      </c>
      <c r="E578" s="44">
        <v>238</v>
      </c>
      <c r="F578" s="44">
        <v>78.053250000000006</v>
      </c>
      <c r="G578" s="11">
        <f t="shared" si="16"/>
        <v>0</v>
      </c>
      <c r="H578" s="35">
        <f t="shared" si="17"/>
        <v>0</v>
      </c>
      <c r="R578" s="48" t="s">
        <v>36</v>
      </c>
      <c r="S578" s="48" t="s">
        <v>36</v>
      </c>
      <c r="T578" s="49">
        <v>46257.708333333336</v>
      </c>
      <c r="U578" s="50">
        <v>0</v>
      </c>
    </row>
    <row r="579" spans="1:21">
      <c r="A579" s="42">
        <v>46257.75</v>
      </c>
      <c r="B579" s="43" t="s">
        <v>29</v>
      </c>
      <c r="C579" s="44">
        <v>0</v>
      </c>
      <c r="D579" s="44">
        <v>0</v>
      </c>
      <c r="E579" s="44">
        <v>238</v>
      </c>
      <c r="F579" s="44">
        <v>78.053250000000006</v>
      </c>
      <c r="G579" s="11">
        <f t="shared" ref="G579:G642" si="18">U579</f>
        <v>0</v>
      </c>
      <c r="H579" s="35">
        <f t="shared" ref="H579:H642" si="19">D579+G585</f>
        <v>0</v>
      </c>
      <c r="R579" s="48" t="s">
        <v>36</v>
      </c>
      <c r="S579" s="48" t="s">
        <v>36</v>
      </c>
      <c r="T579" s="49">
        <v>46257.75</v>
      </c>
      <c r="U579" s="50">
        <v>0</v>
      </c>
    </row>
    <row r="580" spans="1:21">
      <c r="A580" s="42">
        <v>46257.791666666664</v>
      </c>
      <c r="B580" s="43" t="s">
        <v>29</v>
      </c>
      <c r="C580" s="44">
        <v>0</v>
      </c>
      <c r="D580" s="44">
        <v>0</v>
      </c>
      <c r="E580" s="44">
        <v>238</v>
      </c>
      <c r="F580" s="44">
        <v>78.053250000000006</v>
      </c>
      <c r="G580" s="11">
        <f t="shared" si="18"/>
        <v>0</v>
      </c>
      <c r="H580" s="35">
        <f t="shared" si="19"/>
        <v>0</v>
      </c>
      <c r="R580" s="48" t="s">
        <v>36</v>
      </c>
      <c r="S580" s="48" t="s">
        <v>36</v>
      </c>
      <c r="T580" s="49">
        <v>46257.791666666664</v>
      </c>
      <c r="U580" s="50">
        <v>0</v>
      </c>
    </row>
    <row r="581" spans="1:21">
      <c r="A581" s="42">
        <v>46257.833333333336</v>
      </c>
      <c r="B581" s="43" t="s">
        <v>29</v>
      </c>
      <c r="C581" s="44">
        <v>0</v>
      </c>
      <c r="D581" s="44">
        <v>0</v>
      </c>
      <c r="E581" s="44">
        <v>238</v>
      </c>
      <c r="F581" s="44">
        <v>78.053250000000006</v>
      </c>
      <c r="G581" s="11">
        <f t="shared" si="18"/>
        <v>0</v>
      </c>
      <c r="H581" s="35">
        <f t="shared" si="19"/>
        <v>0</v>
      </c>
      <c r="R581" s="48" t="s">
        <v>36</v>
      </c>
      <c r="S581" s="48" t="s">
        <v>36</v>
      </c>
      <c r="T581" s="49">
        <v>46257.833333333336</v>
      </c>
      <c r="U581" s="50">
        <v>0</v>
      </c>
    </row>
    <row r="582" spans="1:21">
      <c r="A582" s="42">
        <v>46257.875</v>
      </c>
      <c r="B582" s="43" t="s">
        <v>29</v>
      </c>
      <c r="C582" s="44">
        <v>0</v>
      </c>
      <c r="D582" s="44">
        <v>0</v>
      </c>
      <c r="E582" s="44">
        <v>238</v>
      </c>
      <c r="F582" s="44">
        <v>78.053250000000006</v>
      </c>
      <c r="G582" s="11">
        <f t="shared" si="18"/>
        <v>0</v>
      </c>
      <c r="H582" s="35">
        <f t="shared" si="19"/>
        <v>0</v>
      </c>
      <c r="R582" s="48" t="s">
        <v>36</v>
      </c>
      <c r="S582" s="48" t="s">
        <v>36</v>
      </c>
      <c r="T582" s="49">
        <v>46257.875</v>
      </c>
      <c r="U582" s="50">
        <v>0</v>
      </c>
    </row>
    <row r="583" spans="1:21">
      <c r="A583" s="42">
        <v>46257.916666666664</v>
      </c>
      <c r="B583" s="43" t="s">
        <v>29</v>
      </c>
      <c r="C583" s="44">
        <v>0</v>
      </c>
      <c r="D583" s="44">
        <v>0</v>
      </c>
      <c r="E583" s="44">
        <v>238</v>
      </c>
      <c r="F583" s="44">
        <v>78.053250000000006</v>
      </c>
      <c r="G583" s="11">
        <f t="shared" si="18"/>
        <v>0</v>
      </c>
      <c r="H583" s="35">
        <f t="shared" si="19"/>
        <v>0</v>
      </c>
      <c r="R583" s="48" t="s">
        <v>36</v>
      </c>
      <c r="S583" s="48" t="s">
        <v>36</v>
      </c>
      <c r="T583" s="49">
        <v>46257.916666666664</v>
      </c>
      <c r="U583" s="50">
        <v>0</v>
      </c>
    </row>
    <row r="584" spans="1:21">
      <c r="A584" s="42">
        <v>46257.958333333336</v>
      </c>
      <c r="B584" s="43" t="s">
        <v>29</v>
      </c>
      <c r="C584" s="44">
        <v>0</v>
      </c>
      <c r="D584" s="44">
        <v>0</v>
      </c>
      <c r="E584" s="44">
        <v>238</v>
      </c>
      <c r="F584" s="44">
        <v>78.053250000000006</v>
      </c>
      <c r="G584" s="11">
        <f t="shared" si="18"/>
        <v>0</v>
      </c>
      <c r="H584" s="35">
        <f t="shared" si="19"/>
        <v>0</v>
      </c>
      <c r="R584" s="48" t="s">
        <v>36</v>
      </c>
      <c r="S584" s="48" t="s">
        <v>36</v>
      </c>
      <c r="T584" s="49">
        <v>46257.958333333336</v>
      </c>
      <c r="U584" s="50">
        <v>0</v>
      </c>
    </row>
    <row r="585" spans="1:21">
      <c r="A585" s="42">
        <v>46258</v>
      </c>
      <c r="B585" s="43" t="s">
        <v>29</v>
      </c>
      <c r="C585" s="44">
        <v>0</v>
      </c>
      <c r="D585" s="44">
        <v>0</v>
      </c>
      <c r="E585" s="44">
        <v>238</v>
      </c>
      <c r="F585" s="44">
        <v>78.053250000000006</v>
      </c>
      <c r="G585" s="11">
        <f t="shared" si="18"/>
        <v>0</v>
      </c>
      <c r="H585" s="35">
        <f t="shared" si="19"/>
        <v>0</v>
      </c>
      <c r="R585" s="48" t="s">
        <v>36</v>
      </c>
      <c r="S585" s="48" t="s">
        <v>36</v>
      </c>
      <c r="T585" s="49">
        <v>46258</v>
      </c>
      <c r="U585" s="50">
        <v>0</v>
      </c>
    </row>
    <row r="586" spans="1:21">
      <c r="A586" s="42">
        <v>46258.041666666664</v>
      </c>
      <c r="B586" s="43" t="s">
        <v>29</v>
      </c>
      <c r="C586" s="44">
        <v>0</v>
      </c>
      <c r="D586" s="44">
        <v>0</v>
      </c>
      <c r="E586" s="44">
        <v>238</v>
      </c>
      <c r="F586" s="44">
        <v>78.053250000000006</v>
      </c>
      <c r="G586" s="11">
        <f t="shared" si="18"/>
        <v>0</v>
      </c>
      <c r="H586" s="35">
        <f t="shared" si="19"/>
        <v>0</v>
      </c>
      <c r="R586" s="48" t="s">
        <v>36</v>
      </c>
      <c r="S586" s="48" t="s">
        <v>36</v>
      </c>
      <c r="T586" s="49">
        <v>46258.041666666664</v>
      </c>
      <c r="U586" s="50">
        <v>0</v>
      </c>
    </row>
    <row r="587" spans="1:21">
      <c r="A587" s="42">
        <v>46258.083333333336</v>
      </c>
      <c r="B587" s="43" t="s">
        <v>29</v>
      </c>
      <c r="C587" s="44">
        <v>0</v>
      </c>
      <c r="D587" s="44">
        <v>0</v>
      </c>
      <c r="E587" s="44">
        <v>238</v>
      </c>
      <c r="F587" s="44">
        <v>78.053250000000006</v>
      </c>
      <c r="G587" s="11">
        <f t="shared" si="18"/>
        <v>0</v>
      </c>
      <c r="H587" s="35">
        <f t="shared" si="19"/>
        <v>0</v>
      </c>
      <c r="R587" s="48" t="s">
        <v>36</v>
      </c>
      <c r="S587" s="48" t="s">
        <v>36</v>
      </c>
      <c r="T587" s="49">
        <v>46258.083333333336</v>
      </c>
      <c r="U587" s="50">
        <v>0</v>
      </c>
    </row>
    <row r="588" spans="1:21">
      <c r="A588" s="42">
        <v>46258.125</v>
      </c>
      <c r="B588" s="43" t="s">
        <v>29</v>
      </c>
      <c r="C588" s="44">
        <v>0</v>
      </c>
      <c r="D588" s="44">
        <v>0</v>
      </c>
      <c r="E588" s="44">
        <v>238</v>
      </c>
      <c r="F588" s="44">
        <v>78.053250000000006</v>
      </c>
      <c r="G588" s="11">
        <f t="shared" si="18"/>
        <v>0</v>
      </c>
      <c r="H588" s="35">
        <f t="shared" si="19"/>
        <v>0</v>
      </c>
      <c r="R588" s="48" t="s">
        <v>36</v>
      </c>
      <c r="S588" s="48" t="s">
        <v>36</v>
      </c>
      <c r="T588" s="49">
        <v>46258.125</v>
      </c>
      <c r="U588" s="50">
        <v>0</v>
      </c>
    </row>
    <row r="589" spans="1:21">
      <c r="A589" s="42">
        <v>46258.166666666664</v>
      </c>
      <c r="B589" s="43" t="s">
        <v>29</v>
      </c>
      <c r="C589" s="44">
        <v>0</v>
      </c>
      <c r="D589" s="44">
        <v>0</v>
      </c>
      <c r="E589" s="44">
        <v>238</v>
      </c>
      <c r="F589" s="44">
        <v>78.053250000000006</v>
      </c>
      <c r="G589" s="11">
        <f t="shared" si="18"/>
        <v>0</v>
      </c>
      <c r="H589" s="35">
        <f t="shared" si="19"/>
        <v>0</v>
      </c>
      <c r="R589" s="48" t="s">
        <v>36</v>
      </c>
      <c r="S589" s="48" t="s">
        <v>36</v>
      </c>
      <c r="T589" s="49">
        <v>46258.166666666664</v>
      </c>
      <c r="U589" s="50">
        <v>0</v>
      </c>
    </row>
    <row r="590" spans="1:21">
      <c r="A590" s="42">
        <v>46258.208333333336</v>
      </c>
      <c r="B590" s="43" t="s">
        <v>29</v>
      </c>
      <c r="C590" s="44">
        <v>0</v>
      </c>
      <c r="D590" s="44">
        <v>0</v>
      </c>
      <c r="E590" s="44">
        <v>238</v>
      </c>
      <c r="F590" s="44">
        <v>78.053250000000006</v>
      </c>
      <c r="G590" s="11">
        <f t="shared" si="18"/>
        <v>0</v>
      </c>
      <c r="H590" s="35">
        <f t="shared" si="19"/>
        <v>0</v>
      </c>
      <c r="R590" s="48" t="s">
        <v>36</v>
      </c>
      <c r="S590" s="48" t="s">
        <v>36</v>
      </c>
      <c r="T590" s="49">
        <v>46258.208333333336</v>
      </c>
      <c r="U590" s="50">
        <v>0</v>
      </c>
    </row>
    <row r="591" spans="1:21">
      <c r="A591" s="42">
        <v>46258.25</v>
      </c>
      <c r="B591" s="43" t="s">
        <v>29</v>
      </c>
      <c r="C591" s="44">
        <v>0</v>
      </c>
      <c r="D591" s="44">
        <v>0</v>
      </c>
      <c r="E591" s="44">
        <v>238</v>
      </c>
      <c r="F591" s="44">
        <v>78.053250000000006</v>
      </c>
      <c r="G591" s="11">
        <f t="shared" si="18"/>
        <v>0</v>
      </c>
      <c r="H591" s="35">
        <f t="shared" si="19"/>
        <v>0</v>
      </c>
      <c r="R591" s="48" t="s">
        <v>36</v>
      </c>
      <c r="S591" s="48" t="s">
        <v>36</v>
      </c>
      <c r="T591" s="49">
        <v>46258.25</v>
      </c>
      <c r="U591" s="50">
        <v>0</v>
      </c>
    </row>
    <row r="592" spans="1:21">
      <c r="A592" s="42">
        <v>46258.291666666664</v>
      </c>
      <c r="B592" s="43" t="s">
        <v>29</v>
      </c>
      <c r="C592" s="44">
        <v>0</v>
      </c>
      <c r="D592" s="44">
        <v>0</v>
      </c>
      <c r="E592" s="44">
        <v>238</v>
      </c>
      <c r="F592" s="44">
        <v>78.053250000000006</v>
      </c>
      <c r="G592" s="11">
        <f t="shared" si="18"/>
        <v>0</v>
      </c>
      <c r="H592" s="35">
        <f t="shared" si="19"/>
        <v>0</v>
      </c>
      <c r="R592" s="48" t="s">
        <v>36</v>
      </c>
      <c r="S592" s="48" t="s">
        <v>36</v>
      </c>
      <c r="T592" s="49">
        <v>46258.291666666664</v>
      </c>
      <c r="U592" s="50">
        <v>0</v>
      </c>
    </row>
    <row r="593" spans="1:21">
      <c r="A593" s="42">
        <v>46258.333333333336</v>
      </c>
      <c r="B593" s="43" t="s">
        <v>29</v>
      </c>
      <c r="C593" s="44">
        <v>0</v>
      </c>
      <c r="D593" s="44">
        <v>0</v>
      </c>
      <c r="E593" s="44">
        <v>238</v>
      </c>
      <c r="F593" s="44">
        <v>78.053250000000006</v>
      </c>
      <c r="G593" s="11">
        <f t="shared" si="18"/>
        <v>0</v>
      </c>
      <c r="H593" s="35">
        <f t="shared" si="19"/>
        <v>0</v>
      </c>
      <c r="R593" s="48" t="s">
        <v>36</v>
      </c>
      <c r="S593" s="48" t="s">
        <v>36</v>
      </c>
      <c r="T593" s="49">
        <v>46258.333333333336</v>
      </c>
      <c r="U593" s="50">
        <v>0</v>
      </c>
    </row>
    <row r="594" spans="1:21">
      <c r="A594" s="42">
        <v>46258.375</v>
      </c>
      <c r="B594" s="43" t="s">
        <v>29</v>
      </c>
      <c r="C594" s="44">
        <v>0</v>
      </c>
      <c r="D594" s="44">
        <v>0</v>
      </c>
      <c r="E594" s="44">
        <v>238</v>
      </c>
      <c r="F594" s="44">
        <v>78.053250000000006</v>
      </c>
      <c r="G594" s="11">
        <f t="shared" si="18"/>
        <v>0</v>
      </c>
      <c r="H594" s="35">
        <f t="shared" si="19"/>
        <v>0</v>
      </c>
      <c r="R594" s="48" t="s">
        <v>36</v>
      </c>
      <c r="S594" s="48" t="s">
        <v>36</v>
      </c>
      <c r="T594" s="49">
        <v>46258.375</v>
      </c>
      <c r="U594" s="50">
        <v>0</v>
      </c>
    </row>
    <row r="595" spans="1:21">
      <c r="A595" s="42">
        <v>46258.416666666664</v>
      </c>
      <c r="B595" s="43" t="s">
        <v>29</v>
      </c>
      <c r="C595" s="44">
        <v>0</v>
      </c>
      <c r="D595" s="44">
        <v>0</v>
      </c>
      <c r="E595" s="44">
        <v>238</v>
      </c>
      <c r="F595" s="44">
        <v>78.053250000000006</v>
      </c>
      <c r="G595" s="11">
        <f t="shared" si="18"/>
        <v>0</v>
      </c>
      <c r="H595" s="35">
        <f t="shared" si="19"/>
        <v>0</v>
      </c>
      <c r="R595" s="48" t="s">
        <v>36</v>
      </c>
      <c r="S595" s="48" t="s">
        <v>36</v>
      </c>
      <c r="T595" s="49">
        <v>46258.416666666664</v>
      </c>
      <c r="U595" s="50">
        <v>0</v>
      </c>
    </row>
    <row r="596" spans="1:21">
      <c r="A596" s="42">
        <v>46258.458333333336</v>
      </c>
      <c r="B596" s="43" t="s">
        <v>29</v>
      </c>
      <c r="C596" s="44">
        <v>0</v>
      </c>
      <c r="D596" s="44">
        <v>0</v>
      </c>
      <c r="E596" s="44">
        <v>238</v>
      </c>
      <c r="F596" s="44">
        <v>78.053250000000006</v>
      </c>
      <c r="G596" s="11">
        <f t="shared" si="18"/>
        <v>0</v>
      </c>
      <c r="H596" s="35">
        <f t="shared" si="19"/>
        <v>0</v>
      </c>
      <c r="R596" s="48" t="s">
        <v>36</v>
      </c>
      <c r="S596" s="48" t="s">
        <v>36</v>
      </c>
      <c r="T596" s="49">
        <v>46258.458333333336</v>
      </c>
      <c r="U596" s="50">
        <v>0</v>
      </c>
    </row>
    <row r="597" spans="1:21">
      <c r="A597" s="42">
        <v>46258.5</v>
      </c>
      <c r="B597" s="43" t="s">
        <v>29</v>
      </c>
      <c r="C597" s="44">
        <v>0</v>
      </c>
      <c r="D597" s="44">
        <v>0</v>
      </c>
      <c r="E597" s="44">
        <v>238</v>
      </c>
      <c r="F597" s="44">
        <v>78.053250000000006</v>
      </c>
      <c r="G597" s="11">
        <f t="shared" si="18"/>
        <v>0</v>
      </c>
      <c r="H597" s="35">
        <f t="shared" si="19"/>
        <v>0</v>
      </c>
      <c r="R597" s="48" t="s">
        <v>36</v>
      </c>
      <c r="S597" s="48" t="s">
        <v>36</v>
      </c>
      <c r="T597" s="49">
        <v>46258.5</v>
      </c>
      <c r="U597" s="50">
        <v>0</v>
      </c>
    </row>
    <row r="598" spans="1:21">
      <c r="A598" s="42">
        <v>46258.541666666664</v>
      </c>
      <c r="B598" s="43" t="s">
        <v>29</v>
      </c>
      <c r="C598" s="44">
        <v>0</v>
      </c>
      <c r="D598" s="44">
        <v>0</v>
      </c>
      <c r="E598" s="44">
        <v>238</v>
      </c>
      <c r="F598" s="44">
        <v>78.053250000000006</v>
      </c>
      <c r="G598" s="11">
        <f t="shared" si="18"/>
        <v>0</v>
      </c>
      <c r="H598" s="35">
        <f t="shared" si="19"/>
        <v>0</v>
      </c>
      <c r="R598" s="48" t="s">
        <v>36</v>
      </c>
      <c r="S598" s="48" t="s">
        <v>36</v>
      </c>
      <c r="T598" s="49">
        <v>46258.541666666664</v>
      </c>
      <c r="U598" s="50">
        <v>0</v>
      </c>
    </row>
    <row r="599" spans="1:21">
      <c r="A599" s="42">
        <v>46258.583333333336</v>
      </c>
      <c r="B599" s="43" t="s">
        <v>29</v>
      </c>
      <c r="C599" s="44">
        <v>0</v>
      </c>
      <c r="D599" s="44">
        <v>0</v>
      </c>
      <c r="E599" s="44">
        <v>238</v>
      </c>
      <c r="F599" s="44">
        <v>78.053250000000006</v>
      </c>
      <c r="G599" s="11">
        <f t="shared" si="18"/>
        <v>0</v>
      </c>
      <c r="H599" s="35">
        <f t="shared" si="19"/>
        <v>0</v>
      </c>
      <c r="R599" s="48" t="s">
        <v>36</v>
      </c>
      <c r="S599" s="48" t="s">
        <v>36</v>
      </c>
      <c r="T599" s="49">
        <v>46258.583333333336</v>
      </c>
      <c r="U599" s="50">
        <v>0</v>
      </c>
    </row>
    <row r="600" spans="1:21">
      <c r="A600" s="42">
        <v>46258.625</v>
      </c>
      <c r="B600" s="43" t="s">
        <v>29</v>
      </c>
      <c r="C600" s="44">
        <v>0</v>
      </c>
      <c r="D600" s="44">
        <v>0</v>
      </c>
      <c r="E600" s="44">
        <v>238</v>
      </c>
      <c r="F600" s="44">
        <v>78.053250000000006</v>
      </c>
      <c r="G600" s="11">
        <f t="shared" si="18"/>
        <v>0</v>
      </c>
      <c r="H600" s="35">
        <f t="shared" si="19"/>
        <v>0</v>
      </c>
      <c r="R600" s="48" t="s">
        <v>36</v>
      </c>
      <c r="S600" s="48" t="s">
        <v>36</v>
      </c>
      <c r="T600" s="49">
        <v>46258.625</v>
      </c>
      <c r="U600" s="50">
        <v>0</v>
      </c>
    </row>
    <row r="601" spans="1:21">
      <c r="A601" s="42">
        <v>46258.666666666664</v>
      </c>
      <c r="B601" s="43" t="s">
        <v>29</v>
      </c>
      <c r="C601" s="44">
        <v>0</v>
      </c>
      <c r="D601" s="44">
        <v>0</v>
      </c>
      <c r="E601" s="44">
        <v>238</v>
      </c>
      <c r="F601" s="44">
        <v>78.053250000000006</v>
      </c>
      <c r="G601" s="11">
        <f t="shared" si="18"/>
        <v>0</v>
      </c>
      <c r="H601" s="35">
        <f t="shared" si="19"/>
        <v>0</v>
      </c>
      <c r="R601" s="48" t="s">
        <v>36</v>
      </c>
      <c r="S601" s="48" t="s">
        <v>36</v>
      </c>
      <c r="T601" s="49">
        <v>46258.666666666664</v>
      </c>
      <c r="U601" s="50">
        <v>0</v>
      </c>
    </row>
    <row r="602" spans="1:21">
      <c r="A602" s="42">
        <v>46258.708333333336</v>
      </c>
      <c r="B602" s="43" t="s">
        <v>29</v>
      </c>
      <c r="C602" s="44">
        <v>0</v>
      </c>
      <c r="D602" s="44">
        <v>0</v>
      </c>
      <c r="E602" s="44">
        <v>238</v>
      </c>
      <c r="F602" s="44">
        <v>78.053250000000006</v>
      </c>
      <c r="G602" s="11">
        <f t="shared" si="18"/>
        <v>0</v>
      </c>
      <c r="H602" s="35">
        <f t="shared" si="19"/>
        <v>0</v>
      </c>
      <c r="R602" s="48" t="s">
        <v>36</v>
      </c>
      <c r="S602" s="48" t="s">
        <v>36</v>
      </c>
      <c r="T602" s="49">
        <v>46258.708333333336</v>
      </c>
      <c r="U602" s="50">
        <v>0</v>
      </c>
    </row>
    <row r="603" spans="1:21">
      <c r="A603" s="42">
        <v>46258.75</v>
      </c>
      <c r="B603" s="43" t="s">
        <v>29</v>
      </c>
      <c r="C603" s="44">
        <v>0</v>
      </c>
      <c r="D603" s="44">
        <v>0</v>
      </c>
      <c r="E603" s="44">
        <v>238</v>
      </c>
      <c r="F603" s="44">
        <v>78.053250000000006</v>
      </c>
      <c r="G603" s="11">
        <f t="shared" si="18"/>
        <v>0</v>
      </c>
      <c r="H603" s="35">
        <f t="shared" si="19"/>
        <v>0</v>
      </c>
      <c r="R603" s="48" t="s">
        <v>36</v>
      </c>
      <c r="S603" s="48" t="s">
        <v>36</v>
      </c>
      <c r="T603" s="49">
        <v>46258.75</v>
      </c>
      <c r="U603" s="50">
        <v>0</v>
      </c>
    </row>
    <row r="604" spans="1:21">
      <c r="A604" s="42">
        <v>46258.791666666664</v>
      </c>
      <c r="B604" s="43" t="s">
        <v>29</v>
      </c>
      <c r="C604" s="44">
        <v>0</v>
      </c>
      <c r="D604" s="44">
        <v>0</v>
      </c>
      <c r="E604" s="44">
        <v>238</v>
      </c>
      <c r="F604" s="44">
        <v>78.053250000000006</v>
      </c>
      <c r="G604" s="11">
        <f t="shared" si="18"/>
        <v>0</v>
      </c>
      <c r="H604" s="35">
        <f t="shared" si="19"/>
        <v>0</v>
      </c>
      <c r="R604" s="48" t="s">
        <v>36</v>
      </c>
      <c r="S604" s="48" t="s">
        <v>36</v>
      </c>
      <c r="T604" s="49">
        <v>46258.791666666664</v>
      </c>
      <c r="U604" s="50">
        <v>0</v>
      </c>
    </row>
    <row r="605" spans="1:21">
      <c r="A605" s="42">
        <v>46258.833333333336</v>
      </c>
      <c r="B605" s="43" t="s">
        <v>29</v>
      </c>
      <c r="C605" s="44">
        <v>0</v>
      </c>
      <c r="D605" s="44">
        <v>0</v>
      </c>
      <c r="E605" s="44">
        <v>238</v>
      </c>
      <c r="F605" s="44">
        <v>78.053250000000006</v>
      </c>
      <c r="G605" s="11">
        <f t="shared" si="18"/>
        <v>0</v>
      </c>
      <c r="H605" s="35">
        <f t="shared" si="19"/>
        <v>0</v>
      </c>
      <c r="R605" s="48" t="s">
        <v>36</v>
      </c>
      <c r="S605" s="48" t="s">
        <v>36</v>
      </c>
      <c r="T605" s="49">
        <v>46258.833333333336</v>
      </c>
      <c r="U605" s="50">
        <v>0</v>
      </c>
    </row>
    <row r="606" spans="1:21">
      <c r="A606" s="42">
        <v>46258.875</v>
      </c>
      <c r="B606" s="43" t="s">
        <v>29</v>
      </c>
      <c r="C606" s="44">
        <v>0</v>
      </c>
      <c r="D606" s="44">
        <v>0</v>
      </c>
      <c r="E606" s="44">
        <v>238</v>
      </c>
      <c r="F606" s="44">
        <v>78.053250000000006</v>
      </c>
      <c r="G606" s="11">
        <f t="shared" si="18"/>
        <v>0</v>
      </c>
      <c r="H606" s="35">
        <f t="shared" si="19"/>
        <v>0</v>
      </c>
      <c r="R606" s="48" t="s">
        <v>36</v>
      </c>
      <c r="S606" s="48" t="s">
        <v>36</v>
      </c>
      <c r="T606" s="49">
        <v>46258.875</v>
      </c>
      <c r="U606" s="50">
        <v>0</v>
      </c>
    </row>
    <row r="607" spans="1:21">
      <c r="A607" s="42">
        <v>46258.916666666664</v>
      </c>
      <c r="B607" s="43" t="s">
        <v>29</v>
      </c>
      <c r="C607" s="44">
        <v>0</v>
      </c>
      <c r="D607" s="44">
        <v>0</v>
      </c>
      <c r="E607" s="44">
        <v>238</v>
      </c>
      <c r="F607" s="44">
        <v>78.053250000000006</v>
      </c>
      <c r="G607" s="11">
        <f t="shared" si="18"/>
        <v>0</v>
      </c>
      <c r="H607" s="35">
        <f t="shared" si="19"/>
        <v>0</v>
      </c>
      <c r="R607" s="48" t="s">
        <v>36</v>
      </c>
      <c r="S607" s="48" t="s">
        <v>36</v>
      </c>
      <c r="T607" s="49">
        <v>46258.916666666664</v>
      </c>
      <c r="U607" s="50">
        <v>0</v>
      </c>
    </row>
    <row r="608" spans="1:21">
      <c r="A608" s="42">
        <v>46258.958333333336</v>
      </c>
      <c r="B608" s="43" t="s">
        <v>29</v>
      </c>
      <c r="C608" s="44">
        <v>0</v>
      </c>
      <c r="D608" s="44">
        <v>0</v>
      </c>
      <c r="E608" s="44">
        <v>238</v>
      </c>
      <c r="F608" s="44">
        <v>78.053250000000006</v>
      </c>
      <c r="G608" s="11">
        <f t="shared" si="18"/>
        <v>0</v>
      </c>
      <c r="H608" s="35">
        <f t="shared" si="19"/>
        <v>0</v>
      </c>
      <c r="R608" s="48" t="s">
        <v>36</v>
      </c>
      <c r="S608" s="48" t="s">
        <v>36</v>
      </c>
      <c r="T608" s="49">
        <v>46258.958333333336</v>
      </c>
      <c r="U608" s="50">
        <v>0</v>
      </c>
    </row>
    <row r="609" spans="1:21">
      <c r="A609" s="42">
        <v>46259</v>
      </c>
      <c r="B609" s="43" t="s">
        <v>29</v>
      </c>
      <c r="C609" s="44">
        <v>0</v>
      </c>
      <c r="D609" s="44">
        <v>0</v>
      </c>
      <c r="E609" s="44">
        <v>238</v>
      </c>
      <c r="F609" s="44">
        <v>78.053250000000006</v>
      </c>
      <c r="G609" s="11">
        <f t="shared" si="18"/>
        <v>0</v>
      </c>
      <c r="H609" s="35">
        <f t="shared" si="19"/>
        <v>0</v>
      </c>
      <c r="R609" s="48" t="s">
        <v>36</v>
      </c>
      <c r="S609" s="48" t="s">
        <v>36</v>
      </c>
      <c r="T609" s="49">
        <v>46259</v>
      </c>
      <c r="U609" s="50">
        <v>0</v>
      </c>
    </row>
    <row r="610" spans="1:21">
      <c r="A610" s="42">
        <v>46259.041666666664</v>
      </c>
      <c r="B610" s="43" t="s">
        <v>29</v>
      </c>
      <c r="C610" s="44">
        <v>0</v>
      </c>
      <c r="D610" s="44">
        <v>0</v>
      </c>
      <c r="E610" s="44">
        <v>238</v>
      </c>
      <c r="F610" s="44">
        <v>78.053250000000006</v>
      </c>
      <c r="G610" s="11">
        <f t="shared" si="18"/>
        <v>0</v>
      </c>
      <c r="H610" s="35">
        <f t="shared" si="19"/>
        <v>0</v>
      </c>
      <c r="R610" s="48" t="s">
        <v>36</v>
      </c>
      <c r="S610" s="48" t="s">
        <v>36</v>
      </c>
      <c r="T610" s="49">
        <v>46259.041666666664</v>
      </c>
      <c r="U610" s="50">
        <v>0</v>
      </c>
    </row>
    <row r="611" spans="1:21">
      <c r="A611" s="42">
        <v>46259.083333333336</v>
      </c>
      <c r="B611" s="43" t="s">
        <v>29</v>
      </c>
      <c r="C611" s="44">
        <v>0</v>
      </c>
      <c r="D611" s="44">
        <v>0</v>
      </c>
      <c r="E611" s="44">
        <v>238</v>
      </c>
      <c r="F611" s="44">
        <v>78.053250000000006</v>
      </c>
      <c r="G611" s="11">
        <f t="shared" si="18"/>
        <v>0</v>
      </c>
      <c r="H611" s="35">
        <f t="shared" si="19"/>
        <v>0</v>
      </c>
      <c r="R611" s="48" t="s">
        <v>36</v>
      </c>
      <c r="S611" s="48" t="s">
        <v>36</v>
      </c>
      <c r="T611" s="49">
        <v>46259.083333333336</v>
      </c>
      <c r="U611" s="50">
        <v>0</v>
      </c>
    </row>
    <row r="612" spans="1:21">
      <c r="A612" s="42">
        <v>46259.125</v>
      </c>
      <c r="B612" s="43" t="s">
        <v>29</v>
      </c>
      <c r="C612" s="44">
        <v>0</v>
      </c>
      <c r="D612" s="44">
        <v>0</v>
      </c>
      <c r="E612" s="44">
        <v>238</v>
      </c>
      <c r="F612" s="44">
        <v>78.053250000000006</v>
      </c>
      <c r="G612" s="11">
        <f t="shared" si="18"/>
        <v>0</v>
      </c>
      <c r="H612" s="35">
        <f t="shared" si="19"/>
        <v>0</v>
      </c>
      <c r="R612" s="48" t="s">
        <v>36</v>
      </c>
      <c r="S612" s="48" t="s">
        <v>36</v>
      </c>
      <c r="T612" s="49">
        <v>46259.125</v>
      </c>
      <c r="U612" s="50">
        <v>0</v>
      </c>
    </row>
    <row r="613" spans="1:21">
      <c r="A613" s="42">
        <v>46259.166666666664</v>
      </c>
      <c r="B613" s="43" t="s">
        <v>29</v>
      </c>
      <c r="C613" s="44">
        <v>0</v>
      </c>
      <c r="D613" s="44">
        <v>0</v>
      </c>
      <c r="E613" s="44">
        <v>238</v>
      </c>
      <c r="F613" s="44">
        <v>78.053250000000006</v>
      </c>
      <c r="G613" s="11">
        <f t="shared" si="18"/>
        <v>0</v>
      </c>
      <c r="H613" s="35">
        <f t="shared" si="19"/>
        <v>0</v>
      </c>
      <c r="R613" s="48" t="s">
        <v>36</v>
      </c>
      <c r="S613" s="48" t="s">
        <v>36</v>
      </c>
      <c r="T613" s="49">
        <v>46259.166666666664</v>
      </c>
      <c r="U613" s="50">
        <v>0</v>
      </c>
    </row>
    <row r="614" spans="1:21">
      <c r="A614" s="42">
        <v>46259.208333333336</v>
      </c>
      <c r="B614" s="43" t="s">
        <v>29</v>
      </c>
      <c r="C614" s="44">
        <v>0</v>
      </c>
      <c r="D614" s="44">
        <v>0</v>
      </c>
      <c r="E614" s="44">
        <v>238</v>
      </c>
      <c r="F614" s="44">
        <v>78.053250000000006</v>
      </c>
      <c r="G614" s="11">
        <f t="shared" si="18"/>
        <v>0</v>
      </c>
      <c r="H614" s="35">
        <f t="shared" si="19"/>
        <v>0</v>
      </c>
      <c r="R614" s="48" t="s">
        <v>36</v>
      </c>
      <c r="S614" s="48" t="s">
        <v>36</v>
      </c>
      <c r="T614" s="49">
        <v>46259.208333333336</v>
      </c>
      <c r="U614" s="50">
        <v>0</v>
      </c>
    </row>
    <row r="615" spans="1:21">
      <c r="A615" s="42">
        <v>46259.25</v>
      </c>
      <c r="B615" s="43" t="s">
        <v>29</v>
      </c>
      <c r="C615" s="44">
        <v>0</v>
      </c>
      <c r="D615" s="44">
        <v>0</v>
      </c>
      <c r="E615" s="44">
        <v>238</v>
      </c>
      <c r="F615" s="44">
        <v>78.053250000000006</v>
      </c>
      <c r="G615" s="11">
        <f t="shared" si="18"/>
        <v>0</v>
      </c>
      <c r="H615" s="35">
        <f t="shared" si="19"/>
        <v>0</v>
      </c>
      <c r="R615" s="48" t="s">
        <v>36</v>
      </c>
      <c r="S615" s="48" t="s">
        <v>36</v>
      </c>
      <c r="T615" s="49">
        <v>46259.25</v>
      </c>
      <c r="U615" s="50">
        <v>0</v>
      </c>
    </row>
    <row r="616" spans="1:21">
      <c r="A616" s="42">
        <v>46259.291666666664</v>
      </c>
      <c r="B616" s="43" t="s">
        <v>29</v>
      </c>
      <c r="C616" s="44">
        <v>0</v>
      </c>
      <c r="D616" s="44">
        <v>0</v>
      </c>
      <c r="E616" s="44">
        <v>238</v>
      </c>
      <c r="F616" s="44">
        <v>78.053250000000006</v>
      </c>
      <c r="G616" s="11">
        <f t="shared" si="18"/>
        <v>0</v>
      </c>
      <c r="H616" s="35">
        <f t="shared" si="19"/>
        <v>0</v>
      </c>
      <c r="R616" s="48" t="s">
        <v>36</v>
      </c>
      <c r="S616" s="48" t="s">
        <v>36</v>
      </c>
      <c r="T616" s="49">
        <v>46259.291666666664</v>
      </c>
      <c r="U616" s="50">
        <v>0</v>
      </c>
    </row>
    <row r="617" spans="1:21">
      <c r="A617" s="42">
        <v>46259.333333333336</v>
      </c>
      <c r="B617" s="43" t="s">
        <v>29</v>
      </c>
      <c r="C617" s="44">
        <v>0</v>
      </c>
      <c r="D617" s="44">
        <v>0</v>
      </c>
      <c r="E617" s="44">
        <v>238</v>
      </c>
      <c r="F617" s="44">
        <v>78.053250000000006</v>
      </c>
      <c r="G617" s="11">
        <f t="shared" si="18"/>
        <v>0</v>
      </c>
      <c r="H617" s="35">
        <f t="shared" si="19"/>
        <v>0</v>
      </c>
      <c r="R617" s="48" t="s">
        <v>36</v>
      </c>
      <c r="S617" s="48" t="s">
        <v>36</v>
      </c>
      <c r="T617" s="49">
        <v>46259.333333333336</v>
      </c>
      <c r="U617" s="50">
        <v>0</v>
      </c>
    </row>
    <row r="618" spans="1:21">
      <c r="A618" s="42">
        <v>46259.375</v>
      </c>
      <c r="B618" s="43" t="s">
        <v>29</v>
      </c>
      <c r="C618" s="44">
        <v>0</v>
      </c>
      <c r="D618" s="44">
        <v>0</v>
      </c>
      <c r="E618" s="44">
        <v>238</v>
      </c>
      <c r="F618" s="44">
        <v>78.053250000000006</v>
      </c>
      <c r="G618" s="11">
        <f t="shared" si="18"/>
        <v>0</v>
      </c>
      <c r="H618" s="35">
        <f t="shared" si="19"/>
        <v>0</v>
      </c>
      <c r="R618" s="48" t="s">
        <v>36</v>
      </c>
      <c r="S618" s="48" t="s">
        <v>36</v>
      </c>
      <c r="T618" s="49">
        <v>46259.375</v>
      </c>
      <c r="U618" s="50">
        <v>0</v>
      </c>
    </row>
    <row r="619" spans="1:21">
      <c r="A619" s="42">
        <v>46259.416666666664</v>
      </c>
      <c r="B619" s="43" t="s">
        <v>29</v>
      </c>
      <c r="C619" s="44">
        <v>0</v>
      </c>
      <c r="D619" s="44">
        <v>0</v>
      </c>
      <c r="E619" s="44">
        <v>238</v>
      </c>
      <c r="F619" s="44">
        <v>78.053250000000006</v>
      </c>
      <c r="G619" s="11">
        <f t="shared" si="18"/>
        <v>0</v>
      </c>
      <c r="H619" s="35">
        <f t="shared" si="19"/>
        <v>0</v>
      </c>
      <c r="R619" s="48" t="s">
        <v>36</v>
      </c>
      <c r="S619" s="48" t="s">
        <v>36</v>
      </c>
      <c r="T619" s="49">
        <v>46259.416666666664</v>
      </c>
      <c r="U619" s="50">
        <v>0</v>
      </c>
    </row>
    <row r="620" spans="1:21">
      <c r="A620" s="42">
        <v>46259.458333333336</v>
      </c>
      <c r="B620" s="43" t="s">
        <v>29</v>
      </c>
      <c r="C620" s="44">
        <v>0</v>
      </c>
      <c r="D620" s="44">
        <v>0</v>
      </c>
      <c r="E620" s="44">
        <v>238</v>
      </c>
      <c r="F620" s="44">
        <v>78.053250000000006</v>
      </c>
      <c r="G620" s="11">
        <f t="shared" si="18"/>
        <v>0</v>
      </c>
      <c r="H620" s="35">
        <f t="shared" si="19"/>
        <v>0</v>
      </c>
      <c r="R620" s="48" t="s">
        <v>36</v>
      </c>
      <c r="S620" s="48" t="s">
        <v>36</v>
      </c>
      <c r="T620" s="49">
        <v>46259.458333333336</v>
      </c>
      <c r="U620" s="50">
        <v>0</v>
      </c>
    </row>
    <row r="621" spans="1:21">
      <c r="A621" s="42">
        <v>46259.5</v>
      </c>
      <c r="B621" s="43" t="s">
        <v>29</v>
      </c>
      <c r="C621" s="44">
        <v>0</v>
      </c>
      <c r="D621" s="44">
        <v>0</v>
      </c>
      <c r="E621" s="44">
        <v>238</v>
      </c>
      <c r="F621" s="44">
        <v>78.053250000000006</v>
      </c>
      <c r="G621" s="11">
        <f t="shared" si="18"/>
        <v>0</v>
      </c>
      <c r="H621" s="35">
        <f t="shared" si="19"/>
        <v>0</v>
      </c>
      <c r="R621" s="48" t="s">
        <v>36</v>
      </c>
      <c r="S621" s="48" t="s">
        <v>36</v>
      </c>
      <c r="T621" s="49">
        <v>46259.5</v>
      </c>
      <c r="U621" s="50">
        <v>0</v>
      </c>
    </row>
    <row r="622" spans="1:21">
      <c r="A622" s="42">
        <v>46259.541666666664</v>
      </c>
      <c r="B622" s="43" t="s">
        <v>29</v>
      </c>
      <c r="C622" s="44">
        <v>0</v>
      </c>
      <c r="D622" s="44">
        <v>0</v>
      </c>
      <c r="E622" s="44">
        <v>238</v>
      </c>
      <c r="F622" s="44">
        <v>78.053250000000006</v>
      </c>
      <c r="G622" s="11">
        <f t="shared" si="18"/>
        <v>0</v>
      </c>
      <c r="H622" s="35">
        <f t="shared" si="19"/>
        <v>0</v>
      </c>
      <c r="R622" s="48" t="s">
        <v>36</v>
      </c>
      <c r="S622" s="48" t="s">
        <v>36</v>
      </c>
      <c r="T622" s="49">
        <v>46259.541666666664</v>
      </c>
      <c r="U622" s="50">
        <v>0</v>
      </c>
    </row>
    <row r="623" spans="1:21">
      <c r="A623" s="42">
        <v>46259.583333333336</v>
      </c>
      <c r="B623" s="43" t="s">
        <v>29</v>
      </c>
      <c r="C623" s="44">
        <v>0</v>
      </c>
      <c r="D623" s="44">
        <v>0</v>
      </c>
      <c r="E623" s="44">
        <v>238</v>
      </c>
      <c r="F623" s="44">
        <v>78.053250000000006</v>
      </c>
      <c r="G623" s="11">
        <f t="shared" si="18"/>
        <v>0</v>
      </c>
      <c r="H623" s="35">
        <f t="shared" si="19"/>
        <v>0</v>
      </c>
      <c r="R623" s="48" t="s">
        <v>36</v>
      </c>
      <c r="S623" s="48" t="s">
        <v>36</v>
      </c>
      <c r="T623" s="49">
        <v>46259.583333333336</v>
      </c>
      <c r="U623" s="50">
        <v>0</v>
      </c>
    </row>
    <row r="624" spans="1:21">
      <c r="A624" s="42">
        <v>46259.625</v>
      </c>
      <c r="B624" s="43" t="s">
        <v>29</v>
      </c>
      <c r="C624" s="44">
        <v>0</v>
      </c>
      <c r="D624" s="44">
        <v>0</v>
      </c>
      <c r="E624" s="44">
        <v>238</v>
      </c>
      <c r="F624" s="44">
        <v>78.053250000000006</v>
      </c>
      <c r="G624" s="11">
        <f t="shared" si="18"/>
        <v>0</v>
      </c>
      <c r="H624" s="35">
        <f t="shared" si="19"/>
        <v>0</v>
      </c>
      <c r="R624" s="48" t="s">
        <v>36</v>
      </c>
      <c r="S624" s="48" t="s">
        <v>36</v>
      </c>
      <c r="T624" s="49">
        <v>46259.625</v>
      </c>
      <c r="U624" s="50">
        <v>0</v>
      </c>
    </row>
    <row r="625" spans="1:21">
      <c r="A625" s="42">
        <v>46259.666666666664</v>
      </c>
      <c r="B625" s="43" t="s">
        <v>29</v>
      </c>
      <c r="C625" s="44">
        <v>0</v>
      </c>
      <c r="D625" s="44">
        <v>0</v>
      </c>
      <c r="E625" s="44">
        <v>238</v>
      </c>
      <c r="F625" s="44">
        <v>78.053250000000006</v>
      </c>
      <c r="G625" s="11">
        <f t="shared" si="18"/>
        <v>0</v>
      </c>
      <c r="H625" s="35">
        <f t="shared" si="19"/>
        <v>0</v>
      </c>
      <c r="R625" s="48" t="s">
        <v>36</v>
      </c>
      <c r="S625" s="48" t="s">
        <v>36</v>
      </c>
      <c r="T625" s="49">
        <v>46259.666666666664</v>
      </c>
      <c r="U625" s="50">
        <v>0</v>
      </c>
    </row>
    <row r="626" spans="1:21">
      <c r="A626" s="42">
        <v>46259.708333333336</v>
      </c>
      <c r="B626" s="43" t="s">
        <v>29</v>
      </c>
      <c r="C626" s="44">
        <v>0</v>
      </c>
      <c r="D626" s="44">
        <v>0</v>
      </c>
      <c r="E626" s="44">
        <v>238</v>
      </c>
      <c r="F626" s="44">
        <v>78.053250000000006</v>
      </c>
      <c r="G626" s="11">
        <f t="shared" si="18"/>
        <v>0</v>
      </c>
      <c r="H626" s="35">
        <f t="shared" si="19"/>
        <v>0</v>
      </c>
      <c r="R626" s="48" t="s">
        <v>36</v>
      </c>
      <c r="S626" s="48" t="s">
        <v>36</v>
      </c>
      <c r="T626" s="49">
        <v>46259.708333333336</v>
      </c>
      <c r="U626" s="50">
        <v>0</v>
      </c>
    </row>
    <row r="627" spans="1:21">
      <c r="A627" s="42">
        <v>46259.75</v>
      </c>
      <c r="B627" s="43" t="s">
        <v>29</v>
      </c>
      <c r="C627" s="44">
        <v>0</v>
      </c>
      <c r="D627" s="44">
        <v>0</v>
      </c>
      <c r="E627" s="44">
        <v>238</v>
      </c>
      <c r="F627" s="44">
        <v>78.053250000000006</v>
      </c>
      <c r="G627" s="11">
        <f t="shared" si="18"/>
        <v>0</v>
      </c>
      <c r="H627" s="35">
        <f t="shared" si="19"/>
        <v>0</v>
      </c>
      <c r="R627" s="48" t="s">
        <v>36</v>
      </c>
      <c r="S627" s="48" t="s">
        <v>36</v>
      </c>
      <c r="T627" s="49">
        <v>46259.75</v>
      </c>
      <c r="U627" s="50">
        <v>0</v>
      </c>
    </row>
    <row r="628" spans="1:21">
      <c r="A628" s="42">
        <v>46259.791666666664</v>
      </c>
      <c r="B628" s="43" t="s">
        <v>29</v>
      </c>
      <c r="C628" s="44">
        <v>0</v>
      </c>
      <c r="D628" s="44">
        <v>0</v>
      </c>
      <c r="E628" s="44">
        <v>238</v>
      </c>
      <c r="F628" s="44">
        <v>78.053250000000006</v>
      </c>
      <c r="G628" s="11">
        <f t="shared" si="18"/>
        <v>0</v>
      </c>
      <c r="H628" s="35">
        <f t="shared" si="19"/>
        <v>0</v>
      </c>
      <c r="R628" s="48" t="s">
        <v>36</v>
      </c>
      <c r="S628" s="48" t="s">
        <v>36</v>
      </c>
      <c r="T628" s="49">
        <v>46259.791666666664</v>
      </c>
      <c r="U628" s="50">
        <v>0</v>
      </c>
    </row>
    <row r="629" spans="1:21">
      <c r="A629" s="42">
        <v>46259.833333333336</v>
      </c>
      <c r="B629" s="43" t="s">
        <v>29</v>
      </c>
      <c r="C629" s="44">
        <v>0</v>
      </c>
      <c r="D629" s="44">
        <v>0</v>
      </c>
      <c r="E629" s="44">
        <v>238</v>
      </c>
      <c r="F629" s="44">
        <v>78.053250000000006</v>
      </c>
      <c r="G629" s="11">
        <f t="shared" si="18"/>
        <v>0</v>
      </c>
      <c r="H629" s="35">
        <f t="shared" si="19"/>
        <v>0</v>
      </c>
      <c r="R629" s="48" t="s">
        <v>36</v>
      </c>
      <c r="S629" s="48" t="s">
        <v>36</v>
      </c>
      <c r="T629" s="49">
        <v>46259.833333333336</v>
      </c>
      <c r="U629" s="50">
        <v>0</v>
      </c>
    </row>
    <row r="630" spans="1:21">
      <c r="A630" s="42">
        <v>46259.875</v>
      </c>
      <c r="B630" s="43" t="s">
        <v>29</v>
      </c>
      <c r="C630" s="44">
        <v>0</v>
      </c>
      <c r="D630" s="44">
        <v>0</v>
      </c>
      <c r="E630" s="44">
        <v>238</v>
      </c>
      <c r="F630" s="44">
        <v>78.053250000000006</v>
      </c>
      <c r="G630" s="11">
        <f t="shared" si="18"/>
        <v>0</v>
      </c>
      <c r="H630" s="35">
        <f t="shared" si="19"/>
        <v>0</v>
      </c>
      <c r="R630" s="48" t="s">
        <v>36</v>
      </c>
      <c r="S630" s="48" t="s">
        <v>36</v>
      </c>
      <c r="T630" s="49">
        <v>46259.875</v>
      </c>
      <c r="U630" s="50">
        <v>0</v>
      </c>
    </row>
    <row r="631" spans="1:21">
      <c r="A631" s="42">
        <v>46259.916666666664</v>
      </c>
      <c r="B631" s="43" t="s">
        <v>29</v>
      </c>
      <c r="C631" s="44">
        <v>0</v>
      </c>
      <c r="D631" s="44">
        <v>0</v>
      </c>
      <c r="E631" s="44">
        <v>238</v>
      </c>
      <c r="F631" s="44">
        <v>78.053250000000006</v>
      </c>
      <c r="G631" s="11">
        <f t="shared" si="18"/>
        <v>0</v>
      </c>
      <c r="H631" s="35">
        <f t="shared" si="19"/>
        <v>0</v>
      </c>
      <c r="R631" s="48" t="s">
        <v>36</v>
      </c>
      <c r="S631" s="48" t="s">
        <v>36</v>
      </c>
      <c r="T631" s="49">
        <v>46259.916666666664</v>
      </c>
      <c r="U631" s="50">
        <v>0</v>
      </c>
    </row>
    <row r="632" spans="1:21">
      <c r="A632" s="42">
        <v>46259.958333333336</v>
      </c>
      <c r="B632" s="43" t="s">
        <v>29</v>
      </c>
      <c r="C632" s="44">
        <v>0</v>
      </c>
      <c r="D632" s="44">
        <v>0</v>
      </c>
      <c r="E632" s="44">
        <v>238</v>
      </c>
      <c r="F632" s="44">
        <v>78.053250000000006</v>
      </c>
      <c r="G632" s="11">
        <f t="shared" si="18"/>
        <v>0</v>
      </c>
      <c r="H632" s="35">
        <f t="shared" si="19"/>
        <v>0</v>
      </c>
      <c r="R632" s="48" t="s">
        <v>36</v>
      </c>
      <c r="S632" s="48" t="s">
        <v>36</v>
      </c>
      <c r="T632" s="49">
        <v>46259.958333333336</v>
      </c>
      <c r="U632" s="50">
        <v>0</v>
      </c>
    </row>
    <row r="633" spans="1:21">
      <c r="A633" s="42">
        <v>46260</v>
      </c>
      <c r="B633" s="43" t="s">
        <v>29</v>
      </c>
      <c r="C633" s="44">
        <v>0</v>
      </c>
      <c r="D633" s="44">
        <v>0</v>
      </c>
      <c r="E633" s="44">
        <v>238</v>
      </c>
      <c r="F633" s="44">
        <v>78.053250000000006</v>
      </c>
      <c r="G633" s="11">
        <f t="shared" si="18"/>
        <v>0</v>
      </c>
      <c r="H633" s="35">
        <f t="shared" si="19"/>
        <v>0</v>
      </c>
      <c r="R633" s="48" t="s">
        <v>36</v>
      </c>
      <c r="S633" s="48" t="s">
        <v>36</v>
      </c>
      <c r="T633" s="49">
        <v>46260</v>
      </c>
      <c r="U633" s="50">
        <v>0</v>
      </c>
    </row>
    <row r="634" spans="1:21">
      <c r="A634" s="42">
        <v>46260.041666666664</v>
      </c>
      <c r="B634" s="43" t="s">
        <v>29</v>
      </c>
      <c r="C634" s="44">
        <v>0</v>
      </c>
      <c r="D634" s="44">
        <v>0</v>
      </c>
      <c r="E634" s="44">
        <v>238</v>
      </c>
      <c r="F634" s="44">
        <v>78.053250000000006</v>
      </c>
      <c r="G634" s="11">
        <f t="shared" si="18"/>
        <v>0</v>
      </c>
      <c r="H634" s="35">
        <f t="shared" si="19"/>
        <v>0</v>
      </c>
      <c r="R634" s="48" t="s">
        <v>36</v>
      </c>
      <c r="S634" s="48" t="s">
        <v>36</v>
      </c>
      <c r="T634" s="49">
        <v>46260.041666666664</v>
      </c>
      <c r="U634" s="50">
        <v>0</v>
      </c>
    </row>
    <row r="635" spans="1:21">
      <c r="A635" s="42">
        <v>46260.083333333336</v>
      </c>
      <c r="B635" s="43" t="s">
        <v>29</v>
      </c>
      <c r="C635" s="44">
        <v>0</v>
      </c>
      <c r="D635" s="44">
        <v>0</v>
      </c>
      <c r="E635" s="44">
        <v>238</v>
      </c>
      <c r="F635" s="44">
        <v>78.053250000000006</v>
      </c>
      <c r="G635" s="11">
        <f t="shared" si="18"/>
        <v>0</v>
      </c>
      <c r="H635" s="35">
        <f t="shared" si="19"/>
        <v>0</v>
      </c>
      <c r="R635" s="48" t="s">
        <v>36</v>
      </c>
      <c r="S635" s="48" t="s">
        <v>36</v>
      </c>
      <c r="T635" s="49">
        <v>46260.083333333336</v>
      </c>
      <c r="U635" s="50">
        <v>0</v>
      </c>
    </row>
    <row r="636" spans="1:21">
      <c r="A636" s="42">
        <v>46260.125</v>
      </c>
      <c r="B636" s="43" t="s">
        <v>29</v>
      </c>
      <c r="C636" s="44">
        <v>0</v>
      </c>
      <c r="D636" s="44">
        <v>0</v>
      </c>
      <c r="E636" s="44">
        <v>238</v>
      </c>
      <c r="F636" s="44">
        <v>78.053250000000006</v>
      </c>
      <c r="G636" s="11">
        <f t="shared" si="18"/>
        <v>0</v>
      </c>
      <c r="H636" s="35">
        <f t="shared" si="19"/>
        <v>0</v>
      </c>
      <c r="R636" s="48" t="s">
        <v>36</v>
      </c>
      <c r="S636" s="48" t="s">
        <v>36</v>
      </c>
      <c r="T636" s="49">
        <v>46260.125</v>
      </c>
      <c r="U636" s="50">
        <v>0</v>
      </c>
    </row>
    <row r="637" spans="1:21">
      <c r="A637" s="42">
        <v>46260.166666666664</v>
      </c>
      <c r="B637" s="43" t="s">
        <v>29</v>
      </c>
      <c r="C637" s="44">
        <v>0</v>
      </c>
      <c r="D637" s="44">
        <v>0</v>
      </c>
      <c r="E637" s="44">
        <v>238</v>
      </c>
      <c r="F637" s="44">
        <v>78.053250000000006</v>
      </c>
      <c r="G637" s="11">
        <f t="shared" si="18"/>
        <v>0</v>
      </c>
      <c r="H637" s="35">
        <f t="shared" si="19"/>
        <v>0</v>
      </c>
      <c r="R637" s="48" t="s">
        <v>36</v>
      </c>
      <c r="S637" s="48" t="s">
        <v>36</v>
      </c>
      <c r="T637" s="49">
        <v>46260.166666666664</v>
      </c>
      <c r="U637" s="50">
        <v>0</v>
      </c>
    </row>
    <row r="638" spans="1:21">
      <c r="A638" s="42">
        <v>46260.208333333336</v>
      </c>
      <c r="B638" s="43" t="s">
        <v>29</v>
      </c>
      <c r="C638" s="44">
        <v>0</v>
      </c>
      <c r="D638" s="44">
        <v>0</v>
      </c>
      <c r="E638" s="44">
        <v>238</v>
      </c>
      <c r="F638" s="44">
        <v>78.053250000000006</v>
      </c>
      <c r="G638" s="11">
        <f t="shared" si="18"/>
        <v>0</v>
      </c>
      <c r="H638" s="35">
        <f t="shared" si="19"/>
        <v>0</v>
      </c>
      <c r="R638" s="48" t="s">
        <v>36</v>
      </c>
      <c r="S638" s="48" t="s">
        <v>36</v>
      </c>
      <c r="T638" s="49">
        <v>46260.208333333336</v>
      </c>
      <c r="U638" s="50">
        <v>0</v>
      </c>
    </row>
    <row r="639" spans="1:21">
      <c r="A639" s="42">
        <v>46260.25</v>
      </c>
      <c r="B639" s="43" t="s">
        <v>29</v>
      </c>
      <c r="C639" s="44">
        <v>0</v>
      </c>
      <c r="D639" s="44">
        <v>0</v>
      </c>
      <c r="E639" s="44">
        <v>238</v>
      </c>
      <c r="F639" s="44">
        <v>78.053250000000006</v>
      </c>
      <c r="G639" s="11">
        <f t="shared" si="18"/>
        <v>0</v>
      </c>
      <c r="H639" s="35">
        <f t="shared" si="19"/>
        <v>0</v>
      </c>
      <c r="R639" s="48" t="s">
        <v>36</v>
      </c>
      <c r="S639" s="48" t="s">
        <v>36</v>
      </c>
      <c r="T639" s="49">
        <v>46260.25</v>
      </c>
      <c r="U639" s="50">
        <v>0</v>
      </c>
    </row>
    <row r="640" spans="1:21">
      <c r="A640" s="42">
        <v>46260.291666666664</v>
      </c>
      <c r="B640" s="43" t="s">
        <v>29</v>
      </c>
      <c r="C640" s="44">
        <v>0</v>
      </c>
      <c r="D640" s="44">
        <v>0</v>
      </c>
      <c r="E640" s="44">
        <v>238</v>
      </c>
      <c r="F640" s="44">
        <v>78.053250000000006</v>
      </c>
      <c r="G640" s="11">
        <f t="shared" si="18"/>
        <v>0</v>
      </c>
      <c r="H640" s="35">
        <f t="shared" si="19"/>
        <v>0</v>
      </c>
      <c r="R640" s="48" t="s">
        <v>36</v>
      </c>
      <c r="S640" s="48" t="s">
        <v>36</v>
      </c>
      <c r="T640" s="49">
        <v>46260.291666666664</v>
      </c>
      <c r="U640" s="50">
        <v>0</v>
      </c>
    </row>
    <row r="641" spans="1:21">
      <c r="A641" s="42">
        <v>46260.333333333336</v>
      </c>
      <c r="B641" s="43" t="s">
        <v>29</v>
      </c>
      <c r="C641" s="44">
        <v>0</v>
      </c>
      <c r="D641" s="44">
        <v>0</v>
      </c>
      <c r="E641" s="44">
        <v>238</v>
      </c>
      <c r="F641" s="44">
        <v>78.053250000000006</v>
      </c>
      <c r="G641" s="11">
        <f t="shared" si="18"/>
        <v>0</v>
      </c>
      <c r="H641" s="35">
        <f t="shared" si="19"/>
        <v>0</v>
      </c>
      <c r="R641" s="48" t="s">
        <v>36</v>
      </c>
      <c r="S641" s="48" t="s">
        <v>36</v>
      </c>
      <c r="T641" s="49">
        <v>46260.333333333336</v>
      </c>
      <c r="U641" s="50">
        <v>0</v>
      </c>
    </row>
    <row r="642" spans="1:21">
      <c r="A642" s="42">
        <v>46260.375</v>
      </c>
      <c r="B642" s="43" t="s">
        <v>29</v>
      </c>
      <c r="C642" s="44">
        <v>0</v>
      </c>
      <c r="D642" s="44">
        <v>0</v>
      </c>
      <c r="E642" s="44">
        <v>238</v>
      </c>
      <c r="F642" s="44">
        <v>78.053250000000006</v>
      </c>
      <c r="G642" s="11">
        <f t="shared" si="18"/>
        <v>0</v>
      </c>
      <c r="H642" s="35">
        <f t="shared" si="19"/>
        <v>0</v>
      </c>
      <c r="R642" s="48" t="s">
        <v>36</v>
      </c>
      <c r="S642" s="48" t="s">
        <v>36</v>
      </c>
      <c r="T642" s="49">
        <v>46260.375</v>
      </c>
      <c r="U642" s="50">
        <v>0</v>
      </c>
    </row>
    <row r="643" spans="1:21">
      <c r="A643" s="42">
        <v>46260.416666666664</v>
      </c>
      <c r="B643" s="43" t="s">
        <v>29</v>
      </c>
      <c r="C643" s="44">
        <v>0</v>
      </c>
      <c r="D643" s="44">
        <v>0</v>
      </c>
      <c r="E643" s="44">
        <v>238</v>
      </c>
      <c r="F643" s="44">
        <v>78.053250000000006</v>
      </c>
      <c r="G643" s="11">
        <f t="shared" ref="G643" si="20">U643</f>
        <v>0</v>
      </c>
      <c r="H643" s="35">
        <f t="shared" ref="H643" si="21">D643+G649</f>
        <v>0</v>
      </c>
      <c r="R643" s="48" t="s">
        <v>36</v>
      </c>
      <c r="S643" s="48" t="s">
        <v>36</v>
      </c>
      <c r="T643" s="49">
        <v>46260.416666666664</v>
      </c>
      <c r="U643" s="50">
        <v>0</v>
      </c>
    </row>
    <row r="644" spans="1:21">
      <c r="H644" s="35"/>
    </row>
    <row r="645" spans="1:21">
      <c r="H645" s="35"/>
    </row>
    <row r="646" spans="1:21">
      <c r="H646" s="35"/>
    </row>
    <row r="647" spans="1:21">
      <c r="H647" s="35"/>
    </row>
    <row r="648" spans="1:21">
      <c r="H648" s="35"/>
    </row>
    <row r="649" spans="1:21">
      <c r="H649" s="35"/>
    </row>
    <row r="650" spans="1:21">
      <c r="H650" s="35"/>
    </row>
    <row r="651" spans="1:21">
      <c r="H651" s="35"/>
    </row>
    <row r="652" spans="1:21">
      <c r="H652" s="35"/>
    </row>
    <row r="653" spans="1:21">
      <c r="H653" s="35"/>
    </row>
    <row r="654" spans="1:21">
      <c r="H654" s="35"/>
    </row>
    <row r="655" spans="1:21">
      <c r="H655" s="35"/>
    </row>
    <row r="656" spans="1:21">
      <c r="H656" s="35"/>
    </row>
    <row r="657" spans="8:8">
      <c r="H657" s="35"/>
    </row>
    <row r="658" spans="8:8">
      <c r="H658" s="35"/>
    </row>
    <row r="659" spans="8:8">
      <c r="H659" s="35"/>
    </row>
    <row r="660" spans="8:8">
      <c r="H660" s="35"/>
    </row>
    <row r="661" spans="8:8">
      <c r="H661" s="35"/>
    </row>
    <row r="662" spans="8:8">
      <c r="H662" s="35"/>
    </row>
    <row r="663" spans="8:8">
      <c r="H663" s="35"/>
    </row>
    <row r="664" spans="8:8">
      <c r="H664" s="35"/>
    </row>
    <row r="665" spans="8:8">
      <c r="H665" s="35"/>
    </row>
    <row r="666" spans="8:8">
      <c r="H666" s="35"/>
    </row>
    <row r="667" spans="8:8">
      <c r="H667" s="35"/>
    </row>
    <row r="668" spans="8:8">
      <c r="H668" s="35"/>
    </row>
    <row r="669" spans="8:8">
      <c r="H669" s="35"/>
    </row>
    <row r="670" spans="8:8">
      <c r="H670" s="35"/>
    </row>
    <row r="671" spans="8:8">
      <c r="H671" s="35"/>
    </row>
    <row r="672" spans="8:8">
      <c r="H672" s="35"/>
    </row>
    <row r="673" spans="8:8">
      <c r="H673" s="35"/>
    </row>
    <row r="674" spans="8:8">
      <c r="H674" s="35"/>
    </row>
    <row r="675" spans="8:8">
      <c r="H675" s="35"/>
    </row>
    <row r="676" spans="8:8">
      <c r="H676" s="35"/>
    </row>
    <row r="677" spans="8:8">
      <c r="H677" s="35"/>
    </row>
    <row r="678" spans="8:8">
      <c r="H678" s="35"/>
    </row>
    <row r="679" spans="8:8">
      <c r="H679" s="35"/>
    </row>
    <row r="680" spans="8:8">
      <c r="H680" s="35"/>
    </row>
    <row r="681" spans="8:8">
      <c r="H681" s="35"/>
    </row>
    <row r="682" spans="8:8">
      <c r="H682" s="35"/>
    </row>
    <row r="683" spans="8:8">
      <c r="H683" s="35"/>
    </row>
    <row r="684" spans="8:8">
      <c r="H684" s="35"/>
    </row>
    <row r="685" spans="8:8">
      <c r="H685" s="35"/>
    </row>
    <row r="686" spans="8:8">
      <c r="H686" s="35"/>
    </row>
    <row r="687" spans="8:8">
      <c r="H687" s="35"/>
    </row>
    <row r="688" spans="8:8">
      <c r="H688" s="35"/>
    </row>
    <row r="689" spans="8:8">
      <c r="H689" s="35"/>
    </row>
    <row r="690" spans="8:8">
      <c r="H690" s="35"/>
    </row>
    <row r="691" spans="8:8">
      <c r="H691" s="35"/>
    </row>
    <row r="692" spans="8:8">
      <c r="H692" s="35"/>
    </row>
    <row r="693" spans="8:8">
      <c r="H693" s="35"/>
    </row>
    <row r="694" spans="8:8">
      <c r="H694" s="35"/>
    </row>
    <row r="695" spans="8:8">
      <c r="H695" s="35"/>
    </row>
    <row r="696" spans="8:8">
      <c r="H696" s="35"/>
    </row>
    <row r="697" spans="8:8">
      <c r="H697" s="35"/>
    </row>
    <row r="698" spans="8:8">
      <c r="H698" s="35"/>
    </row>
    <row r="699" spans="8:8">
      <c r="H699" s="35"/>
    </row>
    <row r="700" spans="8:8">
      <c r="H700" s="35"/>
    </row>
    <row r="701" spans="8:8">
      <c r="H701" s="35"/>
    </row>
    <row r="702" spans="8:8">
      <c r="H702" s="35"/>
    </row>
    <row r="703" spans="8:8">
      <c r="H703" s="35"/>
    </row>
    <row r="704" spans="8:8">
      <c r="H704" s="35"/>
    </row>
    <row r="705" spans="8:8">
      <c r="H705" s="35"/>
    </row>
    <row r="706" spans="8:8">
      <c r="H706" s="35"/>
    </row>
    <row r="707" spans="8:8">
      <c r="H707" s="35"/>
    </row>
    <row r="708" spans="8:8">
      <c r="H708" s="35"/>
    </row>
    <row r="709" spans="8:8">
      <c r="H709" s="35"/>
    </row>
    <row r="710" spans="8:8">
      <c r="H710" s="35"/>
    </row>
    <row r="711" spans="8:8">
      <c r="H711" s="35"/>
    </row>
    <row r="712" spans="8:8">
      <c r="H712" s="35"/>
    </row>
    <row r="713" spans="8:8">
      <c r="H713" s="35"/>
    </row>
    <row r="714" spans="8:8">
      <c r="H714" s="35"/>
    </row>
    <row r="715" spans="8:8">
      <c r="H715" s="35"/>
    </row>
    <row r="716" spans="8:8">
      <c r="H716" s="35"/>
    </row>
    <row r="717" spans="8:8">
      <c r="H717" s="35"/>
    </row>
    <row r="718" spans="8:8">
      <c r="H718" s="35"/>
    </row>
    <row r="719" spans="8:8">
      <c r="H719" s="35"/>
    </row>
    <row r="720" spans="8:8">
      <c r="H720" s="35"/>
    </row>
    <row r="721" spans="8:8">
      <c r="H721" s="35"/>
    </row>
    <row r="722" spans="8:8">
      <c r="H722" s="35"/>
    </row>
    <row r="723" spans="8:8">
      <c r="H723" s="35"/>
    </row>
    <row r="724" spans="8:8">
      <c r="H724" s="35"/>
    </row>
    <row r="725" spans="8:8">
      <c r="H725" s="35"/>
    </row>
    <row r="726" spans="8:8">
      <c r="H726" s="35"/>
    </row>
    <row r="727" spans="8:8">
      <c r="H727" s="35"/>
    </row>
    <row r="728" spans="8:8">
      <c r="H728" s="35"/>
    </row>
    <row r="729" spans="8:8">
      <c r="H729" s="35"/>
    </row>
    <row r="730" spans="8:8">
      <c r="H730" s="35"/>
    </row>
    <row r="731" spans="8:8">
      <c r="H731" s="35"/>
    </row>
    <row r="732" spans="8:8">
      <c r="H732" s="35"/>
    </row>
    <row r="733" spans="8:8">
      <c r="H733" s="35"/>
    </row>
    <row r="734" spans="8:8">
      <c r="H734" s="35"/>
    </row>
    <row r="735" spans="8:8">
      <c r="H735" s="35"/>
    </row>
    <row r="736" spans="8:8">
      <c r="H736" s="35"/>
    </row>
    <row r="737" spans="8:8">
      <c r="H737" s="35"/>
    </row>
    <row r="738" spans="8:8">
      <c r="H738" s="35"/>
    </row>
    <row r="739" spans="8:8">
      <c r="H739" s="35"/>
    </row>
    <row r="740" spans="8:8">
      <c r="H740" s="35"/>
    </row>
    <row r="741" spans="8:8">
      <c r="H741" s="35"/>
    </row>
    <row r="742" spans="8:8">
      <c r="H742" s="35"/>
    </row>
    <row r="743" spans="8:8">
      <c r="H743" s="35"/>
    </row>
    <row r="744" spans="8:8">
      <c r="H744" s="35"/>
    </row>
    <row r="745" spans="8:8">
      <c r="H745" s="35"/>
    </row>
    <row r="746" spans="8:8">
      <c r="H746" s="3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P643"/>
  <sheetViews>
    <sheetView topLeftCell="E1" workbookViewId="0">
      <pane ySplit="1" topLeftCell="A2" activePane="bottomLeft" state="frozen"/>
      <selection activeCell="P1" sqref="P1:AB374"/>
      <selection pane="bottomLeft" activeCell="P2" sqref="P2"/>
    </sheetView>
  </sheetViews>
  <sheetFormatPr defaultRowHeight="13.5"/>
  <cols>
    <col min="1" max="4" width="0" hidden="1" customWidth="1"/>
    <col min="5" max="5" width="18.875" style="14" customWidth="1"/>
  </cols>
  <sheetData>
    <row r="1" spans="1:26">
      <c r="E1" s="30" t="s">
        <v>30</v>
      </c>
      <c r="F1" s="29" t="s">
        <v>12</v>
      </c>
      <c r="G1" s="29" t="s">
        <v>14</v>
      </c>
      <c r="H1" s="29" t="s">
        <v>15</v>
      </c>
      <c r="I1" s="29" t="s">
        <v>31</v>
      </c>
      <c r="J1" s="29" t="s">
        <v>16</v>
      </c>
      <c r="K1" s="29" t="s">
        <v>17</v>
      </c>
      <c r="M1">
        <f>MAX(F:F)</f>
        <v>5964.9440000000004</v>
      </c>
      <c r="N1">
        <f t="shared" ref="N1:R1" si="0">MAX(G:G)</f>
        <v>6762.1980000000003</v>
      </c>
      <c r="O1">
        <f t="shared" si="0"/>
        <v>9000</v>
      </c>
      <c r="P1">
        <f t="shared" si="0"/>
        <v>1676</v>
      </c>
      <c r="Q1">
        <f t="shared" si="0"/>
        <v>4000</v>
      </c>
      <c r="R1">
        <f t="shared" si="0"/>
        <v>14519.35</v>
      </c>
      <c r="S1">
        <v>5519</v>
      </c>
      <c r="T1">
        <v>11715</v>
      </c>
      <c r="U1">
        <v>9000</v>
      </c>
      <c r="V1">
        <v>830</v>
      </c>
      <c r="W1">
        <v>4141</v>
      </c>
      <c r="X1">
        <v>17356</v>
      </c>
    </row>
    <row r="2" spans="1:26">
      <c r="A2">
        <f>AC2</f>
        <v>0</v>
      </c>
      <c r="B2">
        <f t="shared" ref="B2:D2" si="1">AD2</f>
        <v>0</v>
      </c>
      <c r="C2">
        <f t="shared" si="1"/>
        <v>0</v>
      </c>
      <c r="D2">
        <f t="shared" si="1"/>
        <v>0</v>
      </c>
      <c r="E2" s="42">
        <v>46233.708333333336</v>
      </c>
      <c r="F2" s="45">
        <v>302</v>
      </c>
      <c r="G2" s="45">
        <v>300</v>
      </c>
      <c r="H2" s="45">
        <v>602</v>
      </c>
      <c r="I2" s="45">
        <v>0</v>
      </c>
      <c r="J2" s="45">
        <v>100</v>
      </c>
      <c r="K2" s="45">
        <v>4496.7889999999998</v>
      </c>
      <c r="L2">
        <f>IF(K2&gt;10000,K2-10000,0)</f>
        <v>0</v>
      </c>
      <c r="M2">
        <f>SUM(L:L)</f>
        <v>171843.95999999993</v>
      </c>
      <c r="N2">
        <f>COUNTIF(K:K,"&gt;=5000")</f>
        <v>243</v>
      </c>
    </row>
    <row r="3" spans="1:26">
      <c r="A3">
        <f t="shared" ref="A3:A66" si="2">AC3</f>
        <v>0</v>
      </c>
      <c r="B3">
        <f t="shared" ref="B3:B66" si="3">AD3</f>
        <v>0</v>
      </c>
      <c r="C3">
        <f t="shared" ref="C3:C66" si="4">AE3</f>
        <v>0</v>
      </c>
      <c r="D3">
        <f t="shared" ref="D3:D66" si="5">AF3</f>
        <v>0</v>
      </c>
      <c r="E3" s="42">
        <v>46233.75</v>
      </c>
      <c r="F3" s="45">
        <v>303</v>
      </c>
      <c r="G3" s="45">
        <v>300</v>
      </c>
      <c r="H3" s="45">
        <v>603</v>
      </c>
      <c r="I3" s="45">
        <v>0</v>
      </c>
      <c r="J3" s="45">
        <v>100</v>
      </c>
      <c r="K3" s="45">
        <v>4493.5950000000003</v>
      </c>
      <c r="L3">
        <f t="shared" ref="L3:L66" si="6">IF(K3&gt;10000,K3-10000,0)</f>
        <v>0</v>
      </c>
      <c r="M3">
        <f>M2*3600*2/10^8</f>
        <v>12.372765119999995</v>
      </c>
      <c r="N3" s="16">
        <f>N2*2/24</f>
        <v>20.25</v>
      </c>
    </row>
    <row r="4" spans="1:26">
      <c r="A4">
        <f t="shared" si="2"/>
        <v>0</v>
      </c>
      <c r="B4">
        <f t="shared" si="3"/>
        <v>0</v>
      </c>
      <c r="C4">
        <f t="shared" si="4"/>
        <v>0</v>
      </c>
      <c r="D4">
        <f t="shared" si="5"/>
        <v>0</v>
      </c>
      <c r="E4" s="42">
        <v>46233.791666666664</v>
      </c>
      <c r="F4" s="45">
        <v>305</v>
      </c>
      <c r="G4" s="45">
        <v>300</v>
      </c>
      <c r="H4" s="45">
        <v>602.00009999999997</v>
      </c>
      <c r="I4" s="45">
        <v>0</v>
      </c>
      <c r="J4" s="45">
        <v>100</v>
      </c>
      <c r="K4" s="45">
        <v>4485.3440000000001</v>
      </c>
      <c r="L4">
        <f t="shared" si="6"/>
        <v>0</v>
      </c>
    </row>
    <row r="5" spans="1:26">
      <c r="A5">
        <f t="shared" si="2"/>
        <v>0</v>
      </c>
      <c r="B5">
        <f t="shared" si="3"/>
        <v>0</v>
      </c>
      <c r="C5">
        <f t="shared" si="4"/>
        <v>0</v>
      </c>
      <c r="D5">
        <f t="shared" si="5"/>
        <v>0</v>
      </c>
      <c r="E5" s="42">
        <v>46233.833333333336</v>
      </c>
      <c r="F5" s="45">
        <v>307</v>
      </c>
      <c r="G5" s="45">
        <v>300</v>
      </c>
      <c r="H5" s="45">
        <v>603.00009999999997</v>
      </c>
      <c r="I5" s="45">
        <v>0</v>
      </c>
      <c r="J5" s="45">
        <v>100</v>
      </c>
      <c r="K5" s="45">
        <v>4477.0950000000003</v>
      </c>
      <c r="L5">
        <f t="shared" si="6"/>
        <v>0</v>
      </c>
      <c r="U5">
        <v>7495.1857187405294</v>
      </c>
      <c r="V5">
        <v>9237.0547163180545</v>
      </c>
      <c r="W5">
        <v>9000</v>
      </c>
      <c r="X5">
        <v>1988.9999925970333</v>
      </c>
      <c r="Y5">
        <v>4000</v>
      </c>
      <c r="Z5">
        <v>19531</v>
      </c>
    </row>
    <row r="6" spans="1:26">
      <c r="A6">
        <f t="shared" si="2"/>
        <v>0</v>
      </c>
      <c r="B6">
        <f t="shared" si="3"/>
        <v>0</v>
      </c>
      <c r="C6">
        <f t="shared" si="4"/>
        <v>0</v>
      </c>
      <c r="D6">
        <f t="shared" si="5"/>
        <v>0</v>
      </c>
      <c r="E6" s="42">
        <v>46233.875</v>
      </c>
      <c r="F6" s="45">
        <v>309.5</v>
      </c>
      <c r="G6" s="45">
        <v>300</v>
      </c>
      <c r="H6" s="45">
        <v>605.50509999999997</v>
      </c>
      <c r="I6" s="45">
        <v>0</v>
      </c>
      <c r="J6" s="45">
        <v>100</v>
      </c>
      <c r="K6" s="45">
        <v>4496.7280000000001</v>
      </c>
      <c r="L6">
        <f t="shared" si="6"/>
        <v>0</v>
      </c>
    </row>
    <row r="7" spans="1:26">
      <c r="A7">
        <f t="shared" si="2"/>
        <v>0</v>
      </c>
      <c r="B7">
        <f t="shared" si="3"/>
        <v>0</v>
      </c>
      <c r="C7">
        <f t="shared" si="4"/>
        <v>0</v>
      </c>
      <c r="D7">
        <f t="shared" si="5"/>
        <v>0</v>
      </c>
      <c r="E7" s="42">
        <v>46233.916666666664</v>
      </c>
      <c r="F7" s="45">
        <v>312</v>
      </c>
      <c r="G7" s="45">
        <v>300</v>
      </c>
      <c r="H7" s="45">
        <v>610.0068</v>
      </c>
      <c r="I7" s="45">
        <v>0</v>
      </c>
      <c r="J7" s="45">
        <v>100</v>
      </c>
      <c r="K7" s="45">
        <v>4493.5150000000003</v>
      </c>
      <c r="L7">
        <f t="shared" si="6"/>
        <v>0</v>
      </c>
    </row>
    <row r="8" spans="1:26">
      <c r="A8">
        <f t="shared" si="2"/>
        <v>0</v>
      </c>
      <c r="B8">
        <f t="shared" si="3"/>
        <v>0</v>
      </c>
      <c r="C8">
        <f t="shared" si="4"/>
        <v>0</v>
      </c>
      <c r="D8">
        <f t="shared" si="5"/>
        <v>0</v>
      </c>
      <c r="E8" s="42">
        <v>46233.958333333336</v>
      </c>
      <c r="F8" s="45">
        <v>316</v>
      </c>
      <c r="G8" s="45">
        <v>300.00009999999997</v>
      </c>
      <c r="H8" s="45">
        <v>613.58240000000001</v>
      </c>
      <c r="I8" s="45">
        <v>0</v>
      </c>
      <c r="J8" s="45">
        <v>100</v>
      </c>
      <c r="K8" s="45">
        <v>4485.2439999999997</v>
      </c>
      <c r="L8">
        <f t="shared" si="6"/>
        <v>0</v>
      </c>
      <c r="U8">
        <v>6662</v>
      </c>
      <c r="W8">
        <v>7495.1857187405294</v>
      </c>
    </row>
    <row r="9" spans="1:26">
      <c r="A9">
        <f t="shared" si="2"/>
        <v>0</v>
      </c>
      <c r="B9">
        <f t="shared" si="3"/>
        <v>0</v>
      </c>
      <c r="C9">
        <f t="shared" si="4"/>
        <v>0</v>
      </c>
      <c r="D9">
        <f t="shared" si="5"/>
        <v>0</v>
      </c>
      <c r="E9" s="42">
        <v>46234</v>
      </c>
      <c r="F9" s="45">
        <v>320</v>
      </c>
      <c r="G9" s="45">
        <v>300.00020000000001</v>
      </c>
      <c r="H9" s="45">
        <v>619.10820000000001</v>
      </c>
      <c r="I9" s="45">
        <v>0</v>
      </c>
      <c r="J9" s="45">
        <v>100</v>
      </c>
      <c r="K9" s="45">
        <v>4476.9780000000001</v>
      </c>
      <c r="L9">
        <f t="shared" si="6"/>
        <v>0</v>
      </c>
      <c r="U9">
        <v>9784</v>
      </c>
      <c r="W9">
        <v>9237.0547163180545</v>
      </c>
    </row>
    <row r="10" spans="1:26">
      <c r="A10">
        <f t="shared" si="2"/>
        <v>0</v>
      </c>
      <c r="B10">
        <f t="shared" si="3"/>
        <v>0</v>
      </c>
      <c r="C10">
        <f t="shared" si="4"/>
        <v>0</v>
      </c>
      <c r="D10">
        <f t="shared" si="5"/>
        <v>0</v>
      </c>
      <c r="E10" s="42">
        <v>46234.041666666664</v>
      </c>
      <c r="F10" s="45">
        <v>325.5</v>
      </c>
      <c r="G10" s="45">
        <v>300.00290000000001</v>
      </c>
      <c r="H10" s="45">
        <v>623.57600000000002</v>
      </c>
      <c r="I10" s="45">
        <v>0.5</v>
      </c>
      <c r="J10" s="45">
        <v>100</v>
      </c>
      <c r="K10" s="45">
        <v>4498.7079999999996</v>
      </c>
      <c r="L10">
        <f t="shared" si="6"/>
        <v>0</v>
      </c>
      <c r="U10">
        <v>8000</v>
      </c>
      <c r="W10">
        <v>9000</v>
      </c>
    </row>
    <row r="11" spans="1:26">
      <c r="A11">
        <f t="shared" si="2"/>
        <v>0</v>
      </c>
      <c r="B11">
        <f t="shared" si="3"/>
        <v>0</v>
      </c>
      <c r="C11">
        <f t="shared" si="4"/>
        <v>0</v>
      </c>
      <c r="D11">
        <f t="shared" si="5"/>
        <v>0</v>
      </c>
      <c r="E11" s="42">
        <v>46234.083333333336</v>
      </c>
      <c r="F11" s="45">
        <v>331.09230000000002</v>
      </c>
      <c r="G11" s="45">
        <v>300.00560000000002</v>
      </c>
      <c r="H11" s="45">
        <v>629.74210000000005</v>
      </c>
      <c r="I11" s="45">
        <v>1</v>
      </c>
      <c r="J11" s="45">
        <v>100</v>
      </c>
      <c r="K11" s="45">
        <v>4498.2719999999999</v>
      </c>
      <c r="L11">
        <f t="shared" si="6"/>
        <v>0</v>
      </c>
      <c r="U11">
        <v>4000</v>
      </c>
      <c r="W11">
        <v>4000</v>
      </c>
    </row>
    <row r="12" spans="1:26">
      <c r="A12">
        <f t="shared" si="2"/>
        <v>0</v>
      </c>
      <c r="B12">
        <f t="shared" si="3"/>
        <v>0</v>
      </c>
      <c r="C12">
        <f t="shared" si="4"/>
        <v>0</v>
      </c>
      <c r="D12">
        <f t="shared" si="5"/>
        <v>0</v>
      </c>
      <c r="E12" s="42">
        <v>46234.125</v>
      </c>
      <c r="F12" s="45">
        <v>352.5027</v>
      </c>
      <c r="G12" s="45">
        <v>300.06299999999999</v>
      </c>
      <c r="H12" s="45">
        <v>634.67899999999997</v>
      </c>
      <c r="I12" s="45">
        <v>2.5</v>
      </c>
      <c r="J12" s="45">
        <v>100</v>
      </c>
      <c r="K12" s="45">
        <v>4497.848</v>
      </c>
      <c r="L12">
        <f t="shared" si="6"/>
        <v>0</v>
      </c>
      <c r="U12">
        <v>19531</v>
      </c>
    </row>
    <row r="13" spans="1:26">
      <c r="A13">
        <f t="shared" si="2"/>
        <v>0</v>
      </c>
      <c r="B13">
        <f t="shared" si="3"/>
        <v>0</v>
      </c>
      <c r="C13">
        <f t="shared" si="4"/>
        <v>0</v>
      </c>
      <c r="D13">
        <f t="shared" si="5"/>
        <v>0</v>
      </c>
      <c r="E13" s="42">
        <v>46234.166666666664</v>
      </c>
      <c r="F13" s="45">
        <v>374.28829999999999</v>
      </c>
      <c r="G13" s="45">
        <v>300.12040000000002</v>
      </c>
      <c r="H13" s="45">
        <v>640.73540000000003</v>
      </c>
      <c r="I13" s="45">
        <v>4</v>
      </c>
      <c r="J13" s="45">
        <v>100</v>
      </c>
      <c r="K13" s="45">
        <v>4497.4269999999997</v>
      </c>
      <c r="L13">
        <f t="shared" si="6"/>
        <v>0</v>
      </c>
    </row>
    <row r="14" spans="1:26">
      <c r="A14">
        <f t="shared" si="2"/>
        <v>0</v>
      </c>
      <c r="B14">
        <f t="shared" si="3"/>
        <v>0</v>
      </c>
      <c r="C14">
        <f t="shared" si="4"/>
        <v>0</v>
      </c>
      <c r="D14">
        <f t="shared" si="5"/>
        <v>0</v>
      </c>
      <c r="E14" s="42">
        <v>46234.208333333336</v>
      </c>
      <c r="F14" s="45">
        <v>560.57100000000003</v>
      </c>
      <c r="G14" s="45">
        <v>307.4511</v>
      </c>
      <c r="H14" s="45">
        <v>645.83519999999999</v>
      </c>
      <c r="I14" s="45">
        <v>6.5</v>
      </c>
      <c r="J14" s="45">
        <v>101.0455</v>
      </c>
      <c r="K14" s="45">
        <v>4526.1459999999997</v>
      </c>
      <c r="L14">
        <f t="shared" si="6"/>
        <v>0</v>
      </c>
    </row>
    <row r="15" spans="1:26">
      <c r="A15">
        <f t="shared" si="2"/>
        <v>0</v>
      </c>
      <c r="B15">
        <f t="shared" si="3"/>
        <v>0</v>
      </c>
      <c r="C15">
        <f t="shared" si="4"/>
        <v>0</v>
      </c>
      <c r="D15">
        <f t="shared" si="5"/>
        <v>0</v>
      </c>
      <c r="E15" s="42">
        <v>46234.25</v>
      </c>
      <c r="F15" s="45">
        <v>731.1653</v>
      </c>
      <c r="G15" s="45">
        <v>314.78179999999998</v>
      </c>
      <c r="H15" s="45">
        <v>651.55050000000006</v>
      </c>
      <c r="I15" s="45">
        <v>9</v>
      </c>
      <c r="J15" s="45">
        <v>102.09099999999999</v>
      </c>
      <c r="K15" s="45">
        <v>4536.643</v>
      </c>
      <c r="L15">
        <f t="shared" si="6"/>
        <v>0</v>
      </c>
    </row>
    <row r="16" spans="1:26">
      <c r="A16">
        <f t="shared" si="2"/>
        <v>0</v>
      </c>
      <c r="B16">
        <f t="shared" si="3"/>
        <v>0</v>
      </c>
      <c r="C16">
        <f t="shared" si="4"/>
        <v>0</v>
      </c>
      <c r="D16">
        <f t="shared" si="5"/>
        <v>0</v>
      </c>
      <c r="E16" s="42">
        <v>46234.291666666664</v>
      </c>
      <c r="F16" s="45">
        <v>1595.8150000000001</v>
      </c>
      <c r="G16" s="45">
        <v>418.06880000000001</v>
      </c>
      <c r="H16" s="45">
        <v>658.77970000000005</v>
      </c>
      <c r="I16" s="45">
        <v>11.5</v>
      </c>
      <c r="J16" s="45">
        <v>104.0579</v>
      </c>
      <c r="K16" s="45">
        <v>4546.9880000000003</v>
      </c>
      <c r="L16">
        <f t="shared" si="6"/>
        <v>0</v>
      </c>
    </row>
    <row r="17" spans="1:12">
      <c r="A17">
        <f t="shared" si="2"/>
        <v>0</v>
      </c>
      <c r="B17">
        <f t="shared" si="3"/>
        <v>0</v>
      </c>
      <c r="C17">
        <f t="shared" si="4"/>
        <v>0</v>
      </c>
      <c r="D17">
        <f t="shared" si="5"/>
        <v>0</v>
      </c>
      <c r="E17" s="42">
        <v>46234.333333333336</v>
      </c>
      <c r="F17" s="45">
        <v>2309.1019999999999</v>
      </c>
      <c r="G17" s="45">
        <v>521.35569999999996</v>
      </c>
      <c r="H17" s="45">
        <v>666.29859999999996</v>
      </c>
      <c r="I17" s="45">
        <v>14</v>
      </c>
      <c r="J17" s="45">
        <v>106.0248</v>
      </c>
      <c r="K17" s="45">
        <v>4557.2939999999999</v>
      </c>
      <c r="L17">
        <f t="shared" si="6"/>
        <v>0</v>
      </c>
    </row>
    <row r="18" spans="1:12">
      <c r="A18">
        <f t="shared" si="2"/>
        <v>0</v>
      </c>
      <c r="B18">
        <f t="shared" si="3"/>
        <v>0</v>
      </c>
      <c r="C18">
        <f t="shared" si="4"/>
        <v>0</v>
      </c>
      <c r="D18">
        <f t="shared" si="5"/>
        <v>0</v>
      </c>
      <c r="E18" s="42">
        <v>46234.375</v>
      </c>
      <c r="F18" s="45">
        <v>3913.6109999999999</v>
      </c>
      <c r="G18" s="45">
        <v>1041.4090000000001</v>
      </c>
      <c r="H18" s="45">
        <v>693.09270000000004</v>
      </c>
      <c r="I18" s="45">
        <v>15.5</v>
      </c>
      <c r="J18" s="45">
        <v>108.8338</v>
      </c>
      <c r="K18" s="45">
        <v>4577.5039999999999</v>
      </c>
      <c r="L18">
        <f t="shared" si="6"/>
        <v>0</v>
      </c>
    </row>
    <row r="19" spans="1:12">
      <c r="A19">
        <f t="shared" si="2"/>
        <v>0</v>
      </c>
      <c r="B19">
        <f t="shared" si="3"/>
        <v>0</v>
      </c>
      <c r="C19">
        <f t="shared" si="4"/>
        <v>0</v>
      </c>
      <c r="D19">
        <f t="shared" si="5"/>
        <v>0</v>
      </c>
      <c r="E19" s="42">
        <v>46234.416666666664</v>
      </c>
      <c r="F19" s="45">
        <v>5127.5209999999997</v>
      </c>
      <c r="G19" s="45">
        <v>1561.462</v>
      </c>
      <c r="H19" s="45">
        <v>719.47109999999998</v>
      </c>
      <c r="I19" s="45">
        <v>17</v>
      </c>
      <c r="J19" s="45">
        <v>111.64279999999999</v>
      </c>
      <c r="K19" s="45">
        <v>4588.1769999999997</v>
      </c>
      <c r="L19">
        <f t="shared" si="6"/>
        <v>0</v>
      </c>
    </row>
    <row r="20" spans="1:12">
      <c r="A20">
        <f t="shared" si="2"/>
        <v>0</v>
      </c>
      <c r="B20">
        <f t="shared" si="3"/>
        <v>0</v>
      </c>
      <c r="C20">
        <f t="shared" si="4"/>
        <v>0</v>
      </c>
      <c r="D20">
        <f t="shared" si="5"/>
        <v>0</v>
      </c>
      <c r="E20" s="42">
        <v>46234.458333333336</v>
      </c>
      <c r="F20" s="45">
        <v>5572.1390000000001</v>
      </c>
      <c r="G20" s="45">
        <v>2650.1640000000002</v>
      </c>
      <c r="H20" s="45">
        <v>852.03070000000002</v>
      </c>
      <c r="I20" s="45">
        <v>18.5</v>
      </c>
      <c r="J20" s="45">
        <v>114.8176</v>
      </c>
      <c r="K20" s="45">
        <v>4596.8270000000002</v>
      </c>
      <c r="L20">
        <f t="shared" si="6"/>
        <v>0</v>
      </c>
    </row>
    <row r="21" spans="1:12">
      <c r="A21">
        <f t="shared" si="2"/>
        <v>0</v>
      </c>
      <c r="B21">
        <f t="shared" si="3"/>
        <v>0</v>
      </c>
      <c r="C21">
        <f t="shared" si="4"/>
        <v>0</v>
      </c>
      <c r="D21">
        <f t="shared" si="5"/>
        <v>0</v>
      </c>
      <c r="E21" s="42">
        <v>46234.5</v>
      </c>
      <c r="F21" s="45">
        <v>5964.9440000000004</v>
      </c>
      <c r="G21" s="45">
        <v>3738.866</v>
      </c>
      <c r="H21" s="45">
        <v>978.6377</v>
      </c>
      <c r="I21" s="45">
        <v>20</v>
      </c>
      <c r="J21" s="45">
        <v>117.99250000000001</v>
      </c>
      <c r="K21" s="45">
        <v>4605.009</v>
      </c>
      <c r="L21">
        <f t="shared" si="6"/>
        <v>0</v>
      </c>
    </row>
    <row r="22" spans="1:12">
      <c r="A22">
        <f t="shared" si="2"/>
        <v>0</v>
      </c>
      <c r="B22">
        <f t="shared" si="3"/>
        <v>0</v>
      </c>
      <c r="C22">
        <f t="shared" si="4"/>
        <v>0</v>
      </c>
      <c r="D22">
        <f t="shared" si="5"/>
        <v>0</v>
      </c>
      <c r="E22" s="42">
        <v>46234.541666666664</v>
      </c>
      <c r="F22" s="45">
        <v>5473.1030000000001</v>
      </c>
      <c r="G22" s="45">
        <v>4988.41</v>
      </c>
      <c r="H22" s="45">
        <v>1495.981</v>
      </c>
      <c r="I22" s="45">
        <v>23</v>
      </c>
      <c r="J22" s="45">
        <v>121.81270000000001</v>
      </c>
      <c r="K22" s="45">
        <v>4617.1850000000004</v>
      </c>
      <c r="L22">
        <f t="shared" si="6"/>
        <v>0</v>
      </c>
    </row>
    <row r="23" spans="1:12">
      <c r="A23">
        <f t="shared" si="2"/>
        <v>0</v>
      </c>
      <c r="B23">
        <f t="shared" si="3"/>
        <v>0</v>
      </c>
      <c r="C23">
        <f t="shared" si="4"/>
        <v>0</v>
      </c>
      <c r="D23">
        <f t="shared" si="5"/>
        <v>0</v>
      </c>
      <c r="E23" s="42">
        <v>46234.583333333336</v>
      </c>
      <c r="F23" s="45">
        <v>4976.625</v>
      </c>
      <c r="G23" s="45">
        <v>6237.9539999999997</v>
      </c>
      <c r="H23" s="45">
        <v>1980.684</v>
      </c>
      <c r="I23" s="45">
        <v>26</v>
      </c>
      <c r="J23" s="45">
        <v>125.63290000000001</v>
      </c>
      <c r="K23" s="45">
        <v>4624.8500000000004</v>
      </c>
      <c r="L23">
        <f t="shared" si="6"/>
        <v>0</v>
      </c>
    </row>
    <row r="24" spans="1:12">
      <c r="A24">
        <f t="shared" si="2"/>
        <v>0</v>
      </c>
      <c r="B24">
        <f t="shared" si="3"/>
        <v>0</v>
      </c>
      <c r="C24">
        <f t="shared" si="4"/>
        <v>0</v>
      </c>
      <c r="D24">
        <f t="shared" si="5"/>
        <v>0</v>
      </c>
      <c r="E24" s="42">
        <v>46234.625</v>
      </c>
      <c r="F24" s="45">
        <v>4301.973</v>
      </c>
      <c r="G24" s="45">
        <v>6265.8490000000002</v>
      </c>
      <c r="H24" s="45">
        <v>3196.4140000000002</v>
      </c>
      <c r="I24" s="45">
        <v>31</v>
      </c>
      <c r="J24" s="45">
        <v>128.3569</v>
      </c>
      <c r="K24" s="45">
        <v>4634.5950000000003</v>
      </c>
      <c r="L24">
        <f t="shared" si="6"/>
        <v>0</v>
      </c>
    </row>
    <row r="25" spans="1:12">
      <c r="A25">
        <f t="shared" si="2"/>
        <v>0</v>
      </c>
      <c r="B25">
        <f t="shared" si="3"/>
        <v>0</v>
      </c>
      <c r="C25">
        <f t="shared" si="4"/>
        <v>0</v>
      </c>
      <c r="D25">
        <f t="shared" si="5"/>
        <v>0</v>
      </c>
      <c r="E25" s="42">
        <v>46234.666666666664</v>
      </c>
      <c r="F25" s="45">
        <v>3626.9749999999999</v>
      </c>
      <c r="G25" s="45">
        <v>6293.7449999999999</v>
      </c>
      <c r="H25" s="45">
        <v>4313.9960000000001</v>
      </c>
      <c r="I25" s="45">
        <v>36</v>
      </c>
      <c r="J25" s="45">
        <v>131.08080000000001</v>
      </c>
      <c r="K25" s="45">
        <v>4638.5969999999998</v>
      </c>
      <c r="L25">
        <f t="shared" si="6"/>
        <v>0</v>
      </c>
    </row>
    <row r="26" spans="1:12">
      <c r="A26">
        <f t="shared" si="2"/>
        <v>0</v>
      </c>
      <c r="B26">
        <f t="shared" si="3"/>
        <v>0</v>
      </c>
      <c r="C26">
        <f t="shared" si="4"/>
        <v>0</v>
      </c>
      <c r="D26">
        <f t="shared" si="5"/>
        <v>0</v>
      </c>
      <c r="E26" s="42">
        <v>46234.708333333336</v>
      </c>
      <c r="F26" s="45">
        <v>3161.998</v>
      </c>
      <c r="G26" s="45">
        <v>6066.3909999999996</v>
      </c>
      <c r="H26" s="45">
        <v>6037.915</v>
      </c>
      <c r="I26" s="45">
        <v>42</v>
      </c>
      <c r="J26" s="45">
        <v>134.28190000000001</v>
      </c>
      <c r="K26" s="45">
        <v>4658.8019999999997</v>
      </c>
      <c r="L26">
        <f t="shared" si="6"/>
        <v>0</v>
      </c>
    </row>
    <row r="27" spans="1:12">
      <c r="A27">
        <f t="shared" si="2"/>
        <v>0</v>
      </c>
      <c r="B27">
        <f t="shared" si="3"/>
        <v>0</v>
      </c>
      <c r="C27">
        <f t="shared" si="4"/>
        <v>0</v>
      </c>
      <c r="D27">
        <f t="shared" si="5"/>
        <v>0</v>
      </c>
      <c r="E27" s="42">
        <v>46234.75</v>
      </c>
      <c r="F27" s="45">
        <v>2696.998</v>
      </c>
      <c r="G27" s="45">
        <v>5839.0379999999996</v>
      </c>
      <c r="H27" s="45">
        <v>7601.4170000000004</v>
      </c>
      <c r="I27" s="45">
        <v>48</v>
      </c>
      <c r="J27" s="45">
        <v>137.48320000000001</v>
      </c>
      <c r="K27" s="45">
        <v>4675.8289999999997</v>
      </c>
      <c r="L27">
        <f t="shared" si="6"/>
        <v>0</v>
      </c>
    </row>
    <row r="28" spans="1:12">
      <c r="A28">
        <f t="shared" si="2"/>
        <v>0</v>
      </c>
      <c r="B28">
        <f t="shared" si="3"/>
        <v>0</v>
      </c>
      <c r="C28">
        <f t="shared" si="4"/>
        <v>0</v>
      </c>
      <c r="D28">
        <f t="shared" si="5"/>
        <v>0</v>
      </c>
      <c r="E28" s="42">
        <v>46234.791666666664</v>
      </c>
      <c r="F28" s="45">
        <v>2468.5</v>
      </c>
      <c r="G28" s="45">
        <v>5859.78</v>
      </c>
      <c r="H28" s="45">
        <v>8770.3919999999998</v>
      </c>
      <c r="I28" s="45">
        <v>52.5</v>
      </c>
      <c r="J28" s="45">
        <v>144.9238</v>
      </c>
      <c r="K28" s="45">
        <v>4821.49</v>
      </c>
      <c r="L28">
        <f t="shared" si="6"/>
        <v>0</v>
      </c>
    </row>
    <row r="29" spans="1:12">
      <c r="A29">
        <f t="shared" si="2"/>
        <v>0</v>
      </c>
      <c r="B29">
        <f t="shared" si="3"/>
        <v>0</v>
      </c>
      <c r="C29">
        <f t="shared" si="4"/>
        <v>0</v>
      </c>
      <c r="D29">
        <f t="shared" si="5"/>
        <v>0</v>
      </c>
      <c r="E29" s="42">
        <v>46234.833333333336</v>
      </c>
      <c r="F29" s="45">
        <v>2240</v>
      </c>
      <c r="G29" s="45">
        <v>5880.5230000000001</v>
      </c>
      <c r="H29" s="45">
        <v>9000</v>
      </c>
      <c r="I29" s="45">
        <v>57</v>
      </c>
      <c r="J29" s="45">
        <v>152.36789999999999</v>
      </c>
      <c r="K29" s="45">
        <v>4876.768</v>
      </c>
      <c r="L29">
        <f t="shared" si="6"/>
        <v>0</v>
      </c>
    </row>
    <row r="30" spans="1:12">
      <c r="A30">
        <f t="shared" si="2"/>
        <v>0</v>
      </c>
      <c r="B30">
        <f t="shared" si="3"/>
        <v>0</v>
      </c>
      <c r="C30">
        <f t="shared" si="4"/>
        <v>0</v>
      </c>
      <c r="D30">
        <f t="shared" si="5"/>
        <v>0</v>
      </c>
      <c r="E30" s="42">
        <v>46234.875</v>
      </c>
      <c r="F30" s="45">
        <v>2141.0189999999998</v>
      </c>
      <c r="G30" s="45">
        <v>6321.36</v>
      </c>
      <c r="H30" s="45">
        <v>9000</v>
      </c>
      <c r="I30" s="45">
        <v>750.5</v>
      </c>
      <c r="J30" s="45">
        <v>169.32079999999999</v>
      </c>
      <c r="K30" s="45">
        <v>5253.5119999999997</v>
      </c>
      <c r="L30">
        <f t="shared" si="6"/>
        <v>0</v>
      </c>
    </row>
    <row r="31" spans="1:12">
      <c r="A31">
        <f t="shared" si="2"/>
        <v>0</v>
      </c>
      <c r="B31">
        <f t="shared" si="3"/>
        <v>0</v>
      </c>
      <c r="C31">
        <f t="shared" si="4"/>
        <v>0</v>
      </c>
      <c r="D31">
        <f t="shared" si="5"/>
        <v>0</v>
      </c>
      <c r="E31" s="42">
        <v>46234.916666666664</v>
      </c>
      <c r="F31" s="45">
        <v>2044.018</v>
      </c>
      <c r="G31" s="45">
        <v>6762.1980000000003</v>
      </c>
      <c r="H31" s="45">
        <v>9000</v>
      </c>
      <c r="I31" s="45">
        <v>1444</v>
      </c>
      <c r="J31" s="45">
        <v>186.34059999999999</v>
      </c>
      <c r="K31" s="45">
        <v>5604.857</v>
      </c>
      <c r="L31">
        <f t="shared" si="6"/>
        <v>0</v>
      </c>
    </row>
    <row r="32" spans="1:12">
      <c r="A32">
        <f t="shared" si="2"/>
        <v>0</v>
      </c>
      <c r="B32">
        <f t="shared" si="3"/>
        <v>0</v>
      </c>
      <c r="C32">
        <f t="shared" si="4"/>
        <v>0</v>
      </c>
      <c r="D32">
        <f t="shared" si="5"/>
        <v>0</v>
      </c>
      <c r="E32" s="42">
        <v>46234.958333333336</v>
      </c>
      <c r="F32" s="45">
        <v>1950.19</v>
      </c>
      <c r="G32" s="45">
        <v>6215.6229999999996</v>
      </c>
      <c r="H32" s="45">
        <v>9000</v>
      </c>
      <c r="I32" s="45">
        <v>1560</v>
      </c>
      <c r="J32" s="45">
        <v>235.5968</v>
      </c>
      <c r="K32" s="45">
        <v>6727.14</v>
      </c>
      <c r="L32">
        <f t="shared" si="6"/>
        <v>0</v>
      </c>
    </row>
    <row r="33" spans="1:120">
      <c r="A33">
        <f t="shared" si="2"/>
        <v>0</v>
      </c>
      <c r="B33">
        <f t="shared" si="3"/>
        <v>0</v>
      </c>
      <c r="C33">
        <f t="shared" si="4"/>
        <v>0</v>
      </c>
      <c r="D33">
        <f t="shared" si="5"/>
        <v>0</v>
      </c>
      <c r="E33" s="42">
        <v>46235</v>
      </c>
      <c r="F33" s="45">
        <v>1894.69</v>
      </c>
      <c r="G33" s="45">
        <v>5669.0559999999996</v>
      </c>
      <c r="H33" s="45">
        <v>9000</v>
      </c>
      <c r="I33" s="45">
        <v>1676</v>
      </c>
      <c r="J33" s="45">
        <v>285.89710000000002</v>
      </c>
      <c r="K33" s="45">
        <v>7262.8249999999998</v>
      </c>
      <c r="L33">
        <f t="shared" si="6"/>
        <v>0</v>
      </c>
    </row>
    <row r="34" spans="1:120">
      <c r="A34">
        <f t="shared" si="2"/>
        <v>0</v>
      </c>
      <c r="B34">
        <f t="shared" si="3"/>
        <v>0</v>
      </c>
      <c r="C34">
        <f t="shared" si="4"/>
        <v>0</v>
      </c>
      <c r="D34">
        <f t="shared" si="5"/>
        <v>0</v>
      </c>
      <c r="E34" s="42">
        <v>46235.041666666664</v>
      </c>
      <c r="F34" s="45">
        <v>1603.818</v>
      </c>
      <c r="G34" s="45">
        <v>4940.3249999999998</v>
      </c>
      <c r="H34" s="45">
        <v>9000</v>
      </c>
      <c r="I34" s="45">
        <v>1601</v>
      </c>
      <c r="J34" s="45">
        <v>463.63639999999998</v>
      </c>
      <c r="K34" s="45">
        <v>8600.8389999999999</v>
      </c>
      <c r="L34">
        <f t="shared" si="6"/>
        <v>0</v>
      </c>
    </row>
    <row r="35" spans="1:120">
      <c r="A35">
        <f t="shared" si="2"/>
        <v>0</v>
      </c>
      <c r="B35">
        <f t="shared" si="3"/>
        <v>0</v>
      </c>
      <c r="C35">
        <f t="shared" si="4"/>
        <v>0</v>
      </c>
      <c r="D35">
        <f t="shared" si="5"/>
        <v>0</v>
      </c>
      <c r="E35" s="42">
        <v>46235.083333333336</v>
      </c>
      <c r="F35" s="45">
        <v>1561.818</v>
      </c>
      <c r="G35" s="45">
        <v>4211.8050000000003</v>
      </c>
      <c r="H35" s="45">
        <v>9000</v>
      </c>
      <c r="I35" s="45">
        <v>1526</v>
      </c>
      <c r="J35" s="45">
        <v>651.57889999999998</v>
      </c>
      <c r="K35" s="45">
        <v>9837.0609999999997</v>
      </c>
      <c r="L35">
        <f t="shared" si="6"/>
        <v>0</v>
      </c>
    </row>
    <row r="36" spans="1:120">
      <c r="A36">
        <f t="shared" si="2"/>
        <v>0</v>
      </c>
      <c r="B36">
        <f t="shared" si="3"/>
        <v>0</v>
      </c>
      <c r="C36">
        <f t="shared" si="4"/>
        <v>0</v>
      </c>
      <c r="D36">
        <f t="shared" si="5"/>
        <v>0</v>
      </c>
      <c r="E36" s="42">
        <v>46235.125</v>
      </c>
      <c r="F36" s="45">
        <v>978.28700000000003</v>
      </c>
      <c r="G36" s="45">
        <v>3721.2179999999998</v>
      </c>
      <c r="H36" s="45">
        <v>9000</v>
      </c>
      <c r="I36" s="45">
        <v>1422.5</v>
      </c>
      <c r="J36" s="45">
        <v>1253.2270000000001</v>
      </c>
      <c r="K36" s="45">
        <v>11537.89</v>
      </c>
      <c r="L36">
        <f t="shared" si="6"/>
        <v>1537.8899999999994</v>
      </c>
    </row>
    <row r="37" spans="1:120">
      <c r="A37">
        <f t="shared" si="2"/>
        <v>0</v>
      </c>
      <c r="B37">
        <f t="shared" si="3"/>
        <v>0</v>
      </c>
      <c r="C37">
        <f t="shared" si="4"/>
        <v>0</v>
      </c>
      <c r="D37">
        <f t="shared" si="5"/>
        <v>0</v>
      </c>
      <c r="E37" s="42">
        <v>46235.166666666664</v>
      </c>
      <c r="F37" s="45">
        <v>948.28700000000003</v>
      </c>
      <c r="G37" s="45">
        <v>3232.8330000000001</v>
      </c>
      <c r="H37" s="45">
        <v>9000</v>
      </c>
      <c r="I37" s="45">
        <v>1319</v>
      </c>
      <c r="J37" s="45">
        <v>1908.5550000000001</v>
      </c>
      <c r="K37" s="45">
        <v>11534.88</v>
      </c>
      <c r="L37">
        <f t="shared" si="6"/>
        <v>1534.8799999999992</v>
      </c>
    </row>
    <row r="38" spans="1:120">
      <c r="A38">
        <f t="shared" si="2"/>
        <v>0</v>
      </c>
      <c r="B38">
        <f t="shared" si="3"/>
        <v>0</v>
      </c>
      <c r="C38">
        <f t="shared" si="4"/>
        <v>0</v>
      </c>
      <c r="D38">
        <f t="shared" si="5"/>
        <v>0</v>
      </c>
      <c r="E38" s="42">
        <v>46235.208333333336</v>
      </c>
      <c r="F38" s="45">
        <v>859.56870000000004</v>
      </c>
      <c r="G38" s="45">
        <v>2937.7750000000001</v>
      </c>
      <c r="H38" s="45">
        <v>8595.2340000000004</v>
      </c>
      <c r="I38" s="45">
        <v>1191.5</v>
      </c>
      <c r="J38" s="45">
        <v>2115.7350000000001</v>
      </c>
      <c r="K38" s="45">
        <v>12176.67</v>
      </c>
      <c r="L38">
        <f t="shared" si="6"/>
        <v>2176.67</v>
      </c>
      <c r="U38" s="7"/>
    </row>
    <row r="39" spans="1:120">
      <c r="A39">
        <f t="shared" si="2"/>
        <v>0</v>
      </c>
      <c r="B39">
        <f t="shared" si="3"/>
        <v>0</v>
      </c>
      <c r="C39">
        <f t="shared" si="4"/>
        <v>0</v>
      </c>
      <c r="D39">
        <f t="shared" si="5"/>
        <v>0</v>
      </c>
      <c r="E39" s="42">
        <v>46235.25</v>
      </c>
      <c r="F39" s="45">
        <v>844.06870000000004</v>
      </c>
      <c r="G39" s="45">
        <v>2654.9</v>
      </c>
      <c r="H39" s="45">
        <v>7954.7030000000004</v>
      </c>
      <c r="I39" s="45">
        <v>1064</v>
      </c>
      <c r="J39" s="45">
        <v>2456.5940000000001</v>
      </c>
      <c r="K39" s="45">
        <v>12803.54</v>
      </c>
      <c r="L39">
        <f t="shared" si="6"/>
        <v>2803.5400000000009</v>
      </c>
    </row>
    <row r="40" spans="1:120">
      <c r="A40">
        <f t="shared" si="2"/>
        <v>0</v>
      </c>
      <c r="B40">
        <f t="shared" si="3"/>
        <v>0</v>
      </c>
      <c r="C40">
        <f t="shared" si="4"/>
        <v>0</v>
      </c>
      <c r="D40">
        <f t="shared" si="5"/>
        <v>0</v>
      </c>
      <c r="E40" s="42">
        <v>46235.291666666664</v>
      </c>
      <c r="F40" s="45">
        <v>849.02430000000004</v>
      </c>
      <c r="G40" s="45">
        <v>2448.4929999999999</v>
      </c>
      <c r="H40" s="45">
        <v>7277.95</v>
      </c>
      <c r="I40" s="45">
        <v>909</v>
      </c>
      <c r="J40" s="45">
        <v>2362.4989999999998</v>
      </c>
      <c r="K40" s="45">
        <v>13864.26</v>
      </c>
      <c r="L40">
        <f t="shared" si="6"/>
        <v>3864.26</v>
      </c>
    </row>
    <row r="41" spans="1:120">
      <c r="A41">
        <f t="shared" si="2"/>
        <v>0</v>
      </c>
      <c r="B41">
        <f t="shared" si="3"/>
        <v>0</v>
      </c>
      <c r="C41">
        <f t="shared" si="4"/>
        <v>0</v>
      </c>
      <c r="D41">
        <f t="shared" si="5"/>
        <v>0</v>
      </c>
      <c r="E41" s="42">
        <v>46235.333333333336</v>
      </c>
      <c r="F41" s="45">
        <v>860.52430000000004</v>
      </c>
      <c r="G41" s="45">
        <v>2280.1260000000002</v>
      </c>
      <c r="H41" s="45">
        <v>6656.7179999999998</v>
      </c>
      <c r="I41" s="45">
        <v>754</v>
      </c>
      <c r="J41" s="45">
        <v>2393.3980000000001</v>
      </c>
      <c r="K41" s="45">
        <v>14110.27</v>
      </c>
      <c r="L41">
        <f t="shared" si="6"/>
        <v>4110.2700000000004</v>
      </c>
    </row>
    <row r="42" spans="1:120">
      <c r="A42">
        <f t="shared" si="2"/>
        <v>0</v>
      </c>
      <c r="B42">
        <f t="shared" si="3"/>
        <v>0</v>
      </c>
      <c r="C42">
        <f t="shared" si="4"/>
        <v>0</v>
      </c>
      <c r="D42">
        <f t="shared" si="5"/>
        <v>0</v>
      </c>
      <c r="E42" s="42">
        <v>46235.375</v>
      </c>
      <c r="F42" s="45">
        <v>900.03520000000003</v>
      </c>
      <c r="G42" s="45">
        <v>2100.8119999999999</v>
      </c>
      <c r="H42" s="45">
        <v>6007.5780000000004</v>
      </c>
      <c r="I42" s="45">
        <v>614.5</v>
      </c>
      <c r="J42" s="45">
        <v>2182.1640000000002</v>
      </c>
      <c r="K42" s="45">
        <v>14259.55</v>
      </c>
      <c r="L42">
        <f t="shared" si="6"/>
        <v>4259.5499999999993</v>
      </c>
    </row>
    <row r="43" spans="1:120">
      <c r="A43">
        <f t="shared" si="2"/>
        <v>0</v>
      </c>
      <c r="B43">
        <f t="shared" si="3"/>
        <v>0</v>
      </c>
      <c r="C43">
        <f t="shared" si="4"/>
        <v>0</v>
      </c>
      <c r="D43">
        <f t="shared" si="5"/>
        <v>0</v>
      </c>
      <c r="E43" s="42">
        <v>46235.416666666664</v>
      </c>
      <c r="F43" s="45">
        <v>940.03520000000003</v>
      </c>
      <c r="G43" s="45">
        <v>1987.7460000000001</v>
      </c>
      <c r="H43" s="45">
        <v>5518.3620000000001</v>
      </c>
      <c r="I43" s="45">
        <v>475</v>
      </c>
      <c r="J43" s="45">
        <v>2052.5940000000001</v>
      </c>
      <c r="K43" s="45">
        <v>14505.18</v>
      </c>
      <c r="L43">
        <f t="shared" si="6"/>
        <v>4505.18</v>
      </c>
      <c r="W43" s="7"/>
    </row>
    <row r="44" spans="1:120" s="7" customFormat="1">
      <c r="A44" s="7">
        <f t="shared" si="2"/>
        <v>0</v>
      </c>
      <c r="B44" s="7">
        <f t="shared" si="3"/>
        <v>0</v>
      </c>
      <c r="C44" s="7">
        <f t="shared" si="4"/>
        <v>0</v>
      </c>
      <c r="D44" s="7">
        <f t="shared" si="5"/>
        <v>0</v>
      </c>
      <c r="E44" s="42">
        <v>46235.458333333336</v>
      </c>
      <c r="F44" s="45">
        <v>987.00220000000002</v>
      </c>
      <c r="G44" s="45">
        <v>1847.83</v>
      </c>
      <c r="H44" s="45">
        <v>4913.8530000000001</v>
      </c>
      <c r="I44" s="45">
        <v>392</v>
      </c>
      <c r="J44" s="45">
        <v>1812.1880000000001</v>
      </c>
      <c r="K44" s="45">
        <v>14498.97</v>
      </c>
      <c r="L44" s="7">
        <f t="shared" si="6"/>
        <v>4498.9699999999993</v>
      </c>
      <c r="U44"/>
      <c r="W44"/>
      <c r="CU44"/>
      <c r="CV44"/>
      <c r="CW44"/>
      <c r="CX44"/>
      <c r="CY44"/>
      <c r="CZ44"/>
      <c r="DA44"/>
      <c r="DB44"/>
      <c r="DC44"/>
      <c r="DD44"/>
      <c r="DE44"/>
      <c r="DF44"/>
      <c r="DP44"/>
    </row>
    <row r="45" spans="1:120">
      <c r="A45">
        <f t="shared" si="2"/>
        <v>0</v>
      </c>
      <c r="B45">
        <f t="shared" si="3"/>
        <v>0</v>
      </c>
      <c r="C45">
        <f t="shared" si="4"/>
        <v>0</v>
      </c>
      <c r="D45">
        <f t="shared" si="5"/>
        <v>0</v>
      </c>
      <c r="E45" s="42">
        <v>46235.5</v>
      </c>
      <c r="F45" s="45">
        <v>1034.002</v>
      </c>
      <c r="G45" s="45">
        <v>1767.059</v>
      </c>
      <c r="H45" s="45">
        <v>4570.3389999999999</v>
      </c>
      <c r="I45" s="45">
        <v>309</v>
      </c>
      <c r="J45" s="45">
        <v>1615.829</v>
      </c>
      <c r="K45" s="45">
        <v>14263.86</v>
      </c>
      <c r="L45">
        <f t="shared" si="6"/>
        <v>4263.8600000000006</v>
      </c>
    </row>
    <row r="46" spans="1:120">
      <c r="A46">
        <f t="shared" si="2"/>
        <v>0</v>
      </c>
      <c r="B46">
        <f t="shared" si="3"/>
        <v>0</v>
      </c>
      <c r="C46">
        <f t="shared" si="4"/>
        <v>0</v>
      </c>
      <c r="D46">
        <f t="shared" si="5"/>
        <v>0</v>
      </c>
      <c r="E46" s="42">
        <v>46235.541666666664</v>
      </c>
      <c r="F46" s="45">
        <v>1064.5</v>
      </c>
      <c r="G46" s="45">
        <v>1687.9280000000001</v>
      </c>
      <c r="H46" s="45">
        <v>4092.9690000000001</v>
      </c>
      <c r="I46" s="45">
        <v>264</v>
      </c>
      <c r="J46" s="45">
        <v>1380.317</v>
      </c>
      <c r="K46" s="45">
        <v>13658.62</v>
      </c>
      <c r="L46">
        <f t="shared" si="6"/>
        <v>3658.6200000000008</v>
      </c>
    </row>
    <row r="47" spans="1:120">
      <c r="A47">
        <f t="shared" si="2"/>
        <v>0</v>
      </c>
      <c r="B47">
        <f t="shared" si="3"/>
        <v>0</v>
      </c>
      <c r="C47">
        <f t="shared" si="4"/>
        <v>0</v>
      </c>
      <c r="D47">
        <f t="shared" si="5"/>
        <v>0</v>
      </c>
      <c r="E47" s="42">
        <v>46235.583333333336</v>
      </c>
      <c r="F47" s="45">
        <v>1095</v>
      </c>
      <c r="G47" s="45">
        <v>1632.2840000000001</v>
      </c>
      <c r="H47" s="45">
        <v>3863.7130000000002</v>
      </c>
      <c r="I47" s="45">
        <v>219</v>
      </c>
      <c r="J47" s="45">
        <v>1165.8699999999999</v>
      </c>
      <c r="K47" s="45">
        <v>12999.26</v>
      </c>
      <c r="L47">
        <f t="shared" si="6"/>
        <v>2999.26</v>
      </c>
    </row>
    <row r="48" spans="1:120">
      <c r="A48">
        <f t="shared" si="2"/>
        <v>0</v>
      </c>
      <c r="B48">
        <f t="shared" si="3"/>
        <v>0</v>
      </c>
      <c r="C48">
        <f t="shared" si="4"/>
        <v>0</v>
      </c>
      <c r="D48">
        <f t="shared" si="5"/>
        <v>0</v>
      </c>
      <c r="E48" s="42">
        <v>46235.625</v>
      </c>
      <c r="F48" s="45">
        <v>1098</v>
      </c>
      <c r="G48" s="45">
        <v>1590.6590000000001</v>
      </c>
      <c r="H48" s="45">
        <v>3536.9229999999998</v>
      </c>
      <c r="I48" s="45">
        <v>190.5</v>
      </c>
      <c r="J48" s="45">
        <v>969.05309999999997</v>
      </c>
      <c r="K48" s="45">
        <v>12228.84</v>
      </c>
      <c r="L48">
        <f t="shared" si="6"/>
        <v>2228.84</v>
      </c>
      <c r="CU48" s="7"/>
      <c r="CV48" s="7"/>
      <c r="CW48" s="7"/>
      <c r="CX48" s="7"/>
      <c r="CY48" s="7"/>
      <c r="CZ48" s="7"/>
      <c r="DA48" s="7"/>
      <c r="DC48" s="7"/>
      <c r="DD48" s="7"/>
      <c r="DE48" s="7"/>
      <c r="DF48" s="7"/>
    </row>
    <row r="49" spans="1:110">
      <c r="A49">
        <f t="shared" si="2"/>
        <v>0</v>
      </c>
      <c r="B49">
        <f t="shared" si="3"/>
        <v>0</v>
      </c>
      <c r="C49">
        <f t="shared" si="4"/>
        <v>0</v>
      </c>
      <c r="D49">
        <f t="shared" si="5"/>
        <v>0</v>
      </c>
      <c r="E49" s="42">
        <v>46235.666666666664</v>
      </c>
      <c r="F49" s="45">
        <v>1101</v>
      </c>
      <c r="G49" s="45">
        <v>1555.6079999999999</v>
      </c>
      <c r="H49" s="45">
        <v>3391.393</v>
      </c>
      <c r="I49" s="45">
        <v>162</v>
      </c>
      <c r="J49" s="45">
        <v>781.51020000000005</v>
      </c>
      <c r="K49" s="45">
        <v>11434.82</v>
      </c>
      <c r="L49">
        <f t="shared" si="6"/>
        <v>1434.8199999999997</v>
      </c>
    </row>
    <row r="50" spans="1:110">
      <c r="A50">
        <f t="shared" si="2"/>
        <v>0</v>
      </c>
      <c r="B50">
        <f t="shared" si="3"/>
        <v>0</v>
      </c>
      <c r="C50">
        <f t="shared" si="4"/>
        <v>0</v>
      </c>
      <c r="D50">
        <f t="shared" si="5"/>
        <v>0</v>
      </c>
      <c r="E50" s="42">
        <v>46235.708333333336</v>
      </c>
      <c r="F50" s="45">
        <v>1089</v>
      </c>
      <c r="G50" s="45">
        <v>1546.921</v>
      </c>
      <c r="H50" s="45">
        <v>3235.03</v>
      </c>
      <c r="I50" s="45">
        <v>144</v>
      </c>
      <c r="J50" s="45">
        <v>650.34770000000003</v>
      </c>
      <c r="K50" s="45">
        <v>10542.93</v>
      </c>
      <c r="L50">
        <f t="shared" si="6"/>
        <v>542.93000000000029</v>
      </c>
      <c r="CU50" s="7"/>
      <c r="CV50" s="7"/>
      <c r="CW50" s="7"/>
      <c r="CX50" s="7"/>
      <c r="CY50" s="7"/>
      <c r="CZ50" s="7"/>
      <c r="DA50" s="7"/>
      <c r="DC50" s="7"/>
      <c r="DD50" s="7"/>
      <c r="DE50" s="7"/>
      <c r="DF50" s="7"/>
    </row>
    <row r="51" spans="1:110">
      <c r="A51">
        <f t="shared" si="2"/>
        <v>0</v>
      </c>
      <c r="B51">
        <f t="shared" si="3"/>
        <v>0</v>
      </c>
      <c r="C51">
        <f t="shared" si="4"/>
        <v>0</v>
      </c>
      <c r="D51">
        <f t="shared" si="5"/>
        <v>0</v>
      </c>
      <c r="E51" s="42">
        <v>46235.75</v>
      </c>
      <c r="F51" s="45">
        <v>1077</v>
      </c>
      <c r="G51" s="45">
        <v>1539.7539999999999</v>
      </c>
      <c r="H51" s="45">
        <v>3186.8760000000002</v>
      </c>
      <c r="I51" s="45">
        <v>126</v>
      </c>
      <c r="J51" s="45">
        <v>523.02760000000001</v>
      </c>
      <c r="K51" s="45">
        <v>9811.8029999999999</v>
      </c>
      <c r="L51">
        <f t="shared" si="6"/>
        <v>0</v>
      </c>
    </row>
    <row r="52" spans="1:110">
      <c r="A52">
        <f t="shared" si="2"/>
        <v>0</v>
      </c>
      <c r="B52">
        <f t="shared" si="3"/>
        <v>0</v>
      </c>
      <c r="C52">
        <f t="shared" si="4"/>
        <v>0</v>
      </c>
      <c r="D52">
        <f t="shared" si="5"/>
        <v>0</v>
      </c>
      <c r="E52" s="42">
        <v>46235.791666666664</v>
      </c>
      <c r="F52" s="45">
        <v>1067.5</v>
      </c>
      <c r="G52" s="45">
        <v>1569.61</v>
      </c>
      <c r="H52" s="45">
        <v>3129.4670000000001</v>
      </c>
      <c r="I52" s="45">
        <v>115.5</v>
      </c>
      <c r="J52" s="45">
        <v>443.91019999999997</v>
      </c>
      <c r="K52" s="45">
        <v>9113.723</v>
      </c>
      <c r="L52">
        <f t="shared" si="6"/>
        <v>0</v>
      </c>
    </row>
    <row r="53" spans="1:110">
      <c r="A53">
        <f t="shared" si="2"/>
        <v>0</v>
      </c>
      <c r="B53">
        <f t="shared" si="3"/>
        <v>0</v>
      </c>
      <c r="C53">
        <f t="shared" si="4"/>
        <v>0</v>
      </c>
      <c r="D53">
        <f t="shared" si="5"/>
        <v>0</v>
      </c>
      <c r="E53" s="42">
        <v>46235.833333333336</v>
      </c>
      <c r="F53" s="45">
        <v>1061.0609999999999</v>
      </c>
      <c r="G53" s="45">
        <v>1599.779</v>
      </c>
      <c r="H53" s="45">
        <v>3128.0430000000001</v>
      </c>
      <c r="I53" s="45">
        <v>105</v>
      </c>
      <c r="J53" s="45">
        <v>366.27330000000001</v>
      </c>
      <c r="K53" s="45">
        <v>8545.4509999999991</v>
      </c>
      <c r="L53">
        <f t="shared" si="6"/>
        <v>0</v>
      </c>
    </row>
    <row r="54" spans="1:110">
      <c r="A54">
        <f t="shared" si="2"/>
        <v>0</v>
      </c>
      <c r="B54">
        <f t="shared" si="3"/>
        <v>0</v>
      </c>
      <c r="C54">
        <f t="shared" si="4"/>
        <v>0</v>
      </c>
      <c r="D54">
        <f t="shared" si="5"/>
        <v>0</v>
      </c>
      <c r="E54" s="42">
        <v>46235.875</v>
      </c>
      <c r="F54" s="45">
        <v>1072.9469999999999</v>
      </c>
      <c r="G54" s="45">
        <v>1667.2349999999999</v>
      </c>
      <c r="H54" s="45">
        <v>3123.723</v>
      </c>
      <c r="I54" s="45">
        <v>129.5</v>
      </c>
      <c r="J54" s="45">
        <v>319.6431</v>
      </c>
      <c r="K54" s="45">
        <v>7962.3159999999998</v>
      </c>
      <c r="L54">
        <f t="shared" si="6"/>
        <v>0</v>
      </c>
    </row>
    <row r="55" spans="1:110">
      <c r="A55">
        <f t="shared" si="2"/>
        <v>0</v>
      </c>
      <c r="B55">
        <f t="shared" si="3"/>
        <v>0</v>
      </c>
      <c r="C55">
        <f t="shared" si="4"/>
        <v>0</v>
      </c>
      <c r="D55">
        <f t="shared" si="5"/>
        <v>0</v>
      </c>
      <c r="E55" s="42">
        <v>46235.916666666664</v>
      </c>
      <c r="F55" s="45">
        <v>1141.9549999999999</v>
      </c>
      <c r="G55" s="45">
        <v>1734.751</v>
      </c>
      <c r="H55" s="45">
        <v>3145.6959999999999</v>
      </c>
      <c r="I55" s="45">
        <v>154</v>
      </c>
      <c r="J55" s="45">
        <v>272.38</v>
      </c>
      <c r="K55" s="45">
        <v>7691.53</v>
      </c>
      <c r="L55">
        <f t="shared" si="6"/>
        <v>0</v>
      </c>
    </row>
    <row r="56" spans="1:110">
      <c r="A56">
        <f t="shared" si="2"/>
        <v>0</v>
      </c>
      <c r="B56">
        <f t="shared" si="3"/>
        <v>0</v>
      </c>
      <c r="C56">
        <f t="shared" si="4"/>
        <v>0</v>
      </c>
      <c r="D56">
        <f t="shared" si="5"/>
        <v>0</v>
      </c>
      <c r="E56" s="42">
        <v>46235.958333333336</v>
      </c>
      <c r="F56" s="45">
        <v>1216.9280000000001</v>
      </c>
      <c r="G56" s="45">
        <v>1841.92</v>
      </c>
      <c r="H56" s="45">
        <v>3177.3780000000002</v>
      </c>
      <c r="I56" s="45">
        <v>265.5</v>
      </c>
      <c r="J56" s="45">
        <v>258.17610000000002</v>
      </c>
      <c r="K56" s="45">
        <v>7602.72</v>
      </c>
      <c r="L56">
        <f t="shared" si="6"/>
        <v>0</v>
      </c>
    </row>
    <row r="57" spans="1:110">
      <c r="A57">
        <f t="shared" si="2"/>
        <v>0</v>
      </c>
      <c r="B57">
        <f t="shared" si="3"/>
        <v>0</v>
      </c>
      <c r="C57">
        <f t="shared" si="4"/>
        <v>0</v>
      </c>
      <c r="D57">
        <f t="shared" si="5"/>
        <v>0</v>
      </c>
      <c r="E57" s="42">
        <v>46236</v>
      </c>
      <c r="F57" s="45">
        <v>1635.8520000000001</v>
      </c>
      <c r="G57" s="45">
        <v>1949.0989999999999</v>
      </c>
      <c r="H57" s="45">
        <v>3220.799</v>
      </c>
      <c r="I57" s="45">
        <v>377</v>
      </c>
      <c r="J57" s="45">
        <v>229.988</v>
      </c>
      <c r="K57" s="45">
        <v>7571.8620000000001</v>
      </c>
      <c r="L57">
        <f t="shared" si="6"/>
        <v>0</v>
      </c>
    </row>
    <row r="58" spans="1:110">
      <c r="A58">
        <f t="shared" si="2"/>
        <v>0</v>
      </c>
      <c r="B58">
        <f t="shared" si="3"/>
        <v>0</v>
      </c>
      <c r="C58">
        <f t="shared" si="4"/>
        <v>0</v>
      </c>
      <c r="D58">
        <f t="shared" si="5"/>
        <v>0</v>
      </c>
      <c r="E58" s="42">
        <v>46236.041666666664</v>
      </c>
      <c r="F58" s="45">
        <v>1978.3330000000001</v>
      </c>
      <c r="G58" s="45">
        <v>2042.52</v>
      </c>
      <c r="H58" s="45">
        <v>3297.5369999999998</v>
      </c>
      <c r="I58" s="45">
        <v>486.5</v>
      </c>
      <c r="J58" s="45">
        <v>294.73390000000001</v>
      </c>
      <c r="K58" s="45">
        <v>7588.4189999999999</v>
      </c>
      <c r="L58">
        <f t="shared" si="6"/>
        <v>0</v>
      </c>
    </row>
    <row r="59" spans="1:110">
      <c r="A59">
        <f t="shared" si="2"/>
        <v>0</v>
      </c>
      <c r="B59">
        <f t="shared" si="3"/>
        <v>0</v>
      </c>
      <c r="C59">
        <f t="shared" si="4"/>
        <v>0</v>
      </c>
      <c r="D59">
        <f t="shared" si="5"/>
        <v>0</v>
      </c>
      <c r="E59" s="42">
        <v>46236.083333333336</v>
      </c>
      <c r="F59" s="45">
        <v>2912.634</v>
      </c>
      <c r="G59" s="45">
        <v>2135.9430000000002</v>
      </c>
      <c r="H59" s="45">
        <v>3381.4430000000002</v>
      </c>
      <c r="I59" s="45">
        <v>596</v>
      </c>
      <c r="J59" s="45">
        <v>281.34809999999999</v>
      </c>
      <c r="K59" s="45">
        <v>7728.1540000000005</v>
      </c>
      <c r="L59">
        <f t="shared" si="6"/>
        <v>0</v>
      </c>
    </row>
    <row r="60" spans="1:110">
      <c r="A60">
        <f t="shared" si="2"/>
        <v>0</v>
      </c>
      <c r="B60">
        <f t="shared" si="3"/>
        <v>0</v>
      </c>
      <c r="C60">
        <f t="shared" si="4"/>
        <v>0</v>
      </c>
      <c r="D60">
        <f t="shared" si="5"/>
        <v>0</v>
      </c>
      <c r="E60" s="42">
        <v>46236.125</v>
      </c>
      <c r="F60" s="45">
        <v>3669.13</v>
      </c>
      <c r="G60" s="45">
        <v>2199.7469999999998</v>
      </c>
      <c r="H60" s="45">
        <v>3668.4229999999998</v>
      </c>
      <c r="I60" s="45">
        <v>631</v>
      </c>
      <c r="J60" s="45">
        <v>500.04939999999999</v>
      </c>
      <c r="K60" s="45">
        <v>8038.2539999999999</v>
      </c>
      <c r="L60">
        <f t="shared" si="6"/>
        <v>0</v>
      </c>
    </row>
    <row r="61" spans="1:110">
      <c r="A61">
        <f t="shared" si="2"/>
        <v>0</v>
      </c>
      <c r="B61">
        <f t="shared" si="3"/>
        <v>0</v>
      </c>
      <c r="C61">
        <f t="shared" si="4"/>
        <v>0</v>
      </c>
      <c r="D61">
        <f t="shared" si="5"/>
        <v>0</v>
      </c>
      <c r="E61" s="42">
        <v>46236.166666666664</v>
      </c>
      <c r="F61" s="45">
        <v>3952.62</v>
      </c>
      <c r="G61" s="45">
        <v>2263.5509999999999</v>
      </c>
      <c r="H61" s="45">
        <v>3974.4409999999998</v>
      </c>
      <c r="I61" s="45">
        <v>666</v>
      </c>
      <c r="J61" s="45">
        <v>522.59839999999997</v>
      </c>
      <c r="K61" s="45">
        <v>8285.9930000000004</v>
      </c>
      <c r="L61">
        <f t="shared" si="6"/>
        <v>0</v>
      </c>
    </row>
    <row r="62" spans="1:110">
      <c r="A62">
        <f t="shared" si="2"/>
        <v>0</v>
      </c>
      <c r="B62">
        <f t="shared" si="3"/>
        <v>0</v>
      </c>
      <c r="C62">
        <f t="shared" si="4"/>
        <v>0</v>
      </c>
      <c r="D62">
        <f t="shared" si="5"/>
        <v>0</v>
      </c>
      <c r="E62" s="42">
        <v>46236.208333333336</v>
      </c>
      <c r="F62" s="45">
        <v>4323.8869999999997</v>
      </c>
      <c r="G62" s="45">
        <v>2381.2199999999998</v>
      </c>
      <c r="H62" s="45">
        <v>4194.4799999999996</v>
      </c>
      <c r="I62" s="45">
        <v>724.5</v>
      </c>
      <c r="J62" s="45">
        <v>811.85209999999995</v>
      </c>
      <c r="K62" s="45">
        <v>8669.4369999999999</v>
      </c>
      <c r="L62">
        <f t="shared" si="6"/>
        <v>0</v>
      </c>
    </row>
    <row r="63" spans="1:110">
      <c r="A63">
        <f t="shared" si="2"/>
        <v>0</v>
      </c>
      <c r="B63">
        <f t="shared" si="3"/>
        <v>0</v>
      </c>
      <c r="C63">
        <f t="shared" si="4"/>
        <v>0</v>
      </c>
      <c r="D63">
        <f t="shared" si="5"/>
        <v>0</v>
      </c>
      <c r="E63" s="42">
        <v>46236.25</v>
      </c>
      <c r="F63" s="45">
        <v>4622.5770000000002</v>
      </c>
      <c r="G63" s="45">
        <v>2498.8890000000001</v>
      </c>
      <c r="H63" s="45">
        <v>4488.933</v>
      </c>
      <c r="I63" s="45">
        <v>783</v>
      </c>
      <c r="J63" s="45">
        <v>916.75599999999997</v>
      </c>
      <c r="K63" s="45">
        <v>8986.7209999999995</v>
      </c>
      <c r="L63">
        <f t="shared" si="6"/>
        <v>0</v>
      </c>
    </row>
    <row r="64" spans="1:110">
      <c r="A64">
        <f t="shared" si="2"/>
        <v>0</v>
      </c>
      <c r="B64">
        <f t="shared" si="3"/>
        <v>0</v>
      </c>
      <c r="C64">
        <f t="shared" si="4"/>
        <v>0</v>
      </c>
      <c r="D64">
        <f t="shared" si="5"/>
        <v>0</v>
      </c>
      <c r="E64" s="42">
        <v>46236.291666666664</v>
      </c>
      <c r="F64" s="45">
        <v>5091.1319999999996</v>
      </c>
      <c r="G64" s="45">
        <v>2711.393</v>
      </c>
      <c r="H64" s="45">
        <v>4656.8729999999996</v>
      </c>
      <c r="I64" s="45">
        <v>782.5</v>
      </c>
      <c r="J64" s="45">
        <v>1221.182</v>
      </c>
      <c r="K64" s="45">
        <v>9556.66</v>
      </c>
      <c r="L64">
        <f t="shared" si="6"/>
        <v>0</v>
      </c>
    </row>
    <row r="65" spans="1:12">
      <c r="A65">
        <f t="shared" si="2"/>
        <v>0</v>
      </c>
      <c r="B65">
        <f t="shared" si="3"/>
        <v>0</v>
      </c>
      <c r="C65">
        <f t="shared" si="4"/>
        <v>0</v>
      </c>
      <c r="D65">
        <f t="shared" si="5"/>
        <v>0</v>
      </c>
      <c r="E65" s="42">
        <v>46236.333333333336</v>
      </c>
      <c r="F65" s="45">
        <v>5519.8419999999996</v>
      </c>
      <c r="G65" s="45">
        <v>2923.8980000000001</v>
      </c>
      <c r="H65" s="45">
        <v>5003.1130000000003</v>
      </c>
      <c r="I65" s="45">
        <v>782</v>
      </c>
      <c r="J65" s="45">
        <v>1396.836</v>
      </c>
      <c r="K65" s="45">
        <v>9923.93</v>
      </c>
      <c r="L65">
        <f t="shared" si="6"/>
        <v>0</v>
      </c>
    </row>
    <row r="66" spans="1:12">
      <c r="A66">
        <f t="shared" si="2"/>
        <v>0</v>
      </c>
      <c r="B66">
        <f t="shared" si="3"/>
        <v>0</v>
      </c>
      <c r="C66">
        <f t="shared" si="4"/>
        <v>0</v>
      </c>
      <c r="D66">
        <f t="shared" si="5"/>
        <v>0</v>
      </c>
      <c r="E66" s="42">
        <v>46236.375</v>
      </c>
      <c r="F66" s="45">
        <v>5724.009</v>
      </c>
      <c r="G66" s="45">
        <v>3173.3580000000002</v>
      </c>
      <c r="H66" s="45">
        <v>5302.6779999999999</v>
      </c>
      <c r="I66" s="45">
        <v>700.5</v>
      </c>
      <c r="J66" s="45">
        <v>1783.864</v>
      </c>
      <c r="K66" s="45">
        <v>10405.549999999999</v>
      </c>
      <c r="L66">
        <f t="shared" si="6"/>
        <v>405.54999999999927</v>
      </c>
    </row>
    <row r="67" spans="1:12">
      <c r="A67">
        <f t="shared" ref="A67:A130" si="7">AC67</f>
        <v>0</v>
      </c>
      <c r="B67">
        <f t="shared" ref="B67:B130" si="8">AD67</f>
        <v>0</v>
      </c>
      <c r="C67">
        <f t="shared" ref="C67:C130" si="9">AE67</f>
        <v>0</v>
      </c>
      <c r="D67">
        <f t="shared" ref="D67:D130" si="10">AF67</f>
        <v>0</v>
      </c>
      <c r="E67" s="42">
        <v>46236.416666666664</v>
      </c>
      <c r="F67" s="45">
        <v>5854.4260000000004</v>
      </c>
      <c r="G67" s="45">
        <v>3422.82</v>
      </c>
      <c r="H67" s="45">
        <v>5808.5429999999997</v>
      </c>
      <c r="I67" s="45">
        <v>619</v>
      </c>
      <c r="J67" s="45">
        <v>2058.0390000000002</v>
      </c>
      <c r="K67" s="45">
        <v>10741.04</v>
      </c>
      <c r="L67">
        <f t="shared" ref="L67:L130" si="11">IF(K67&gt;10000,K67-10000,0)</f>
        <v>741.04000000000087</v>
      </c>
    </row>
    <row r="68" spans="1:12">
      <c r="A68">
        <f t="shared" si="7"/>
        <v>0</v>
      </c>
      <c r="B68">
        <f t="shared" si="8"/>
        <v>0</v>
      </c>
      <c r="C68">
        <f t="shared" si="9"/>
        <v>0</v>
      </c>
      <c r="D68">
        <f t="shared" si="10"/>
        <v>0</v>
      </c>
      <c r="E68" s="42">
        <v>46236.458333333336</v>
      </c>
      <c r="F68" s="45">
        <v>5706.7030000000004</v>
      </c>
      <c r="G68" s="45">
        <v>3697.4169999999999</v>
      </c>
      <c r="H68" s="45">
        <v>6303.5320000000002</v>
      </c>
      <c r="I68" s="45">
        <v>526</v>
      </c>
      <c r="J68" s="45">
        <v>2630.855</v>
      </c>
      <c r="K68" s="45">
        <v>11162.15</v>
      </c>
      <c r="L68">
        <f t="shared" si="11"/>
        <v>1162.1499999999996</v>
      </c>
    </row>
    <row r="69" spans="1:12">
      <c r="A69">
        <f t="shared" si="7"/>
        <v>0</v>
      </c>
      <c r="B69">
        <f t="shared" si="8"/>
        <v>0</v>
      </c>
      <c r="C69">
        <f t="shared" si="9"/>
        <v>0</v>
      </c>
      <c r="D69">
        <f t="shared" si="10"/>
        <v>0</v>
      </c>
      <c r="E69" s="42">
        <v>46236.5</v>
      </c>
      <c r="F69" s="45">
        <v>5562.9790000000003</v>
      </c>
      <c r="G69" s="45">
        <v>3972.0160000000001</v>
      </c>
      <c r="H69" s="45">
        <v>6860.1109999999999</v>
      </c>
      <c r="I69" s="45">
        <v>433</v>
      </c>
      <c r="J69" s="45">
        <v>3054.1529999999998</v>
      </c>
      <c r="K69" s="45">
        <v>11509.3</v>
      </c>
      <c r="L69">
        <f t="shared" si="11"/>
        <v>1509.2999999999993</v>
      </c>
    </row>
    <row r="70" spans="1:12">
      <c r="A70">
        <f t="shared" si="7"/>
        <v>0</v>
      </c>
      <c r="B70">
        <f t="shared" si="8"/>
        <v>0</v>
      </c>
      <c r="C70">
        <f t="shared" si="9"/>
        <v>0</v>
      </c>
      <c r="D70">
        <f t="shared" si="10"/>
        <v>0</v>
      </c>
      <c r="E70" s="42">
        <v>46236.541666666664</v>
      </c>
      <c r="F70" s="45">
        <v>5221.4520000000002</v>
      </c>
      <c r="G70" s="45">
        <v>4417.9920000000002</v>
      </c>
      <c r="H70" s="45">
        <v>7448.4979999999996</v>
      </c>
      <c r="I70" s="45">
        <v>366</v>
      </c>
      <c r="J70" s="45">
        <v>3401.0320000000002</v>
      </c>
      <c r="K70" s="45">
        <v>11771.98</v>
      </c>
      <c r="L70">
        <f t="shared" si="11"/>
        <v>1771.9799999999996</v>
      </c>
    </row>
    <row r="71" spans="1:12">
      <c r="A71">
        <f t="shared" si="7"/>
        <v>0</v>
      </c>
      <c r="B71">
        <f t="shared" si="8"/>
        <v>0</v>
      </c>
      <c r="C71">
        <f t="shared" si="9"/>
        <v>0</v>
      </c>
      <c r="D71">
        <f t="shared" si="10"/>
        <v>0</v>
      </c>
      <c r="E71" s="42">
        <v>46236.583333333336</v>
      </c>
      <c r="F71" s="45">
        <v>4913.7820000000002</v>
      </c>
      <c r="G71" s="45">
        <v>4863.9679999999998</v>
      </c>
      <c r="H71" s="45">
        <v>8012.8829999999998</v>
      </c>
      <c r="I71" s="45">
        <v>299</v>
      </c>
      <c r="J71" s="45">
        <v>3635.31</v>
      </c>
      <c r="K71" s="45">
        <v>12030.79</v>
      </c>
      <c r="L71">
        <f t="shared" si="11"/>
        <v>2030.7900000000009</v>
      </c>
    </row>
    <row r="72" spans="1:12">
      <c r="A72">
        <f t="shared" si="7"/>
        <v>0</v>
      </c>
      <c r="B72">
        <f t="shared" si="8"/>
        <v>0</v>
      </c>
      <c r="C72">
        <f t="shared" si="9"/>
        <v>0</v>
      </c>
      <c r="D72">
        <f t="shared" si="10"/>
        <v>0</v>
      </c>
      <c r="E72" s="42">
        <v>46236.625</v>
      </c>
      <c r="F72" s="45">
        <v>4584.2809999999999</v>
      </c>
      <c r="G72" s="45">
        <v>5008.4210000000003</v>
      </c>
      <c r="H72" s="45">
        <v>8615.8310000000001</v>
      </c>
      <c r="I72" s="45">
        <v>262.5</v>
      </c>
      <c r="J72" s="45">
        <v>3618.5419999999999</v>
      </c>
      <c r="K72" s="45">
        <v>12254.31</v>
      </c>
      <c r="L72">
        <f t="shared" si="11"/>
        <v>2254.3099999999995</v>
      </c>
    </row>
    <row r="73" spans="1:12">
      <c r="A73">
        <f t="shared" si="7"/>
        <v>0</v>
      </c>
      <c r="B73">
        <f t="shared" si="8"/>
        <v>0</v>
      </c>
      <c r="C73">
        <f t="shared" si="9"/>
        <v>0</v>
      </c>
      <c r="D73">
        <f t="shared" si="10"/>
        <v>0</v>
      </c>
      <c r="E73" s="42">
        <v>46236.666666666664</v>
      </c>
      <c r="F73" s="45">
        <v>4259.32</v>
      </c>
      <c r="G73" s="45">
        <v>5152.875</v>
      </c>
      <c r="H73" s="45">
        <v>9000</v>
      </c>
      <c r="I73" s="45">
        <v>226</v>
      </c>
      <c r="J73" s="45">
        <v>3554.8910000000001</v>
      </c>
      <c r="K73" s="45">
        <v>12559.4</v>
      </c>
      <c r="L73">
        <f t="shared" si="11"/>
        <v>2559.3999999999996</v>
      </c>
    </row>
    <row r="74" spans="1:12">
      <c r="A74">
        <f t="shared" si="7"/>
        <v>0</v>
      </c>
      <c r="B74">
        <f t="shared" si="8"/>
        <v>0</v>
      </c>
      <c r="C74">
        <f t="shared" si="9"/>
        <v>0</v>
      </c>
      <c r="D74">
        <f t="shared" si="10"/>
        <v>0</v>
      </c>
      <c r="E74" s="42">
        <v>46236.708333333336</v>
      </c>
      <c r="F74" s="45">
        <v>3922.6089999999999</v>
      </c>
      <c r="G74" s="45">
        <v>5016.3450000000003</v>
      </c>
      <c r="H74" s="45">
        <v>9000</v>
      </c>
      <c r="I74" s="45">
        <v>217.5</v>
      </c>
      <c r="J74" s="45">
        <v>3455.1869999999999</v>
      </c>
      <c r="K74" s="45">
        <v>12730.53</v>
      </c>
      <c r="L74">
        <f t="shared" si="11"/>
        <v>2730.5300000000007</v>
      </c>
    </row>
    <row r="75" spans="1:12">
      <c r="A75">
        <f t="shared" si="7"/>
        <v>0</v>
      </c>
      <c r="B75">
        <f t="shared" si="8"/>
        <v>0</v>
      </c>
      <c r="C75">
        <f t="shared" si="9"/>
        <v>0</v>
      </c>
      <c r="D75">
        <f t="shared" si="10"/>
        <v>0</v>
      </c>
      <c r="E75" s="42">
        <v>46236.75</v>
      </c>
      <c r="F75" s="45">
        <v>3586.3049999999998</v>
      </c>
      <c r="G75" s="45">
        <v>4879.8140000000003</v>
      </c>
      <c r="H75" s="45">
        <v>9000</v>
      </c>
      <c r="I75" s="45">
        <v>209</v>
      </c>
      <c r="J75" s="45">
        <v>3325.4319999999998</v>
      </c>
      <c r="K75" s="45">
        <v>12995.35</v>
      </c>
      <c r="L75">
        <f t="shared" si="11"/>
        <v>2995.3500000000004</v>
      </c>
    </row>
    <row r="76" spans="1:12">
      <c r="A76">
        <f t="shared" si="7"/>
        <v>0</v>
      </c>
      <c r="B76">
        <f t="shared" si="8"/>
        <v>0</v>
      </c>
      <c r="C76">
        <f t="shared" si="9"/>
        <v>0</v>
      </c>
      <c r="D76">
        <f t="shared" si="10"/>
        <v>0</v>
      </c>
      <c r="E76" s="42">
        <v>46236.791666666664</v>
      </c>
      <c r="F76" s="45">
        <v>3265.9560000000001</v>
      </c>
      <c r="G76" s="45">
        <v>4680.24</v>
      </c>
      <c r="H76" s="45">
        <v>9000</v>
      </c>
      <c r="I76" s="45">
        <v>216.5</v>
      </c>
      <c r="J76" s="45">
        <v>3306.98</v>
      </c>
      <c r="K76" s="45">
        <v>12945.7</v>
      </c>
      <c r="L76">
        <f t="shared" si="11"/>
        <v>2945.7000000000007</v>
      </c>
    </row>
    <row r="77" spans="1:12">
      <c r="A77">
        <f t="shared" si="7"/>
        <v>0</v>
      </c>
      <c r="B77">
        <f t="shared" si="8"/>
        <v>0</v>
      </c>
      <c r="C77">
        <f t="shared" si="9"/>
        <v>0</v>
      </c>
      <c r="D77">
        <f t="shared" si="10"/>
        <v>0</v>
      </c>
      <c r="E77" s="42">
        <v>46236.833333333336</v>
      </c>
      <c r="F77" s="45">
        <v>2945.6370000000002</v>
      </c>
      <c r="G77" s="45">
        <v>4480.6670000000004</v>
      </c>
      <c r="H77" s="45">
        <v>9000</v>
      </c>
      <c r="I77" s="45">
        <v>224</v>
      </c>
      <c r="J77" s="45">
        <v>3243.4630000000002</v>
      </c>
      <c r="K77" s="45">
        <v>13030.96</v>
      </c>
      <c r="L77">
        <f t="shared" si="11"/>
        <v>3030.9599999999991</v>
      </c>
    </row>
    <row r="78" spans="1:12">
      <c r="A78">
        <f t="shared" si="7"/>
        <v>0</v>
      </c>
      <c r="B78">
        <f t="shared" si="8"/>
        <v>0</v>
      </c>
      <c r="C78">
        <f t="shared" si="9"/>
        <v>0</v>
      </c>
      <c r="D78">
        <f t="shared" si="10"/>
        <v>0</v>
      </c>
      <c r="E78" s="42">
        <v>46236.875</v>
      </c>
      <c r="F78" s="45">
        <v>2681.9920000000002</v>
      </c>
      <c r="G78" s="45">
        <v>4277.7</v>
      </c>
      <c r="H78" s="45">
        <v>9000</v>
      </c>
      <c r="I78" s="45">
        <v>235</v>
      </c>
      <c r="J78" s="45">
        <v>3282.15</v>
      </c>
      <c r="K78" s="45">
        <v>13197.62</v>
      </c>
      <c r="L78">
        <f t="shared" si="11"/>
        <v>3197.6200000000008</v>
      </c>
    </row>
    <row r="79" spans="1:12">
      <c r="A79">
        <f t="shared" si="7"/>
        <v>0</v>
      </c>
      <c r="B79">
        <f t="shared" si="8"/>
        <v>0</v>
      </c>
      <c r="C79">
        <f t="shared" si="9"/>
        <v>0</v>
      </c>
      <c r="D79">
        <f t="shared" si="10"/>
        <v>0</v>
      </c>
      <c r="E79" s="42">
        <v>46236.916666666664</v>
      </c>
      <c r="F79" s="45">
        <v>2418.35</v>
      </c>
      <c r="G79" s="45">
        <v>4074.7339999999999</v>
      </c>
      <c r="H79" s="45">
        <v>9000</v>
      </c>
      <c r="I79" s="45">
        <v>246</v>
      </c>
      <c r="J79" s="45">
        <v>3308.5990000000002</v>
      </c>
      <c r="K79" s="45">
        <v>13381.42</v>
      </c>
      <c r="L79">
        <f t="shared" si="11"/>
        <v>3381.42</v>
      </c>
    </row>
    <row r="80" spans="1:12">
      <c r="A80">
        <f t="shared" si="7"/>
        <v>0</v>
      </c>
      <c r="B80">
        <f t="shared" si="8"/>
        <v>0</v>
      </c>
      <c r="C80">
        <f t="shared" si="9"/>
        <v>0</v>
      </c>
      <c r="D80">
        <f t="shared" si="10"/>
        <v>0</v>
      </c>
      <c r="E80" s="42">
        <v>46236.958333333336</v>
      </c>
      <c r="F80" s="45">
        <v>2235.3330000000001</v>
      </c>
      <c r="G80" s="45">
        <v>3884.7910000000002</v>
      </c>
      <c r="H80" s="45">
        <v>9000</v>
      </c>
      <c r="I80" s="45">
        <v>255.5</v>
      </c>
      <c r="J80" s="45">
        <v>3352.299</v>
      </c>
      <c r="K80" s="45">
        <v>13612.13</v>
      </c>
      <c r="L80">
        <f t="shared" si="11"/>
        <v>3612.1299999999992</v>
      </c>
    </row>
    <row r="81" spans="1:12">
      <c r="A81">
        <f t="shared" si="7"/>
        <v>0</v>
      </c>
      <c r="B81">
        <f t="shared" si="8"/>
        <v>0</v>
      </c>
      <c r="C81">
        <f t="shared" si="9"/>
        <v>0</v>
      </c>
      <c r="D81">
        <f t="shared" si="10"/>
        <v>0</v>
      </c>
      <c r="E81" s="42">
        <v>46237</v>
      </c>
      <c r="F81" s="45">
        <v>2052.3159999999998</v>
      </c>
      <c r="G81" s="45">
        <v>3694.848</v>
      </c>
      <c r="H81" s="45">
        <v>9000</v>
      </c>
      <c r="I81" s="45">
        <v>265</v>
      </c>
      <c r="J81" s="45">
        <v>3386.3980000000001</v>
      </c>
      <c r="K81" s="45">
        <v>13746.3</v>
      </c>
      <c r="L81">
        <f t="shared" si="11"/>
        <v>3746.2999999999993</v>
      </c>
    </row>
    <row r="82" spans="1:12">
      <c r="A82">
        <f t="shared" si="7"/>
        <v>0</v>
      </c>
      <c r="B82">
        <f t="shared" si="8"/>
        <v>0</v>
      </c>
      <c r="C82">
        <f t="shared" si="9"/>
        <v>0</v>
      </c>
      <c r="D82">
        <f t="shared" si="10"/>
        <v>0</v>
      </c>
      <c r="E82" s="42">
        <v>46237.041666666664</v>
      </c>
      <c r="F82" s="45">
        <v>1930.0419999999999</v>
      </c>
      <c r="G82" s="45">
        <v>3572.1210000000001</v>
      </c>
      <c r="H82" s="45">
        <v>9000</v>
      </c>
      <c r="I82" s="45">
        <v>268.5</v>
      </c>
      <c r="J82" s="45">
        <v>3427.1979999999999</v>
      </c>
      <c r="K82" s="45">
        <v>13806.6</v>
      </c>
      <c r="L82">
        <f t="shared" si="11"/>
        <v>3806.6000000000004</v>
      </c>
    </row>
    <row r="83" spans="1:12">
      <c r="A83">
        <f t="shared" si="7"/>
        <v>0</v>
      </c>
      <c r="B83">
        <f t="shared" si="8"/>
        <v>0</v>
      </c>
      <c r="C83">
        <f t="shared" si="9"/>
        <v>0</v>
      </c>
      <c r="D83">
        <f t="shared" si="10"/>
        <v>0</v>
      </c>
      <c r="E83" s="42">
        <v>46237.083333333336</v>
      </c>
      <c r="F83" s="45">
        <v>1807.768</v>
      </c>
      <c r="G83" s="45">
        <v>3449.3939999999998</v>
      </c>
      <c r="H83" s="45">
        <v>9000</v>
      </c>
      <c r="I83" s="45">
        <v>272</v>
      </c>
      <c r="J83" s="45">
        <v>3460.68</v>
      </c>
      <c r="K83" s="45">
        <v>13867.81</v>
      </c>
      <c r="L83">
        <f t="shared" si="11"/>
        <v>3867.8099999999995</v>
      </c>
    </row>
    <row r="84" spans="1:12">
      <c r="A84">
        <f t="shared" si="7"/>
        <v>0</v>
      </c>
      <c r="B84">
        <f t="shared" si="8"/>
        <v>0</v>
      </c>
      <c r="C84">
        <f t="shared" si="9"/>
        <v>0</v>
      </c>
      <c r="D84">
        <f t="shared" si="10"/>
        <v>0</v>
      </c>
      <c r="E84" s="42">
        <v>46237.125</v>
      </c>
      <c r="F84" s="45">
        <v>1885.2660000000001</v>
      </c>
      <c r="G84" s="45">
        <v>3487.3850000000002</v>
      </c>
      <c r="H84" s="45">
        <v>8534.7749999999996</v>
      </c>
      <c r="I84" s="45">
        <v>272.5</v>
      </c>
      <c r="J84" s="45">
        <v>3500.558</v>
      </c>
      <c r="K84" s="45">
        <v>13969.11</v>
      </c>
      <c r="L84">
        <f t="shared" si="11"/>
        <v>3969.1100000000006</v>
      </c>
    </row>
    <row r="85" spans="1:12">
      <c r="A85">
        <f t="shared" si="7"/>
        <v>0</v>
      </c>
      <c r="B85">
        <f t="shared" si="8"/>
        <v>0</v>
      </c>
      <c r="C85">
        <f t="shared" si="9"/>
        <v>0</v>
      </c>
      <c r="D85">
        <f t="shared" si="10"/>
        <v>0</v>
      </c>
      <c r="E85" s="42">
        <v>46237.166666666664</v>
      </c>
      <c r="F85" s="45">
        <v>1962.7639999999999</v>
      </c>
      <c r="G85" s="45">
        <v>3525.377</v>
      </c>
      <c r="H85" s="45">
        <v>8033.2240000000002</v>
      </c>
      <c r="I85" s="45">
        <v>273</v>
      </c>
      <c r="J85" s="45">
        <v>3534.6060000000002</v>
      </c>
      <c r="K85" s="45">
        <v>14045.62</v>
      </c>
      <c r="L85">
        <f t="shared" si="11"/>
        <v>4045.6200000000008</v>
      </c>
    </row>
    <row r="86" spans="1:12">
      <c r="A86">
        <f t="shared" si="7"/>
        <v>0</v>
      </c>
      <c r="B86">
        <f t="shared" si="8"/>
        <v>0</v>
      </c>
      <c r="C86">
        <f t="shared" si="9"/>
        <v>0</v>
      </c>
      <c r="D86">
        <f t="shared" si="10"/>
        <v>0</v>
      </c>
      <c r="E86" s="42">
        <v>46237.208333333336</v>
      </c>
      <c r="F86" s="45">
        <v>2038.654</v>
      </c>
      <c r="G86" s="45">
        <v>3680.48</v>
      </c>
      <c r="H86" s="45">
        <v>7601.643</v>
      </c>
      <c r="I86" s="45">
        <v>274</v>
      </c>
      <c r="J86" s="45">
        <v>3571.3939999999998</v>
      </c>
      <c r="K86" s="45">
        <v>14128.15</v>
      </c>
      <c r="L86">
        <f t="shared" si="11"/>
        <v>4128.1499999999996</v>
      </c>
    </row>
    <row r="87" spans="1:12">
      <c r="A87">
        <f t="shared" si="7"/>
        <v>0</v>
      </c>
      <c r="B87">
        <f t="shared" si="8"/>
        <v>0</v>
      </c>
      <c r="C87">
        <f t="shared" si="9"/>
        <v>0</v>
      </c>
      <c r="D87">
        <f t="shared" si="10"/>
        <v>0</v>
      </c>
      <c r="E87" s="42">
        <v>46237.25</v>
      </c>
      <c r="F87" s="45">
        <v>2114.5430000000001</v>
      </c>
      <c r="G87" s="45">
        <v>3835.5819999999999</v>
      </c>
      <c r="H87" s="45">
        <v>7171.0609999999997</v>
      </c>
      <c r="I87" s="45">
        <v>275</v>
      </c>
      <c r="J87" s="45">
        <v>3602.4609999999998</v>
      </c>
      <c r="K87" s="45">
        <v>14207.26</v>
      </c>
      <c r="L87">
        <f t="shared" si="11"/>
        <v>4207.26</v>
      </c>
    </row>
    <row r="88" spans="1:12">
      <c r="A88">
        <f t="shared" si="7"/>
        <v>0</v>
      </c>
      <c r="B88">
        <f t="shared" si="8"/>
        <v>0</v>
      </c>
      <c r="C88">
        <f t="shared" si="9"/>
        <v>0</v>
      </c>
      <c r="D88">
        <f t="shared" si="10"/>
        <v>0</v>
      </c>
      <c r="E88" s="42">
        <v>46237.291666666664</v>
      </c>
      <c r="F88" s="45">
        <v>2026.1110000000001</v>
      </c>
      <c r="G88" s="45">
        <v>3818.1120000000001</v>
      </c>
      <c r="H88" s="45">
        <v>6928.8729999999996</v>
      </c>
      <c r="I88" s="45">
        <v>269.5</v>
      </c>
      <c r="J88" s="45">
        <v>3623.8150000000001</v>
      </c>
      <c r="K88" s="45">
        <v>14285.9</v>
      </c>
      <c r="L88">
        <f t="shared" si="11"/>
        <v>4285.8999999999996</v>
      </c>
    </row>
    <row r="89" spans="1:12">
      <c r="A89">
        <f t="shared" si="7"/>
        <v>0</v>
      </c>
      <c r="B89">
        <f t="shared" si="8"/>
        <v>0</v>
      </c>
      <c r="C89">
        <f t="shared" si="9"/>
        <v>0</v>
      </c>
      <c r="D89">
        <f t="shared" si="10"/>
        <v>0</v>
      </c>
      <c r="E89" s="42">
        <v>46237.333333333336</v>
      </c>
      <c r="F89" s="45">
        <v>1937.6780000000001</v>
      </c>
      <c r="G89" s="45">
        <v>3800.6419999999998</v>
      </c>
      <c r="H89" s="45">
        <v>6687.17</v>
      </c>
      <c r="I89" s="45">
        <v>264</v>
      </c>
      <c r="J89" s="45">
        <v>3635.7310000000002</v>
      </c>
      <c r="K89" s="45">
        <v>14356.89</v>
      </c>
      <c r="L89">
        <f t="shared" si="11"/>
        <v>4356.8899999999994</v>
      </c>
    </row>
    <row r="90" spans="1:12">
      <c r="A90">
        <f t="shared" si="7"/>
        <v>0</v>
      </c>
      <c r="B90">
        <f t="shared" si="8"/>
        <v>0</v>
      </c>
      <c r="C90">
        <f t="shared" si="9"/>
        <v>0</v>
      </c>
      <c r="D90">
        <f t="shared" si="10"/>
        <v>0</v>
      </c>
      <c r="E90" s="42">
        <v>46237.375</v>
      </c>
      <c r="F90" s="45">
        <v>1768.1089999999999</v>
      </c>
      <c r="G90" s="45">
        <v>3582.752</v>
      </c>
      <c r="H90" s="45">
        <v>6668.9610000000002</v>
      </c>
      <c r="I90" s="45">
        <v>253.5</v>
      </c>
      <c r="J90" s="45">
        <v>3631.8890000000001</v>
      </c>
      <c r="K90" s="45">
        <v>14440.72</v>
      </c>
      <c r="L90">
        <f t="shared" si="11"/>
        <v>4440.7199999999993</v>
      </c>
    </row>
    <row r="91" spans="1:12">
      <c r="A91">
        <f t="shared" si="7"/>
        <v>0</v>
      </c>
      <c r="B91">
        <f t="shared" si="8"/>
        <v>0</v>
      </c>
      <c r="C91">
        <f t="shared" si="9"/>
        <v>0</v>
      </c>
      <c r="D91">
        <f t="shared" si="10"/>
        <v>0</v>
      </c>
      <c r="E91" s="42">
        <v>46237.416666666664</v>
      </c>
      <c r="F91" s="45">
        <v>1598.539</v>
      </c>
      <c r="G91" s="45">
        <v>3364.8629999999998</v>
      </c>
      <c r="H91" s="45">
        <v>6650.9690000000001</v>
      </c>
      <c r="I91" s="45">
        <v>243</v>
      </c>
      <c r="J91" s="45">
        <v>3605.7629999999999</v>
      </c>
      <c r="K91" s="45">
        <v>14519.35</v>
      </c>
      <c r="L91">
        <f t="shared" si="11"/>
        <v>4519.3500000000004</v>
      </c>
    </row>
    <row r="92" spans="1:12">
      <c r="A92">
        <f t="shared" si="7"/>
        <v>0</v>
      </c>
      <c r="B92">
        <f t="shared" si="8"/>
        <v>0</v>
      </c>
      <c r="C92">
        <f t="shared" si="9"/>
        <v>0</v>
      </c>
      <c r="D92">
        <f t="shared" si="10"/>
        <v>0</v>
      </c>
      <c r="E92" s="42">
        <v>46237.458333333336</v>
      </c>
      <c r="F92" s="45">
        <v>1429.56</v>
      </c>
      <c r="G92" s="45">
        <v>3089.692</v>
      </c>
      <c r="H92" s="45">
        <v>6699.9660000000003</v>
      </c>
      <c r="I92" s="45">
        <v>242</v>
      </c>
      <c r="J92" s="45">
        <v>3579.9749999999999</v>
      </c>
      <c r="K92" s="45">
        <v>14279.57</v>
      </c>
      <c r="L92">
        <f t="shared" si="11"/>
        <v>4279.57</v>
      </c>
    </row>
    <row r="93" spans="1:12">
      <c r="A93">
        <f t="shared" si="7"/>
        <v>0</v>
      </c>
      <c r="B93">
        <f t="shared" si="8"/>
        <v>0</v>
      </c>
      <c r="C93">
        <f t="shared" si="9"/>
        <v>0</v>
      </c>
      <c r="D93">
        <f t="shared" si="10"/>
        <v>0</v>
      </c>
      <c r="E93" s="42">
        <v>46237.5</v>
      </c>
      <c r="F93" s="45">
        <v>1260.5820000000001</v>
      </c>
      <c r="G93" s="45">
        <v>2814.5210000000002</v>
      </c>
      <c r="H93" s="45">
        <v>6749.0559999999996</v>
      </c>
      <c r="I93" s="45">
        <v>241</v>
      </c>
      <c r="J93" s="45">
        <v>3524.8220000000001</v>
      </c>
      <c r="K93" s="45">
        <v>14007.44</v>
      </c>
      <c r="L93">
        <f t="shared" si="11"/>
        <v>4007.4400000000005</v>
      </c>
    </row>
    <row r="94" spans="1:12">
      <c r="A94">
        <f t="shared" si="7"/>
        <v>0</v>
      </c>
      <c r="B94">
        <f t="shared" si="8"/>
        <v>0</v>
      </c>
      <c r="C94">
        <f t="shared" si="9"/>
        <v>0</v>
      </c>
      <c r="D94">
        <f t="shared" si="10"/>
        <v>0</v>
      </c>
      <c r="E94" s="42">
        <v>46237.541666666664</v>
      </c>
      <c r="F94" s="45">
        <v>1121.174</v>
      </c>
      <c r="G94" s="45">
        <v>2546.2080000000001</v>
      </c>
      <c r="H94" s="45">
        <v>6671.7709999999997</v>
      </c>
      <c r="I94" s="45">
        <v>660</v>
      </c>
      <c r="J94" s="45">
        <v>3498.63</v>
      </c>
      <c r="K94" s="45">
        <v>13749.18</v>
      </c>
      <c r="L94">
        <f t="shared" si="11"/>
        <v>3749.1800000000003</v>
      </c>
    </row>
    <row r="95" spans="1:12">
      <c r="A95">
        <f t="shared" si="7"/>
        <v>0</v>
      </c>
      <c r="B95">
        <f t="shared" si="8"/>
        <v>0</v>
      </c>
      <c r="C95">
        <f t="shared" si="9"/>
        <v>0</v>
      </c>
      <c r="D95">
        <f t="shared" si="10"/>
        <v>0</v>
      </c>
      <c r="E95" s="42">
        <v>46237.583333333336</v>
      </c>
      <c r="F95" s="45">
        <v>981.76700000000005</v>
      </c>
      <c r="G95" s="45">
        <v>2277.8960000000002</v>
      </c>
      <c r="H95" s="45">
        <v>6594.5259999999998</v>
      </c>
      <c r="I95" s="45">
        <v>1079</v>
      </c>
      <c r="J95" s="45">
        <v>3451.8670000000002</v>
      </c>
      <c r="K95" s="45">
        <v>13472.21</v>
      </c>
      <c r="L95">
        <f t="shared" si="11"/>
        <v>3472.2099999999991</v>
      </c>
    </row>
    <row r="96" spans="1:12">
      <c r="A96">
        <f t="shared" si="7"/>
        <v>0</v>
      </c>
      <c r="B96">
        <f t="shared" si="8"/>
        <v>0</v>
      </c>
      <c r="C96">
        <f t="shared" si="9"/>
        <v>0</v>
      </c>
      <c r="D96">
        <f t="shared" si="10"/>
        <v>0</v>
      </c>
      <c r="E96" s="42">
        <v>46237.625</v>
      </c>
      <c r="F96" s="45">
        <v>876.47799999999995</v>
      </c>
      <c r="G96" s="45">
        <v>2041.8150000000001</v>
      </c>
      <c r="H96" s="45">
        <v>6325.5079999999998</v>
      </c>
      <c r="I96" s="45">
        <v>1138</v>
      </c>
      <c r="J96" s="45">
        <v>3504.6149999999998</v>
      </c>
      <c r="K96" s="45">
        <v>13180.92</v>
      </c>
      <c r="L96">
        <f t="shared" si="11"/>
        <v>3180.92</v>
      </c>
    </row>
    <row r="97" spans="1:12">
      <c r="A97">
        <f t="shared" si="7"/>
        <v>0</v>
      </c>
      <c r="B97">
        <f t="shared" si="8"/>
        <v>0</v>
      </c>
      <c r="C97">
        <f t="shared" si="9"/>
        <v>0</v>
      </c>
      <c r="D97">
        <f t="shared" si="10"/>
        <v>0</v>
      </c>
      <c r="E97" s="42">
        <v>46237.666666666664</v>
      </c>
      <c r="F97" s="45">
        <v>771.18910000000005</v>
      </c>
      <c r="G97" s="45">
        <v>1805.7349999999999</v>
      </c>
      <c r="H97" s="45">
        <v>6056.5069999999996</v>
      </c>
      <c r="I97" s="45">
        <v>1197</v>
      </c>
      <c r="J97" s="45">
        <v>3516.1170000000002</v>
      </c>
      <c r="K97" s="45">
        <v>12856.19</v>
      </c>
      <c r="L97">
        <f t="shared" si="11"/>
        <v>2856.1900000000005</v>
      </c>
    </row>
    <row r="98" spans="1:12">
      <c r="A98">
        <f t="shared" si="7"/>
        <v>0</v>
      </c>
      <c r="B98">
        <f t="shared" si="8"/>
        <v>0</v>
      </c>
      <c r="C98">
        <f t="shared" si="9"/>
        <v>0</v>
      </c>
      <c r="D98">
        <f t="shared" si="10"/>
        <v>0</v>
      </c>
      <c r="E98" s="42">
        <v>46237.708333333336</v>
      </c>
      <c r="F98" s="45">
        <v>710.38170000000002</v>
      </c>
      <c r="G98" s="45">
        <v>1627.1959999999999</v>
      </c>
      <c r="H98" s="45">
        <v>5695.1019999999999</v>
      </c>
      <c r="I98" s="45">
        <v>1085</v>
      </c>
      <c r="J98" s="45">
        <v>3666.2</v>
      </c>
      <c r="K98" s="45">
        <v>12680.69</v>
      </c>
      <c r="L98">
        <f t="shared" si="11"/>
        <v>2680.6900000000005</v>
      </c>
    </row>
    <row r="99" spans="1:12">
      <c r="A99">
        <f t="shared" si="7"/>
        <v>0</v>
      </c>
      <c r="B99">
        <f t="shared" si="8"/>
        <v>0</v>
      </c>
      <c r="C99">
        <f t="shared" si="9"/>
        <v>0</v>
      </c>
      <c r="D99">
        <f t="shared" si="10"/>
        <v>0</v>
      </c>
      <c r="E99" s="42">
        <v>46237.75</v>
      </c>
      <c r="F99" s="45">
        <v>649.57439999999997</v>
      </c>
      <c r="G99" s="45">
        <v>1448.6569999999999</v>
      </c>
      <c r="H99" s="45">
        <v>5333.7030000000004</v>
      </c>
      <c r="I99" s="45">
        <v>973</v>
      </c>
      <c r="J99" s="45">
        <v>3765.116</v>
      </c>
      <c r="K99" s="45">
        <v>12483.99</v>
      </c>
      <c r="L99">
        <f t="shared" si="11"/>
        <v>2483.9899999999998</v>
      </c>
    </row>
    <row r="100" spans="1:12">
      <c r="A100">
        <f t="shared" si="7"/>
        <v>0</v>
      </c>
      <c r="B100">
        <f t="shared" si="8"/>
        <v>0</v>
      </c>
      <c r="C100">
        <f t="shared" si="9"/>
        <v>0</v>
      </c>
      <c r="D100">
        <f t="shared" si="10"/>
        <v>0</v>
      </c>
      <c r="E100" s="42">
        <v>46237.791666666664</v>
      </c>
      <c r="F100" s="45">
        <v>676.00900000000001</v>
      </c>
      <c r="G100" s="45">
        <v>1341.9390000000001</v>
      </c>
      <c r="H100" s="45">
        <v>4940.79</v>
      </c>
      <c r="I100" s="45">
        <v>844.5</v>
      </c>
      <c r="J100" s="45">
        <v>4000</v>
      </c>
      <c r="K100" s="45">
        <v>12411.14</v>
      </c>
      <c r="L100">
        <f t="shared" si="11"/>
        <v>2411.1399999999994</v>
      </c>
    </row>
    <row r="101" spans="1:12">
      <c r="A101">
        <f t="shared" si="7"/>
        <v>0</v>
      </c>
      <c r="B101">
        <f t="shared" si="8"/>
        <v>0</v>
      </c>
      <c r="C101">
        <f t="shared" si="9"/>
        <v>0</v>
      </c>
      <c r="D101">
        <f t="shared" si="10"/>
        <v>0</v>
      </c>
      <c r="E101" s="42">
        <v>46237.833333333336</v>
      </c>
      <c r="F101" s="45">
        <v>702.44370000000004</v>
      </c>
      <c r="G101" s="45">
        <v>1235.221</v>
      </c>
      <c r="H101" s="45">
        <v>4547.8789999999999</v>
      </c>
      <c r="I101" s="45">
        <v>716</v>
      </c>
      <c r="J101" s="45">
        <v>4000</v>
      </c>
      <c r="K101" s="45">
        <v>12290.11</v>
      </c>
      <c r="L101">
        <f t="shared" si="11"/>
        <v>2290.1100000000006</v>
      </c>
    </row>
    <row r="102" spans="1:12">
      <c r="A102">
        <f t="shared" si="7"/>
        <v>0</v>
      </c>
      <c r="B102">
        <f t="shared" si="8"/>
        <v>0</v>
      </c>
      <c r="C102">
        <f t="shared" si="9"/>
        <v>0</v>
      </c>
      <c r="D102">
        <f t="shared" si="10"/>
        <v>0</v>
      </c>
      <c r="E102" s="42">
        <v>46237.875</v>
      </c>
      <c r="F102" s="45">
        <v>826.76469999999995</v>
      </c>
      <c r="G102" s="45">
        <v>1196.1279999999999</v>
      </c>
      <c r="H102" s="45">
        <v>4168.1109999999999</v>
      </c>
      <c r="I102" s="45">
        <v>601.5</v>
      </c>
      <c r="J102" s="45">
        <v>4000</v>
      </c>
      <c r="K102" s="45">
        <v>12248.61</v>
      </c>
      <c r="L102">
        <f t="shared" si="11"/>
        <v>2248.6100000000006</v>
      </c>
    </row>
    <row r="103" spans="1:12">
      <c r="A103">
        <f t="shared" si="7"/>
        <v>0</v>
      </c>
      <c r="B103">
        <f t="shared" si="8"/>
        <v>0</v>
      </c>
      <c r="C103">
        <f t="shared" si="9"/>
        <v>0</v>
      </c>
      <c r="D103">
        <f t="shared" si="10"/>
        <v>0</v>
      </c>
      <c r="E103" s="42">
        <v>46237.916666666664</v>
      </c>
      <c r="F103" s="45">
        <v>951.08579999999995</v>
      </c>
      <c r="G103" s="45">
        <v>1157.0350000000001</v>
      </c>
      <c r="H103" s="45">
        <v>3788.3449999999998</v>
      </c>
      <c r="I103" s="45">
        <v>487</v>
      </c>
      <c r="J103" s="45">
        <v>4000</v>
      </c>
      <c r="K103" s="45">
        <v>12163.57</v>
      </c>
      <c r="L103">
        <f t="shared" si="11"/>
        <v>2163.5699999999997</v>
      </c>
    </row>
    <row r="104" spans="1:12">
      <c r="A104">
        <f t="shared" si="7"/>
        <v>0</v>
      </c>
      <c r="B104">
        <f t="shared" si="8"/>
        <v>0</v>
      </c>
      <c r="C104">
        <f t="shared" si="9"/>
        <v>0</v>
      </c>
      <c r="D104">
        <f t="shared" si="10"/>
        <v>0</v>
      </c>
      <c r="E104" s="42">
        <v>46237.958333333336</v>
      </c>
      <c r="F104" s="45">
        <v>1061.9960000000001</v>
      </c>
      <c r="G104" s="45">
        <v>1168.828</v>
      </c>
      <c r="H104" s="45">
        <v>3462.2280000000001</v>
      </c>
      <c r="I104" s="45">
        <v>404.5</v>
      </c>
      <c r="J104" s="45">
        <v>4000</v>
      </c>
      <c r="K104" s="45">
        <v>12093.2</v>
      </c>
      <c r="L104">
        <f t="shared" si="11"/>
        <v>2093.2000000000007</v>
      </c>
    </row>
    <row r="105" spans="1:12">
      <c r="A105">
        <f t="shared" si="7"/>
        <v>0</v>
      </c>
      <c r="B105">
        <f t="shared" si="8"/>
        <v>0</v>
      </c>
      <c r="C105">
        <f t="shared" si="9"/>
        <v>0</v>
      </c>
      <c r="D105">
        <f t="shared" si="10"/>
        <v>0</v>
      </c>
      <c r="E105" s="42">
        <v>46238</v>
      </c>
      <c r="F105" s="45">
        <v>1172.9059999999999</v>
      </c>
      <c r="G105" s="45">
        <v>1180.6210000000001</v>
      </c>
      <c r="H105" s="45">
        <v>3136.1109999999999</v>
      </c>
      <c r="I105" s="45">
        <v>322</v>
      </c>
      <c r="J105" s="45">
        <v>4000</v>
      </c>
      <c r="K105" s="45">
        <v>11825.73</v>
      </c>
      <c r="L105">
        <f t="shared" si="11"/>
        <v>1825.7299999999996</v>
      </c>
    </row>
    <row r="106" spans="1:12">
      <c r="A106">
        <f t="shared" si="7"/>
        <v>0</v>
      </c>
      <c r="B106">
        <f t="shared" si="8"/>
        <v>0</v>
      </c>
      <c r="C106">
        <f t="shared" si="9"/>
        <v>0</v>
      </c>
      <c r="D106">
        <f t="shared" si="10"/>
        <v>0</v>
      </c>
      <c r="E106" s="42">
        <v>46238.041666666664</v>
      </c>
      <c r="F106" s="45">
        <v>1145.9169999999999</v>
      </c>
      <c r="G106" s="45">
        <v>1202.617</v>
      </c>
      <c r="H106" s="45">
        <v>2895.2310000000002</v>
      </c>
      <c r="I106" s="45">
        <v>268</v>
      </c>
      <c r="J106" s="45">
        <v>4000</v>
      </c>
      <c r="K106" s="45">
        <v>11502.14</v>
      </c>
      <c r="L106">
        <f t="shared" si="11"/>
        <v>1502.1399999999994</v>
      </c>
    </row>
    <row r="107" spans="1:12">
      <c r="A107">
        <f t="shared" si="7"/>
        <v>0</v>
      </c>
      <c r="B107">
        <f t="shared" si="8"/>
        <v>0</v>
      </c>
      <c r="C107">
        <f t="shared" si="9"/>
        <v>0</v>
      </c>
      <c r="D107">
        <f t="shared" si="10"/>
        <v>0</v>
      </c>
      <c r="E107" s="42">
        <v>46238.083333333336</v>
      </c>
      <c r="F107" s="45">
        <v>1118.9280000000001</v>
      </c>
      <c r="G107" s="45">
        <v>1224.614</v>
      </c>
      <c r="H107" s="45">
        <v>2654.3519999999999</v>
      </c>
      <c r="I107" s="45">
        <v>214</v>
      </c>
      <c r="J107" s="45">
        <v>3828.25</v>
      </c>
      <c r="K107" s="45">
        <v>11180.48</v>
      </c>
      <c r="L107">
        <f t="shared" si="11"/>
        <v>1180.4799999999996</v>
      </c>
    </row>
    <row r="108" spans="1:12">
      <c r="A108">
        <f t="shared" si="7"/>
        <v>0</v>
      </c>
      <c r="B108">
        <f t="shared" si="8"/>
        <v>0</v>
      </c>
      <c r="C108">
        <f t="shared" si="9"/>
        <v>0</v>
      </c>
      <c r="D108">
        <f t="shared" si="10"/>
        <v>0</v>
      </c>
      <c r="E108" s="42">
        <v>46238.125</v>
      </c>
      <c r="F108" s="45">
        <v>1012.174</v>
      </c>
      <c r="G108" s="45">
        <v>1217.5730000000001</v>
      </c>
      <c r="H108" s="45">
        <v>2530.7600000000002</v>
      </c>
      <c r="I108" s="45">
        <v>179.5</v>
      </c>
      <c r="J108" s="45">
        <v>3755.837</v>
      </c>
      <c r="K108" s="45">
        <v>10829.38</v>
      </c>
      <c r="L108">
        <f t="shared" si="11"/>
        <v>829.3799999999992</v>
      </c>
    </row>
    <row r="109" spans="1:12">
      <c r="A109">
        <f t="shared" si="7"/>
        <v>0</v>
      </c>
      <c r="B109">
        <f t="shared" si="8"/>
        <v>0</v>
      </c>
      <c r="C109">
        <f t="shared" si="9"/>
        <v>0</v>
      </c>
      <c r="D109">
        <f t="shared" si="10"/>
        <v>0</v>
      </c>
      <c r="E109" s="42">
        <v>46238.166666666664</v>
      </c>
      <c r="F109" s="45">
        <v>905.41899999999998</v>
      </c>
      <c r="G109" s="45">
        <v>1210.5309999999999</v>
      </c>
      <c r="H109" s="45">
        <v>2407.1680000000001</v>
      </c>
      <c r="I109" s="45">
        <v>145</v>
      </c>
      <c r="J109" s="45">
        <v>3655.97</v>
      </c>
      <c r="K109" s="45">
        <v>10447.709999999999</v>
      </c>
      <c r="L109">
        <f t="shared" si="11"/>
        <v>447.70999999999913</v>
      </c>
    </row>
    <row r="110" spans="1:12">
      <c r="A110">
        <f t="shared" si="7"/>
        <v>0</v>
      </c>
      <c r="B110">
        <f t="shared" si="8"/>
        <v>0</v>
      </c>
      <c r="C110">
        <f t="shared" si="9"/>
        <v>0</v>
      </c>
      <c r="D110">
        <f t="shared" si="10"/>
        <v>0</v>
      </c>
      <c r="E110" s="42">
        <v>46238.208333333336</v>
      </c>
      <c r="F110" s="45">
        <v>800.15689999999995</v>
      </c>
      <c r="G110" s="45">
        <v>1397.7529999999999</v>
      </c>
      <c r="H110" s="45">
        <v>2385.6210000000001</v>
      </c>
      <c r="I110" s="45">
        <v>123.5</v>
      </c>
      <c r="J110" s="45">
        <v>3614.24</v>
      </c>
      <c r="K110" s="45">
        <v>10065.92</v>
      </c>
      <c r="L110">
        <f t="shared" si="11"/>
        <v>65.920000000000073</v>
      </c>
    </row>
    <row r="111" spans="1:12">
      <c r="A111">
        <f t="shared" si="7"/>
        <v>0</v>
      </c>
      <c r="B111">
        <f t="shared" si="8"/>
        <v>0</v>
      </c>
      <c r="C111">
        <f t="shared" si="9"/>
        <v>0</v>
      </c>
      <c r="D111">
        <f t="shared" si="10"/>
        <v>0</v>
      </c>
      <c r="E111" s="42">
        <v>46238.25</v>
      </c>
      <c r="F111" s="45">
        <v>694.56910000000005</v>
      </c>
      <c r="G111" s="45">
        <v>1584.9749999999999</v>
      </c>
      <c r="H111" s="45">
        <v>2364.0729999999999</v>
      </c>
      <c r="I111" s="45">
        <v>102</v>
      </c>
      <c r="J111" s="45">
        <v>3584.8690000000001</v>
      </c>
      <c r="K111" s="45">
        <v>9633.6280000000006</v>
      </c>
      <c r="L111">
        <f t="shared" si="11"/>
        <v>0</v>
      </c>
    </row>
    <row r="112" spans="1:12">
      <c r="A112">
        <f t="shared" si="7"/>
        <v>0</v>
      </c>
      <c r="B112">
        <f t="shared" si="8"/>
        <v>0</v>
      </c>
      <c r="C112">
        <f t="shared" si="9"/>
        <v>0</v>
      </c>
      <c r="D112">
        <f t="shared" si="10"/>
        <v>0</v>
      </c>
      <c r="E112" s="42">
        <v>46238.291666666664</v>
      </c>
      <c r="F112" s="45">
        <v>626.50059999999996</v>
      </c>
      <c r="G112" s="45">
        <v>2179.6709999999998</v>
      </c>
      <c r="H112" s="45">
        <v>2383.3980000000001</v>
      </c>
      <c r="I112" s="45">
        <v>88.5</v>
      </c>
      <c r="J112" s="45">
        <v>3470.1619999999998</v>
      </c>
      <c r="K112" s="45">
        <v>9298.0519999999997</v>
      </c>
      <c r="L112">
        <f t="shared" si="11"/>
        <v>0</v>
      </c>
    </row>
    <row r="113" spans="1:12">
      <c r="A113">
        <f t="shared" si="7"/>
        <v>0</v>
      </c>
      <c r="B113">
        <f t="shared" si="8"/>
        <v>0</v>
      </c>
      <c r="C113">
        <f t="shared" si="9"/>
        <v>0</v>
      </c>
      <c r="D113">
        <f t="shared" si="10"/>
        <v>0</v>
      </c>
      <c r="E113" s="42">
        <v>46238.333333333336</v>
      </c>
      <c r="F113" s="45">
        <v>552.13430000000005</v>
      </c>
      <c r="G113" s="45">
        <v>2774.35</v>
      </c>
      <c r="H113" s="45">
        <v>2402.7220000000002</v>
      </c>
      <c r="I113" s="45">
        <v>75</v>
      </c>
      <c r="J113" s="45">
        <v>3469.431</v>
      </c>
      <c r="K113" s="45">
        <v>8941.09</v>
      </c>
      <c r="L113">
        <f t="shared" si="11"/>
        <v>0</v>
      </c>
    </row>
    <row r="114" spans="1:12">
      <c r="A114">
        <f t="shared" si="7"/>
        <v>0</v>
      </c>
      <c r="B114">
        <f t="shared" si="8"/>
        <v>0</v>
      </c>
      <c r="C114">
        <f t="shared" si="9"/>
        <v>0</v>
      </c>
      <c r="D114">
        <f t="shared" si="10"/>
        <v>0</v>
      </c>
      <c r="E114" s="42">
        <v>46238.375</v>
      </c>
      <c r="F114" s="45">
        <v>563.85820000000001</v>
      </c>
      <c r="G114" s="45">
        <v>3439.2289999999998</v>
      </c>
      <c r="H114" s="45">
        <v>2499.1590000000001</v>
      </c>
      <c r="I114" s="45">
        <v>66</v>
      </c>
      <c r="J114" s="45">
        <v>3194.3220000000001</v>
      </c>
      <c r="K114" s="45">
        <v>8677.7049999999999</v>
      </c>
      <c r="L114">
        <f t="shared" si="11"/>
        <v>0</v>
      </c>
    </row>
    <row r="115" spans="1:12">
      <c r="A115">
        <f t="shared" si="7"/>
        <v>0</v>
      </c>
      <c r="B115">
        <f t="shared" si="8"/>
        <v>0</v>
      </c>
      <c r="C115">
        <f t="shared" si="9"/>
        <v>0</v>
      </c>
      <c r="D115">
        <f t="shared" si="10"/>
        <v>0</v>
      </c>
      <c r="E115" s="42">
        <v>46238.416666666664</v>
      </c>
      <c r="F115" s="45">
        <v>534.6902</v>
      </c>
      <c r="G115" s="45">
        <v>4103.7030000000004</v>
      </c>
      <c r="H115" s="45">
        <v>2595.5770000000002</v>
      </c>
      <c r="I115" s="45">
        <v>57</v>
      </c>
      <c r="J115" s="45">
        <v>3169.7260000000001</v>
      </c>
      <c r="K115" s="45">
        <v>8605.8340000000007</v>
      </c>
      <c r="L115">
        <f t="shared" si="11"/>
        <v>0</v>
      </c>
    </row>
    <row r="116" spans="1:12">
      <c r="A116">
        <f t="shared" si="7"/>
        <v>0</v>
      </c>
      <c r="B116">
        <f t="shared" si="8"/>
        <v>0</v>
      </c>
      <c r="C116">
        <f t="shared" si="9"/>
        <v>0</v>
      </c>
      <c r="D116">
        <f t="shared" si="10"/>
        <v>0</v>
      </c>
      <c r="E116" s="42">
        <v>46238.458333333336</v>
      </c>
      <c r="F116" s="45">
        <v>645.98469999999998</v>
      </c>
      <c r="G116" s="45">
        <v>4404.0860000000002</v>
      </c>
      <c r="H116" s="45">
        <v>2888.24</v>
      </c>
      <c r="I116" s="45">
        <v>51</v>
      </c>
      <c r="J116" s="45">
        <v>2895.105</v>
      </c>
      <c r="K116" s="45">
        <v>8515.7049999999999</v>
      </c>
      <c r="L116">
        <f t="shared" si="11"/>
        <v>0</v>
      </c>
    </row>
    <row r="117" spans="1:12">
      <c r="A117">
        <f t="shared" si="7"/>
        <v>0</v>
      </c>
      <c r="B117">
        <f t="shared" si="8"/>
        <v>0</v>
      </c>
      <c r="C117">
        <f t="shared" si="9"/>
        <v>0</v>
      </c>
      <c r="D117">
        <f t="shared" si="10"/>
        <v>0</v>
      </c>
      <c r="E117" s="42">
        <v>46238.5</v>
      </c>
      <c r="F117" s="45">
        <v>666.32950000000005</v>
      </c>
      <c r="G117" s="45">
        <v>4700.2240000000002</v>
      </c>
      <c r="H117" s="45">
        <v>3180.627</v>
      </c>
      <c r="I117" s="45">
        <v>45</v>
      </c>
      <c r="J117" s="45">
        <v>2848.6329999999998</v>
      </c>
      <c r="K117" s="45">
        <v>8515.1540000000005</v>
      </c>
      <c r="L117">
        <f t="shared" si="11"/>
        <v>0</v>
      </c>
    </row>
    <row r="118" spans="1:12">
      <c r="A118">
        <f t="shared" si="7"/>
        <v>0</v>
      </c>
      <c r="B118">
        <f t="shared" si="8"/>
        <v>0</v>
      </c>
      <c r="C118">
        <f t="shared" si="9"/>
        <v>0</v>
      </c>
      <c r="D118">
        <f t="shared" si="10"/>
        <v>0</v>
      </c>
      <c r="E118" s="42">
        <v>46238.541666666664</v>
      </c>
      <c r="F118" s="45">
        <v>672.13279999999997</v>
      </c>
      <c r="G118" s="45">
        <v>4845.2479999999996</v>
      </c>
      <c r="H118" s="45">
        <v>3611.5529999999999</v>
      </c>
      <c r="I118" s="45">
        <v>41</v>
      </c>
      <c r="J118" s="45">
        <v>2653.076</v>
      </c>
      <c r="K118" s="45">
        <v>8389.1509999999998</v>
      </c>
      <c r="L118">
        <f t="shared" si="11"/>
        <v>0</v>
      </c>
    </row>
    <row r="119" spans="1:12">
      <c r="A119">
        <f t="shared" si="7"/>
        <v>0</v>
      </c>
      <c r="B119">
        <f t="shared" si="8"/>
        <v>0</v>
      </c>
      <c r="C119">
        <f t="shared" si="9"/>
        <v>0</v>
      </c>
      <c r="D119">
        <f t="shared" si="10"/>
        <v>0</v>
      </c>
      <c r="E119" s="42">
        <v>46238.583333333336</v>
      </c>
      <c r="F119" s="45">
        <v>665.9058</v>
      </c>
      <c r="G119" s="45">
        <v>4966.777</v>
      </c>
      <c r="H119" s="45">
        <v>4040.1840000000002</v>
      </c>
      <c r="I119" s="45">
        <v>37</v>
      </c>
      <c r="J119" s="45">
        <v>2604.9630000000002</v>
      </c>
      <c r="K119" s="45">
        <v>8539.9279999999999</v>
      </c>
      <c r="L119">
        <f t="shared" si="11"/>
        <v>0</v>
      </c>
    </row>
    <row r="120" spans="1:12">
      <c r="A120">
        <f t="shared" si="7"/>
        <v>0</v>
      </c>
      <c r="B120">
        <f t="shared" si="8"/>
        <v>0</v>
      </c>
      <c r="C120">
        <f t="shared" si="9"/>
        <v>0</v>
      </c>
      <c r="D120">
        <f t="shared" si="10"/>
        <v>0</v>
      </c>
      <c r="E120" s="42">
        <v>46238.625</v>
      </c>
      <c r="F120" s="45">
        <v>658.41269999999997</v>
      </c>
      <c r="G120" s="45">
        <v>4193.7659999999996</v>
      </c>
      <c r="H120" s="45">
        <v>4396.7290000000003</v>
      </c>
      <c r="I120" s="45">
        <v>34</v>
      </c>
      <c r="J120" s="45">
        <v>2485.3989999999999</v>
      </c>
      <c r="K120" s="45">
        <v>8500.0949999999993</v>
      </c>
      <c r="L120">
        <f t="shared" si="11"/>
        <v>0</v>
      </c>
    </row>
    <row r="121" spans="1:12">
      <c r="A121">
        <f t="shared" si="7"/>
        <v>0</v>
      </c>
      <c r="B121">
        <f t="shared" si="8"/>
        <v>0</v>
      </c>
      <c r="C121">
        <f t="shared" si="9"/>
        <v>0</v>
      </c>
      <c r="D121">
        <f t="shared" si="10"/>
        <v>0</v>
      </c>
      <c r="E121" s="42">
        <v>46238.666666666664</v>
      </c>
      <c r="F121" s="45">
        <v>649.8442</v>
      </c>
      <c r="G121" s="45">
        <v>3347.3890000000001</v>
      </c>
      <c r="H121" s="45">
        <v>4741.4219999999996</v>
      </c>
      <c r="I121" s="45">
        <v>31</v>
      </c>
      <c r="J121" s="45">
        <v>2444.9009999999998</v>
      </c>
      <c r="K121" s="45">
        <v>8630.1309999999994</v>
      </c>
      <c r="L121">
        <f t="shared" si="11"/>
        <v>0</v>
      </c>
    </row>
    <row r="122" spans="1:12">
      <c r="A122">
        <f t="shared" si="7"/>
        <v>0</v>
      </c>
      <c r="B122">
        <f t="shared" si="8"/>
        <v>0</v>
      </c>
      <c r="C122">
        <f t="shared" si="9"/>
        <v>0</v>
      </c>
      <c r="D122">
        <f t="shared" si="10"/>
        <v>0</v>
      </c>
      <c r="E122" s="42">
        <v>46238.708333333336</v>
      </c>
      <c r="F122" s="45">
        <v>642.45699999999999</v>
      </c>
      <c r="G122" s="45">
        <v>2831.0880000000002</v>
      </c>
      <c r="H122" s="45">
        <v>4973.3500000000004</v>
      </c>
      <c r="I122" s="45">
        <v>29</v>
      </c>
      <c r="J122" s="45">
        <v>2370.96</v>
      </c>
      <c r="K122" s="45">
        <v>8749.2279999999992</v>
      </c>
      <c r="L122">
        <f t="shared" si="11"/>
        <v>0</v>
      </c>
    </row>
    <row r="123" spans="1:12">
      <c r="A123">
        <f t="shared" si="7"/>
        <v>0</v>
      </c>
      <c r="B123">
        <f t="shared" si="8"/>
        <v>0</v>
      </c>
      <c r="C123">
        <f t="shared" si="9"/>
        <v>0</v>
      </c>
      <c r="D123">
        <f t="shared" si="10"/>
        <v>0</v>
      </c>
      <c r="E123" s="42">
        <v>46238.75</v>
      </c>
      <c r="F123" s="45">
        <v>634.98950000000002</v>
      </c>
      <c r="G123" s="45">
        <v>2187.0219999999999</v>
      </c>
      <c r="H123" s="45">
        <v>5166.3140000000003</v>
      </c>
      <c r="I123" s="45">
        <v>27</v>
      </c>
      <c r="J123" s="45">
        <v>2334.6959999999999</v>
      </c>
      <c r="K123" s="45">
        <v>8946.9599999999991</v>
      </c>
      <c r="L123">
        <f t="shared" si="11"/>
        <v>0</v>
      </c>
    </row>
    <row r="124" spans="1:12">
      <c r="A124">
        <f t="shared" si="7"/>
        <v>0</v>
      </c>
      <c r="B124">
        <f t="shared" si="8"/>
        <v>0</v>
      </c>
      <c r="C124">
        <f t="shared" si="9"/>
        <v>0</v>
      </c>
      <c r="D124">
        <f t="shared" si="10"/>
        <v>0</v>
      </c>
      <c r="E124" s="42">
        <v>46238.791666666664</v>
      </c>
      <c r="F124" s="45">
        <v>628.49710000000005</v>
      </c>
      <c r="G124" s="45">
        <v>2000.4349999999999</v>
      </c>
      <c r="H124" s="45">
        <v>4955.3919999999998</v>
      </c>
      <c r="I124" s="45">
        <v>25</v>
      </c>
      <c r="J124" s="45">
        <v>2282.9670000000001</v>
      </c>
      <c r="K124" s="45">
        <v>9148.1550000000007</v>
      </c>
      <c r="L124">
        <f t="shared" si="11"/>
        <v>0</v>
      </c>
    </row>
    <row r="125" spans="1:12">
      <c r="A125">
        <f t="shared" si="7"/>
        <v>0</v>
      </c>
      <c r="B125">
        <f t="shared" si="8"/>
        <v>0</v>
      </c>
      <c r="C125">
        <f t="shared" si="9"/>
        <v>0</v>
      </c>
      <c r="D125">
        <f t="shared" si="10"/>
        <v>0</v>
      </c>
      <c r="E125" s="42">
        <v>46238.833333333336</v>
      </c>
      <c r="F125" s="45">
        <v>621.99929999999995</v>
      </c>
      <c r="G125" s="45">
        <v>1699.7840000000001</v>
      </c>
      <c r="H125" s="45">
        <v>4661.7839999999997</v>
      </c>
      <c r="I125" s="45">
        <v>23</v>
      </c>
      <c r="J125" s="45">
        <v>2247.7849999999999</v>
      </c>
      <c r="K125" s="45">
        <v>9422.5720000000001</v>
      </c>
      <c r="L125">
        <f t="shared" si="11"/>
        <v>0</v>
      </c>
    </row>
    <row r="126" spans="1:12">
      <c r="A126">
        <f t="shared" si="7"/>
        <v>0</v>
      </c>
      <c r="B126">
        <f t="shared" si="8"/>
        <v>0</v>
      </c>
      <c r="C126">
        <f t="shared" si="9"/>
        <v>0</v>
      </c>
      <c r="D126">
        <f t="shared" si="10"/>
        <v>0</v>
      </c>
      <c r="E126" s="42">
        <v>46238.875</v>
      </c>
      <c r="F126" s="45">
        <v>616.49980000000005</v>
      </c>
      <c r="G126" s="45">
        <v>1611.8209999999999</v>
      </c>
      <c r="H126" s="45">
        <v>4283.32</v>
      </c>
      <c r="I126" s="45">
        <v>21.5</v>
      </c>
      <c r="J126" s="45">
        <v>2200.1819999999998</v>
      </c>
      <c r="K126" s="45">
        <v>9756.2810000000009</v>
      </c>
      <c r="L126">
        <f t="shared" si="11"/>
        <v>0</v>
      </c>
    </row>
    <row r="127" spans="1:12">
      <c r="A127">
        <f t="shared" si="7"/>
        <v>0</v>
      </c>
      <c r="B127">
        <f t="shared" si="8"/>
        <v>0</v>
      </c>
      <c r="C127">
        <f t="shared" si="9"/>
        <v>0</v>
      </c>
      <c r="D127">
        <f t="shared" si="10"/>
        <v>0</v>
      </c>
      <c r="E127" s="42">
        <v>46238.916666666664</v>
      </c>
      <c r="F127" s="45">
        <v>610.99990000000003</v>
      </c>
      <c r="G127" s="45">
        <v>1478.5609999999999</v>
      </c>
      <c r="H127" s="45">
        <v>3786.828</v>
      </c>
      <c r="I127" s="45">
        <v>20</v>
      </c>
      <c r="J127" s="45">
        <v>2159.4229999999998</v>
      </c>
      <c r="K127" s="45">
        <v>10080.57</v>
      </c>
      <c r="L127">
        <f t="shared" si="11"/>
        <v>80.569999999999709</v>
      </c>
    </row>
    <row r="128" spans="1:12">
      <c r="A128">
        <f t="shared" si="7"/>
        <v>0</v>
      </c>
      <c r="B128">
        <f t="shared" si="8"/>
        <v>0</v>
      </c>
      <c r="C128">
        <f t="shared" si="9"/>
        <v>0</v>
      </c>
      <c r="D128">
        <f t="shared" si="10"/>
        <v>0</v>
      </c>
      <c r="E128" s="42">
        <v>46238.958333333336</v>
      </c>
      <c r="F128" s="45">
        <v>605.99990000000003</v>
      </c>
      <c r="G128" s="45">
        <v>1415.2260000000001</v>
      </c>
      <c r="H128" s="45">
        <v>3480.7620000000002</v>
      </c>
      <c r="I128" s="45">
        <v>19</v>
      </c>
      <c r="J128" s="45">
        <v>2107.7939999999999</v>
      </c>
      <c r="K128" s="45">
        <v>10297.59</v>
      </c>
      <c r="L128">
        <f t="shared" si="11"/>
        <v>297.59000000000015</v>
      </c>
    </row>
    <row r="129" spans="1:12">
      <c r="A129">
        <f t="shared" si="7"/>
        <v>0</v>
      </c>
      <c r="B129">
        <f t="shared" si="8"/>
        <v>0</v>
      </c>
      <c r="C129">
        <f t="shared" si="9"/>
        <v>0</v>
      </c>
      <c r="D129">
        <f t="shared" si="10"/>
        <v>0</v>
      </c>
      <c r="E129" s="42">
        <v>46239</v>
      </c>
      <c r="F129" s="45">
        <v>600.99990000000003</v>
      </c>
      <c r="G129" s="45">
        <v>1339.21</v>
      </c>
      <c r="H129" s="45">
        <v>3053.2739999999999</v>
      </c>
      <c r="I129" s="45">
        <v>18</v>
      </c>
      <c r="J129" s="45">
        <v>2058.87</v>
      </c>
      <c r="K129" s="45">
        <v>10520.44</v>
      </c>
      <c r="L129">
        <f t="shared" si="11"/>
        <v>520.44000000000051</v>
      </c>
    </row>
    <row r="130" spans="1:12">
      <c r="A130">
        <f t="shared" si="7"/>
        <v>0</v>
      </c>
      <c r="B130">
        <f t="shared" si="8"/>
        <v>0</v>
      </c>
      <c r="C130">
        <f t="shared" si="9"/>
        <v>0</v>
      </c>
      <c r="D130">
        <f t="shared" si="10"/>
        <v>0</v>
      </c>
      <c r="E130" s="42">
        <v>46239.041666666664</v>
      </c>
      <c r="F130" s="45">
        <v>596.99990000000003</v>
      </c>
      <c r="G130" s="45">
        <v>1281.2560000000001</v>
      </c>
      <c r="H130" s="45">
        <v>2851.297</v>
      </c>
      <c r="I130" s="45">
        <v>17</v>
      </c>
      <c r="J130" s="45">
        <v>1999.8209999999999</v>
      </c>
      <c r="K130" s="45">
        <v>10657.24</v>
      </c>
      <c r="L130">
        <f t="shared" si="11"/>
        <v>657.23999999999978</v>
      </c>
    </row>
    <row r="131" spans="1:12">
      <c r="A131">
        <f t="shared" ref="A131:A194" si="12">AC131</f>
        <v>0</v>
      </c>
      <c r="B131">
        <f t="shared" ref="B131:B194" si="13">AD131</f>
        <v>0</v>
      </c>
      <c r="C131">
        <f t="shared" ref="C131:C194" si="14">AE131</f>
        <v>0</v>
      </c>
      <c r="D131">
        <f t="shared" ref="D131:D194" si="15">AF131</f>
        <v>0</v>
      </c>
      <c r="E131" s="42">
        <v>46239.083333333336</v>
      </c>
      <c r="F131" s="45">
        <v>592.99990000000003</v>
      </c>
      <c r="G131" s="45">
        <v>1220.3710000000001</v>
      </c>
      <c r="H131" s="45">
        <v>2562.1410000000001</v>
      </c>
      <c r="I131" s="45">
        <v>16</v>
      </c>
      <c r="J131" s="45">
        <v>1941.8019999999999</v>
      </c>
      <c r="K131" s="45">
        <v>10746.2</v>
      </c>
      <c r="L131">
        <f t="shared" ref="L131:L194" si="16">IF(K131&gt;10000,K131-10000,0)</f>
        <v>746.20000000000073</v>
      </c>
    </row>
    <row r="132" spans="1:12">
      <c r="A132">
        <f t="shared" si="12"/>
        <v>0</v>
      </c>
      <c r="B132">
        <f t="shared" si="13"/>
        <v>0</v>
      </c>
      <c r="C132">
        <f t="shared" si="14"/>
        <v>0</v>
      </c>
      <c r="D132">
        <f t="shared" si="15"/>
        <v>0</v>
      </c>
      <c r="E132" s="42">
        <v>46239.125</v>
      </c>
      <c r="F132" s="45">
        <v>588.99990000000003</v>
      </c>
      <c r="G132" s="45">
        <v>1161.6949999999999</v>
      </c>
      <c r="H132" s="45">
        <v>2430.2049999999999</v>
      </c>
      <c r="I132" s="45">
        <v>15</v>
      </c>
      <c r="J132" s="45">
        <v>1878.614</v>
      </c>
      <c r="K132" s="45">
        <v>10590.13</v>
      </c>
      <c r="L132">
        <f t="shared" si="16"/>
        <v>590.1299999999992</v>
      </c>
    </row>
    <row r="133" spans="1:12">
      <c r="A133">
        <f t="shared" si="12"/>
        <v>0</v>
      </c>
      <c r="B133">
        <f t="shared" si="13"/>
        <v>0</v>
      </c>
      <c r="C133">
        <f t="shared" si="14"/>
        <v>0</v>
      </c>
      <c r="D133">
        <f t="shared" si="15"/>
        <v>0</v>
      </c>
      <c r="E133" s="42">
        <v>46239.166666666664</v>
      </c>
      <c r="F133" s="45">
        <v>584.99990000000003</v>
      </c>
      <c r="G133" s="45">
        <v>1102.4169999999999</v>
      </c>
      <c r="H133" s="45">
        <v>2248.4580000000001</v>
      </c>
      <c r="I133" s="45">
        <v>14</v>
      </c>
      <c r="J133" s="45">
        <v>1815.807</v>
      </c>
      <c r="K133" s="45">
        <v>10372.51</v>
      </c>
      <c r="L133">
        <f t="shared" si="16"/>
        <v>372.51000000000022</v>
      </c>
    </row>
    <row r="134" spans="1:12">
      <c r="A134">
        <f t="shared" si="12"/>
        <v>0</v>
      </c>
      <c r="B134">
        <f t="shared" si="13"/>
        <v>0</v>
      </c>
      <c r="C134">
        <f t="shared" si="14"/>
        <v>0</v>
      </c>
      <c r="D134">
        <f t="shared" si="15"/>
        <v>0</v>
      </c>
      <c r="E134" s="42">
        <v>46239.208333333336</v>
      </c>
      <c r="F134" s="45">
        <v>581.99990000000003</v>
      </c>
      <c r="G134" s="45">
        <v>1044.3789999999999</v>
      </c>
      <c r="H134" s="45">
        <v>2154</v>
      </c>
      <c r="I134" s="45">
        <v>13.5</v>
      </c>
      <c r="J134" s="45">
        <v>1751.845</v>
      </c>
      <c r="K134" s="45">
        <v>10113.780000000001</v>
      </c>
      <c r="L134">
        <f t="shared" si="16"/>
        <v>113.78000000000065</v>
      </c>
    </row>
    <row r="135" spans="1:12">
      <c r="A135">
        <f t="shared" si="12"/>
        <v>0</v>
      </c>
      <c r="B135">
        <f t="shared" si="13"/>
        <v>0</v>
      </c>
      <c r="C135">
        <f t="shared" si="14"/>
        <v>0</v>
      </c>
      <c r="D135">
        <f t="shared" si="15"/>
        <v>0</v>
      </c>
      <c r="E135" s="42">
        <v>46239.25</v>
      </c>
      <c r="F135" s="45">
        <v>578.99990000000003</v>
      </c>
      <c r="G135" s="45">
        <v>986.22609999999997</v>
      </c>
      <c r="H135" s="45">
        <v>2034.8150000000001</v>
      </c>
      <c r="I135" s="45">
        <v>13</v>
      </c>
      <c r="J135" s="45">
        <v>1688.02</v>
      </c>
      <c r="K135" s="45">
        <v>9754.7639999999992</v>
      </c>
      <c r="L135">
        <f t="shared" si="16"/>
        <v>0</v>
      </c>
    </row>
    <row r="136" spans="1:12">
      <c r="A136">
        <f t="shared" si="12"/>
        <v>0</v>
      </c>
      <c r="B136">
        <f t="shared" si="13"/>
        <v>0</v>
      </c>
      <c r="C136">
        <f t="shared" si="14"/>
        <v>0</v>
      </c>
      <c r="D136">
        <f t="shared" si="15"/>
        <v>0</v>
      </c>
      <c r="E136" s="42">
        <v>46239.291666666664</v>
      </c>
      <c r="F136" s="45">
        <v>576.49990000000003</v>
      </c>
      <c r="G136" s="45">
        <v>932.04369999999994</v>
      </c>
      <c r="H136" s="45">
        <v>1957.2270000000001</v>
      </c>
      <c r="I136" s="45">
        <v>12</v>
      </c>
      <c r="J136" s="45">
        <v>1624.0920000000001</v>
      </c>
      <c r="K136" s="45">
        <v>9565.8709999999992</v>
      </c>
      <c r="L136">
        <f t="shared" si="16"/>
        <v>0</v>
      </c>
    </row>
    <row r="137" spans="1:12">
      <c r="A137">
        <f t="shared" si="12"/>
        <v>0</v>
      </c>
      <c r="B137">
        <f t="shared" si="13"/>
        <v>0</v>
      </c>
      <c r="C137">
        <f t="shared" si="14"/>
        <v>0</v>
      </c>
      <c r="D137">
        <f t="shared" si="15"/>
        <v>0</v>
      </c>
      <c r="E137" s="42">
        <v>46239.333333333336</v>
      </c>
      <c r="F137" s="45">
        <v>573.99990000000003</v>
      </c>
      <c r="G137" s="45">
        <v>877.84100000000001</v>
      </c>
      <c r="H137" s="45">
        <v>1868.402</v>
      </c>
      <c r="I137" s="45">
        <v>11</v>
      </c>
      <c r="J137" s="45">
        <v>1560.212</v>
      </c>
      <c r="K137" s="45">
        <v>9274.9809999999998</v>
      </c>
      <c r="L137">
        <f t="shared" si="16"/>
        <v>0</v>
      </c>
    </row>
    <row r="138" spans="1:12">
      <c r="A138">
        <f t="shared" si="12"/>
        <v>0</v>
      </c>
      <c r="B138">
        <f t="shared" si="13"/>
        <v>0</v>
      </c>
      <c r="C138">
        <f t="shared" si="14"/>
        <v>0</v>
      </c>
      <c r="D138">
        <f t="shared" si="15"/>
        <v>0</v>
      </c>
      <c r="E138" s="42">
        <v>46239.375</v>
      </c>
      <c r="F138" s="45">
        <v>570.99990000000003</v>
      </c>
      <c r="G138" s="45">
        <v>828.58579999999995</v>
      </c>
      <c r="H138" s="45">
        <v>1799.164</v>
      </c>
      <c r="I138" s="45">
        <v>10.5</v>
      </c>
      <c r="J138" s="45">
        <v>1495.3309999999999</v>
      </c>
      <c r="K138" s="45">
        <v>9171.7060000000001</v>
      </c>
      <c r="L138">
        <f t="shared" si="16"/>
        <v>0</v>
      </c>
    </row>
    <row r="139" spans="1:12">
      <c r="A139">
        <f t="shared" si="12"/>
        <v>0</v>
      </c>
      <c r="B139">
        <f t="shared" si="13"/>
        <v>0</v>
      </c>
      <c r="C139">
        <f t="shared" si="14"/>
        <v>0</v>
      </c>
      <c r="D139">
        <f t="shared" si="15"/>
        <v>0</v>
      </c>
      <c r="E139" s="42">
        <v>46239.416666666664</v>
      </c>
      <c r="F139" s="45">
        <v>567.99990000000003</v>
      </c>
      <c r="G139" s="45">
        <v>779.32759999999996</v>
      </c>
      <c r="H139" s="45">
        <v>1725.1</v>
      </c>
      <c r="I139" s="45">
        <v>10</v>
      </c>
      <c r="J139" s="45">
        <v>1430.4680000000001</v>
      </c>
      <c r="K139" s="45">
        <v>8978.3700000000008</v>
      </c>
      <c r="L139">
        <f t="shared" si="16"/>
        <v>0</v>
      </c>
    </row>
    <row r="140" spans="1:12">
      <c r="A140">
        <f t="shared" si="12"/>
        <v>0</v>
      </c>
      <c r="B140">
        <f t="shared" si="13"/>
        <v>0</v>
      </c>
      <c r="C140">
        <f t="shared" si="14"/>
        <v>0</v>
      </c>
      <c r="D140">
        <f t="shared" si="15"/>
        <v>0</v>
      </c>
      <c r="E140" s="42">
        <v>46239.458333333336</v>
      </c>
      <c r="F140" s="45">
        <v>565.99990000000003</v>
      </c>
      <c r="G140" s="45">
        <v>735.04179999999997</v>
      </c>
      <c r="H140" s="45">
        <v>1661.741</v>
      </c>
      <c r="I140" s="45">
        <v>9.5</v>
      </c>
      <c r="J140" s="45">
        <v>1364.9570000000001</v>
      </c>
      <c r="K140" s="45">
        <v>8996.2489999999998</v>
      </c>
      <c r="L140">
        <f t="shared" si="16"/>
        <v>0</v>
      </c>
    </row>
    <row r="141" spans="1:12">
      <c r="A141">
        <f t="shared" si="12"/>
        <v>0</v>
      </c>
      <c r="B141">
        <f t="shared" si="13"/>
        <v>0</v>
      </c>
      <c r="C141">
        <f t="shared" si="14"/>
        <v>0</v>
      </c>
      <c r="D141">
        <f t="shared" si="15"/>
        <v>0</v>
      </c>
      <c r="E141" s="42">
        <v>46239.5</v>
      </c>
      <c r="F141" s="45">
        <v>563.99990000000003</v>
      </c>
      <c r="G141" s="45">
        <v>690.76549999999997</v>
      </c>
      <c r="H141" s="45">
        <v>1596.383</v>
      </c>
      <c r="I141" s="45">
        <v>9</v>
      </c>
      <c r="J141" s="45">
        <v>1299.451</v>
      </c>
      <c r="K141" s="45">
        <v>8949.6239999999998</v>
      </c>
      <c r="L141">
        <f t="shared" si="16"/>
        <v>0</v>
      </c>
    </row>
    <row r="142" spans="1:12">
      <c r="A142">
        <f t="shared" si="12"/>
        <v>0</v>
      </c>
      <c r="B142">
        <f t="shared" si="13"/>
        <v>0</v>
      </c>
      <c r="C142">
        <f t="shared" si="14"/>
        <v>0</v>
      </c>
      <c r="D142">
        <f t="shared" si="15"/>
        <v>0</v>
      </c>
      <c r="E142" s="42">
        <v>46239.541666666664</v>
      </c>
      <c r="F142" s="45">
        <v>561.99990000000003</v>
      </c>
      <c r="G142" s="45">
        <v>652.10140000000001</v>
      </c>
      <c r="H142" s="45">
        <v>1538.2360000000001</v>
      </c>
      <c r="I142" s="45">
        <v>8.5</v>
      </c>
      <c r="J142" s="45">
        <v>1234.453</v>
      </c>
      <c r="K142" s="45">
        <v>9015.01</v>
      </c>
      <c r="L142">
        <f t="shared" si="16"/>
        <v>0</v>
      </c>
    </row>
    <row r="143" spans="1:12">
      <c r="A143">
        <f t="shared" si="12"/>
        <v>0</v>
      </c>
      <c r="B143">
        <f t="shared" si="13"/>
        <v>0</v>
      </c>
      <c r="C143">
        <f t="shared" si="14"/>
        <v>0</v>
      </c>
      <c r="D143">
        <f t="shared" si="15"/>
        <v>0</v>
      </c>
      <c r="E143" s="42">
        <v>46239.583333333336</v>
      </c>
      <c r="F143" s="45">
        <v>559.99990000000003</v>
      </c>
      <c r="G143" s="45">
        <v>613.5421</v>
      </c>
      <c r="H143" s="45">
        <v>1479.2809999999999</v>
      </c>
      <c r="I143" s="45">
        <v>8</v>
      </c>
      <c r="J143" s="45">
        <v>1169.4580000000001</v>
      </c>
      <c r="K143" s="45">
        <v>9037.4689999999991</v>
      </c>
      <c r="L143">
        <f t="shared" si="16"/>
        <v>0</v>
      </c>
    </row>
    <row r="144" spans="1:12">
      <c r="A144">
        <f t="shared" si="12"/>
        <v>0</v>
      </c>
      <c r="B144">
        <f t="shared" si="13"/>
        <v>0</v>
      </c>
      <c r="C144">
        <f t="shared" si="14"/>
        <v>0</v>
      </c>
      <c r="D144">
        <f t="shared" si="15"/>
        <v>0</v>
      </c>
      <c r="E144" s="42">
        <v>46239.625</v>
      </c>
      <c r="F144" s="45">
        <v>557.99990000000003</v>
      </c>
      <c r="G144" s="45">
        <v>578.97860000000003</v>
      </c>
      <c r="H144" s="45">
        <v>1426.394</v>
      </c>
      <c r="I144" s="45">
        <v>7.5</v>
      </c>
      <c r="J144" s="45">
        <v>1106.2329999999999</v>
      </c>
      <c r="K144" s="45">
        <v>9138.6890000000003</v>
      </c>
      <c r="L144">
        <f t="shared" si="16"/>
        <v>0</v>
      </c>
    </row>
    <row r="145" spans="1:12">
      <c r="A145">
        <f t="shared" si="12"/>
        <v>0</v>
      </c>
      <c r="B145">
        <f t="shared" si="13"/>
        <v>0</v>
      </c>
      <c r="C145">
        <f t="shared" si="14"/>
        <v>0</v>
      </c>
      <c r="D145">
        <f t="shared" si="15"/>
        <v>0</v>
      </c>
      <c r="E145" s="42">
        <v>46239.666666666664</v>
      </c>
      <c r="F145" s="45">
        <v>555.99990000000003</v>
      </c>
      <c r="G145" s="45">
        <v>544.99509999999998</v>
      </c>
      <c r="H145" s="45">
        <v>1373.192</v>
      </c>
      <c r="I145" s="45">
        <v>7</v>
      </c>
      <c r="J145" s="45">
        <v>1043.01</v>
      </c>
      <c r="K145" s="45">
        <v>9212.7929999999997</v>
      </c>
      <c r="L145">
        <f t="shared" si="16"/>
        <v>0</v>
      </c>
    </row>
    <row r="146" spans="1:12">
      <c r="A146">
        <f t="shared" si="12"/>
        <v>0</v>
      </c>
      <c r="B146">
        <f t="shared" si="13"/>
        <v>0</v>
      </c>
      <c r="C146">
        <f t="shared" si="14"/>
        <v>0</v>
      </c>
      <c r="D146">
        <f t="shared" si="15"/>
        <v>0</v>
      </c>
      <c r="E146" s="42">
        <v>46239.708333333336</v>
      </c>
      <c r="F146" s="45">
        <v>553.49990000000003</v>
      </c>
      <c r="G146" s="45">
        <v>515.03880000000004</v>
      </c>
      <c r="H146" s="45">
        <v>1325.7639999999999</v>
      </c>
      <c r="I146" s="45">
        <v>7</v>
      </c>
      <c r="J146" s="45">
        <v>984.55730000000005</v>
      </c>
      <c r="K146" s="45">
        <v>9304.143</v>
      </c>
      <c r="L146">
        <f t="shared" si="16"/>
        <v>0</v>
      </c>
    </row>
    <row r="147" spans="1:12">
      <c r="A147">
        <f t="shared" si="12"/>
        <v>0</v>
      </c>
      <c r="B147">
        <f t="shared" si="13"/>
        <v>0</v>
      </c>
      <c r="C147">
        <f t="shared" si="14"/>
        <v>0</v>
      </c>
      <c r="D147">
        <f t="shared" si="15"/>
        <v>0</v>
      </c>
      <c r="E147" s="42">
        <v>46239.75</v>
      </c>
      <c r="F147" s="45">
        <v>550.99990000000003</v>
      </c>
      <c r="G147" s="45">
        <v>486.89400000000001</v>
      </c>
      <c r="H147" s="45">
        <v>1278.2750000000001</v>
      </c>
      <c r="I147" s="45">
        <v>7</v>
      </c>
      <c r="J147" s="45">
        <v>926.10609999999997</v>
      </c>
      <c r="K147" s="45">
        <v>9380.7459999999992</v>
      </c>
      <c r="L147">
        <f t="shared" si="16"/>
        <v>0</v>
      </c>
    </row>
    <row r="148" spans="1:12">
      <c r="A148">
        <f t="shared" si="12"/>
        <v>0</v>
      </c>
      <c r="B148">
        <f t="shared" si="13"/>
        <v>0</v>
      </c>
      <c r="C148">
        <f t="shared" si="14"/>
        <v>0</v>
      </c>
      <c r="D148">
        <f t="shared" si="15"/>
        <v>0</v>
      </c>
      <c r="E148" s="42">
        <v>46239.791666666664</v>
      </c>
      <c r="F148" s="45">
        <v>549.49990000000003</v>
      </c>
      <c r="G148" s="45">
        <v>461.04509999999999</v>
      </c>
      <c r="H148" s="45">
        <v>1236.4069999999999</v>
      </c>
      <c r="I148" s="45">
        <v>6.5</v>
      </c>
      <c r="J148" s="45">
        <v>872.1617</v>
      </c>
      <c r="K148" s="45">
        <v>9462.1669999999995</v>
      </c>
      <c r="L148">
        <f t="shared" si="16"/>
        <v>0</v>
      </c>
    </row>
    <row r="149" spans="1:12">
      <c r="A149">
        <f t="shared" si="12"/>
        <v>0</v>
      </c>
      <c r="B149">
        <f t="shared" si="13"/>
        <v>0</v>
      </c>
      <c r="C149">
        <f t="shared" si="14"/>
        <v>0</v>
      </c>
      <c r="D149">
        <f t="shared" si="15"/>
        <v>0</v>
      </c>
      <c r="E149" s="42">
        <v>46239.833333333336</v>
      </c>
      <c r="F149" s="45">
        <v>547.99990000000003</v>
      </c>
      <c r="G149" s="45">
        <v>438.35079999999999</v>
      </c>
      <c r="H149" s="45">
        <v>1194.83</v>
      </c>
      <c r="I149" s="45">
        <v>6</v>
      </c>
      <c r="J149" s="45">
        <v>818.25810000000001</v>
      </c>
      <c r="K149" s="45">
        <v>9531.9150000000009</v>
      </c>
      <c r="L149">
        <f t="shared" si="16"/>
        <v>0</v>
      </c>
    </row>
    <row r="150" spans="1:12">
      <c r="A150">
        <f t="shared" si="12"/>
        <v>0</v>
      </c>
      <c r="B150">
        <f t="shared" si="13"/>
        <v>0</v>
      </c>
      <c r="C150">
        <f t="shared" si="14"/>
        <v>0</v>
      </c>
      <c r="D150">
        <f t="shared" si="15"/>
        <v>0</v>
      </c>
      <c r="E150" s="42">
        <v>46239.875</v>
      </c>
      <c r="F150" s="45">
        <v>545.49990000000003</v>
      </c>
      <c r="G150" s="45">
        <v>418.5249</v>
      </c>
      <c r="H150" s="45">
        <v>1157.828</v>
      </c>
      <c r="I150" s="45">
        <v>5.5</v>
      </c>
      <c r="J150" s="45">
        <v>769.9846</v>
      </c>
      <c r="K150" s="45">
        <v>9589.6290000000008</v>
      </c>
      <c r="L150">
        <f t="shared" si="16"/>
        <v>0</v>
      </c>
    </row>
    <row r="151" spans="1:12">
      <c r="A151">
        <f t="shared" si="12"/>
        <v>0</v>
      </c>
      <c r="B151">
        <f t="shared" si="13"/>
        <v>0</v>
      </c>
      <c r="C151">
        <f t="shared" si="14"/>
        <v>0</v>
      </c>
      <c r="D151">
        <f t="shared" si="15"/>
        <v>0</v>
      </c>
      <c r="E151" s="42">
        <v>46239.916666666664</v>
      </c>
      <c r="F151" s="45">
        <v>542.99990000000003</v>
      </c>
      <c r="G151" s="45">
        <v>401.5154</v>
      </c>
      <c r="H151" s="45">
        <v>1121.8800000000001</v>
      </c>
      <c r="I151" s="45">
        <v>5</v>
      </c>
      <c r="J151" s="45">
        <v>722.18970000000002</v>
      </c>
      <c r="K151" s="45">
        <v>9642.4930000000004</v>
      </c>
      <c r="L151">
        <f t="shared" si="16"/>
        <v>0</v>
      </c>
    </row>
    <row r="152" spans="1:12">
      <c r="A152">
        <f t="shared" si="12"/>
        <v>0</v>
      </c>
      <c r="B152">
        <f t="shared" si="13"/>
        <v>0</v>
      </c>
      <c r="C152">
        <f t="shared" si="14"/>
        <v>0</v>
      </c>
      <c r="D152">
        <f t="shared" si="15"/>
        <v>0</v>
      </c>
      <c r="E152" s="42">
        <v>46239.958333333336</v>
      </c>
      <c r="F152" s="45">
        <v>540.99990000000003</v>
      </c>
      <c r="G152" s="45">
        <v>386.41590000000002</v>
      </c>
      <c r="H152" s="45">
        <v>1089.414</v>
      </c>
      <c r="I152" s="45">
        <v>5</v>
      </c>
      <c r="J152" s="45">
        <v>680.37339999999995</v>
      </c>
      <c r="K152" s="45">
        <v>9684.3430000000008</v>
      </c>
      <c r="L152">
        <f t="shared" si="16"/>
        <v>0</v>
      </c>
    </row>
    <row r="153" spans="1:12">
      <c r="A153">
        <f t="shared" si="12"/>
        <v>0</v>
      </c>
      <c r="B153">
        <f t="shared" si="13"/>
        <v>0</v>
      </c>
      <c r="C153">
        <f t="shared" si="14"/>
        <v>0</v>
      </c>
      <c r="D153">
        <f t="shared" si="15"/>
        <v>0</v>
      </c>
      <c r="E153" s="42">
        <v>46240</v>
      </c>
      <c r="F153" s="45">
        <v>538.99990000000003</v>
      </c>
      <c r="G153" s="45">
        <v>372.4348</v>
      </c>
      <c r="H153" s="45">
        <v>1059.0260000000001</v>
      </c>
      <c r="I153" s="45">
        <v>5</v>
      </c>
      <c r="J153" s="45">
        <v>641.1934</v>
      </c>
      <c r="K153" s="45">
        <v>9721.8850000000002</v>
      </c>
      <c r="L153">
        <f t="shared" si="16"/>
        <v>0</v>
      </c>
    </row>
    <row r="154" spans="1:12">
      <c r="A154">
        <f t="shared" si="12"/>
        <v>0</v>
      </c>
      <c r="B154">
        <f t="shared" si="13"/>
        <v>0</v>
      </c>
      <c r="C154">
        <f t="shared" si="14"/>
        <v>0</v>
      </c>
      <c r="D154">
        <f t="shared" si="15"/>
        <v>0</v>
      </c>
      <c r="E154" s="42">
        <v>46240.041666666664</v>
      </c>
      <c r="F154" s="45">
        <v>536.99990000000003</v>
      </c>
      <c r="G154" s="45">
        <v>359.27260000000001</v>
      </c>
      <c r="H154" s="45">
        <v>1031.1969999999999</v>
      </c>
      <c r="I154" s="45">
        <v>4.5</v>
      </c>
      <c r="J154" s="45">
        <v>607.85299999999995</v>
      </c>
      <c r="K154" s="45">
        <v>9747.6239999999998</v>
      </c>
      <c r="L154">
        <f t="shared" si="16"/>
        <v>0</v>
      </c>
    </row>
    <row r="155" spans="1:12">
      <c r="A155">
        <f t="shared" si="12"/>
        <v>0</v>
      </c>
      <c r="B155">
        <f t="shared" si="13"/>
        <v>0</v>
      </c>
      <c r="C155">
        <f t="shared" si="14"/>
        <v>0</v>
      </c>
      <c r="D155">
        <f t="shared" si="15"/>
        <v>0</v>
      </c>
      <c r="E155" s="42">
        <v>46240.083333333336</v>
      </c>
      <c r="F155" s="45">
        <v>534.99990000000003</v>
      </c>
      <c r="G155" s="45">
        <v>346.42349999999999</v>
      </c>
      <c r="H155" s="45">
        <v>1005.838</v>
      </c>
      <c r="I155" s="45">
        <v>4</v>
      </c>
      <c r="J155" s="45">
        <v>581.12450000000001</v>
      </c>
      <c r="K155" s="45">
        <v>9768.9320000000007</v>
      </c>
      <c r="L155">
        <f t="shared" si="16"/>
        <v>0</v>
      </c>
    </row>
    <row r="156" spans="1:12">
      <c r="A156">
        <f t="shared" si="12"/>
        <v>0</v>
      </c>
      <c r="B156">
        <f t="shared" si="13"/>
        <v>0</v>
      </c>
      <c r="C156">
        <f t="shared" si="14"/>
        <v>0</v>
      </c>
      <c r="D156">
        <f t="shared" si="15"/>
        <v>0</v>
      </c>
      <c r="E156" s="42">
        <v>46240.125</v>
      </c>
      <c r="F156" s="45">
        <v>533.49990000000003</v>
      </c>
      <c r="G156" s="45">
        <v>334.03190000000001</v>
      </c>
      <c r="H156" s="45">
        <v>984.01459999999997</v>
      </c>
      <c r="I156" s="45">
        <v>4</v>
      </c>
      <c r="J156" s="45">
        <v>558.87120000000004</v>
      </c>
      <c r="K156" s="45">
        <v>9782.4590000000007</v>
      </c>
      <c r="L156">
        <f t="shared" si="16"/>
        <v>0</v>
      </c>
    </row>
    <row r="157" spans="1:12">
      <c r="A157">
        <f t="shared" si="12"/>
        <v>0</v>
      </c>
      <c r="B157">
        <f t="shared" si="13"/>
        <v>0</v>
      </c>
      <c r="C157">
        <f t="shared" si="14"/>
        <v>0</v>
      </c>
      <c r="D157">
        <f t="shared" si="15"/>
        <v>0</v>
      </c>
      <c r="E157" s="42">
        <v>46240.166666666664</v>
      </c>
      <c r="F157" s="45">
        <v>531.99990000000003</v>
      </c>
      <c r="G157" s="45">
        <v>321.71249999999998</v>
      </c>
      <c r="H157" s="45">
        <v>964.06309999999996</v>
      </c>
      <c r="I157" s="45">
        <v>4</v>
      </c>
      <c r="J157" s="45">
        <v>542.80700000000002</v>
      </c>
      <c r="K157" s="45">
        <v>9797.1620000000003</v>
      </c>
      <c r="L157">
        <f t="shared" si="16"/>
        <v>0</v>
      </c>
    </row>
    <row r="158" spans="1:12">
      <c r="A158">
        <f t="shared" si="12"/>
        <v>0</v>
      </c>
      <c r="B158">
        <f t="shared" si="13"/>
        <v>0</v>
      </c>
      <c r="C158">
        <f t="shared" si="14"/>
        <v>0</v>
      </c>
      <c r="D158">
        <f t="shared" si="15"/>
        <v>0</v>
      </c>
      <c r="E158" s="42">
        <v>46240.208333333336</v>
      </c>
      <c r="F158" s="45">
        <v>529.99990000000003</v>
      </c>
      <c r="G158" s="45">
        <v>310.98480000000001</v>
      </c>
      <c r="H158" s="45">
        <v>945.21780000000001</v>
      </c>
      <c r="I158" s="45">
        <v>3.5</v>
      </c>
      <c r="J158" s="45">
        <v>530.9393</v>
      </c>
      <c r="K158" s="45">
        <v>9806.2860000000001</v>
      </c>
      <c r="L158">
        <f t="shared" si="16"/>
        <v>0</v>
      </c>
    </row>
    <row r="159" spans="1:12">
      <c r="A159">
        <f t="shared" si="12"/>
        <v>0</v>
      </c>
      <c r="B159">
        <f t="shared" si="13"/>
        <v>0</v>
      </c>
      <c r="C159">
        <f t="shared" si="14"/>
        <v>0</v>
      </c>
      <c r="D159">
        <f t="shared" si="15"/>
        <v>0</v>
      </c>
      <c r="E159" s="42">
        <v>46240.25</v>
      </c>
      <c r="F159" s="45">
        <v>527.99990000000003</v>
      </c>
      <c r="G159" s="45">
        <v>300.27190000000002</v>
      </c>
      <c r="H159" s="45">
        <v>927.46810000000005</v>
      </c>
      <c r="I159" s="45">
        <v>3</v>
      </c>
      <c r="J159" s="45">
        <v>523.11670000000004</v>
      </c>
      <c r="K159" s="45">
        <v>9812.348</v>
      </c>
      <c r="L159">
        <f t="shared" si="16"/>
        <v>0</v>
      </c>
    </row>
    <row r="160" spans="1:12">
      <c r="A160">
        <f t="shared" si="12"/>
        <v>0</v>
      </c>
      <c r="B160">
        <f t="shared" si="13"/>
        <v>0</v>
      </c>
      <c r="C160">
        <f t="shared" si="14"/>
        <v>0</v>
      </c>
      <c r="D160">
        <f t="shared" si="15"/>
        <v>0</v>
      </c>
      <c r="E160" s="42">
        <v>46240.291666666664</v>
      </c>
      <c r="F160" s="45">
        <v>526.49990000000003</v>
      </c>
      <c r="G160" s="45">
        <v>289.89920000000001</v>
      </c>
      <c r="H160" s="45">
        <v>910.79499999999996</v>
      </c>
      <c r="I160" s="45">
        <v>3</v>
      </c>
      <c r="J160" s="45">
        <v>516.53909999999996</v>
      </c>
      <c r="K160" s="45">
        <v>9814.2160000000003</v>
      </c>
      <c r="L160">
        <f t="shared" si="16"/>
        <v>0</v>
      </c>
    </row>
    <row r="161" spans="1:12">
      <c r="A161">
        <f t="shared" si="12"/>
        <v>0</v>
      </c>
      <c r="B161">
        <f t="shared" si="13"/>
        <v>0</v>
      </c>
      <c r="C161">
        <f t="shared" si="14"/>
        <v>0</v>
      </c>
      <c r="D161">
        <f t="shared" si="15"/>
        <v>0</v>
      </c>
      <c r="E161" s="42">
        <v>46240.333333333336</v>
      </c>
      <c r="F161" s="45">
        <v>524.99990000000003</v>
      </c>
      <c r="G161" s="45">
        <v>279.52940000000001</v>
      </c>
      <c r="H161" s="45">
        <v>894.67250000000001</v>
      </c>
      <c r="I161" s="45">
        <v>3</v>
      </c>
      <c r="J161" s="45">
        <v>512.14380000000006</v>
      </c>
      <c r="K161" s="45">
        <v>9822.59</v>
      </c>
      <c r="L161">
        <f t="shared" si="16"/>
        <v>0</v>
      </c>
    </row>
    <row r="162" spans="1:12">
      <c r="A162">
        <f t="shared" si="12"/>
        <v>0</v>
      </c>
      <c r="B162">
        <f t="shared" si="13"/>
        <v>0</v>
      </c>
      <c r="C162">
        <f t="shared" si="14"/>
        <v>0</v>
      </c>
      <c r="D162">
        <f t="shared" si="15"/>
        <v>0</v>
      </c>
      <c r="E162" s="42">
        <v>46240.375</v>
      </c>
      <c r="F162" s="45">
        <v>523.49990000000003</v>
      </c>
      <c r="G162" s="45">
        <v>271.21260000000001</v>
      </c>
      <c r="H162" s="45">
        <v>879.84280000000001</v>
      </c>
      <c r="I162" s="45">
        <v>2.5</v>
      </c>
      <c r="J162" s="45">
        <v>509.435</v>
      </c>
      <c r="K162" s="45">
        <v>9828.6679999999997</v>
      </c>
      <c r="L162">
        <f t="shared" si="16"/>
        <v>0</v>
      </c>
    </row>
    <row r="163" spans="1:12">
      <c r="A163">
        <f t="shared" si="12"/>
        <v>0</v>
      </c>
      <c r="B163">
        <f t="shared" si="13"/>
        <v>0</v>
      </c>
      <c r="C163">
        <f t="shared" si="14"/>
        <v>0</v>
      </c>
      <c r="D163">
        <f t="shared" si="15"/>
        <v>0</v>
      </c>
      <c r="E163" s="42">
        <v>46240.416666666664</v>
      </c>
      <c r="F163" s="45">
        <v>521.99990000000003</v>
      </c>
      <c r="G163" s="45">
        <v>262.8963</v>
      </c>
      <c r="H163" s="45">
        <v>865.26490000000001</v>
      </c>
      <c r="I163" s="45">
        <v>2</v>
      </c>
      <c r="J163" s="45">
        <v>507.77010000000001</v>
      </c>
      <c r="K163" s="45">
        <v>9835.0190000000002</v>
      </c>
      <c r="L163">
        <f t="shared" si="16"/>
        <v>0</v>
      </c>
    </row>
    <row r="164" spans="1:12">
      <c r="A164">
        <f t="shared" si="12"/>
        <v>0</v>
      </c>
      <c r="B164">
        <f t="shared" si="13"/>
        <v>0</v>
      </c>
      <c r="C164">
        <f t="shared" si="14"/>
        <v>0</v>
      </c>
      <c r="D164">
        <f t="shared" si="15"/>
        <v>0</v>
      </c>
      <c r="E164" s="42">
        <v>46240.458333333336</v>
      </c>
      <c r="F164" s="45">
        <v>520.99990000000003</v>
      </c>
      <c r="G164" s="45">
        <v>255.4897</v>
      </c>
      <c r="H164" s="45">
        <v>851.68050000000005</v>
      </c>
      <c r="I164" s="45">
        <v>2</v>
      </c>
      <c r="J164" s="45">
        <v>506.33249999999998</v>
      </c>
      <c r="K164" s="45">
        <v>9839.3539999999994</v>
      </c>
      <c r="L164">
        <f t="shared" si="16"/>
        <v>0</v>
      </c>
    </row>
    <row r="165" spans="1:12">
      <c r="A165">
        <f t="shared" si="12"/>
        <v>0</v>
      </c>
      <c r="B165">
        <f t="shared" si="13"/>
        <v>0</v>
      </c>
      <c r="C165">
        <f t="shared" si="14"/>
        <v>0</v>
      </c>
      <c r="D165">
        <f t="shared" si="15"/>
        <v>0</v>
      </c>
      <c r="E165" s="42">
        <v>46240.5</v>
      </c>
      <c r="F165" s="45">
        <v>519.99990000000003</v>
      </c>
      <c r="G165" s="45">
        <v>248.08330000000001</v>
      </c>
      <c r="H165" s="45">
        <v>838.20460000000003</v>
      </c>
      <c r="I165" s="45">
        <v>2</v>
      </c>
      <c r="J165" s="45">
        <v>505.3544</v>
      </c>
      <c r="K165" s="45">
        <v>9847.8829999999998</v>
      </c>
      <c r="L165">
        <f t="shared" si="16"/>
        <v>0</v>
      </c>
    </row>
    <row r="166" spans="1:12">
      <c r="A166">
        <f t="shared" si="12"/>
        <v>0</v>
      </c>
      <c r="B166">
        <f t="shared" si="13"/>
        <v>0</v>
      </c>
      <c r="C166">
        <f t="shared" si="14"/>
        <v>0</v>
      </c>
      <c r="D166">
        <f t="shared" si="15"/>
        <v>0</v>
      </c>
      <c r="E166" s="42">
        <v>46240.541666666664</v>
      </c>
      <c r="F166" s="45">
        <v>518.49990000000003</v>
      </c>
      <c r="G166" s="45">
        <v>242.71180000000001</v>
      </c>
      <c r="H166" s="45">
        <v>826.63750000000005</v>
      </c>
      <c r="I166" s="45">
        <v>2</v>
      </c>
      <c r="J166" s="45">
        <v>504.77800000000002</v>
      </c>
      <c r="K166" s="45">
        <v>9854.6319999999996</v>
      </c>
      <c r="L166">
        <f t="shared" si="16"/>
        <v>0</v>
      </c>
    </row>
    <row r="167" spans="1:12">
      <c r="A167">
        <f t="shared" si="12"/>
        <v>0</v>
      </c>
      <c r="B167">
        <f t="shared" si="13"/>
        <v>0</v>
      </c>
      <c r="C167">
        <f t="shared" si="14"/>
        <v>0</v>
      </c>
      <c r="D167">
        <f t="shared" si="15"/>
        <v>0</v>
      </c>
      <c r="E167" s="42">
        <v>46240.583333333336</v>
      </c>
      <c r="F167" s="45">
        <v>516.99990000000003</v>
      </c>
      <c r="G167" s="45">
        <v>237.34030000000001</v>
      </c>
      <c r="H167" s="45">
        <v>815.1155</v>
      </c>
      <c r="I167" s="45">
        <v>2</v>
      </c>
      <c r="J167" s="45">
        <v>504.392</v>
      </c>
      <c r="K167" s="45">
        <v>9861.61</v>
      </c>
      <c r="L167">
        <f t="shared" si="16"/>
        <v>0</v>
      </c>
    </row>
    <row r="168" spans="1:12">
      <c r="A168">
        <f t="shared" si="12"/>
        <v>0</v>
      </c>
      <c r="B168">
        <f t="shared" si="13"/>
        <v>0</v>
      </c>
      <c r="C168">
        <f t="shared" si="14"/>
        <v>0</v>
      </c>
      <c r="D168">
        <f t="shared" si="15"/>
        <v>0</v>
      </c>
      <c r="E168" s="42">
        <v>46240.625</v>
      </c>
      <c r="F168" s="45">
        <v>515.99990000000003</v>
      </c>
      <c r="G168" s="45">
        <v>232.37479999999999</v>
      </c>
      <c r="H168" s="45">
        <v>804.43359999999996</v>
      </c>
      <c r="I168" s="45">
        <v>2</v>
      </c>
      <c r="J168" s="45">
        <v>503.36759999999998</v>
      </c>
      <c r="K168" s="45">
        <v>9867.2309999999998</v>
      </c>
      <c r="L168">
        <f t="shared" si="16"/>
        <v>0</v>
      </c>
    </row>
    <row r="169" spans="1:12">
      <c r="A169">
        <f t="shared" si="12"/>
        <v>0</v>
      </c>
      <c r="B169">
        <f t="shared" si="13"/>
        <v>0</v>
      </c>
      <c r="C169">
        <f t="shared" si="14"/>
        <v>0</v>
      </c>
      <c r="D169">
        <f t="shared" si="15"/>
        <v>0</v>
      </c>
      <c r="E169" s="42">
        <v>46240.666666666664</v>
      </c>
      <c r="F169" s="45">
        <v>514.99990000000003</v>
      </c>
      <c r="G169" s="45">
        <v>227.40940000000001</v>
      </c>
      <c r="H169" s="45">
        <v>793.77</v>
      </c>
      <c r="I169" s="45">
        <v>2</v>
      </c>
      <c r="J169" s="45">
        <v>502.41860000000003</v>
      </c>
      <c r="K169" s="45">
        <v>9874.4549999999999</v>
      </c>
      <c r="L169">
        <f t="shared" si="16"/>
        <v>0</v>
      </c>
    </row>
    <row r="170" spans="1:12">
      <c r="A170">
        <f t="shared" si="12"/>
        <v>0</v>
      </c>
      <c r="B170">
        <f t="shared" si="13"/>
        <v>0</v>
      </c>
      <c r="C170">
        <f t="shared" si="14"/>
        <v>0</v>
      </c>
      <c r="D170">
        <f t="shared" si="15"/>
        <v>0</v>
      </c>
      <c r="E170" s="42">
        <v>46240.708333333336</v>
      </c>
      <c r="F170" s="45">
        <v>513.99990000000003</v>
      </c>
      <c r="G170" s="45">
        <v>223.3075</v>
      </c>
      <c r="H170" s="45">
        <v>785.2894</v>
      </c>
      <c r="I170" s="45">
        <v>1.5</v>
      </c>
      <c r="J170" s="45">
        <v>502.25850000000003</v>
      </c>
      <c r="K170" s="45">
        <v>9880.5040000000008</v>
      </c>
      <c r="L170">
        <f t="shared" si="16"/>
        <v>0</v>
      </c>
    </row>
    <row r="171" spans="1:12">
      <c r="A171">
        <f t="shared" si="12"/>
        <v>0</v>
      </c>
      <c r="B171">
        <f t="shared" si="13"/>
        <v>0</v>
      </c>
      <c r="C171">
        <f t="shared" si="14"/>
        <v>0</v>
      </c>
      <c r="D171">
        <f t="shared" si="15"/>
        <v>0</v>
      </c>
      <c r="E171" s="42">
        <v>46240.75</v>
      </c>
      <c r="F171" s="45">
        <v>512.99990000000003</v>
      </c>
      <c r="G171" s="45">
        <v>219.20570000000001</v>
      </c>
      <c r="H171" s="45">
        <v>776.81619999999998</v>
      </c>
      <c r="I171" s="45">
        <v>1</v>
      </c>
      <c r="J171" s="45">
        <v>502.12720000000002</v>
      </c>
      <c r="K171" s="45">
        <v>9886.5</v>
      </c>
      <c r="L171">
        <f t="shared" si="16"/>
        <v>0</v>
      </c>
    </row>
    <row r="172" spans="1:12">
      <c r="A172">
        <f t="shared" si="12"/>
        <v>0</v>
      </c>
      <c r="B172">
        <f t="shared" si="13"/>
        <v>0</v>
      </c>
      <c r="C172">
        <f t="shared" si="14"/>
        <v>0</v>
      </c>
      <c r="D172">
        <f t="shared" si="15"/>
        <v>0</v>
      </c>
      <c r="E172" s="42">
        <v>46240.791666666664</v>
      </c>
      <c r="F172" s="45">
        <v>511.99990000000003</v>
      </c>
      <c r="G172" s="45">
        <v>215.47030000000001</v>
      </c>
      <c r="H172" s="45">
        <v>769.06039999999996</v>
      </c>
      <c r="I172" s="45">
        <v>1</v>
      </c>
      <c r="J172" s="45">
        <v>502.07780000000002</v>
      </c>
      <c r="K172" s="45">
        <v>9890.8469999999998</v>
      </c>
      <c r="L172">
        <f t="shared" si="16"/>
        <v>0</v>
      </c>
    </row>
    <row r="173" spans="1:12">
      <c r="A173">
        <f t="shared" si="12"/>
        <v>0</v>
      </c>
      <c r="B173">
        <f t="shared" si="13"/>
        <v>0</v>
      </c>
      <c r="C173">
        <f t="shared" si="14"/>
        <v>0</v>
      </c>
      <c r="D173">
        <f t="shared" si="15"/>
        <v>0</v>
      </c>
      <c r="E173" s="42">
        <v>46240.833333333336</v>
      </c>
      <c r="F173" s="45">
        <v>510.99990000000003</v>
      </c>
      <c r="G173" s="45">
        <v>211.73480000000001</v>
      </c>
      <c r="H173" s="45">
        <v>761.30740000000003</v>
      </c>
      <c r="I173" s="45">
        <v>1</v>
      </c>
      <c r="J173" s="45">
        <v>502.03899999999999</v>
      </c>
      <c r="K173" s="45">
        <v>9895.6669999999995</v>
      </c>
      <c r="L173">
        <f t="shared" si="16"/>
        <v>0</v>
      </c>
    </row>
    <row r="174" spans="1:12">
      <c r="A174">
        <f t="shared" si="12"/>
        <v>0</v>
      </c>
      <c r="B174">
        <f t="shared" si="13"/>
        <v>0</v>
      </c>
      <c r="C174">
        <f t="shared" si="14"/>
        <v>0</v>
      </c>
      <c r="D174">
        <f t="shared" si="15"/>
        <v>0</v>
      </c>
      <c r="E174" s="42">
        <v>46240.875</v>
      </c>
      <c r="F174" s="45">
        <v>510.49990000000003</v>
      </c>
      <c r="G174" s="45">
        <v>208.44739999999999</v>
      </c>
      <c r="H174" s="45">
        <v>755.04340000000002</v>
      </c>
      <c r="I174" s="45">
        <v>1</v>
      </c>
      <c r="J174" s="45">
        <v>501.97809999999998</v>
      </c>
      <c r="K174" s="45">
        <v>9900.2360000000008</v>
      </c>
      <c r="L174">
        <f t="shared" si="16"/>
        <v>0</v>
      </c>
    </row>
    <row r="175" spans="1:12">
      <c r="A175">
        <f t="shared" si="12"/>
        <v>0</v>
      </c>
      <c r="B175">
        <f t="shared" si="13"/>
        <v>0</v>
      </c>
      <c r="C175">
        <f t="shared" si="14"/>
        <v>0</v>
      </c>
      <c r="D175">
        <f t="shared" si="15"/>
        <v>0</v>
      </c>
      <c r="E175" s="42">
        <v>46240.916666666664</v>
      </c>
      <c r="F175" s="45">
        <v>509.99990000000003</v>
      </c>
      <c r="G175" s="45">
        <v>205.16</v>
      </c>
      <c r="H175" s="45">
        <v>748.78060000000005</v>
      </c>
      <c r="I175" s="45">
        <v>1</v>
      </c>
      <c r="J175" s="45">
        <v>501.92099999999999</v>
      </c>
      <c r="K175" s="45">
        <v>9904.723</v>
      </c>
      <c r="L175">
        <f t="shared" si="16"/>
        <v>0</v>
      </c>
    </row>
    <row r="176" spans="1:12">
      <c r="A176">
        <f t="shared" si="12"/>
        <v>0</v>
      </c>
      <c r="B176">
        <f t="shared" si="13"/>
        <v>0</v>
      </c>
      <c r="C176">
        <f t="shared" si="14"/>
        <v>0</v>
      </c>
      <c r="D176">
        <f t="shared" si="15"/>
        <v>0</v>
      </c>
      <c r="E176" s="42">
        <v>46240.958333333336</v>
      </c>
      <c r="F176" s="45">
        <v>509.49990000000003</v>
      </c>
      <c r="G176" s="45">
        <v>202.3622</v>
      </c>
      <c r="H176" s="45">
        <v>743.28110000000004</v>
      </c>
      <c r="I176" s="45">
        <v>1</v>
      </c>
      <c r="J176" s="45">
        <v>501.58580000000001</v>
      </c>
      <c r="K176" s="45">
        <v>9909.1820000000007</v>
      </c>
      <c r="L176">
        <f t="shared" si="16"/>
        <v>0</v>
      </c>
    </row>
    <row r="177" spans="1:12">
      <c r="A177">
        <f t="shared" si="12"/>
        <v>0</v>
      </c>
      <c r="B177">
        <f t="shared" si="13"/>
        <v>0</v>
      </c>
      <c r="C177">
        <f t="shared" si="14"/>
        <v>0</v>
      </c>
      <c r="D177">
        <f t="shared" si="15"/>
        <v>0</v>
      </c>
      <c r="E177" s="42">
        <v>46241</v>
      </c>
      <c r="F177" s="45">
        <v>508.99990000000003</v>
      </c>
      <c r="G177" s="45">
        <v>199.5643</v>
      </c>
      <c r="H177" s="45">
        <v>737.78210000000001</v>
      </c>
      <c r="I177" s="45">
        <v>1</v>
      </c>
      <c r="J177" s="45">
        <v>501.25189999999998</v>
      </c>
      <c r="K177" s="45">
        <v>9913.7610000000004</v>
      </c>
      <c r="L177">
        <f t="shared" si="16"/>
        <v>0</v>
      </c>
    </row>
    <row r="178" spans="1:12">
      <c r="A178">
        <f t="shared" si="12"/>
        <v>0</v>
      </c>
      <c r="B178">
        <f t="shared" si="13"/>
        <v>0</v>
      </c>
      <c r="C178">
        <f t="shared" si="14"/>
        <v>0</v>
      </c>
      <c r="D178">
        <f t="shared" si="15"/>
        <v>0</v>
      </c>
      <c r="E178" s="42">
        <v>46241.041666666664</v>
      </c>
      <c r="F178" s="45">
        <v>507.99990000000003</v>
      </c>
      <c r="G178" s="45">
        <v>197.5275</v>
      </c>
      <c r="H178" s="45">
        <v>732.92370000000005</v>
      </c>
      <c r="I178" s="45">
        <v>1</v>
      </c>
      <c r="J178" s="45">
        <v>501.16019999999997</v>
      </c>
      <c r="K178" s="45">
        <v>9918.4789999999994</v>
      </c>
      <c r="L178">
        <f t="shared" si="16"/>
        <v>0</v>
      </c>
    </row>
    <row r="179" spans="1:12">
      <c r="A179">
        <f t="shared" si="12"/>
        <v>0</v>
      </c>
      <c r="B179">
        <f t="shared" si="13"/>
        <v>0</v>
      </c>
      <c r="C179">
        <f t="shared" si="14"/>
        <v>0</v>
      </c>
      <c r="D179">
        <f t="shared" si="15"/>
        <v>0</v>
      </c>
      <c r="E179" s="42">
        <v>46241.083333333336</v>
      </c>
      <c r="F179" s="45">
        <v>506.99990000000003</v>
      </c>
      <c r="G179" s="45">
        <v>195.49080000000001</v>
      </c>
      <c r="H179" s="45">
        <v>728.06560000000002</v>
      </c>
      <c r="I179" s="45">
        <v>1</v>
      </c>
      <c r="J179" s="45">
        <v>501.06889999999999</v>
      </c>
      <c r="K179" s="45">
        <v>9923.152</v>
      </c>
      <c r="L179">
        <f t="shared" si="16"/>
        <v>0</v>
      </c>
    </row>
    <row r="180" spans="1:12">
      <c r="A180">
        <f t="shared" si="12"/>
        <v>0</v>
      </c>
      <c r="B180">
        <f t="shared" si="13"/>
        <v>0</v>
      </c>
      <c r="C180">
        <f t="shared" si="14"/>
        <v>0</v>
      </c>
      <c r="D180">
        <f t="shared" si="15"/>
        <v>0</v>
      </c>
      <c r="E180" s="42">
        <v>46241.125</v>
      </c>
      <c r="F180" s="45">
        <v>506.49990000000003</v>
      </c>
      <c r="G180" s="45">
        <v>192.595</v>
      </c>
      <c r="H180" s="45">
        <v>723.83789999999999</v>
      </c>
      <c r="I180" s="45">
        <v>1</v>
      </c>
      <c r="J180" s="45">
        <v>501.04379999999998</v>
      </c>
      <c r="K180" s="45">
        <v>9927.2389999999996</v>
      </c>
      <c r="L180">
        <f t="shared" si="16"/>
        <v>0</v>
      </c>
    </row>
    <row r="181" spans="1:12">
      <c r="A181">
        <f t="shared" si="12"/>
        <v>0</v>
      </c>
      <c r="B181">
        <f t="shared" si="13"/>
        <v>0</v>
      </c>
      <c r="C181">
        <f t="shared" si="14"/>
        <v>0</v>
      </c>
      <c r="D181">
        <f t="shared" si="15"/>
        <v>0</v>
      </c>
      <c r="E181" s="42">
        <v>46241.166666666664</v>
      </c>
      <c r="F181" s="45">
        <v>505.99990000000003</v>
      </c>
      <c r="G181" s="45">
        <v>189.69929999999999</v>
      </c>
      <c r="H181" s="45">
        <v>719.61030000000005</v>
      </c>
      <c r="I181" s="45">
        <v>1</v>
      </c>
      <c r="J181" s="45">
        <v>501.0188</v>
      </c>
      <c r="K181" s="45">
        <v>9931.3539999999994</v>
      </c>
      <c r="L181">
        <f t="shared" si="16"/>
        <v>0</v>
      </c>
    </row>
    <row r="182" spans="1:12">
      <c r="A182">
        <f t="shared" si="12"/>
        <v>0</v>
      </c>
      <c r="B182">
        <f t="shared" si="13"/>
        <v>0</v>
      </c>
      <c r="C182">
        <f t="shared" si="14"/>
        <v>0</v>
      </c>
      <c r="D182">
        <f t="shared" si="15"/>
        <v>0</v>
      </c>
      <c r="E182" s="42">
        <v>46241.208333333336</v>
      </c>
      <c r="F182" s="45">
        <v>505.49990000000003</v>
      </c>
      <c r="G182" s="45">
        <v>186.1216</v>
      </c>
      <c r="H182" s="45">
        <v>715.62570000000005</v>
      </c>
      <c r="I182" s="45">
        <v>0.5</v>
      </c>
      <c r="J182" s="45">
        <v>501.012</v>
      </c>
      <c r="K182" s="45">
        <v>9935.3539999999994</v>
      </c>
      <c r="L182">
        <f t="shared" si="16"/>
        <v>0</v>
      </c>
    </row>
    <row r="183" spans="1:12">
      <c r="A183">
        <f t="shared" si="12"/>
        <v>0</v>
      </c>
      <c r="B183">
        <f t="shared" si="13"/>
        <v>0</v>
      </c>
      <c r="C183">
        <f t="shared" si="14"/>
        <v>0</v>
      </c>
      <c r="D183">
        <f t="shared" si="15"/>
        <v>0</v>
      </c>
      <c r="E183" s="42">
        <v>46241.25</v>
      </c>
      <c r="F183" s="45">
        <v>504.99990000000003</v>
      </c>
      <c r="G183" s="45">
        <v>182.54390000000001</v>
      </c>
      <c r="H183" s="45">
        <v>711.6413</v>
      </c>
      <c r="I183" s="51">
        <v>9.0799999999999993E-9</v>
      </c>
      <c r="J183" s="45">
        <v>501.00510000000003</v>
      </c>
      <c r="K183" s="45">
        <v>9939.3340000000007</v>
      </c>
      <c r="L183">
        <f t="shared" si="16"/>
        <v>0</v>
      </c>
    </row>
    <row r="184" spans="1:12">
      <c r="A184">
        <f t="shared" si="12"/>
        <v>0</v>
      </c>
      <c r="B184">
        <f t="shared" si="13"/>
        <v>0</v>
      </c>
      <c r="C184">
        <f t="shared" si="14"/>
        <v>0</v>
      </c>
      <c r="D184">
        <f t="shared" si="15"/>
        <v>0</v>
      </c>
      <c r="E184" s="42">
        <v>46241.291666666664</v>
      </c>
      <c r="F184" s="45">
        <v>504.49990000000003</v>
      </c>
      <c r="G184" s="45">
        <v>179.95359999999999</v>
      </c>
      <c r="H184" s="45">
        <v>708.18209999999999</v>
      </c>
      <c r="I184" s="45">
        <v>0</v>
      </c>
      <c r="J184" s="45">
        <v>501.00330000000002</v>
      </c>
      <c r="K184" s="45">
        <v>9943.2060000000001</v>
      </c>
      <c r="L184">
        <f t="shared" si="16"/>
        <v>0</v>
      </c>
    </row>
    <row r="185" spans="1:12">
      <c r="A185">
        <f t="shared" si="12"/>
        <v>0</v>
      </c>
      <c r="B185">
        <f t="shared" si="13"/>
        <v>0</v>
      </c>
      <c r="C185">
        <f t="shared" si="14"/>
        <v>0</v>
      </c>
      <c r="D185">
        <f t="shared" si="15"/>
        <v>0</v>
      </c>
      <c r="E185" s="42">
        <v>46241.333333333336</v>
      </c>
      <c r="F185" s="45">
        <v>503.99990000000003</v>
      </c>
      <c r="G185" s="45">
        <v>177.36330000000001</v>
      </c>
      <c r="H185" s="45">
        <v>704.72299999999996</v>
      </c>
      <c r="I185" s="45">
        <v>0</v>
      </c>
      <c r="J185" s="45">
        <v>501.00139999999999</v>
      </c>
      <c r="K185" s="45">
        <v>9947.0849999999991</v>
      </c>
      <c r="L185">
        <f t="shared" si="16"/>
        <v>0</v>
      </c>
    </row>
    <row r="186" spans="1:12">
      <c r="A186">
        <f t="shared" si="12"/>
        <v>0</v>
      </c>
      <c r="B186">
        <f t="shared" si="13"/>
        <v>0</v>
      </c>
      <c r="C186">
        <f t="shared" si="14"/>
        <v>0</v>
      </c>
      <c r="D186">
        <f t="shared" si="15"/>
        <v>0</v>
      </c>
      <c r="E186" s="42">
        <v>46241.375</v>
      </c>
      <c r="F186" s="45">
        <v>503.49990000000003</v>
      </c>
      <c r="G186" s="45">
        <v>175.9042</v>
      </c>
      <c r="H186" s="45">
        <v>700.90219999999999</v>
      </c>
      <c r="I186" s="45">
        <v>0</v>
      </c>
      <c r="J186" s="45">
        <v>500.9554</v>
      </c>
      <c r="K186" s="45">
        <v>9950.2160000000003</v>
      </c>
      <c r="L186">
        <f t="shared" si="16"/>
        <v>0</v>
      </c>
    </row>
    <row r="187" spans="1:12">
      <c r="A187">
        <f t="shared" si="12"/>
        <v>0</v>
      </c>
      <c r="B187">
        <f t="shared" si="13"/>
        <v>0</v>
      </c>
      <c r="C187">
        <f t="shared" si="14"/>
        <v>0</v>
      </c>
      <c r="D187">
        <f t="shared" si="15"/>
        <v>0</v>
      </c>
      <c r="E187" s="42">
        <v>46241.416666666664</v>
      </c>
      <c r="F187" s="45">
        <v>502.99990000000003</v>
      </c>
      <c r="G187" s="45">
        <v>174.4451</v>
      </c>
      <c r="H187" s="45">
        <v>697.08140000000003</v>
      </c>
      <c r="I187" s="45">
        <v>0</v>
      </c>
      <c r="J187" s="45">
        <v>500.90940000000001</v>
      </c>
      <c r="K187" s="45">
        <v>9953.34</v>
      </c>
      <c r="L187">
        <f t="shared" si="16"/>
        <v>0</v>
      </c>
    </row>
    <row r="188" spans="1:12">
      <c r="A188">
        <f t="shared" si="12"/>
        <v>0</v>
      </c>
      <c r="B188">
        <f t="shared" si="13"/>
        <v>0</v>
      </c>
      <c r="C188">
        <f t="shared" si="14"/>
        <v>0</v>
      </c>
      <c r="D188">
        <f t="shared" si="15"/>
        <v>0</v>
      </c>
      <c r="E188" s="42">
        <v>46241.458333333336</v>
      </c>
      <c r="F188" s="45">
        <v>502.49990000000003</v>
      </c>
      <c r="G188" s="45">
        <v>173.22550000000001</v>
      </c>
      <c r="H188" s="45">
        <v>693.54719999999998</v>
      </c>
      <c r="I188" s="45">
        <v>0</v>
      </c>
      <c r="J188" s="45">
        <v>500.5788</v>
      </c>
      <c r="K188" s="45">
        <v>9956.777</v>
      </c>
      <c r="L188">
        <f t="shared" si="16"/>
        <v>0</v>
      </c>
    </row>
    <row r="189" spans="1:12">
      <c r="A189">
        <f t="shared" si="12"/>
        <v>0</v>
      </c>
      <c r="B189">
        <f t="shared" si="13"/>
        <v>0</v>
      </c>
      <c r="C189">
        <f t="shared" si="14"/>
        <v>0</v>
      </c>
      <c r="D189">
        <f t="shared" si="15"/>
        <v>0</v>
      </c>
      <c r="E189" s="42">
        <v>46241.5</v>
      </c>
      <c r="F189" s="45">
        <v>501.99990000000003</v>
      </c>
      <c r="G189" s="45">
        <v>172.00579999999999</v>
      </c>
      <c r="H189" s="45">
        <v>690.01300000000003</v>
      </c>
      <c r="I189" s="45">
        <v>0</v>
      </c>
      <c r="J189" s="45">
        <v>500.2482</v>
      </c>
      <c r="K189" s="45">
        <v>9960.2160000000003</v>
      </c>
      <c r="L189">
        <f t="shared" si="16"/>
        <v>0</v>
      </c>
    </row>
    <row r="190" spans="1:12">
      <c r="A190">
        <f t="shared" si="12"/>
        <v>0</v>
      </c>
      <c r="B190">
        <f t="shared" si="13"/>
        <v>0</v>
      </c>
      <c r="C190">
        <f t="shared" si="14"/>
        <v>0</v>
      </c>
      <c r="D190">
        <f t="shared" si="15"/>
        <v>0</v>
      </c>
      <c r="E190" s="42">
        <v>46241.541666666664</v>
      </c>
      <c r="F190" s="45">
        <v>501.99990000000003</v>
      </c>
      <c r="G190" s="45">
        <v>170.12090000000001</v>
      </c>
      <c r="H190" s="45">
        <v>687.21939999999995</v>
      </c>
      <c r="I190" s="45">
        <v>0</v>
      </c>
      <c r="J190" s="45">
        <v>500.15800000000002</v>
      </c>
      <c r="K190" s="45">
        <v>9962.3860000000004</v>
      </c>
      <c r="L190">
        <f t="shared" si="16"/>
        <v>0</v>
      </c>
    </row>
    <row r="191" spans="1:12">
      <c r="A191">
        <f t="shared" si="12"/>
        <v>0</v>
      </c>
      <c r="B191">
        <f t="shared" si="13"/>
        <v>0</v>
      </c>
      <c r="C191">
        <f t="shared" si="14"/>
        <v>0</v>
      </c>
      <c r="D191">
        <f t="shared" si="15"/>
        <v>0</v>
      </c>
      <c r="E191" s="42">
        <v>46241.583333333336</v>
      </c>
      <c r="F191" s="45">
        <v>501.99990000000003</v>
      </c>
      <c r="G191" s="45">
        <v>168.23609999999999</v>
      </c>
      <c r="H191" s="45">
        <v>684.42589999999996</v>
      </c>
      <c r="I191" s="45">
        <v>0</v>
      </c>
      <c r="J191" s="45">
        <v>500.0677</v>
      </c>
      <c r="K191" s="45">
        <v>9964.5519999999997</v>
      </c>
      <c r="L191">
        <f t="shared" si="16"/>
        <v>0</v>
      </c>
    </row>
    <row r="192" spans="1:12">
      <c r="A192">
        <f t="shared" si="12"/>
        <v>0</v>
      </c>
      <c r="B192">
        <f t="shared" si="13"/>
        <v>0</v>
      </c>
      <c r="C192">
        <f t="shared" si="14"/>
        <v>0</v>
      </c>
      <c r="D192">
        <f t="shared" si="15"/>
        <v>0</v>
      </c>
      <c r="E192" s="42">
        <v>46241.625</v>
      </c>
      <c r="F192" s="45">
        <v>501.49990000000003</v>
      </c>
      <c r="G192" s="45">
        <v>166.99019999999999</v>
      </c>
      <c r="H192" s="45">
        <v>682.17550000000006</v>
      </c>
      <c r="I192" s="45">
        <v>0</v>
      </c>
      <c r="J192" s="45">
        <v>500.04309999999998</v>
      </c>
      <c r="K192" s="45">
        <v>9966.2070000000003</v>
      </c>
      <c r="L192">
        <f t="shared" si="16"/>
        <v>0</v>
      </c>
    </row>
    <row r="193" spans="1:12">
      <c r="A193">
        <f t="shared" si="12"/>
        <v>0</v>
      </c>
      <c r="B193">
        <f t="shared" si="13"/>
        <v>0</v>
      </c>
      <c r="C193">
        <f t="shared" si="14"/>
        <v>0</v>
      </c>
      <c r="D193">
        <f t="shared" si="15"/>
        <v>0</v>
      </c>
      <c r="E193" s="42">
        <v>46241.666666666664</v>
      </c>
      <c r="F193" s="45">
        <v>500.99990000000003</v>
      </c>
      <c r="G193" s="45">
        <v>165.74449999999999</v>
      </c>
      <c r="H193" s="45">
        <v>679.92520000000002</v>
      </c>
      <c r="I193" s="45">
        <v>0</v>
      </c>
      <c r="J193" s="45">
        <v>500.01850000000002</v>
      </c>
      <c r="K193" s="45">
        <v>9967.8649999999998</v>
      </c>
      <c r="L193">
        <f t="shared" si="16"/>
        <v>0</v>
      </c>
    </row>
    <row r="194" spans="1:12">
      <c r="A194">
        <f t="shared" si="12"/>
        <v>0</v>
      </c>
      <c r="B194">
        <f t="shared" si="13"/>
        <v>0</v>
      </c>
      <c r="C194">
        <f t="shared" si="14"/>
        <v>0</v>
      </c>
      <c r="D194">
        <f t="shared" si="15"/>
        <v>0</v>
      </c>
      <c r="E194" s="42">
        <v>46241.708333333336</v>
      </c>
      <c r="F194" s="45">
        <v>500.99990000000003</v>
      </c>
      <c r="G194" s="45">
        <v>163.71129999999999</v>
      </c>
      <c r="H194" s="45">
        <v>677.69489999999996</v>
      </c>
      <c r="I194" s="45">
        <v>0</v>
      </c>
      <c r="J194" s="45">
        <v>500.01170000000002</v>
      </c>
      <c r="K194" s="45">
        <v>9969.509</v>
      </c>
      <c r="L194">
        <f t="shared" si="16"/>
        <v>0</v>
      </c>
    </row>
    <row r="195" spans="1:12">
      <c r="A195">
        <f t="shared" ref="A195:A241" si="17">AC195</f>
        <v>0</v>
      </c>
      <c r="B195">
        <f t="shared" ref="B195:B258" si="18">AD195</f>
        <v>0</v>
      </c>
      <c r="C195">
        <f t="shared" ref="C195:C258" si="19">AE195</f>
        <v>0</v>
      </c>
      <c r="D195">
        <f t="shared" ref="D195:D258" si="20">AF195</f>
        <v>0</v>
      </c>
      <c r="E195" s="42">
        <v>46241.75</v>
      </c>
      <c r="F195" s="45">
        <v>500.99990000000003</v>
      </c>
      <c r="G195" s="45">
        <v>161.6782</v>
      </c>
      <c r="H195" s="45">
        <v>675.46469999999999</v>
      </c>
      <c r="I195" s="45">
        <v>0</v>
      </c>
      <c r="J195" s="45">
        <v>500.005</v>
      </c>
      <c r="K195" s="45">
        <v>9971.152</v>
      </c>
      <c r="L195">
        <f t="shared" ref="L195:L258" si="21">IF(K195&gt;10000,K195-10000,0)</f>
        <v>0</v>
      </c>
    </row>
    <row r="196" spans="1:12">
      <c r="A196">
        <f t="shared" si="17"/>
        <v>0</v>
      </c>
      <c r="B196">
        <f t="shared" si="18"/>
        <v>0</v>
      </c>
      <c r="C196">
        <f t="shared" si="19"/>
        <v>0</v>
      </c>
      <c r="D196">
        <f t="shared" si="20"/>
        <v>0</v>
      </c>
      <c r="E196" s="42">
        <v>46241.791666666664</v>
      </c>
      <c r="F196" s="45">
        <v>500.49990000000003</v>
      </c>
      <c r="G196" s="45">
        <v>160.27959999999999</v>
      </c>
      <c r="H196" s="45">
        <v>673.49260000000004</v>
      </c>
      <c r="I196" s="45">
        <v>0</v>
      </c>
      <c r="J196" s="45">
        <v>500.00319999999999</v>
      </c>
      <c r="K196" s="45">
        <v>9972.5740000000005</v>
      </c>
      <c r="L196">
        <f t="shared" si="21"/>
        <v>0</v>
      </c>
    </row>
    <row r="197" spans="1:12">
      <c r="A197">
        <f t="shared" si="17"/>
        <v>0</v>
      </c>
      <c r="B197">
        <f t="shared" si="18"/>
        <v>0</v>
      </c>
      <c r="C197">
        <f t="shared" si="19"/>
        <v>0</v>
      </c>
      <c r="D197">
        <f t="shared" si="20"/>
        <v>0</v>
      </c>
      <c r="E197" s="42">
        <v>46241.833333333336</v>
      </c>
      <c r="F197" s="45">
        <v>499.99990000000003</v>
      </c>
      <c r="G197" s="45">
        <v>158.881</v>
      </c>
      <c r="H197" s="45">
        <v>671.5204</v>
      </c>
      <c r="I197" s="45">
        <v>0</v>
      </c>
      <c r="J197" s="45">
        <v>500.00139999999999</v>
      </c>
      <c r="K197" s="45">
        <v>9973.9969999999994</v>
      </c>
      <c r="L197">
        <f t="shared" si="21"/>
        <v>0</v>
      </c>
    </row>
    <row r="198" spans="1:12">
      <c r="A198">
        <f t="shared" si="17"/>
        <v>0</v>
      </c>
      <c r="B198">
        <f t="shared" si="18"/>
        <v>0</v>
      </c>
      <c r="C198">
        <f t="shared" si="19"/>
        <v>0</v>
      </c>
      <c r="D198">
        <f t="shared" si="20"/>
        <v>0</v>
      </c>
      <c r="E198" s="42">
        <v>46241.875</v>
      </c>
      <c r="F198" s="45">
        <v>499.99990000000003</v>
      </c>
      <c r="G198" s="45">
        <v>157.374</v>
      </c>
      <c r="H198" s="45">
        <v>669.45169999999996</v>
      </c>
      <c r="I198" s="45">
        <v>0</v>
      </c>
      <c r="J198" s="45">
        <v>500.0009</v>
      </c>
      <c r="K198" s="45">
        <v>9975.4040000000005</v>
      </c>
      <c r="L198">
        <f t="shared" si="21"/>
        <v>0</v>
      </c>
    </row>
    <row r="199" spans="1:12">
      <c r="A199">
        <f t="shared" si="17"/>
        <v>0</v>
      </c>
      <c r="B199">
        <f t="shared" si="18"/>
        <v>0</v>
      </c>
      <c r="C199">
        <f t="shared" si="19"/>
        <v>0</v>
      </c>
      <c r="D199">
        <f t="shared" si="20"/>
        <v>0</v>
      </c>
      <c r="E199" s="42">
        <v>46241.916666666664</v>
      </c>
      <c r="F199" s="45">
        <v>499.99990000000003</v>
      </c>
      <c r="G199" s="45">
        <v>155.86709999999999</v>
      </c>
      <c r="H199" s="45">
        <v>667.38289999999995</v>
      </c>
      <c r="I199" s="45">
        <v>0</v>
      </c>
      <c r="J199" s="45">
        <v>500.00040000000001</v>
      </c>
      <c r="K199" s="45">
        <v>9976.8109999999997</v>
      </c>
      <c r="L199">
        <f t="shared" si="21"/>
        <v>0</v>
      </c>
    </row>
    <row r="200" spans="1:12">
      <c r="A200">
        <f t="shared" si="17"/>
        <v>0</v>
      </c>
      <c r="B200">
        <f t="shared" si="18"/>
        <v>0</v>
      </c>
      <c r="C200">
        <f t="shared" si="19"/>
        <v>0</v>
      </c>
      <c r="D200">
        <f t="shared" si="20"/>
        <v>0</v>
      </c>
      <c r="E200" s="42">
        <v>46241.958333333336</v>
      </c>
      <c r="F200" s="45">
        <v>499.99990000000003</v>
      </c>
      <c r="G200" s="45">
        <v>154.69829999999999</v>
      </c>
      <c r="H200" s="45">
        <v>665.47529999999995</v>
      </c>
      <c r="I200" s="45">
        <v>0</v>
      </c>
      <c r="J200" s="45">
        <v>500.00020000000001</v>
      </c>
      <c r="K200" s="45">
        <v>9978.2049999999999</v>
      </c>
      <c r="L200">
        <f t="shared" si="21"/>
        <v>0</v>
      </c>
    </row>
    <row r="201" spans="1:12">
      <c r="A201">
        <f t="shared" si="17"/>
        <v>0</v>
      </c>
      <c r="B201">
        <f t="shared" si="18"/>
        <v>0</v>
      </c>
      <c r="C201">
        <f t="shared" si="19"/>
        <v>0</v>
      </c>
      <c r="D201">
        <f t="shared" si="20"/>
        <v>0</v>
      </c>
      <c r="E201" s="42">
        <v>46242</v>
      </c>
      <c r="F201" s="45">
        <v>499.99990000000003</v>
      </c>
      <c r="G201" s="45">
        <v>153.52950000000001</v>
      </c>
      <c r="H201" s="45">
        <v>663.56780000000003</v>
      </c>
      <c r="I201" s="45">
        <v>0</v>
      </c>
      <c r="J201" s="45">
        <v>500.00009999999997</v>
      </c>
      <c r="K201" s="45">
        <v>9979.6</v>
      </c>
      <c r="L201">
        <f t="shared" si="21"/>
        <v>0</v>
      </c>
    </row>
    <row r="202" spans="1:12">
      <c r="A202">
        <f t="shared" si="17"/>
        <v>0</v>
      </c>
      <c r="B202">
        <f t="shared" si="18"/>
        <v>0</v>
      </c>
      <c r="C202">
        <f t="shared" si="19"/>
        <v>0</v>
      </c>
      <c r="D202">
        <f t="shared" si="20"/>
        <v>0</v>
      </c>
      <c r="E202" s="42">
        <v>46242.041666666664</v>
      </c>
      <c r="F202" s="45">
        <v>499.99990000000003</v>
      </c>
      <c r="G202" s="45">
        <v>153.2028</v>
      </c>
      <c r="H202" s="45">
        <v>661.76900000000001</v>
      </c>
      <c r="I202" s="45">
        <v>0</v>
      </c>
      <c r="J202" s="45">
        <v>500.00009999999997</v>
      </c>
      <c r="K202" s="45">
        <v>9980.7330000000002</v>
      </c>
      <c r="L202">
        <f t="shared" si="21"/>
        <v>0</v>
      </c>
    </row>
    <row r="203" spans="1:12">
      <c r="A203">
        <f t="shared" si="17"/>
        <v>0</v>
      </c>
      <c r="B203">
        <f t="shared" si="18"/>
        <v>0</v>
      </c>
      <c r="C203">
        <f t="shared" si="19"/>
        <v>0</v>
      </c>
      <c r="D203">
        <f t="shared" si="20"/>
        <v>0</v>
      </c>
      <c r="E203" s="42">
        <v>46242.083333333336</v>
      </c>
      <c r="F203" s="45">
        <v>499.99990000000003</v>
      </c>
      <c r="G203" s="45">
        <v>152.87610000000001</v>
      </c>
      <c r="H203" s="45">
        <v>659.97019999999998</v>
      </c>
      <c r="I203" s="45">
        <v>0</v>
      </c>
      <c r="J203" s="45">
        <v>500</v>
      </c>
      <c r="K203" s="45">
        <v>9981.866</v>
      </c>
      <c r="L203">
        <f t="shared" si="21"/>
        <v>0</v>
      </c>
    </row>
    <row r="204" spans="1:12">
      <c r="A204">
        <f t="shared" si="17"/>
        <v>0</v>
      </c>
      <c r="B204">
        <f t="shared" si="18"/>
        <v>0</v>
      </c>
      <c r="C204">
        <f t="shared" si="19"/>
        <v>0</v>
      </c>
      <c r="D204">
        <f t="shared" si="20"/>
        <v>0</v>
      </c>
      <c r="E204" s="42">
        <v>46242.125</v>
      </c>
      <c r="F204" s="45">
        <v>499.99990000000003</v>
      </c>
      <c r="G204" s="45">
        <v>152.57859999999999</v>
      </c>
      <c r="H204" s="45">
        <v>658.3741</v>
      </c>
      <c r="I204" s="45">
        <v>0</v>
      </c>
      <c r="J204" s="45">
        <v>500</v>
      </c>
      <c r="K204" s="45">
        <v>9982.8809999999994</v>
      </c>
      <c r="L204">
        <f t="shared" si="21"/>
        <v>0</v>
      </c>
    </row>
    <row r="205" spans="1:12">
      <c r="A205">
        <f t="shared" si="17"/>
        <v>0</v>
      </c>
      <c r="B205">
        <f t="shared" si="18"/>
        <v>0</v>
      </c>
      <c r="C205">
        <f t="shared" si="19"/>
        <v>0</v>
      </c>
      <c r="D205">
        <f t="shared" si="20"/>
        <v>0</v>
      </c>
      <c r="E205" s="42">
        <v>46242.166666666664</v>
      </c>
      <c r="F205" s="45">
        <v>499.99990000000003</v>
      </c>
      <c r="G205" s="45">
        <v>152.28120000000001</v>
      </c>
      <c r="H205" s="45">
        <v>656.77809999999999</v>
      </c>
      <c r="I205" s="45">
        <v>0</v>
      </c>
      <c r="J205" s="45">
        <v>500</v>
      </c>
      <c r="K205" s="45">
        <v>9983.8960000000006</v>
      </c>
      <c r="L205">
        <f t="shared" si="21"/>
        <v>0</v>
      </c>
    </row>
    <row r="206" spans="1:12">
      <c r="A206">
        <f t="shared" si="17"/>
        <v>0</v>
      </c>
      <c r="B206">
        <f t="shared" si="18"/>
        <v>0</v>
      </c>
      <c r="C206">
        <f t="shared" si="19"/>
        <v>0</v>
      </c>
      <c r="D206">
        <f t="shared" si="20"/>
        <v>0</v>
      </c>
      <c r="E206" s="42">
        <v>46242.208333333336</v>
      </c>
      <c r="F206" s="45">
        <v>499.99990000000003</v>
      </c>
      <c r="G206" s="45">
        <v>151.38239999999999</v>
      </c>
      <c r="H206" s="45">
        <v>655.73829999999998</v>
      </c>
      <c r="I206" s="45">
        <v>0</v>
      </c>
      <c r="J206" s="45">
        <v>500</v>
      </c>
      <c r="K206" s="45">
        <v>9984.6290000000008</v>
      </c>
      <c r="L206">
        <f t="shared" si="21"/>
        <v>0</v>
      </c>
    </row>
    <row r="207" spans="1:12">
      <c r="A207">
        <f t="shared" si="17"/>
        <v>0</v>
      </c>
      <c r="B207">
        <f t="shared" si="18"/>
        <v>0</v>
      </c>
      <c r="C207">
        <f t="shared" si="19"/>
        <v>0</v>
      </c>
      <c r="D207">
        <f t="shared" si="20"/>
        <v>0</v>
      </c>
      <c r="E207" s="42">
        <v>46242.25</v>
      </c>
      <c r="F207" s="45">
        <v>499.99990000000003</v>
      </c>
      <c r="G207" s="45">
        <v>150.4836</v>
      </c>
      <c r="H207" s="45">
        <v>654.69849999999997</v>
      </c>
      <c r="I207" s="45">
        <v>0</v>
      </c>
      <c r="J207" s="45">
        <v>500</v>
      </c>
      <c r="K207" s="45">
        <v>9985.3629999999994</v>
      </c>
      <c r="L207">
        <f t="shared" si="21"/>
        <v>0</v>
      </c>
    </row>
    <row r="208" spans="1:12">
      <c r="A208">
        <f t="shared" si="17"/>
        <v>0</v>
      </c>
      <c r="B208">
        <f t="shared" si="18"/>
        <v>0</v>
      </c>
      <c r="C208">
        <f t="shared" si="19"/>
        <v>0</v>
      </c>
      <c r="D208">
        <f t="shared" si="20"/>
        <v>0</v>
      </c>
      <c r="E208" s="42">
        <v>46242.291666666664</v>
      </c>
      <c r="F208" s="45">
        <v>499.99990000000003</v>
      </c>
      <c r="G208" s="45">
        <v>150.26609999999999</v>
      </c>
      <c r="H208" s="45">
        <v>654.02419999999995</v>
      </c>
      <c r="I208" s="45">
        <v>0</v>
      </c>
      <c r="J208" s="45">
        <v>500</v>
      </c>
      <c r="K208" s="45">
        <v>9985.9449999999997</v>
      </c>
      <c r="L208">
        <f t="shared" si="21"/>
        <v>0</v>
      </c>
    </row>
    <row r="209" spans="1:12">
      <c r="A209">
        <f t="shared" si="17"/>
        <v>0</v>
      </c>
      <c r="B209">
        <f t="shared" si="18"/>
        <v>0</v>
      </c>
      <c r="C209">
        <f t="shared" si="19"/>
        <v>0</v>
      </c>
      <c r="D209">
        <f t="shared" si="20"/>
        <v>0</v>
      </c>
      <c r="E209" s="42">
        <v>46242.333333333336</v>
      </c>
      <c r="F209" s="45">
        <v>499.99990000000003</v>
      </c>
      <c r="G209" s="45">
        <v>150.04849999999999</v>
      </c>
      <c r="H209" s="45">
        <v>653.35</v>
      </c>
      <c r="I209" s="45">
        <v>0</v>
      </c>
      <c r="J209" s="45">
        <v>500</v>
      </c>
      <c r="K209" s="45">
        <v>9986.527</v>
      </c>
      <c r="L209">
        <f t="shared" si="21"/>
        <v>0</v>
      </c>
    </row>
    <row r="210" spans="1:12">
      <c r="A210">
        <f t="shared" si="17"/>
        <v>0</v>
      </c>
      <c r="B210">
        <f t="shared" si="18"/>
        <v>0</v>
      </c>
      <c r="C210">
        <f t="shared" si="19"/>
        <v>0</v>
      </c>
      <c r="D210">
        <f t="shared" si="20"/>
        <v>0</v>
      </c>
      <c r="E210" s="42">
        <v>46242.375</v>
      </c>
      <c r="F210" s="45">
        <v>499.99990000000003</v>
      </c>
      <c r="G210" s="45">
        <v>150.02600000000001</v>
      </c>
      <c r="H210" s="45">
        <v>652.62490000000003</v>
      </c>
      <c r="I210" s="45">
        <v>0</v>
      </c>
      <c r="J210" s="45">
        <v>500</v>
      </c>
      <c r="K210" s="45">
        <v>9987.0589999999993</v>
      </c>
      <c r="L210">
        <f t="shared" si="21"/>
        <v>0</v>
      </c>
    </row>
    <row r="211" spans="1:12">
      <c r="A211">
        <f t="shared" si="17"/>
        <v>0</v>
      </c>
      <c r="B211">
        <f t="shared" si="18"/>
        <v>0</v>
      </c>
      <c r="C211">
        <f t="shared" si="19"/>
        <v>0</v>
      </c>
      <c r="D211">
        <f t="shared" si="20"/>
        <v>0</v>
      </c>
      <c r="E211" s="42">
        <v>46242.416666666664</v>
      </c>
      <c r="F211" s="45">
        <v>499.99990000000003</v>
      </c>
      <c r="G211" s="45">
        <v>150.0035</v>
      </c>
      <c r="H211" s="45">
        <v>651.9</v>
      </c>
      <c r="I211" s="45">
        <v>0</v>
      </c>
      <c r="J211" s="45">
        <v>500</v>
      </c>
      <c r="K211" s="45">
        <v>9987.5910000000003</v>
      </c>
      <c r="L211">
        <f t="shared" si="21"/>
        <v>0</v>
      </c>
    </row>
    <row r="212" spans="1:12">
      <c r="A212">
        <f t="shared" si="17"/>
        <v>0</v>
      </c>
      <c r="B212">
        <f t="shared" si="18"/>
        <v>0</v>
      </c>
      <c r="C212">
        <f t="shared" si="19"/>
        <v>0</v>
      </c>
      <c r="D212">
        <f t="shared" si="20"/>
        <v>0</v>
      </c>
      <c r="E212" s="42">
        <v>46242.458333333336</v>
      </c>
      <c r="F212" s="45">
        <v>499.99990000000003</v>
      </c>
      <c r="G212" s="45">
        <v>150.0018</v>
      </c>
      <c r="H212" s="45">
        <v>651.40549999999996</v>
      </c>
      <c r="I212" s="45">
        <v>0</v>
      </c>
      <c r="J212" s="45">
        <v>500</v>
      </c>
      <c r="K212" s="45">
        <v>9988.0499999999993</v>
      </c>
      <c r="L212">
        <f t="shared" si="21"/>
        <v>0</v>
      </c>
    </row>
    <row r="213" spans="1:12">
      <c r="A213">
        <f t="shared" si="17"/>
        <v>0</v>
      </c>
      <c r="B213">
        <f t="shared" si="18"/>
        <v>0</v>
      </c>
      <c r="C213">
        <f t="shared" si="19"/>
        <v>0</v>
      </c>
      <c r="D213">
        <f t="shared" si="20"/>
        <v>0</v>
      </c>
      <c r="E213" s="42">
        <v>46242.5</v>
      </c>
      <c r="F213" s="45">
        <v>499.99990000000003</v>
      </c>
      <c r="G213" s="45">
        <v>150.00020000000001</v>
      </c>
      <c r="H213" s="45">
        <v>650.91120000000001</v>
      </c>
      <c r="I213" s="45">
        <v>0</v>
      </c>
      <c r="J213" s="45">
        <v>500</v>
      </c>
      <c r="K213" s="45">
        <v>9988.51</v>
      </c>
      <c r="L213">
        <f t="shared" si="21"/>
        <v>0</v>
      </c>
    </row>
    <row r="214" spans="1:12">
      <c r="A214">
        <f t="shared" si="17"/>
        <v>0</v>
      </c>
      <c r="B214">
        <f t="shared" si="18"/>
        <v>0</v>
      </c>
      <c r="C214">
        <f t="shared" si="19"/>
        <v>0</v>
      </c>
      <c r="D214">
        <f t="shared" si="20"/>
        <v>0</v>
      </c>
      <c r="E214" s="42">
        <v>46242.541666666664</v>
      </c>
      <c r="F214" s="45">
        <v>499.99990000000003</v>
      </c>
      <c r="G214" s="45">
        <v>150.0001</v>
      </c>
      <c r="H214" s="45">
        <v>650.65520000000004</v>
      </c>
      <c r="I214" s="45">
        <v>0</v>
      </c>
      <c r="J214" s="45">
        <v>500</v>
      </c>
      <c r="K214" s="45">
        <v>9989.2109999999993</v>
      </c>
      <c r="L214">
        <f t="shared" si="21"/>
        <v>0</v>
      </c>
    </row>
    <row r="215" spans="1:12">
      <c r="A215">
        <f t="shared" si="17"/>
        <v>0</v>
      </c>
      <c r="B215">
        <f t="shared" si="18"/>
        <v>0</v>
      </c>
      <c r="C215">
        <f t="shared" si="19"/>
        <v>0</v>
      </c>
      <c r="D215">
        <f t="shared" si="20"/>
        <v>0</v>
      </c>
      <c r="E215" s="42">
        <v>46242.583333333336</v>
      </c>
      <c r="F215" s="45">
        <v>499.99990000000003</v>
      </c>
      <c r="G215" s="45">
        <v>150</v>
      </c>
      <c r="H215" s="45">
        <v>650.39909999999998</v>
      </c>
      <c r="I215" s="45">
        <v>0</v>
      </c>
      <c r="J215" s="45">
        <v>500</v>
      </c>
      <c r="K215" s="45">
        <v>9989.9120000000003</v>
      </c>
      <c r="L215">
        <f t="shared" si="21"/>
        <v>0</v>
      </c>
    </row>
    <row r="216" spans="1:12">
      <c r="A216">
        <f t="shared" si="17"/>
        <v>0</v>
      </c>
      <c r="B216">
        <f t="shared" si="18"/>
        <v>0</v>
      </c>
      <c r="C216">
        <f t="shared" si="19"/>
        <v>0</v>
      </c>
      <c r="D216">
        <f t="shared" si="20"/>
        <v>0</v>
      </c>
      <c r="E216" s="42">
        <v>46242.625</v>
      </c>
      <c r="F216" s="45">
        <v>499.99990000000003</v>
      </c>
      <c r="G216" s="45">
        <v>150</v>
      </c>
      <c r="H216" s="45">
        <v>650.28269999999998</v>
      </c>
      <c r="I216" s="45">
        <v>0</v>
      </c>
      <c r="J216" s="45">
        <v>500</v>
      </c>
      <c r="K216" s="45">
        <v>9990.6689999999999</v>
      </c>
      <c r="L216">
        <f t="shared" si="21"/>
        <v>0</v>
      </c>
    </row>
    <row r="217" spans="1:12">
      <c r="A217">
        <f t="shared" si="17"/>
        <v>0</v>
      </c>
      <c r="B217">
        <f t="shared" si="18"/>
        <v>0</v>
      </c>
      <c r="C217">
        <f t="shared" si="19"/>
        <v>0</v>
      </c>
      <c r="D217">
        <f t="shared" si="20"/>
        <v>0</v>
      </c>
      <c r="E217" s="42">
        <v>46242.666666666664</v>
      </c>
      <c r="F217" s="45">
        <v>499.99990000000003</v>
      </c>
      <c r="G217" s="45">
        <v>150</v>
      </c>
      <c r="H217" s="45">
        <v>650.16629999999998</v>
      </c>
      <c r="I217" s="45">
        <v>0</v>
      </c>
      <c r="J217" s="45">
        <v>500</v>
      </c>
      <c r="K217" s="45">
        <v>9991.4279999999999</v>
      </c>
      <c r="L217">
        <f t="shared" si="21"/>
        <v>0</v>
      </c>
    </row>
    <row r="218" spans="1:12">
      <c r="A218">
        <f t="shared" si="17"/>
        <v>0</v>
      </c>
      <c r="B218">
        <f t="shared" si="18"/>
        <v>0</v>
      </c>
      <c r="C218">
        <f t="shared" si="19"/>
        <v>0</v>
      </c>
      <c r="D218">
        <f t="shared" si="20"/>
        <v>0</v>
      </c>
      <c r="E218" s="42">
        <v>46242.708333333336</v>
      </c>
      <c r="F218" s="45">
        <v>499.99990000000003</v>
      </c>
      <c r="G218" s="45">
        <v>150</v>
      </c>
      <c r="H218" s="45">
        <v>650.11680000000001</v>
      </c>
      <c r="I218" s="45">
        <v>0</v>
      </c>
      <c r="J218" s="45">
        <v>500</v>
      </c>
      <c r="K218" s="45">
        <v>9992.0769999999993</v>
      </c>
      <c r="L218">
        <f t="shared" si="21"/>
        <v>0</v>
      </c>
    </row>
    <row r="219" spans="1:12">
      <c r="A219">
        <f t="shared" si="17"/>
        <v>0</v>
      </c>
      <c r="B219">
        <f t="shared" si="18"/>
        <v>0</v>
      </c>
      <c r="C219">
        <f t="shared" si="19"/>
        <v>0</v>
      </c>
      <c r="D219">
        <f t="shared" si="20"/>
        <v>0</v>
      </c>
      <c r="E219" s="42">
        <v>46242.75</v>
      </c>
      <c r="F219" s="45">
        <v>499.99990000000003</v>
      </c>
      <c r="G219" s="45">
        <v>150</v>
      </c>
      <c r="H219" s="45">
        <v>650.06730000000005</v>
      </c>
      <c r="I219" s="45">
        <v>0</v>
      </c>
      <c r="J219" s="45">
        <v>500</v>
      </c>
      <c r="K219" s="45">
        <v>9992.7270000000008</v>
      </c>
      <c r="L219">
        <f t="shared" si="21"/>
        <v>0</v>
      </c>
    </row>
    <row r="220" spans="1:12">
      <c r="A220">
        <f t="shared" si="17"/>
        <v>0</v>
      </c>
      <c r="B220">
        <f t="shared" si="18"/>
        <v>0</v>
      </c>
      <c r="C220">
        <f t="shared" si="19"/>
        <v>0</v>
      </c>
      <c r="D220">
        <f t="shared" si="20"/>
        <v>0</v>
      </c>
      <c r="E220" s="42">
        <v>46242.791666666664</v>
      </c>
      <c r="F220" s="45">
        <v>499.99990000000003</v>
      </c>
      <c r="G220" s="45">
        <v>150</v>
      </c>
      <c r="H220" s="45">
        <v>650.04700000000003</v>
      </c>
      <c r="I220" s="45">
        <v>0</v>
      </c>
      <c r="J220" s="45">
        <v>500</v>
      </c>
      <c r="K220" s="45">
        <v>9993.3639999999996</v>
      </c>
      <c r="L220">
        <f t="shared" si="21"/>
        <v>0</v>
      </c>
    </row>
    <row r="221" spans="1:12">
      <c r="A221">
        <f t="shared" si="17"/>
        <v>0</v>
      </c>
      <c r="B221">
        <f t="shared" si="18"/>
        <v>0</v>
      </c>
      <c r="C221">
        <f t="shared" si="19"/>
        <v>0</v>
      </c>
      <c r="D221">
        <f t="shared" si="20"/>
        <v>0</v>
      </c>
      <c r="E221" s="42">
        <v>46242.833333333336</v>
      </c>
      <c r="F221" s="45">
        <v>499.99990000000003</v>
      </c>
      <c r="G221" s="45">
        <v>150</v>
      </c>
      <c r="H221" s="45">
        <v>650.02670000000001</v>
      </c>
      <c r="I221" s="45">
        <v>0</v>
      </c>
      <c r="J221" s="45">
        <v>500</v>
      </c>
      <c r="K221" s="45">
        <v>9994.0020000000004</v>
      </c>
      <c r="L221">
        <f t="shared" si="21"/>
        <v>0</v>
      </c>
    </row>
    <row r="222" spans="1:12">
      <c r="A222">
        <f t="shared" si="17"/>
        <v>0</v>
      </c>
      <c r="B222">
        <f t="shared" si="18"/>
        <v>0</v>
      </c>
      <c r="C222">
        <f t="shared" si="19"/>
        <v>0</v>
      </c>
      <c r="D222">
        <f t="shared" si="20"/>
        <v>0</v>
      </c>
      <c r="E222" s="42">
        <v>46242.875</v>
      </c>
      <c r="F222" s="45">
        <v>499.99990000000003</v>
      </c>
      <c r="G222" s="45">
        <v>150</v>
      </c>
      <c r="H222" s="45">
        <v>650.01859999999999</v>
      </c>
      <c r="I222" s="45">
        <v>0</v>
      </c>
      <c r="J222" s="45">
        <v>500</v>
      </c>
      <c r="K222" s="45">
        <v>9994.64</v>
      </c>
      <c r="L222">
        <f t="shared" si="21"/>
        <v>0</v>
      </c>
    </row>
    <row r="223" spans="1:12">
      <c r="A223">
        <f t="shared" si="17"/>
        <v>0</v>
      </c>
      <c r="B223">
        <f t="shared" si="18"/>
        <v>0</v>
      </c>
      <c r="C223">
        <f t="shared" si="19"/>
        <v>0</v>
      </c>
      <c r="D223">
        <f t="shared" si="20"/>
        <v>0</v>
      </c>
      <c r="E223" s="42">
        <v>46242.916666666664</v>
      </c>
      <c r="F223" s="45">
        <v>499.99990000000003</v>
      </c>
      <c r="G223" s="45">
        <v>150</v>
      </c>
      <c r="H223" s="45">
        <v>650.0104</v>
      </c>
      <c r="I223" s="45">
        <v>0</v>
      </c>
      <c r="J223" s="45">
        <v>500</v>
      </c>
      <c r="K223" s="45">
        <v>9995.2759999999998</v>
      </c>
      <c r="L223">
        <f t="shared" si="21"/>
        <v>0</v>
      </c>
    </row>
    <row r="224" spans="1:12">
      <c r="A224">
        <f t="shared" si="17"/>
        <v>0</v>
      </c>
      <c r="B224">
        <f t="shared" si="18"/>
        <v>0</v>
      </c>
      <c r="C224">
        <f t="shared" si="19"/>
        <v>0</v>
      </c>
      <c r="D224">
        <f t="shared" si="20"/>
        <v>0</v>
      </c>
      <c r="E224" s="42">
        <v>46242.958333333336</v>
      </c>
      <c r="F224" s="45">
        <v>499.99990000000003</v>
      </c>
      <c r="G224" s="45">
        <v>150</v>
      </c>
      <c r="H224" s="45">
        <v>650.00720000000001</v>
      </c>
      <c r="I224" s="45">
        <v>0</v>
      </c>
      <c r="J224" s="45">
        <v>500</v>
      </c>
      <c r="K224" s="45">
        <v>9995.8369999999995</v>
      </c>
      <c r="L224">
        <f t="shared" si="21"/>
        <v>0</v>
      </c>
    </row>
    <row r="225" spans="1:12">
      <c r="A225">
        <f t="shared" si="17"/>
        <v>0</v>
      </c>
      <c r="B225">
        <f t="shared" si="18"/>
        <v>0</v>
      </c>
      <c r="C225">
        <f t="shared" si="19"/>
        <v>0</v>
      </c>
      <c r="D225">
        <f t="shared" si="20"/>
        <v>0</v>
      </c>
      <c r="E225" s="42">
        <v>46243</v>
      </c>
      <c r="F225" s="45">
        <v>499.99990000000003</v>
      </c>
      <c r="G225" s="45">
        <v>150</v>
      </c>
      <c r="H225" s="45">
        <v>650.00400000000002</v>
      </c>
      <c r="I225" s="45">
        <v>0</v>
      </c>
      <c r="J225" s="45">
        <v>500</v>
      </c>
      <c r="K225" s="45">
        <v>9996.3970000000008</v>
      </c>
      <c r="L225">
        <f t="shared" si="21"/>
        <v>0</v>
      </c>
    </row>
    <row r="226" spans="1:12">
      <c r="A226">
        <f t="shared" si="17"/>
        <v>0</v>
      </c>
      <c r="B226">
        <f t="shared" si="18"/>
        <v>0</v>
      </c>
      <c r="C226">
        <f t="shared" si="19"/>
        <v>0</v>
      </c>
      <c r="D226">
        <f t="shared" si="20"/>
        <v>0</v>
      </c>
      <c r="E226" s="42">
        <v>46243.041666666664</v>
      </c>
      <c r="F226" s="45">
        <v>499.99990000000003</v>
      </c>
      <c r="G226" s="45">
        <v>150</v>
      </c>
      <c r="H226" s="45">
        <v>650.0027</v>
      </c>
      <c r="I226" s="45">
        <v>0</v>
      </c>
      <c r="J226" s="45">
        <v>500</v>
      </c>
      <c r="K226" s="45">
        <v>9996.8979999999992</v>
      </c>
      <c r="L226">
        <f t="shared" si="21"/>
        <v>0</v>
      </c>
    </row>
    <row r="227" spans="1:12">
      <c r="A227">
        <f t="shared" si="17"/>
        <v>0</v>
      </c>
      <c r="B227">
        <f t="shared" si="18"/>
        <v>0</v>
      </c>
      <c r="C227">
        <f t="shared" si="19"/>
        <v>0</v>
      </c>
      <c r="D227">
        <f t="shared" si="20"/>
        <v>0</v>
      </c>
      <c r="E227" s="42">
        <v>46243.083333333336</v>
      </c>
      <c r="F227" s="45">
        <v>499.99990000000003</v>
      </c>
      <c r="G227" s="45">
        <v>150</v>
      </c>
      <c r="H227" s="45">
        <v>650.00149999999996</v>
      </c>
      <c r="I227" s="45">
        <v>0</v>
      </c>
      <c r="J227" s="45">
        <v>500</v>
      </c>
      <c r="K227" s="45">
        <v>9997.3989999999994</v>
      </c>
      <c r="L227">
        <f t="shared" si="21"/>
        <v>0</v>
      </c>
    </row>
    <row r="228" spans="1:12">
      <c r="A228">
        <f t="shared" si="17"/>
        <v>0</v>
      </c>
      <c r="B228">
        <f t="shared" si="18"/>
        <v>0</v>
      </c>
      <c r="C228">
        <f t="shared" si="19"/>
        <v>0</v>
      </c>
      <c r="D228">
        <f t="shared" si="20"/>
        <v>0</v>
      </c>
      <c r="E228" s="42">
        <v>46243.125</v>
      </c>
      <c r="F228" s="45">
        <v>499.99990000000003</v>
      </c>
      <c r="G228" s="45">
        <v>150</v>
      </c>
      <c r="H228" s="45">
        <v>650.00099999999998</v>
      </c>
      <c r="I228" s="45">
        <v>0</v>
      </c>
      <c r="J228" s="45">
        <v>500</v>
      </c>
      <c r="K228" s="45">
        <v>9997.7819999999992</v>
      </c>
      <c r="L228">
        <f t="shared" si="21"/>
        <v>0</v>
      </c>
    </row>
    <row r="229" spans="1:12">
      <c r="A229">
        <f t="shared" si="17"/>
        <v>0</v>
      </c>
      <c r="B229">
        <f t="shared" si="18"/>
        <v>0</v>
      </c>
      <c r="C229">
        <f t="shared" si="19"/>
        <v>0</v>
      </c>
      <c r="D229">
        <f t="shared" si="20"/>
        <v>0</v>
      </c>
      <c r="E229" s="42">
        <v>46243.166666666664</v>
      </c>
      <c r="F229" s="45">
        <v>499.99990000000003</v>
      </c>
      <c r="G229" s="45">
        <v>150</v>
      </c>
      <c r="H229" s="45">
        <v>650.00049999999999</v>
      </c>
      <c r="I229" s="45">
        <v>0</v>
      </c>
      <c r="J229" s="45">
        <v>500</v>
      </c>
      <c r="K229" s="45">
        <v>9998.1640000000007</v>
      </c>
      <c r="L229">
        <f t="shared" si="21"/>
        <v>0</v>
      </c>
    </row>
    <row r="230" spans="1:12">
      <c r="A230">
        <f t="shared" si="17"/>
        <v>0</v>
      </c>
      <c r="B230">
        <f t="shared" si="18"/>
        <v>0</v>
      </c>
      <c r="C230">
        <f t="shared" si="19"/>
        <v>0</v>
      </c>
      <c r="D230">
        <f t="shared" si="20"/>
        <v>0</v>
      </c>
      <c r="E230" s="42">
        <v>46243.208333333336</v>
      </c>
      <c r="F230" s="45">
        <v>499.99990000000003</v>
      </c>
      <c r="G230" s="45">
        <v>150</v>
      </c>
      <c r="H230" s="45">
        <v>650.00030000000004</v>
      </c>
      <c r="I230" s="45">
        <v>0</v>
      </c>
      <c r="J230" s="45">
        <v>500</v>
      </c>
      <c r="K230" s="45">
        <v>9998.4639999999999</v>
      </c>
      <c r="L230">
        <f t="shared" si="21"/>
        <v>0</v>
      </c>
    </row>
    <row r="231" spans="1:12">
      <c r="A231">
        <f t="shared" si="17"/>
        <v>0</v>
      </c>
      <c r="B231">
        <f t="shared" si="18"/>
        <v>0</v>
      </c>
      <c r="C231">
        <f t="shared" si="19"/>
        <v>0</v>
      </c>
      <c r="D231">
        <f t="shared" si="20"/>
        <v>0</v>
      </c>
      <c r="E231" s="42">
        <v>46243.25</v>
      </c>
      <c r="F231" s="45">
        <v>499.99990000000003</v>
      </c>
      <c r="G231" s="45">
        <v>150</v>
      </c>
      <c r="H231" s="45">
        <v>650.00009999999997</v>
      </c>
      <c r="I231" s="45">
        <v>0</v>
      </c>
      <c r="J231" s="45">
        <v>500</v>
      </c>
      <c r="K231" s="45">
        <v>9998.7659999999996</v>
      </c>
      <c r="L231">
        <f t="shared" si="21"/>
        <v>0</v>
      </c>
    </row>
    <row r="232" spans="1:12">
      <c r="A232">
        <f t="shared" si="17"/>
        <v>0</v>
      </c>
      <c r="B232">
        <f t="shared" si="18"/>
        <v>0</v>
      </c>
      <c r="C232">
        <f t="shared" si="19"/>
        <v>0</v>
      </c>
      <c r="D232">
        <f t="shared" si="20"/>
        <v>0</v>
      </c>
      <c r="E232" s="42">
        <v>46243.291666666664</v>
      </c>
      <c r="F232" s="45">
        <v>499.99990000000003</v>
      </c>
      <c r="G232" s="45">
        <v>150</v>
      </c>
      <c r="H232" s="45">
        <v>650.00009999999997</v>
      </c>
      <c r="I232" s="45">
        <v>0</v>
      </c>
      <c r="J232" s="45">
        <v>500</v>
      </c>
      <c r="K232" s="45">
        <v>9998.973</v>
      </c>
      <c r="L232">
        <f t="shared" si="21"/>
        <v>0</v>
      </c>
    </row>
    <row r="233" spans="1:12">
      <c r="A233">
        <f t="shared" si="17"/>
        <v>0</v>
      </c>
      <c r="B233">
        <f t="shared" si="18"/>
        <v>0</v>
      </c>
      <c r="C233">
        <f t="shared" si="19"/>
        <v>0</v>
      </c>
      <c r="D233">
        <f t="shared" si="20"/>
        <v>0</v>
      </c>
      <c r="E233" s="42">
        <v>46243.333333333336</v>
      </c>
      <c r="F233" s="45">
        <v>499.99990000000003</v>
      </c>
      <c r="G233" s="45">
        <v>150</v>
      </c>
      <c r="H233" s="45">
        <v>650</v>
      </c>
      <c r="I233" s="45">
        <v>0</v>
      </c>
      <c r="J233" s="45">
        <v>500</v>
      </c>
      <c r="K233" s="45">
        <v>9999.1810000000005</v>
      </c>
      <c r="L233">
        <f t="shared" si="21"/>
        <v>0</v>
      </c>
    </row>
    <row r="234" spans="1:12">
      <c r="A234">
        <f t="shared" si="17"/>
        <v>0</v>
      </c>
      <c r="B234">
        <f t="shared" si="18"/>
        <v>0</v>
      </c>
      <c r="C234">
        <f t="shared" si="19"/>
        <v>0</v>
      </c>
      <c r="D234">
        <f t="shared" si="20"/>
        <v>0</v>
      </c>
      <c r="E234" s="42">
        <v>46243.375</v>
      </c>
      <c r="F234" s="45">
        <v>499.99990000000003</v>
      </c>
      <c r="G234" s="45">
        <v>150</v>
      </c>
      <c r="H234" s="45">
        <v>650</v>
      </c>
      <c r="I234" s="45">
        <v>0</v>
      </c>
      <c r="J234" s="45">
        <v>500</v>
      </c>
      <c r="K234" s="45">
        <v>9999.3289999999997</v>
      </c>
      <c r="L234">
        <f t="shared" si="21"/>
        <v>0</v>
      </c>
    </row>
    <row r="235" spans="1:12">
      <c r="A235">
        <f t="shared" si="17"/>
        <v>0</v>
      </c>
      <c r="B235">
        <f t="shared" si="18"/>
        <v>0</v>
      </c>
      <c r="C235">
        <f t="shared" si="19"/>
        <v>0</v>
      </c>
      <c r="D235">
        <f t="shared" si="20"/>
        <v>0</v>
      </c>
      <c r="E235" s="42">
        <v>46243.416666666664</v>
      </c>
      <c r="F235" s="45">
        <v>499.99990000000003</v>
      </c>
      <c r="G235" s="45">
        <v>150</v>
      </c>
      <c r="H235" s="45">
        <v>649.99990000000003</v>
      </c>
      <c r="I235" s="45">
        <v>0</v>
      </c>
      <c r="J235" s="45">
        <v>499.99869999999999</v>
      </c>
      <c r="K235" s="45">
        <v>9999.52</v>
      </c>
      <c r="L235">
        <f t="shared" si="21"/>
        <v>0</v>
      </c>
    </row>
    <row r="236" spans="1:12">
      <c r="A236">
        <f t="shared" si="17"/>
        <v>0</v>
      </c>
      <c r="B236">
        <f t="shared" si="18"/>
        <v>0</v>
      </c>
      <c r="C236">
        <f t="shared" si="19"/>
        <v>0</v>
      </c>
      <c r="D236">
        <f t="shared" si="20"/>
        <v>0</v>
      </c>
      <c r="E236" s="42">
        <v>46243.458333333336</v>
      </c>
      <c r="F236" s="45">
        <v>499.99990000000003</v>
      </c>
      <c r="G236" s="45">
        <v>150</v>
      </c>
      <c r="H236" s="45">
        <v>649.99990000000003</v>
      </c>
      <c r="I236" s="45">
        <v>0</v>
      </c>
      <c r="J236" s="45">
        <v>499.97199999999998</v>
      </c>
      <c r="K236" s="45">
        <v>10000.459999999999</v>
      </c>
      <c r="L236">
        <f t="shared" si="21"/>
        <v>0.45999999999912689</v>
      </c>
    </row>
    <row r="237" spans="1:12">
      <c r="A237">
        <f t="shared" si="17"/>
        <v>0</v>
      </c>
      <c r="B237">
        <f t="shared" si="18"/>
        <v>0</v>
      </c>
      <c r="C237">
        <f t="shared" si="19"/>
        <v>0</v>
      </c>
      <c r="D237">
        <f t="shared" si="20"/>
        <v>0</v>
      </c>
      <c r="E237" s="42">
        <v>46243.5</v>
      </c>
      <c r="F237" s="45">
        <v>499.99990000000003</v>
      </c>
      <c r="G237" s="45">
        <v>150</v>
      </c>
      <c r="H237" s="45">
        <v>649.99990000000003</v>
      </c>
      <c r="I237" s="45">
        <v>0</v>
      </c>
      <c r="J237" s="45">
        <v>499.93209999999999</v>
      </c>
      <c r="K237" s="45">
        <v>10000.549999999999</v>
      </c>
      <c r="L237">
        <f t="shared" si="21"/>
        <v>0.5499999999992724</v>
      </c>
    </row>
    <row r="238" spans="1:12">
      <c r="A238">
        <f t="shared" si="17"/>
        <v>0</v>
      </c>
      <c r="B238">
        <f t="shared" si="18"/>
        <v>0</v>
      </c>
      <c r="C238">
        <f t="shared" si="19"/>
        <v>0</v>
      </c>
      <c r="D238">
        <f t="shared" si="20"/>
        <v>0</v>
      </c>
      <c r="E238" s="42">
        <v>46243.541666666664</v>
      </c>
      <c r="F238" s="45">
        <v>499.99990000000003</v>
      </c>
      <c r="G238" s="45">
        <v>150</v>
      </c>
      <c r="H238" s="45">
        <v>649.99990000000003</v>
      </c>
      <c r="I238" s="45">
        <v>0</v>
      </c>
      <c r="J238" s="45">
        <v>499.12029999999999</v>
      </c>
      <c r="K238" s="45">
        <v>10000.58</v>
      </c>
      <c r="L238">
        <f t="shared" si="21"/>
        <v>0.57999999999992724</v>
      </c>
    </row>
    <row r="239" spans="1:12">
      <c r="A239">
        <f t="shared" si="17"/>
        <v>0</v>
      </c>
      <c r="B239">
        <f t="shared" si="18"/>
        <v>0</v>
      </c>
      <c r="C239">
        <f t="shared" si="19"/>
        <v>0</v>
      </c>
      <c r="D239">
        <f t="shared" si="20"/>
        <v>0</v>
      </c>
      <c r="E239" s="42">
        <v>46243.583333333336</v>
      </c>
      <c r="F239" s="45">
        <v>499.99990000000003</v>
      </c>
      <c r="G239" s="45">
        <v>150</v>
      </c>
      <c r="H239" s="45">
        <v>649.99990000000003</v>
      </c>
      <c r="I239" s="45">
        <v>0</v>
      </c>
      <c r="J239" s="45">
        <v>498.65300000000002</v>
      </c>
      <c r="K239" s="45">
        <v>10001.33</v>
      </c>
      <c r="L239">
        <f t="shared" si="21"/>
        <v>1.3299999999999272</v>
      </c>
    </row>
    <row r="240" spans="1:12">
      <c r="A240">
        <f t="shared" si="17"/>
        <v>0</v>
      </c>
      <c r="B240">
        <f t="shared" si="18"/>
        <v>0</v>
      </c>
      <c r="C240">
        <f t="shared" si="19"/>
        <v>0</v>
      </c>
      <c r="D240">
        <f t="shared" si="20"/>
        <v>0</v>
      </c>
      <c r="E240" s="42">
        <v>46243.625</v>
      </c>
      <c r="F240" s="45">
        <v>499.99990000000003</v>
      </c>
      <c r="G240" s="45">
        <v>150</v>
      </c>
      <c r="H240" s="45">
        <v>649.99990000000003</v>
      </c>
      <c r="I240" s="45">
        <v>0</v>
      </c>
      <c r="J240" s="45">
        <v>489.14920000000001</v>
      </c>
      <c r="K240" s="45">
        <v>10015.11</v>
      </c>
      <c r="L240">
        <f t="shared" si="21"/>
        <v>15.110000000000582</v>
      </c>
    </row>
    <row r="241" spans="1:12">
      <c r="A241">
        <f t="shared" si="17"/>
        <v>0</v>
      </c>
      <c r="B241">
        <f t="shared" si="18"/>
        <v>0</v>
      </c>
      <c r="C241">
        <f t="shared" si="19"/>
        <v>0</v>
      </c>
      <c r="D241">
        <f t="shared" si="20"/>
        <v>0</v>
      </c>
      <c r="E241" s="42">
        <v>46243.666666666664</v>
      </c>
      <c r="F241" s="45">
        <v>499.99990000000003</v>
      </c>
      <c r="G241" s="45">
        <v>150</v>
      </c>
      <c r="H241" s="45">
        <v>649.99990000000003</v>
      </c>
      <c r="I241" s="45">
        <v>0</v>
      </c>
      <c r="J241" s="45">
        <v>486.57490000000001</v>
      </c>
      <c r="K241" s="45">
        <v>10015.02</v>
      </c>
      <c r="L241">
        <f t="shared" si="21"/>
        <v>15.020000000000437</v>
      </c>
    </row>
    <row r="242" spans="1:12">
      <c r="A242">
        <f>AC242</f>
        <v>0</v>
      </c>
      <c r="B242">
        <f t="shared" si="18"/>
        <v>0</v>
      </c>
      <c r="C242">
        <f t="shared" si="19"/>
        <v>0</v>
      </c>
      <c r="D242">
        <f t="shared" si="20"/>
        <v>0</v>
      </c>
      <c r="E242" s="42">
        <v>46243.708333333336</v>
      </c>
      <c r="F242" s="45">
        <v>499.99990000000003</v>
      </c>
      <c r="G242" s="45">
        <v>150</v>
      </c>
      <c r="H242" s="45">
        <v>649.99990000000003</v>
      </c>
      <c r="I242" s="45">
        <v>0</v>
      </c>
      <c r="J242" s="45">
        <v>434.22699999999998</v>
      </c>
      <c r="K242" s="45">
        <v>10012.290000000001</v>
      </c>
      <c r="L242">
        <f t="shared" si="21"/>
        <v>12.290000000000873</v>
      </c>
    </row>
    <row r="243" spans="1:12">
      <c r="A243">
        <f t="shared" ref="A243:A306" si="22">AC243</f>
        <v>0</v>
      </c>
      <c r="B243">
        <f t="shared" si="18"/>
        <v>0</v>
      </c>
      <c r="C243">
        <f t="shared" si="19"/>
        <v>0</v>
      </c>
      <c r="D243">
        <f t="shared" si="20"/>
        <v>0</v>
      </c>
      <c r="E243" s="42">
        <v>46243.75</v>
      </c>
      <c r="F243" s="45">
        <v>499.99990000000003</v>
      </c>
      <c r="G243" s="45">
        <v>150</v>
      </c>
      <c r="H243" s="45">
        <v>649.99990000000003</v>
      </c>
      <c r="I243" s="45">
        <v>0</v>
      </c>
      <c r="J243" s="45">
        <v>427.7704</v>
      </c>
      <c r="K243" s="45">
        <v>10015.719999999999</v>
      </c>
      <c r="L243">
        <f t="shared" si="21"/>
        <v>15.719999999999345</v>
      </c>
    </row>
    <row r="244" spans="1:12">
      <c r="A244">
        <f t="shared" si="22"/>
        <v>0</v>
      </c>
      <c r="B244">
        <f t="shared" si="18"/>
        <v>0</v>
      </c>
      <c r="C244">
        <f t="shared" si="19"/>
        <v>0</v>
      </c>
      <c r="D244">
        <f t="shared" si="20"/>
        <v>0</v>
      </c>
      <c r="E244" s="42">
        <v>46243.791666666664</v>
      </c>
      <c r="F244" s="45">
        <v>499.99990000000003</v>
      </c>
      <c r="G244" s="45">
        <v>150</v>
      </c>
      <c r="H244" s="45">
        <v>649.99990000000003</v>
      </c>
      <c r="I244" s="45">
        <v>0</v>
      </c>
      <c r="J244" s="45">
        <v>296.47770000000003</v>
      </c>
      <c r="K244" s="45">
        <v>10085.049999999999</v>
      </c>
      <c r="L244">
        <f t="shared" si="21"/>
        <v>85.049999999999272</v>
      </c>
    </row>
    <row r="245" spans="1:12">
      <c r="A245">
        <f t="shared" si="22"/>
        <v>0</v>
      </c>
      <c r="B245">
        <f t="shared" si="18"/>
        <v>0</v>
      </c>
      <c r="C245">
        <f t="shared" si="19"/>
        <v>0</v>
      </c>
      <c r="D245">
        <f t="shared" si="20"/>
        <v>0</v>
      </c>
      <c r="E245" s="42">
        <v>46243.833333333336</v>
      </c>
      <c r="F245" s="45">
        <v>499.99990000000003</v>
      </c>
      <c r="G245" s="45">
        <v>150</v>
      </c>
      <c r="H245" s="45">
        <v>649.99990000000003</v>
      </c>
      <c r="I245" s="45">
        <v>0</v>
      </c>
      <c r="J245" s="45">
        <v>290.43389999999999</v>
      </c>
      <c r="K245" s="45">
        <v>10082.73</v>
      </c>
      <c r="L245">
        <f t="shared" si="21"/>
        <v>82.729999999999563</v>
      </c>
    </row>
    <row r="246" spans="1:12">
      <c r="A246">
        <f t="shared" si="22"/>
        <v>0</v>
      </c>
      <c r="B246">
        <f t="shared" si="18"/>
        <v>0</v>
      </c>
      <c r="C246">
        <f t="shared" si="19"/>
        <v>0</v>
      </c>
      <c r="D246">
        <f t="shared" si="20"/>
        <v>0</v>
      </c>
      <c r="E246" s="42">
        <v>46243.875</v>
      </c>
      <c r="F246" s="45">
        <v>499.99990000000003</v>
      </c>
      <c r="G246" s="45">
        <v>150</v>
      </c>
      <c r="H246" s="45">
        <v>649.99990000000003</v>
      </c>
      <c r="I246" s="45">
        <v>0</v>
      </c>
      <c r="J246" s="45">
        <v>167.53829999999999</v>
      </c>
      <c r="K246" s="45">
        <v>10035.1</v>
      </c>
      <c r="L246">
        <f t="shared" si="21"/>
        <v>35.100000000000364</v>
      </c>
    </row>
    <row r="247" spans="1:12">
      <c r="A247">
        <f t="shared" si="22"/>
        <v>0</v>
      </c>
      <c r="B247">
        <f t="shared" si="18"/>
        <v>0</v>
      </c>
      <c r="C247">
        <f t="shared" si="19"/>
        <v>0</v>
      </c>
      <c r="D247">
        <f t="shared" si="20"/>
        <v>0</v>
      </c>
      <c r="E247" s="42">
        <v>46243.916666666664</v>
      </c>
      <c r="F247" s="45">
        <v>499.99990000000003</v>
      </c>
      <c r="G247" s="45">
        <v>150</v>
      </c>
      <c r="H247" s="45">
        <v>649.99990000000003</v>
      </c>
      <c r="I247" s="45">
        <v>0</v>
      </c>
      <c r="J247" s="45">
        <v>163.58799999999999</v>
      </c>
      <c r="K247" s="45">
        <v>10038.620000000001</v>
      </c>
      <c r="L247">
        <f t="shared" si="21"/>
        <v>38.6200000000008</v>
      </c>
    </row>
    <row r="248" spans="1:12">
      <c r="A248">
        <f t="shared" si="22"/>
        <v>0</v>
      </c>
      <c r="B248">
        <f t="shared" si="18"/>
        <v>0</v>
      </c>
      <c r="C248">
        <f t="shared" si="19"/>
        <v>0</v>
      </c>
      <c r="D248">
        <f t="shared" si="20"/>
        <v>0</v>
      </c>
      <c r="E248" s="42">
        <v>46243.958333333336</v>
      </c>
      <c r="F248" s="45">
        <v>499.99990000000003</v>
      </c>
      <c r="G248" s="45">
        <v>150</v>
      </c>
      <c r="H248" s="45">
        <v>649.99990000000003</v>
      </c>
      <c r="I248" s="45">
        <v>0</v>
      </c>
      <c r="J248" s="45">
        <v>83.263869999999997</v>
      </c>
      <c r="K248" s="45">
        <v>10111.76</v>
      </c>
      <c r="L248">
        <f t="shared" si="21"/>
        <v>111.76000000000022</v>
      </c>
    </row>
    <row r="249" spans="1:12">
      <c r="A249">
        <f t="shared" si="22"/>
        <v>0</v>
      </c>
      <c r="B249">
        <f t="shared" si="18"/>
        <v>0</v>
      </c>
      <c r="C249">
        <f t="shared" si="19"/>
        <v>0</v>
      </c>
      <c r="D249">
        <f t="shared" si="20"/>
        <v>0</v>
      </c>
      <c r="E249" s="42">
        <v>46244</v>
      </c>
      <c r="F249" s="45">
        <v>499.99990000000003</v>
      </c>
      <c r="G249" s="45">
        <v>150</v>
      </c>
      <c r="H249" s="45">
        <v>649.99990000000003</v>
      </c>
      <c r="I249" s="45">
        <v>0</v>
      </c>
      <c r="J249" s="45">
        <v>81.132729999999995</v>
      </c>
      <c r="K249" s="45">
        <v>10106.39</v>
      </c>
      <c r="L249">
        <f t="shared" si="21"/>
        <v>106.38999999999942</v>
      </c>
    </row>
    <row r="250" spans="1:12">
      <c r="A250">
        <f t="shared" si="22"/>
        <v>0</v>
      </c>
      <c r="B250">
        <f t="shared" si="18"/>
        <v>0</v>
      </c>
      <c r="C250">
        <f t="shared" si="19"/>
        <v>0</v>
      </c>
      <c r="D250">
        <f t="shared" si="20"/>
        <v>0</v>
      </c>
      <c r="E250" s="42">
        <v>46244.041666666664</v>
      </c>
      <c r="F250" s="45">
        <v>499.99990000000003</v>
      </c>
      <c r="G250" s="45">
        <v>150</v>
      </c>
      <c r="H250" s="45">
        <v>649.99990000000003</v>
      </c>
      <c r="I250" s="45">
        <v>0</v>
      </c>
      <c r="J250" s="45">
        <v>37.799349999999997</v>
      </c>
      <c r="K250" s="45">
        <v>9998.0619999999999</v>
      </c>
      <c r="L250">
        <f t="shared" si="21"/>
        <v>0</v>
      </c>
    </row>
    <row r="251" spans="1:12">
      <c r="A251">
        <f t="shared" si="22"/>
        <v>0</v>
      </c>
      <c r="B251">
        <f t="shared" si="18"/>
        <v>0</v>
      </c>
      <c r="C251">
        <f t="shared" si="19"/>
        <v>0</v>
      </c>
      <c r="D251">
        <f t="shared" si="20"/>
        <v>0</v>
      </c>
      <c r="E251" s="42">
        <v>46244.083333333336</v>
      </c>
      <c r="F251" s="45">
        <v>499.99990000000003</v>
      </c>
      <c r="G251" s="45">
        <v>150</v>
      </c>
      <c r="H251" s="45">
        <v>649.99990000000003</v>
      </c>
      <c r="I251" s="45">
        <v>0</v>
      </c>
      <c r="J251" s="45">
        <v>36.78004</v>
      </c>
      <c r="K251" s="45">
        <v>9998.0709999999999</v>
      </c>
      <c r="L251">
        <f t="shared" si="21"/>
        <v>0</v>
      </c>
    </row>
    <row r="252" spans="1:12">
      <c r="A252">
        <f t="shared" si="22"/>
        <v>0</v>
      </c>
      <c r="B252">
        <f t="shared" si="18"/>
        <v>0</v>
      </c>
      <c r="C252">
        <f t="shared" si="19"/>
        <v>0</v>
      </c>
      <c r="D252">
        <f t="shared" si="20"/>
        <v>0</v>
      </c>
      <c r="E252" s="42">
        <v>46244.125</v>
      </c>
      <c r="F252" s="45">
        <v>499.99990000000003</v>
      </c>
      <c r="G252" s="45">
        <v>150</v>
      </c>
      <c r="H252" s="45">
        <v>649.99990000000003</v>
      </c>
      <c r="I252" s="45">
        <v>0</v>
      </c>
      <c r="J252" s="45">
        <v>16.054040000000001</v>
      </c>
      <c r="K252" s="45">
        <v>10029.33</v>
      </c>
      <c r="L252">
        <f t="shared" si="21"/>
        <v>29.329999999999927</v>
      </c>
    </row>
    <row r="253" spans="1:12">
      <c r="A253">
        <f t="shared" si="22"/>
        <v>0</v>
      </c>
      <c r="B253">
        <f t="shared" si="18"/>
        <v>0</v>
      </c>
      <c r="C253">
        <f t="shared" si="19"/>
        <v>0</v>
      </c>
      <c r="D253">
        <f t="shared" si="20"/>
        <v>0</v>
      </c>
      <c r="E253" s="42">
        <v>46244.166666666664</v>
      </c>
      <c r="F253" s="45">
        <v>499.99990000000003</v>
      </c>
      <c r="G253" s="45">
        <v>150</v>
      </c>
      <c r="H253" s="45">
        <v>649.99990000000003</v>
      </c>
      <c r="I253" s="45">
        <v>0</v>
      </c>
      <c r="J253" s="45">
        <v>15.605270000000001</v>
      </c>
      <c r="K253" s="45">
        <v>10025.799999999999</v>
      </c>
      <c r="L253">
        <f t="shared" si="21"/>
        <v>25.799999999999272</v>
      </c>
    </row>
    <row r="254" spans="1:12">
      <c r="A254">
        <f t="shared" si="22"/>
        <v>0</v>
      </c>
      <c r="B254">
        <f t="shared" si="18"/>
        <v>0</v>
      </c>
      <c r="C254">
        <f t="shared" si="19"/>
        <v>0</v>
      </c>
      <c r="D254">
        <f t="shared" si="20"/>
        <v>0</v>
      </c>
      <c r="E254" s="42">
        <v>46244.208333333336</v>
      </c>
      <c r="F254" s="45">
        <v>499.99990000000003</v>
      </c>
      <c r="G254" s="45">
        <v>150</v>
      </c>
      <c r="H254" s="45">
        <v>649.99990000000003</v>
      </c>
      <c r="I254" s="45">
        <v>0</v>
      </c>
      <c r="J254" s="45">
        <v>6.4804040000000001</v>
      </c>
      <c r="K254" s="45">
        <v>9972.9770000000008</v>
      </c>
      <c r="L254">
        <f t="shared" si="21"/>
        <v>0</v>
      </c>
    </row>
    <row r="255" spans="1:12">
      <c r="A255">
        <f t="shared" si="22"/>
        <v>0</v>
      </c>
      <c r="B255">
        <f t="shared" si="18"/>
        <v>0</v>
      </c>
      <c r="C255">
        <f t="shared" si="19"/>
        <v>0</v>
      </c>
      <c r="D255">
        <f t="shared" si="20"/>
        <v>0</v>
      </c>
      <c r="E255" s="42">
        <v>46244.25</v>
      </c>
      <c r="F255" s="45">
        <v>499.11259999999999</v>
      </c>
      <c r="G255" s="45">
        <v>150</v>
      </c>
      <c r="H255" s="45">
        <v>649.99990000000003</v>
      </c>
      <c r="I255" s="45">
        <v>0</v>
      </c>
      <c r="J255" s="45">
        <v>6.2944449999999996</v>
      </c>
      <c r="K255" s="45">
        <v>9964.2150000000001</v>
      </c>
      <c r="L255">
        <f t="shared" si="21"/>
        <v>0</v>
      </c>
    </row>
    <row r="256" spans="1:12">
      <c r="A256">
        <f t="shared" si="22"/>
        <v>0</v>
      </c>
      <c r="B256">
        <f t="shared" si="18"/>
        <v>0</v>
      </c>
      <c r="C256">
        <f t="shared" si="19"/>
        <v>0</v>
      </c>
      <c r="D256">
        <f t="shared" si="20"/>
        <v>0</v>
      </c>
      <c r="E256" s="42">
        <v>46244.291666666664</v>
      </c>
      <c r="F256" s="45">
        <v>498.92660000000001</v>
      </c>
      <c r="G256" s="45">
        <v>149.99930000000001</v>
      </c>
      <c r="H256" s="45">
        <v>649.99990000000003</v>
      </c>
      <c r="I256" s="45">
        <v>0</v>
      </c>
      <c r="J256" s="45">
        <v>2.513325</v>
      </c>
      <c r="K256" s="45">
        <v>9979.7710000000006</v>
      </c>
      <c r="L256">
        <f t="shared" si="21"/>
        <v>0</v>
      </c>
    </row>
    <row r="257" spans="1:12">
      <c r="A257">
        <f t="shared" si="22"/>
        <v>0</v>
      </c>
      <c r="B257">
        <f t="shared" si="18"/>
        <v>0</v>
      </c>
      <c r="C257">
        <f t="shared" si="19"/>
        <v>0</v>
      </c>
      <c r="D257">
        <f t="shared" si="20"/>
        <v>0</v>
      </c>
      <c r="E257" s="42">
        <v>46244.333333333336</v>
      </c>
      <c r="F257" s="45">
        <v>481.76209999999998</v>
      </c>
      <c r="G257" s="45">
        <v>149.9941</v>
      </c>
      <c r="H257" s="45">
        <v>649.99800000000005</v>
      </c>
      <c r="I257" s="45">
        <v>0</v>
      </c>
      <c r="J257" s="45">
        <v>2.4397540000000002</v>
      </c>
      <c r="K257" s="45">
        <v>9960.3700000000008</v>
      </c>
      <c r="L257">
        <f t="shared" si="21"/>
        <v>0</v>
      </c>
    </row>
    <row r="258" spans="1:12">
      <c r="A258">
        <f t="shared" si="22"/>
        <v>0</v>
      </c>
      <c r="B258">
        <f t="shared" si="18"/>
        <v>0</v>
      </c>
      <c r="C258">
        <f t="shared" si="19"/>
        <v>0</v>
      </c>
      <c r="D258">
        <f t="shared" si="20"/>
        <v>0</v>
      </c>
      <c r="E258" s="42">
        <v>46244.375</v>
      </c>
      <c r="F258" s="45">
        <v>478.1635</v>
      </c>
      <c r="G258" s="45">
        <v>149.97720000000001</v>
      </c>
      <c r="H258" s="45">
        <v>649.99760000000003</v>
      </c>
      <c r="I258" s="45">
        <v>0</v>
      </c>
      <c r="J258" s="45">
        <v>0.943824</v>
      </c>
      <c r="K258" s="45">
        <v>9937.49</v>
      </c>
      <c r="L258">
        <f t="shared" si="21"/>
        <v>0</v>
      </c>
    </row>
    <row r="259" spans="1:12">
      <c r="A259">
        <f t="shared" si="22"/>
        <v>0</v>
      </c>
      <c r="B259">
        <f t="shared" ref="B259:B322" si="23">AD259</f>
        <v>0</v>
      </c>
      <c r="C259">
        <f t="shared" ref="C259:C322" si="24">AE259</f>
        <v>0</v>
      </c>
      <c r="D259">
        <f t="shared" ref="D259:D322" si="25">AF259</f>
        <v>0</v>
      </c>
      <c r="E259" s="42">
        <v>46244.416666666664</v>
      </c>
      <c r="F259" s="45">
        <v>366.71300000000002</v>
      </c>
      <c r="G259" s="45">
        <v>149.8443</v>
      </c>
      <c r="H259" s="45">
        <v>649.94579999999996</v>
      </c>
      <c r="I259" s="45">
        <v>0</v>
      </c>
      <c r="J259" s="45">
        <v>0.91576100000000005</v>
      </c>
      <c r="K259" s="45">
        <v>9911.8780000000006</v>
      </c>
      <c r="L259">
        <f t="shared" ref="L259:L322" si="26">IF(K259&gt;10000,K259-10000,0)</f>
        <v>0</v>
      </c>
    </row>
    <row r="260" spans="1:12">
      <c r="A260">
        <f t="shared" si="22"/>
        <v>0</v>
      </c>
      <c r="B260">
        <f t="shared" si="23"/>
        <v>0</v>
      </c>
      <c r="C260">
        <f t="shared" si="24"/>
        <v>0</v>
      </c>
      <c r="D260">
        <f t="shared" si="25"/>
        <v>0</v>
      </c>
      <c r="E260" s="42">
        <v>46244.458333333336</v>
      </c>
      <c r="F260" s="45">
        <v>343.34660000000002</v>
      </c>
      <c r="G260" s="45">
        <v>149.66659999999999</v>
      </c>
      <c r="H260" s="45">
        <v>649.93409999999994</v>
      </c>
      <c r="I260" s="45">
        <v>0</v>
      </c>
      <c r="J260" s="45">
        <v>0.34515400000000002</v>
      </c>
      <c r="K260" s="45">
        <v>9905.8770000000004</v>
      </c>
      <c r="L260">
        <f t="shared" si="26"/>
        <v>0</v>
      </c>
    </row>
    <row r="261" spans="1:12">
      <c r="A261">
        <f t="shared" si="22"/>
        <v>0</v>
      </c>
      <c r="B261">
        <f t="shared" si="23"/>
        <v>0</v>
      </c>
      <c r="C261">
        <f t="shared" si="24"/>
        <v>0</v>
      </c>
      <c r="D261">
        <f t="shared" si="25"/>
        <v>0</v>
      </c>
      <c r="E261" s="42">
        <v>46244.5</v>
      </c>
      <c r="F261" s="45">
        <v>95.462999999999994</v>
      </c>
      <c r="G261" s="45">
        <v>148.27209999999999</v>
      </c>
      <c r="H261" s="45">
        <v>649.22659999999996</v>
      </c>
      <c r="I261" s="45">
        <v>0</v>
      </c>
      <c r="J261" s="45">
        <v>0.33476099999999998</v>
      </c>
      <c r="K261" s="45">
        <v>9682.3269999999993</v>
      </c>
      <c r="L261">
        <f t="shared" si="26"/>
        <v>0</v>
      </c>
    </row>
    <row r="262" spans="1:12">
      <c r="A262">
        <f t="shared" si="22"/>
        <v>0</v>
      </c>
      <c r="B262">
        <f t="shared" si="23"/>
        <v>0</v>
      </c>
      <c r="C262">
        <f t="shared" si="24"/>
        <v>0</v>
      </c>
      <c r="D262">
        <f t="shared" si="25"/>
        <v>0</v>
      </c>
      <c r="E262" s="42">
        <v>46244.541666666664</v>
      </c>
      <c r="F262" s="45">
        <v>43.492420000000003</v>
      </c>
      <c r="G262" s="45">
        <v>147.2885</v>
      </c>
      <c r="H262" s="45">
        <v>649.06679999999994</v>
      </c>
      <c r="I262" s="45">
        <v>0</v>
      </c>
      <c r="J262" s="45">
        <v>0.12345100000000001</v>
      </c>
      <c r="K262" s="45">
        <v>9641.1</v>
      </c>
      <c r="L262">
        <f t="shared" si="26"/>
        <v>0</v>
      </c>
    </row>
    <row r="263" spans="1:12">
      <c r="A263">
        <f t="shared" si="22"/>
        <v>0</v>
      </c>
      <c r="B263">
        <f t="shared" si="23"/>
        <v>0</v>
      </c>
      <c r="C263">
        <f t="shared" si="24"/>
        <v>0</v>
      </c>
      <c r="D263">
        <f t="shared" si="25"/>
        <v>0</v>
      </c>
      <c r="E263" s="42">
        <v>46244.583333333336</v>
      </c>
      <c r="F263" s="45">
        <v>10.703620000000001</v>
      </c>
      <c r="G263" s="45">
        <v>139.5712</v>
      </c>
      <c r="H263" s="45">
        <v>643.54539999999997</v>
      </c>
      <c r="I263" s="45">
        <v>0</v>
      </c>
      <c r="J263" s="45">
        <v>0.119695</v>
      </c>
      <c r="K263" s="45">
        <v>9611.1769999999997</v>
      </c>
      <c r="L263">
        <f t="shared" si="26"/>
        <v>0</v>
      </c>
    </row>
    <row r="264" spans="1:12">
      <c r="A264">
        <f t="shared" si="22"/>
        <v>0</v>
      </c>
      <c r="B264">
        <f t="shared" si="23"/>
        <v>0</v>
      </c>
      <c r="C264">
        <f t="shared" si="24"/>
        <v>0</v>
      </c>
      <c r="D264">
        <f t="shared" si="25"/>
        <v>0</v>
      </c>
      <c r="E264" s="42">
        <v>46244.625</v>
      </c>
      <c r="F264" s="45">
        <v>3.829218</v>
      </c>
      <c r="G264" s="45">
        <v>136.49950000000001</v>
      </c>
      <c r="H264" s="45">
        <v>642.29750000000001</v>
      </c>
      <c r="I264" s="45">
        <v>0</v>
      </c>
      <c r="J264" s="45">
        <v>4.3331000000000001E-2</v>
      </c>
      <c r="K264" s="45">
        <v>9591.2720000000008</v>
      </c>
      <c r="L264">
        <f t="shared" si="26"/>
        <v>0</v>
      </c>
    </row>
    <row r="265" spans="1:12">
      <c r="A265">
        <f t="shared" si="22"/>
        <v>0</v>
      </c>
      <c r="B265">
        <f t="shared" si="23"/>
        <v>0</v>
      </c>
      <c r="C265">
        <f t="shared" si="24"/>
        <v>0</v>
      </c>
      <c r="D265">
        <f t="shared" si="25"/>
        <v>0</v>
      </c>
      <c r="E265" s="42">
        <v>46244.666666666664</v>
      </c>
      <c r="F265" s="45">
        <v>0.89846800000000004</v>
      </c>
      <c r="G265" s="45">
        <v>112.3999</v>
      </c>
      <c r="H265" s="45">
        <v>616.37369999999999</v>
      </c>
      <c r="I265" s="45">
        <v>0</v>
      </c>
      <c r="J265" s="45">
        <v>4.2000999999999997E-2</v>
      </c>
      <c r="K265" s="45">
        <v>8375.0669999999991</v>
      </c>
      <c r="L265">
        <f t="shared" si="26"/>
        <v>0</v>
      </c>
    </row>
    <row r="266" spans="1:12">
      <c r="A266">
        <f t="shared" si="22"/>
        <v>0</v>
      </c>
      <c r="B266">
        <f t="shared" si="23"/>
        <v>0</v>
      </c>
      <c r="C266">
        <f t="shared" si="24"/>
        <v>0</v>
      </c>
      <c r="D266">
        <f t="shared" si="25"/>
        <v>0</v>
      </c>
      <c r="E266" s="42">
        <v>46244.708333333336</v>
      </c>
      <c r="F266" s="45">
        <v>0.28401599999999999</v>
      </c>
      <c r="G266" s="45">
        <v>107.0501</v>
      </c>
      <c r="H266" s="45">
        <v>610.54660000000001</v>
      </c>
      <c r="I266" s="45">
        <v>0</v>
      </c>
      <c r="J266" s="45">
        <v>1.4964999999999999E-2</v>
      </c>
      <c r="K266" s="45">
        <v>8238.4650000000001</v>
      </c>
      <c r="L266">
        <f t="shared" si="26"/>
        <v>0</v>
      </c>
    </row>
    <row r="267" spans="1:12">
      <c r="A267">
        <f t="shared" si="22"/>
        <v>0</v>
      </c>
      <c r="B267">
        <f t="shared" si="23"/>
        <v>0</v>
      </c>
      <c r="C267">
        <f t="shared" si="24"/>
        <v>0</v>
      </c>
      <c r="D267">
        <f t="shared" si="25"/>
        <v>0</v>
      </c>
      <c r="E267" s="42">
        <v>46244.75</v>
      </c>
      <c r="F267" s="45">
        <v>6.4967999999999998E-2</v>
      </c>
      <c r="G267" s="45">
        <v>65.080719999999999</v>
      </c>
      <c r="H267" s="45">
        <v>537.2817</v>
      </c>
      <c r="I267" s="45">
        <v>0</v>
      </c>
      <c r="J267" s="45">
        <v>1.4501999999999999E-2</v>
      </c>
      <c r="K267" s="45">
        <v>8212.2810000000009</v>
      </c>
      <c r="L267">
        <f t="shared" si="26"/>
        <v>0</v>
      </c>
    </row>
    <row r="268" spans="1:12">
      <c r="A268">
        <f t="shared" si="22"/>
        <v>0</v>
      </c>
      <c r="B268">
        <f t="shared" si="23"/>
        <v>0</v>
      </c>
      <c r="C268">
        <f t="shared" si="24"/>
        <v>0</v>
      </c>
      <c r="D268">
        <f t="shared" si="25"/>
        <v>0</v>
      </c>
      <c r="E268" s="42">
        <v>46244.791666666664</v>
      </c>
      <c r="F268" s="45">
        <v>1.9043000000000001E-2</v>
      </c>
      <c r="G268" s="45">
        <v>60.303739999999998</v>
      </c>
      <c r="H268" s="45">
        <v>521.04790000000003</v>
      </c>
      <c r="I268" s="45">
        <v>0</v>
      </c>
      <c r="J268" s="45">
        <v>5.0959999999999998E-3</v>
      </c>
      <c r="K268" s="45">
        <v>8190.4780000000001</v>
      </c>
      <c r="L268">
        <f t="shared" si="26"/>
        <v>0</v>
      </c>
    </row>
    <row r="269" spans="1:12">
      <c r="A269">
        <f t="shared" si="22"/>
        <v>0</v>
      </c>
      <c r="B269">
        <f t="shared" si="23"/>
        <v>0</v>
      </c>
      <c r="C269">
        <f t="shared" si="24"/>
        <v>0</v>
      </c>
      <c r="D269">
        <f t="shared" si="25"/>
        <v>0</v>
      </c>
      <c r="E269" s="42">
        <v>46244.833333333336</v>
      </c>
      <c r="F269" s="45">
        <v>4.2880000000000001E-3</v>
      </c>
      <c r="G269" s="45">
        <v>22.83465</v>
      </c>
      <c r="H269" s="45">
        <v>399.85449999999997</v>
      </c>
      <c r="I269" s="45">
        <v>0</v>
      </c>
      <c r="J269" s="45">
        <v>4.9379999999999997E-3</v>
      </c>
      <c r="K269" s="45">
        <v>5497.5060000000003</v>
      </c>
      <c r="L269">
        <f t="shared" si="26"/>
        <v>0</v>
      </c>
    </row>
    <row r="270" spans="1:12">
      <c r="A270">
        <f t="shared" si="22"/>
        <v>0</v>
      </c>
      <c r="B270">
        <f t="shared" si="23"/>
        <v>0</v>
      </c>
      <c r="C270">
        <f t="shared" si="24"/>
        <v>0</v>
      </c>
      <c r="D270">
        <f t="shared" si="25"/>
        <v>0</v>
      </c>
      <c r="E270" s="42">
        <v>46244.875</v>
      </c>
      <c r="F270" s="45">
        <v>1.194E-3</v>
      </c>
      <c r="G270" s="45">
        <v>20.936720000000001</v>
      </c>
      <c r="H270" s="45">
        <v>373.90289999999999</v>
      </c>
      <c r="I270" s="45">
        <v>0</v>
      </c>
      <c r="J270" s="45">
        <v>1.714E-3</v>
      </c>
      <c r="K270" s="45">
        <v>5226.7529999999997</v>
      </c>
      <c r="L270">
        <f t="shared" si="26"/>
        <v>0</v>
      </c>
    </row>
    <row r="271" spans="1:12">
      <c r="A271">
        <f t="shared" si="22"/>
        <v>0</v>
      </c>
      <c r="B271">
        <f t="shared" si="23"/>
        <v>0</v>
      </c>
      <c r="C271">
        <f t="shared" si="24"/>
        <v>0</v>
      </c>
      <c r="D271">
        <f t="shared" si="25"/>
        <v>0</v>
      </c>
      <c r="E271" s="42">
        <v>46244.916666666664</v>
      </c>
      <c r="F271" s="45">
        <v>2.6600000000000001E-4</v>
      </c>
      <c r="G271" s="45">
        <v>6.0570040000000001</v>
      </c>
      <c r="H271" s="45">
        <v>254.61109999999999</v>
      </c>
      <c r="I271" s="45">
        <v>0</v>
      </c>
      <c r="J271" s="45">
        <v>1.6609999999999999E-3</v>
      </c>
      <c r="K271" s="45">
        <v>5205.6090000000004</v>
      </c>
      <c r="L271">
        <f t="shared" si="26"/>
        <v>0</v>
      </c>
    </row>
    <row r="272" spans="1:12">
      <c r="A272">
        <f t="shared" si="22"/>
        <v>0</v>
      </c>
      <c r="B272">
        <f t="shared" si="23"/>
        <v>0</v>
      </c>
      <c r="C272">
        <f t="shared" si="24"/>
        <v>0</v>
      </c>
      <c r="D272">
        <f t="shared" si="25"/>
        <v>0</v>
      </c>
      <c r="E272" s="42">
        <v>46244.958333333336</v>
      </c>
      <c r="F272" s="51">
        <v>7.1400000000000001E-5</v>
      </c>
      <c r="G272" s="45">
        <v>5.5254849999999998</v>
      </c>
      <c r="H272" s="45">
        <v>231.22139999999999</v>
      </c>
      <c r="I272" s="45">
        <v>0</v>
      </c>
      <c r="J272" s="45">
        <v>5.6999999999999998E-4</v>
      </c>
      <c r="K272" s="45">
        <v>5191.9359999999997</v>
      </c>
      <c r="L272">
        <f t="shared" si="26"/>
        <v>0</v>
      </c>
    </row>
    <row r="273" spans="1:12">
      <c r="A273">
        <f t="shared" si="22"/>
        <v>0</v>
      </c>
      <c r="B273">
        <f t="shared" si="23"/>
        <v>0</v>
      </c>
      <c r="C273">
        <f t="shared" si="24"/>
        <v>0</v>
      </c>
      <c r="D273">
        <f t="shared" si="25"/>
        <v>0</v>
      </c>
      <c r="E273" s="42">
        <v>46245</v>
      </c>
      <c r="F273" s="51">
        <v>1.5800000000000001E-5</v>
      </c>
      <c r="G273" s="45">
        <v>1.35989</v>
      </c>
      <c r="H273" s="45">
        <v>140.38480000000001</v>
      </c>
      <c r="I273" s="45">
        <v>0</v>
      </c>
      <c r="J273" s="45">
        <v>5.5199999999999997E-4</v>
      </c>
      <c r="K273" s="45">
        <v>3494.9430000000002</v>
      </c>
      <c r="L273">
        <f t="shared" si="26"/>
        <v>0</v>
      </c>
    </row>
    <row r="274" spans="1:12">
      <c r="A274">
        <f t="shared" si="22"/>
        <v>0</v>
      </c>
      <c r="B274">
        <f t="shared" si="23"/>
        <v>0</v>
      </c>
      <c r="C274">
        <f t="shared" si="24"/>
        <v>0</v>
      </c>
      <c r="D274">
        <f t="shared" si="25"/>
        <v>0</v>
      </c>
      <c r="E274" s="42">
        <v>46245.041666666664</v>
      </c>
      <c r="F274" s="51">
        <v>4.1200000000000004E-6</v>
      </c>
      <c r="G274" s="45">
        <v>1.2369969999999999</v>
      </c>
      <c r="H274" s="45">
        <v>125.0616</v>
      </c>
      <c r="I274" s="45">
        <v>0</v>
      </c>
      <c r="J274" s="45">
        <v>1.8799999999999999E-4</v>
      </c>
      <c r="K274" s="45">
        <v>3323.6390000000001</v>
      </c>
      <c r="L274">
        <f t="shared" si="26"/>
        <v>0</v>
      </c>
    </row>
    <row r="275" spans="1:12">
      <c r="A275">
        <f t="shared" si="22"/>
        <v>0</v>
      </c>
      <c r="B275">
        <f t="shared" si="23"/>
        <v>0</v>
      </c>
      <c r="C275">
        <f t="shared" si="24"/>
        <v>0</v>
      </c>
      <c r="D275">
        <f t="shared" si="25"/>
        <v>0</v>
      </c>
      <c r="E275" s="42">
        <v>46245.083333333336</v>
      </c>
      <c r="F275" s="51">
        <v>9.0599999999999999E-7</v>
      </c>
      <c r="G275" s="45">
        <v>0.27411600000000003</v>
      </c>
      <c r="H275" s="45">
        <v>69.291330000000002</v>
      </c>
      <c r="I275" s="45">
        <v>0</v>
      </c>
      <c r="J275" s="45">
        <v>1.8200000000000001E-4</v>
      </c>
      <c r="K275" s="45">
        <v>3261.5210000000002</v>
      </c>
      <c r="L275">
        <f t="shared" si="26"/>
        <v>0</v>
      </c>
    </row>
    <row r="276" spans="1:12">
      <c r="A276">
        <f t="shared" si="22"/>
        <v>0</v>
      </c>
      <c r="B276">
        <f t="shared" si="23"/>
        <v>0</v>
      </c>
      <c r="C276">
        <f t="shared" si="24"/>
        <v>0</v>
      </c>
      <c r="D276">
        <f t="shared" si="25"/>
        <v>0</v>
      </c>
      <c r="E276" s="42">
        <v>46245.125</v>
      </c>
      <c r="F276" s="51">
        <v>2.3099999999999999E-7</v>
      </c>
      <c r="G276" s="45">
        <v>0.248893</v>
      </c>
      <c r="H276" s="45">
        <v>60.9636</v>
      </c>
      <c r="I276" s="45">
        <v>0</v>
      </c>
      <c r="J276" s="51">
        <v>6.1400000000000002E-5</v>
      </c>
      <c r="K276" s="45">
        <v>3244.0949999999998</v>
      </c>
      <c r="L276">
        <f t="shared" si="26"/>
        <v>0</v>
      </c>
    </row>
    <row r="277" spans="1:12">
      <c r="A277">
        <f t="shared" si="22"/>
        <v>0</v>
      </c>
      <c r="B277">
        <f t="shared" si="23"/>
        <v>0</v>
      </c>
      <c r="C277">
        <f t="shared" si="24"/>
        <v>0</v>
      </c>
      <c r="D277">
        <f t="shared" si="25"/>
        <v>0</v>
      </c>
      <c r="E277" s="42">
        <v>46245.166666666664</v>
      </c>
      <c r="F277" s="51">
        <v>5.0600000000000003E-8</v>
      </c>
      <c r="G277" s="45">
        <v>5.1300999999999999E-2</v>
      </c>
      <c r="H277" s="45">
        <v>31.61478</v>
      </c>
      <c r="I277" s="45">
        <v>0</v>
      </c>
      <c r="J277" s="51">
        <v>5.9500000000000003E-5</v>
      </c>
      <c r="K277" s="45">
        <v>2409.1019999999999</v>
      </c>
      <c r="L277">
        <f t="shared" si="26"/>
        <v>0</v>
      </c>
    </row>
    <row r="278" spans="1:12">
      <c r="A278">
        <f t="shared" si="22"/>
        <v>0</v>
      </c>
      <c r="B278">
        <f t="shared" si="23"/>
        <v>0</v>
      </c>
      <c r="C278">
        <f t="shared" si="24"/>
        <v>0</v>
      </c>
      <c r="D278">
        <f t="shared" si="25"/>
        <v>0</v>
      </c>
      <c r="E278" s="42">
        <v>46245.208333333336</v>
      </c>
      <c r="F278" s="51">
        <v>1.27E-8</v>
      </c>
      <c r="G278" s="45">
        <v>4.6523000000000002E-2</v>
      </c>
      <c r="H278" s="45">
        <v>27.584499999999998</v>
      </c>
      <c r="I278" s="45">
        <v>0</v>
      </c>
      <c r="J278" s="51">
        <v>1.9899999999999999E-5</v>
      </c>
      <c r="K278" s="45">
        <v>2316.2559999999999</v>
      </c>
      <c r="L278">
        <f t="shared" si="26"/>
        <v>0</v>
      </c>
    </row>
    <row r="279" spans="1:12">
      <c r="A279">
        <f t="shared" si="22"/>
        <v>0</v>
      </c>
      <c r="B279">
        <f t="shared" si="23"/>
        <v>0</v>
      </c>
      <c r="C279">
        <f t="shared" si="24"/>
        <v>0</v>
      </c>
      <c r="D279">
        <f t="shared" si="25"/>
        <v>0</v>
      </c>
      <c r="E279" s="42">
        <v>46245.25</v>
      </c>
      <c r="F279" s="51">
        <v>2.7700000000000002E-9</v>
      </c>
      <c r="G279" s="45">
        <v>9.0989999999999994E-3</v>
      </c>
      <c r="H279" s="45">
        <v>13.663589999999999</v>
      </c>
      <c r="I279" s="45">
        <v>0</v>
      </c>
      <c r="J279" s="51">
        <v>1.9300000000000002E-5</v>
      </c>
      <c r="K279" s="45">
        <v>2215.6689999999999</v>
      </c>
      <c r="L279">
        <f t="shared" si="26"/>
        <v>0</v>
      </c>
    </row>
    <row r="280" spans="1:12">
      <c r="A280">
        <f t="shared" si="22"/>
        <v>0</v>
      </c>
      <c r="B280">
        <f t="shared" si="23"/>
        <v>0</v>
      </c>
      <c r="C280">
        <f t="shared" si="24"/>
        <v>0</v>
      </c>
      <c r="D280">
        <f t="shared" si="25"/>
        <v>0</v>
      </c>
      <c r="E280" s="42">
        <v>46245.291666666664</v>
      </c>
      <c r="F280" s="51">
        <v>6.8600000000000001E-10</v>
      </c>
      <c r="G280" s="45">
        <v>8.2439999999999996E-3</v>
      </c>
      <c r="H280" s="45">
        <v>11.85374</v>
      </c>
      <c r="I280" s="45">
        <v>0</v>
      </c>
      <c r="J280" s="51">
        <v>6.4099999999999996E-6</v>
      </c>
      <c r="K280" s="45">
        <v>2194.221</v>
      </c>
      <c r="L280">
        <f t="shared" si="26"/>
        <v>0</v>
      </c>
    </row>
    <row r="281" spans="1:12">
      <c r="A281">
        <f t="shared" si="22"/>
        <v>0</v>
      </c>
      <c r="B281">
        <f t="shared" si="23"/>
        <v>0</v>
      </c>
      <c r="C281">
        <f t="shared" si="24"/>
        <v>0</v>
      </c>
      <c r="D281">
        <f t="shared" si="25"/>
        <v>0</v>
      </c>
      <c r="E281" s="42">
        <v>46245.333333333336</v>
      </c>
      <c r="F281" s="51">
        <v>1.49E-10</v>
      </c>
      <c r="G281" s="45">
        <v>1.5499999999999999E-3</v>
      </c>
      <c r="H281" s="45">
        <v>5.6912029999999998</v>
      </c>
      <c r="I281" s="45">
        <v>0</v>
      </c>
      <c r="J281" s="51">
        <v>6.1999999999999999E-6</v>
      </c>
      <c r="K281" s="45">
        <v>1824.2059999999999</v>
      </c>
      <c r="L281">
        <f t="shared" si="26"/>
        <v>0</v>
      </c>
    </row>
    <row r="282" spans="1:12">
      <c r="A282">
        <f t="shared" si="22"/>
        <v>0</v>
      </c>
      <c r="B282">
        <f t="shared" si="23"/>
        <v>0</v>
      </c>
      <c r="C282">
        <f t="shared" si="24"/>
        <v>0</v>
      </c>
      <c r="D282">
        <f t="shared" si="25"/>
        <v>0</v>
      </c>
      <c r="E282" s="42">
        <v>46245.375</v>
      </c>
      <c r="F282" s="51">
        <v>3.6399999999999998E-11</v>
      </c>
      <c r="G282" s="45">
        <v>1.403E-3</v>
      </c>
      <c r="H282" s="45">
        <v>4.917719</v>
      </c>
      <c r="I282" s="45">
        <v>0</v>
      </c>
      <c r="J282" s="51">
        <v>2.0499999999999999E-6</v>
      </c>
      <c r="K282" s="45">
        <v>1780.2850000000001</v>
      </c>
      <c r="L282">
        <f t="shared" si="26"/>
        <v>0</v>
      </c>
    </row>
    <row r="283" spans="1:12">
      <c r="A283">
        <f t="shared" si="22"/>
        <v>0</v>
      </c>
      <c r="B283">
        <f t="shared" si="23"/>
        <v>0</v>
      </c>
      <c r="C283">
        <f t="shared" si="24"/>
        <v>0</v>
      </c>
      <c r="D283">
        <f t="shared" si="25"/>
        <v>0</v>
      </c>
      <c r="E283" s="42">
        <v>46245.416666666664</v>
      </c>
      <c r="F283" s="51">
        <v>7.8899999999999997E-12</v>
      </c>
      <c r="G283" s="45">
        <v>2.5599999999999999E-4</v>
      </c>
      <c r="H283" s="45">
        <v>2.3119450000000001</v>
      </c>
      <c r="I283" s="45">
        <v>0</v>
      </c>
      <c r="J283" s="51">
        <v>1.9800000000000001E-6</v>
      </c>
      <c r="K283" s="45">
        <v>1712.454</v>
      </c>
      <c r="L283">
        <f t="shared" si="26"/>
        <v>0</v>
      </c>
    </row>
    <row r="284" spans="1:12">
      <c r="A284">
        <f t="shared" si="22"/>
        <v>0</v>
      </c>
      <c r="B284">
        <f t="shared" si="23"/>
        <v>0</v>
      </c>
      <c r="C284">
        <f t="shared" si="24"/>
        <v>0</v>
      </c>
      <c r="D284">
        <f t="shared" si="25"/>
        <v>0</v>
      </c>
      <c r="E284" s="42">
        <v>46245.458333333336</v>
      </c>
      <c r="F284" s="51">
        <v>1.9100000000000001E-12</v>
      </c>
      <c r="G284" s="45">
        <v>2.32E-4</v>
      </c>
      <c r="H284" s="45">
        <v>1.9921739999999999</v>
      </c>
      <c r="I284" s="45">
        <v>0</v>
      </c>
      <c r="J284" s="51">
        <v>6.5199999999999996E-7</v>
      </c>
      <c r="K284" s="45">
        <v>1700.357</v>
      </c>
      <c r="L284">
        <f t="shared" si="26"/>
        <v>0</v>
      </c>
    </row>
    <row r="285" spans="1:12">
      <c r="A285">
        <f t="shared" si="22"/>
        <v>0</v>
      </c>
      <c r="B285">
        <f t="shared" si="23"/>
        <v>0</v>
      </c>
      <c r="C285">
        <f t="shared" si="24"/>
        <v>0</v>
      </c>
      <c r="D285">
        <f t="shared" si="25"/>
        <v>0</v>
      </c>
      <c r="E285" s="42">
        <v>46245.5</v>
      </c>
      <c r="F285" s="51">
        <v>4.1300000000000001E-13</v>
      </c>
      <c r="G285" s="51">
        <v>4.1199999999999999E-5</v>
      </c>
      <c r="H285" s="45">
        <v>0.92344800000000005</v>
      </c>
      <c r="I285" s="45">
        <v>0</v>
      </c>
      <c r="J285" s="51">
        <v>6.3099999999999997E-7</v>
      </c>
      <c r="K285" s="45">
        <v>1558.58</v>
      </c>
      <c r="L285">
        <f t="shared" si="26"/>
        <v>0</v>
      </c>
    </row>
    <row r="286" spans="1:12">
      <c r="A286">
        <f t="shared" si="22"/>
        <v>0</v>
      </c>
      <c r="B286">
        <f t="shared" si="23"/>
        <v>0</v>
      </c>
      <c r="C286">
        <f t="shared" si="24"/>
        <v>0</v>
      </c>
      <c r="D286">
        <f t="shared" si="25"/>
        <v>0</v>
      </c>
      <c r="E286" s="42">
        <v>46245.541666666664</v>
      </c>
      <c r="F286" s="51">
        <v>9.9100000000000002E-14</v>
      </c>
      <c r="G286" s="51">
        <v>3.7299999999999999E-5</v>
      </c>
      <c r="H286" s="45">
        <v>0.794184</v>
      </c>
      <c r="I286" s="45">
        <v>0</v>
      </c>
      <c r="J286" s="51">
        <v>2.0599999999999999E-7</v>
      </c>
      <c r="K286" s="45">
        <v>1541.752</v>
      </c>
      <c r="L286">
        <f t="shared" si="26"/>
        <v>0</v>
      </c>
    </row>
    <row r="287" spans="1:12">
      <c r="A287">
        <f t="shared" si="22"/>
        <v>0</v>
      </c>
      <c r="B287">
        <f t="shared" si="23"/>
        <v>0</v>
      </c>
      <c r="C287">
        <f t="shared" si="24"/>
        <v>0</v>
      </c>
      <c r="D287">
        <f t="shared" si="25"/>
        <v>0</v>
      </c>
      <c r="E287" s="42">
        <v>46245.583333333336</v>
      </c>
      <c r="F287" s="51">
        <v>2.1399999999999999E-14</v>
      </c>
      <c r="G287" s="51">
        <v>6.4999999999999996E-6</v>
      </c>
      <c r="H287" s="45">
        <v>0.36467500000000003</v>
      </c>
      <c r="I287" s="45">
        <v>0</v>
      </c>
      <c r="J287" s="51">
        <v>1.99E-7</v>
      </c>
      <c r="K287" s="45">
        <v>1513.3679999999999</v>
      </c>
      <c r="L287">
        <f t="shared" si="26"/>
        <v>0</v>
      </c>
    </row>
    <row r="288" spans="1:12">
      <c r="A288">
        <f t="shared" si="22"/>
        <v>0</v>
      </c>
      <c r="B288">
        <f t="shared" si="23"/>
        <v>0</v>
      </c>
      <c r="C288">
        <f t="shared" si="24"/>
        <v>0</v>
      </c>
      <c r="D288">
        <f t="shared" si="25"/>
        <v>0</v>
      </c>
      <c r="E288" s="42">
        <v>46245.625</v>
      </c>
      <c r="F288" s="51">
        <v>5.0900000000000003E-15</v>
      </c>
      <c r="G288" s="51">
        <v>5.8799999999999996E-6</v>
      </c>
      <c r="H288" s="45">
        <v>0.31320999999999999</v>
      </c>
      <c r="I288" s="45">
        <v>0</v>
      </c>
      <c r="J288" s="51">
        <v>6.4799999999999998E-8</v>
      </c>
      <c r="K288" s="45">
        <v>1508.8050000000001</v>
      </c>
      <c r="L288">
        <f t="shared" si="26"/>
        <v>0</v>
      </c>
    </row>
    <row r="289" spans="1:12">
      <c r="A289">
        <f t="shared" si="22"/>
        <v>0</v>
      </c>
      <c r="B289">
        <f t="shared" si="23"/>
        <v>0</v>
      </c>
      <c r="C289">
        <f t="shared" si="24"/>
        <v>0</v>
      </c>
      <c r="D289">
        <f t="shared" si="25"/>
        <v>0</v>
      </c>
      <c r="E289" s="42">
        <v>46245.666666666664</v>
      </c>
      <c r="F289" s="51">
        <v>1.0999999999999999E-15</v>
      </c>
      <c r="G289" s="51">
        <v>1.0100000000000001E-6</v>
      </c>
      <c r="H289" s="45">
        <v>0.14291699999999999</v>
      </c>
      <c r="I289" s="45">
        <v>0</v>
      </c>
      <c r="J289" s="51">
        <v>6.2800000000000006E-8</v>
      </c>
      <c r="K289" s="45">
        <v>1461.578</v>
      </c>
      <c r="L289">
        <f t="shared" si="26"/>
        <v>0</v>
      </c>
    </row>
    <row r="290" spans="1:12">
      <c r="A290">
        <f t="shared" si="22"/>
        <v>0</v>
      </c>
      <c r="B290">
        <f t="shared" si="23"/>
        <v>0</v>
      </c>
      <c r="C290">
        <f t="shared" si="24"/>
        <v>0</v>
      </c>
      <c r="D290">
        <f t="shared" si="25"/>
        <v>0</v>
      </c>
      <c r="E290" s="42">
        <v>46245.708333333336</v>
      </c>
      <c r="F290" s="51">
        <v>2.5999999999999998E-16</v>
      </c>
      <c r="G290" s="51">
        <v>9.1200000000000001E-7</v>
      </c>
      <c r="H290" s="45">
        <v>0.122636</v>
      </c>
      <c r="I290" s="45">
        <v>0</v>
      </c>
      <c r="J290" s="51">
        <v>2.03E-8</v>
      </c>
      <c r="K290" s="45">
        <v>1456.0940000000001</v>
      </c>
      <c r="L290">
        <f t="shared" si="26"/>
        <v>0</v>
      </c>
    </row>
    <row r="291" spans="1:12">
      <c r="A291">
        <f t="shared" si="22"/>
        <v>0</v>
      </c>
      <c r="B291">
        <f t="shared" si="23"/>
        <v>0</v>
      </c>
      <c r="C291">
        <f t="shared" si="24"/>
        <v>0</v>
      </c>
      <c r="D291">
        <f t="shared" si="25"/>
        <v>0</v>
      </c>
      <c r="E291" s="42">
        <v>46245.75</v>
      </c>
      <c r="F291" s="51">
        <v>5.5900000000000006E-17</v>
      </c>
      <c r="G291" s="51">
        <v>1.54E-7</v>
      </c>
      <c r="H291" s="45">
        <v>5.5724000000000003E-2</v>
      </c>
      <c r="I291" s="45">
        <v>0</v>
      </c>
      <c r="J291" s="51">
        <v>1.9700000000000001E-8</v>
      </c>
      <c r="K291" s="45">
        <v>1447.0139999999999</v>
      </c>
      <c r="L291">
        <f t="shared" si="26"/>
        <v>0</v>
      </c>
    </row>
    <row r="292" spans="1:12">
      <c r="A292">
        <f t="shared" si="22"/>
        <v>0</v>
      </c>
      <c r="B292">
        <f t="shared" si="23"/>
        <v>0</v>
      </c>
      <c r="C292">
        <f t="shared" si="24"/>
        <v>0</v>
      </c>
      <c r="D292">
        <f t="shared" si="25"/>
        <v>0</v>
      </c>
      <c r="E292" s="42">
        <v>46245.791666666664</v>
      </c>
      <c r="F292" s="51">
        <v>1.31E-17</v>
      </c>
      <c r="G292" s="51">
        <v>1.3899999999999999E-7</v>
      </c>
      <c r="H292" s="45">
        <v>4.7787000000000003E-2</v>
      </c>
      <c r="I292" s="45">
        <v>0</v>
      </c>
      <c r="J292" s="51">
        <v>6.34E-9</v>
      </c>
      <c r="K292" s="45">
        <v>1445.64</v>
      </c>
      <c r="L292">
        <f t="shared" si="26"/>
        <v>0</v>
      </c>
    </row>
    <row r="293" spans="1:12">
      <c r="A293">
        <f t="shared" si="22"/>
        <v>0</v>
      </c>
      <c r="B293">
        <f t="shared" si="23"/>
        <v>0</v>
      </c>
      <c r="C293">
        <f t="shared" si="24"/>
        <v>0</v>
      </c>
      <c r="D293">
        <f t="shared" si="25"/>
        <v>0</v>
      </c>
      <c r="E293" s="42">
        <v>46245.833333333336</v>
      </c>
      <c r="F293" s="51">
        <v>2.82E-18</v>
      </c>
      <c r="G293" s="51">
        <v>2.33E-8</v>
      </c>
      <c r="H293" s="45">
        <v>2.1652999999999999E-2</v>
      </c>
      <c r="I293" s="45">
        <v>0</v>
      </c>
      <c r="J293" s="51">
        <v>6.1300000000000001E-9</v>
      </c>
      <c r="K293" s="45">
        <v>1431.4169999999999</v>
      </c>
      <c r="L293">
        <f t="shared" si="26"/>
        <v>0</v>
      </c>
    </row>
    <row r="294" spans="1:12">
      <c r="A294">
        <f t="shared" si="22"/>
        <v>0</v>
      </c>
      <c r="B294">
        <f t="shared" si="23"/>
        <v>0</v>
      </c>
      <c r="C294">
        <f t="shared" si="24"/>
        <v>0</v>
      </c>
      <c r="D294">
        <f t="shared" si="25"/>
        <v>0</v>
      </c>
      <c r="E294" s="42">
        <v>46245.875</v>
      </c>
      <c r="F294" s="51">
        <v>6.6099999999999999E-19</v>
      </c>
      <c r="G294" s="51">
        <v>2.11E-8</v>
      </c>
      <c r="H294" s="45">
        <v>1.8561999999999999E-2</v>
      </c>
      <c r="I294" s="45">
        <v>0</v>
      </c>
      <c r="J294" s="51">
        <v>1.97E-9</v>
      </c>
      <c r="K294" s="45">
        <v>1429.808</v>
      </c>
      <c r="L294">
        <f t="shared" si="26"/>
        <v>0</v>
      </c>
    </row>
    <row r="295" spans="1:12">
      <c r="A295">
        <f t="shared" si="22"/>
        <v>0</v>
      </c>
      <c r="B295">
        <f t="shared" si="23"/>
        <v>0</v>
      </c>
      <c r="C295">
        <f t="shared" si="24"/>
        <v>0</v>
      </c>
      <c r="D295">
        <f t="shared" si="25"/>
        <v>0</v>
      </c>
      <c r="E295" s="42">
        <v>46245.916666666664</v>
      </c>
      <c r="F295" s="51">
        <v>1.42E-19</v>
      </c>
      <c r="G295" s="51">
        <v>3.4900000000000001E-9</v>
      </c>
      <c r="H295" s="45">
        <v>8.3949999999999997E-3</v>
      </c>
      <c r="I295" s="45">
        <v>0</v>
      </c>
      <c r="J295" s="51">
        <v>1.9099999999999998E-9</v>
      </c>
      <c r="K295" s="45">
        <v>1427.3430000000001</v>
      </c>
      <c r="L295">
        <f t="shared" si="26"/>
        <v>0</v>
      </c>
    </row>
    <row r="296" spans="1:12">
      <c r="A296">
        <f t="shared" si="22"/>
        <v>0</v>
      </c>
      <c r="B296">
        <f t="shared" si="23"/>
        <v>0</v>
      </c>
      <c r="C296">
        <f t="shared" si="24"/>
        <v>0</v>
      </c>
      <c r="D296">
        <f t="shared" si="25"/>
        <v>0</v>
      </c>
      <c r="E296" s="42">
        <v>46245.958333333336</v>
      </c>
      <c r="F296" s="51">
        <v>3.3E-20</v>
      </c>
      <c r="G296" s="51">
        <v>3.1500000000000001E-9</v>
      </c>
      <c r="H296" s="45">
        <v>7.1939999999999999E-3</v>
      </c>
      <c r="I296" s="45">
        <v>0</v>
      </c>
      <c r="J296" s="51">
        <v>6.0899999999999996E-10</v>
      </c>
      <c r="K296" s="45">
        <v>1426.982</v>
      </c>
      <c r="L296">
        <f t="shared" si="26"/>
        <v>0</v>
      </c>
    </row>
    <row r="297" spans="1:12">
      <c r="A297">
        <f t="shared" si="22"/>
        <v>0</v>
      </c>
      <c r="B297">
        <f t="shared" si="23"/>
        <v>0</v>
      </c>
      <c r="C297">
        <f t="shared" si="24"/>
        <v>0</v>
      </c>
      <c r="D297">
        <f t="shared" si="25"/>
        <v>0</v>
      </c>
      <c r="E297" s="42">
        <v>46246</v>
      </c>
      <c r="F297" s="51">
        <v>7.0799999999999997E-21</v>
      </c>
      <c r="G297" s="51">
        <v>5.1699999999999997E-10</v>
      </c>
      <c r="H297" s="45">
        <v>3.2499999999999999E-3</v>
      </c>
      <c r="I297" s="45">
        <v>0</v>
      </c>
      <c r="J297" s="51">
        <v>5.9000000000000003E-10</v>
      </c>
      <c r="K297" s="45">
        <v>1422.9680000000001</v>
      </c>
      <c r="L297">
        <f t="shared" si="26"/>
        <v>0</v>
      </c>
    </row>
    <row r="298" spans="1:12">
      <c r="A298">
        <f t="shared" si="22"/>
        <v>0</v>
      </c>
      <c r="B298">
        <f t="shared" si="23"/>
        <v>0</v>
      </c>
      <c r="C298">
        <f t="shared" si="24"/>
        <v>0</v>
      </c>
      <c r="D298">
        <f t="shared" si="25"/>
        <v>0</v>
      </c>
      <c r="E298" s="42">
        <v>46246.041666666664</v>
      </c>
      <c r="F298" s="51">
        <v>1.64E-21</v>
      </c>
      <c r="G298" s="51">
        <v>4.6700000000000004E-10</v>
      </c>
      <c r="H298" s="45">
        <v>2.7850000000000001E-3</v>
      </c>
      <c r="I298" s="45">
        <v>0</v>
      </c>
      <c r="J298" s="51">
        <v>1.88E-10</v>
      </c>
      <c r="K298" s="45">
        <v>1422.5250000000001</v>
      </c>
      <c r="L298">
        <f t="shared" si="26"/>
        <v>0</v>
      </c>
    </row>
    <row r="299" spans="1:12">
      <c r="A299">
        <f t="shared" si="22"/>
        <v>0</v>
      </c>
      <c r="B299">
        <f t="shared" si="23"/>
        <v>0</v>
      </c>
      <c r="C299">
        <f t="shared" si="24"/>
        <v>0</v>
      </c>
      <c r="D299">
        <f t="shared" si="25"/>
        <v>0</v>
      </c>
      <c r="E299" s="42">
        <v>46246.083333333336</v>
      </c>
      <c r="F299" s="51">
        <v>3.5199999999999999E-22</v>
      </c>
      <c r="G299" s="51">
        <v>7.5900000000000004E-11</v>
      </c>
      <c r="H299" s="45">
        <v>1.2570000000000001E-3</v>
      </c>
      <c r="I299" s="45">
        <v>0</v>
      </c>
      <c r="J299" s="51">
        <v>1.8199999999999999E-10</v>
      </c>
      <c r="K299" s="45">
        <v>1421.924</v>
      </c>
      <c r="L299">
        <f t="shared" si="26"/>
        <v>0</v>
      </c>
    </row>
    <row r="300" spans="1:12">
      <c r="A300">
        <f t="shared" si="22"/>
        <v>0</v>
      </c>
      <c r="B300">
        <f t="shared" si="23"/>
        <v>0</v>
      </c>
      <c r="C300">
        <f t="shared" si="24"/>
        <v>0</v>
      </c>
      <c r="D300">
        <f t="shared" si="25"/>
        <v>0</v>
      </c>
      <c r="E300" s="42">
        <v>46246.125</v>
      </c>
      <c r="F300" s="51">
        <v>8.1200000000000002E-23</v>
      </c>
      <c r="G300" s="51">
        <v>6.8600000000000001E-11</v>
      </c>
      <c r="H300" s="45">
        <v>1.077E-3</v>
      </c>
      <c r="I300" s="45">
        <v>0</v>
      </c>
      <c r="J300" s="51">
        <v>5.7799999999999997E-11</v>
      </c>
      <c r="K300" s="45">
        <v>1421.837</v>
      </c>
      <c r="L300">
        <f t="shared" si="26"/>
        <v>0</v>
      </c>
    </row>
    <row r="301" spans="1:12">
      <c r="A301">
        <f t="shared" si="22"/>
        <v>0</v>
      </c>
      <c r="B301">
        <f t="shared" si="23"/>
        <v>0</v>
      </c>
      <c r="C301">
        <f t="shared" si="24"/>
        <v>0</v>
      </c>
      <c r="D301">
        <f t="shared" si="25"/>
        <v>0</v>
      </c>
      <c r="E301" s="42">
        <v>46246.166666666664</v>
      </c>
      <c r="F301" s="51">
        <v>1.7399999999999999E-23</v>
      </c>
      <c r="G301" s="51">
        <v>1.1100000000000001E-11</v>
      </c>
      <c r="H301" s="45">
        <v>4.86E-4</v>
      </c>
      <c r="I301" s="45">
        <v>0</v>
      </c>
      <c r="J301" s="51">
        <v>5.6E-11</v>
      </c>
      <c r="K301" s="45">
        <v>1420.748</v>
      </c>
      <c r="L301">
        <f t="shared" si="26"/>
        <v>0</v>
      </c>
    </row>
    <row r="302" spans="1:12">
      <c r="A302">
        <f t="shared" si="22"/>
        <v>0</v>
      </c>
      <c r="B302">
        <f t="shared" si="23"/>
        <v>0</v>
      </c>
      <c r="C302">
        <f t="shared" si="24"/>
        <v>0</v>
      </c>
      <c r="D302">
        <f t="shared" si="25"/>
        <v>0</v>
      </c>
      <c r="E302" s="42">
        <v>46246.208333333336</v>
      </c>
      <c r="F302" s="51">
        <v>3.9999999999999997E-24</v>
      </c>
      <c r="G302" s="51">
        <v>9.9999999999999994E-12</v>
      </c>
      <c r="H302" s="45">
        <v>4.1599999999999997E-4</v>
      </c>
      <c r="I302" s="45">
        <v>0</v>
      </c>
      <c r="J302" s="51">
        <v>1.7700000000000001E-11</v>
      </c>
      <c r="K302" s="45">
        <v>1420.63</v>
      </c>
      <c r="L302">
        <f t="shared" si="26"/>
        <v>0</v>
      </c>
    </row>
    <row r="303" spans="1:12">
      <c r="A303">
        <f t="shared" si="22"/>
        <v>0</v>
      </c>
      <c r="B303">
        <f t="shared" si="23"/>
        <v>0</v>
      </c>
      <c r="C303">
        <f t="shared" si="24"/>
        <v>0</v>
      </c>
      <c r="D303">
        <f t="shared" si="25"/>
        <v>0</v>
      </c>
      <c r="E303" s="42">
        <v>46246.25</v>
      </c>
      <c r="F303" s="51">
        <v>8.5599999999999996E-25</v>
      </c>
      <c r="G303" s="51">
        <v>1.61E-12</v>
      </c>
      <c r="H303" s="45">
        <v>1.8799999999999999E-4</v>
      </c>
      <c r="I303" s="45">
        <v>0</v>
      </c>
      <c r="J303" s="51">
        <v>1.7199999999999999E-11</v>
      </c>
      <c r="K303" s="45">
        <v>1420.4939999999999</v>
      </c>
      <c r="L303">
        <f t="shared" si="26"/>
        <v>0</v>
      </c>
    </row>
    <row r="304" spans="1:12">
      <c r="A304">
        <f t="shared" si="22"/>
        <v>0</v>
      </c>
      <c r="B304">
        <f t="shared" si="23"/>
        <v>0</v>
      </c>
      <c r="C304">
        <f t="shared" si="24"/>
        <v>0</v>
      </c>
      <c r="D304">
        <f t="shared" si="25"/>
        <v>0</v>
      </c>
      <c r="E304" s="42">
        <v>46246.291666666664</v>
      </c>
      <c r="F304" s="51">
        <v>1.96E-25</v>
      </c>
      <c r="G304" s="51">
        <v>1.4500000000000001E-12</v>
      </c>
      <c r="H304" s="45">
        <v>1.6100000000000001E-4</v>
      </c>
      <c r="I304" s="45">
        <v>0</v>
      </c>
      <c r="J304" s="51">
        <v>5.4199999999999999E-12</v>
      </c>
      <c r="K304" s="45">
        <v>1420.4749999999999</v>
      </c>
      <c r="L304">
        <f t="shared" si="26"/>
        <v>0</v>
      </c>
    </row>
    <row r="305" spans="1:12">
      <c r="A305">
        <f t="shared" si="22"/>
        <v>0</v>
      </c>
      <c r="B305">
        <f t="shared" si="23"/>
        <v>0</v>
      </c>
      <c r="C305">
        <f t="shared" si="24"/>
        <v>0</v>
      </c>
      <c r="D305">
        <f t="shared" si="25"/>
        <v>0</v>
      </c>
      <c r="E305" s="42">
        <v>46246.333333333336</v>
      </c>
      <c r="F305" s="51">
        <v>4.2000000000000002E-26</v>
      </c>
      <c r="G305" s="51">
        <v>2.3200000000000002E-13</v>
      </c>
      <c r="H305" s="51">
        <v>7.25E-5</v>
      </c>
      <c r="I305" s="45">
        <v>0</v>
      </c>
      <c r="J305" s="51">
        <v>5.2499999999999996E-12</v>
      </c>
      <c r="K305" s="45">
        <v>1420.1859999999999</v>
      </c>
      <c r="L305">
        <f t="shared" si="26"/>
        <v>0</v>
      </c>
    </row>
    <row r="306" spans="1:12">
      <c r="A306">
        <f t="shared" si="22"/>
        <v>0</v>
      </c>
      <c r="B306">
        <f t="shared" si="23"/>
        <v>0</v>
      </c>
      <c r="C306">
        <f t="shared" si="24"/>
        <v>0</v>
      </c>
      <c r="D306">
        <f t="shared" si="25"/>
        <v>0</v>
      </c>
      <c r="E306" s="42">
        <v>46246.375</v>
      </c>
      <c r="F306" s="51">
        <v>9.6100000000000003E-27</v>
      </c>
      <c r="G306" s="51">
        <v>2.0899999999999999E-13</v>
      </c>
      <c r="H306" s="51">
        <v>6.2100000000000005E-5</v>
      </c>
      <c r="I306" s="45">
        <v>0</v>
      </c>
      <c r="J306" s="51">
        <v>1.65E-12</v>
      </c>
      <c r="K306" s="45">
        <v>1420.155</v>
      </c>
      <c r="L306">
        <f t="shared" si="26"/>
        <v>0</v>
      </c>
    </row>
    <row r="307" spans="1:12">
      <c r="A307">
        <f t="shared" ref="A307:A358" si="27">AC307</f>
        <v>0</v>
      </c>
      <c r="B307">
        <f t="shared" si="23"/>
        <v>0</v>
      </c>
      <c r="C307">
        <f t="shared" si="24"/>
        <v>0</v>
      </c>
      <c r="D307">
        <f t="shared" si="25"/>
        <v>0</v>
      </c>
      <c r="E307" s="42">
        <v>46246.416666666664</v>
      </c>
      <c r="F307" s="51">
        <v>2.0499999999999999E-27</v>
      </c>
      <c r="G307" s="51">
        <v>3.3300000000000001E-14</v>
      </c>
      <c r="H307" s="51">
        <v>2.8E-5</v>
      </c>
      <c r="I307" s="45">
        <v>0</v>
      </c>
      <c r="J307" s="51">
        <v>1.6E-12</v>
      </c>
      <c r="K307" s="45">
        <v>1420.126</v>
      </c>
      <c r="L307">
        <f t="shared" si="26"/>
        <v>0</v>
      </c>
    </row>
    <row r="308" spans="1:12">
      <c r="A308">
        <f t="shared" si="27"/>
        <v>0</v>
      </c>
      <c r="B308">
        <f t="shared" si="23"/>
        <v>0</v>
      </c>
      <c r="C308">
        <f t="shared" si="24"/>
        <v>0</v>
      </c>
      <c r="D308">
        <f t="shared" si="25"/>
        <v>0</v>
      </c>
      <c r="E308" s="42">
        <v>46246.458333333336</v>
      </c>
      <c r="F308" s="51">
        <v>4.6800000000000002E-28</v>
      </c>
      <c r="G308" s="51">
        <v>2.9999999999999998E-14</v>
      </c>
      <c r="H308" s="51">
        <v>2.4000000000000001E-5</v>
      </c>
      <c r="I308" s="45">
        <v>0</v>
      </c>
      <c r="J308" s="51">
        <v>5.0299999999999998E-13</v>
      </c>
      <c r="K308" s="45">
        <v>1420.1220000000001</v>
      </c>
      <c r="L308">
        <f t="shared" si="26"/>
        <v>0</v>
      </c>
    </row>
    <row r="309" spans="1:12">
      <c r="A309">
        <f t="shared" si="27"/>
        <v>0</v>
      </c>
      <c r="B309">
        <f t="shared" si="23"/>
        <v>0</v>
      </c>
      <c r="C309">
        <f t="shared" si="24"/>
        <v>0</v>
      </c>
      <c r="D309">
        <f t="shared" si="25"/>
        <v>0</v>
      </c>
      <c r="E309" s="42">
        <v>46246.5</v>
      </c>
      <c r="F309" s="51">
        <v>9.99E-29</v>
      </c>
      <c r="G309" s="51">
        <v>4.7500000000000003E-15</v>
      </c>
      <c r="H309" s="51">
        <v>1.08E-5</v>
      </c>
      <c r="I309" s="45">
        <v>0</v>
      </c>
      <c r="J309" s="51">
        <v>4.8700000000000005E-13</v>
      </c>
      <c r="K309" s="45">
        <v>1420.046</v>
      </c>
      <c r="L309">
        <f t="shared" si="26"/>
        <v>0</v>
      </c>
    </row>
    <row r="310" spans="1:12">
      <c r="A310">
        <f t="shared" si="27"/>
        <v>0</v>
      </c>
      <c r="B310">
        <f t="shared" si="23"/>
        <v>0</v>
      </c>
      <c r="C310">
        <f t="shared" si="24"/>
        <v>0</v>
      </c>
      <c r="D310">
        <f t="shared" si="25"/>
        <v>0</v>
      </c>
      <c r="E310" s="42">
        <v>46246.541666666664</v>
      </c>
      <c r="F310" s="51">
        <v>2.2699999999999999E-29</v>
      </c>
      <c r="G310" s="51">
        <v>4.2899999999999999E-15</v>
      </c>
      <c r="H310" s="51">
        <v>9.2499999999999995E-6</v>
      </c>
      <c r="I310" s="45">
        <v>0</v>
      </c>
      <c r="J310" s="51">
        <v>1.53E-13</v>
      </c>
      <c r="K310" s="45">
        <v>1420.038</v>
      </c>
      <c r="L310">
        <f t="shared" si="26"/>
        <v>0</v>
      </c>
    </row>
    <row r="311" spans="1:12">
      <c r="A311">
        <f t="shared" si="27"/>
        <v>0</v>
      </c>
      <c r="B311">
        <f t="shared" si="23"/>
        <v>0</v>
      </c>
      <c r="C311">
        <f t="shared" si="24"/>
        <v>0</v>
      </c>
      <c r="D311">
        <f t="shared" si="25"/>
        <v>0</v>
      </c>
      <c r="E311" s="42">
        <v>46246.583333333336</v>
      </c>
      <c r="F311" s="51">
        <v>4.8499999999999997E-30</v>
      </c>
      <c r="G311" s="51">
        <v>6.7600000000000004E-16</v>
      </c>
      <c r="H311" s="51">
        <v>4.1699999999999999E-6</v>
      </c>
      <c r="I311" s="45">
        <v>0</v>
      </c>
      <c r="J311" s="51">
        <v>1.48E-13</v>
      </c>
      <c r="K311" s="45">
        <v>1420.0319999999999</v>
      </c>
      <c r="L311">
        <f t="shared" si="26"/>
        <v>0</v>
      </c>
    </row>
    <row r="312" spans="1:12">
      <c r="A312">
        <f t="shared" si="27"/>
        <v>0</v>
      </c>
      <c r="B312">
        <f t="shared" si="23"/>
        <v>0</v>
      </c>
      <c r="C312">
        <f t="shared" si="24"/>
        <v>0</v>
      </c>
      <c r="D312">
        <f t="shared" si="25"/>
        <v>0</v>
      </c>
      <c r="E312" s="42">
        <v>46246.625</v>
      </c>
      <c r="F312" s="51">
        <v>1.0999999999999999E-30</v>
      </c>
      <c r="G312" s="51">
        <v>6.0999999999999995E-16</v>
      </c>
      <c r="H312" s="51">
        <v>3.5700000000000001E-6</v>
      </c>
      <c r="I312" s="45">
        <v>0</v>
      </c>
      <c r="J312" s="51">
        <v>4.6200000000000001E-14</v>
      </c>
      <c r="K312" s="45">
        <v>1420.0309999999999</v>
      </c>
      <c r="L312">
        <f t="shared" si="26"/>
        <v>0</v>
      </c>
    </row>
    <row r="313" spans="1:12">
      <c r="A313">
        <f t="shared" si="27"/>
        <v>0</v>
      </c>
      <c r="B313">
        <f t="shared" si="23"/>
        <v>0</v>
      </c>
      <c r="C313">
        <f t="shared" si="24"/>
        <v>0</v>
      </c>
      <c r="D313">
        <f t="shared" si="25"/>
        <v>0</v>
      </c>
      <c r="E313" s="42">
        <v>46246.666666666664</v>
      </c>
      <c r="F313" s="51">
        <v>2.3499999999999999E-31</v>
      </c>
      <c r="G313" s="51">
        <v>9.5799999999999999E-17</v>
      </c>
      <c r="H313" s="51">
        <v>1.61E-6</v>
      </c>
      <c r="I313" s="45">
        <v>0</v>
      </c>
      <c r="J313" s="51">
        <v>4.4700000000000001E-14</v>
      </c>
      <c r="K313" s="45">
        <v>1420.011</v>
      </c>
      <c r="L313">
        <f t="shared" si="26"/>
        <v>0</v>
      </c>
    </row>
    <row r="314" spans="1:12">
      <c r="A314">
        <f t="shared" si="27"/>
        <v>0</v>
      </c>
      <c r="B314">
        <f t="shared" si="23"/>
        <v>0</v>
      </c>
      <c r="C314">
        <f t="shared" si="24"/>
        <v>0</v>
      </c>
      <c r="D314">
        <f t="shared" si="25"/>
        <v>0</v>
      </c>
      <c r="E314" s="42">
        <v>46246.708333333336</v>
      </c>
      <c r="F314" s="51">
        <v>5.3299999999999996E-32</v>
      </c>
      <c r="G314" s="51">
        <v>8.65E-17</v>
      </c>
      <c r="H314" s="51">
        <v>1.3799999999999999E-6</v>
      </c>
      <c r="I314" s="45">
        <v>0</v>
      </c>
      <c r="J314" s="51">
        <v>1.4E-14</v>
      </c>
      <c r="K314" s="45">
        <v>1420.009</v>
      </c>
      <c r="L314">
        <f t="shared" si="26"/>
        <v>0</v>
      </c>
    </row>
    <row r="315" spans="1:12">
      <c r="A315">
        <f t="shared" si="27"/>
        <v>0</v>
      </c>
      <c r="B315">
        <f t="shared" si="23"/>
        <v>0</v>
      </c>
      <c r="C315">
        <f t="shared" si="24"/>
        <v>0</v>
      </c>
      <c r="D315">
        <f t="shared" si="25"/>
        <v>0</v>
      </c>
      <c r="E315" s="42">
        <v>46246.75</v>
      </c>
      <c r="F315" s="51">
        <v>1.1400000000000001E-32</v>
      </c>
      <c r="G315" s="51">
        <v>1.3500000000000001E-17</v>
      </c>
      <c r="H315" s="51">
        <v>6.2200000000000004E-7</v>
      </c>
      <c r="I315" s="45">
        <v>0</v>
      </c>
      <c r="J315" s="51">
        <v>1.3499999999999999E-14</v>
      </c>
      <c r="K315" s="45">
        <v>1420.008</v>
      </c>
      <c r="L315">
        <f t="shared" si="26"/>
        <v>0</v>
      </c>
    </row>
    <row r="316" spans="1:12">
      <c r="A316">
        <f t="shared" si="27"/>
        <v>0</v>
      </c>
      <c r="B316">
        <f t="shared" si="23"/>
        <v>0</v>
      </c>
      <c r="C316">
        <f t="shared" si="24"/>
        <v>0</v>
      </c>
      <c r="D316">
        <f t="shared" si="25"/>
        <v>0</v>
      </c>
      <c r="E316" s="42">
        <v>46246.791666666664</v>
      </c>
      <c r="F316" s="51">
        <v>2.57E-33</v>
      </c>
      <c r="G316" s="51">
        <v>1.22E-17</v>
      </c>
      <c r="H316" s="51">
        <v>5.3200000000000005E-7</v>
      </c>
      <c r="I316" s="45">
        <v>0</v>
      </c>
      <c r="J316" s="51">
        <v>4.2100000000000002E-15</v>
      </c>
      <c r="K316" s="45">
        <v>1420.008</v>
      </c>
      <c r="L316">
        <f t="shared" si="26"/>
        <v>0</v>
      </c>
    </row>
    <row r="317" spans="1:12">
      <c r="A317">
        <f t="shared" si="27"/>
        <v>0</v>
      </c>
      <c r="B317">
        <f t="shared" si="23"/>
        <v>0</v>
      </c>
      <c r="C317">
        <f t="shared" si="24"/>
        <v>0</v>
      </c>
      <c r="D317">
        <f t="shared" si="25"/>
        <v>0</v>
      </c>
      <c r="E317" s="42">
        <v>46246.833333333336</v>
      </c>
      <c r="F317" s="51">
        <v>5.4699999999999999E-34</v>
      </c>
      <c r="G317" s="51">
        <v>1.8999999999999999E-18</v>
      </c>
      <c r="H317" s="51">
        <v>2.3999999999999998E-7</v>
      </c>
      <c r="I317" s="45">
        <v>0</v>
      </c>
      <c r="J317" s="51">
        <v>4.08E-15</v>
      </c>
      <c r="K317" s="45">
        <v>1420.0029999999999</v>
      </c>
      <c r="L317">
        <f t="shared" si="26"/>
        <v>0</v>
      </c>
    </row>
    <row r="318" spans="1:12">
      <c r="A318">
        <f t="shared" si="27"/>
        <v>0</v>
      </c>
      <c r="B318">
        <f t="shared" si="23"/>
        <v>0</v>
      </c>
      <c r="C318">
        <f t="shared" si="24"/>
        <v>0</v>
      </c>
      <c r="D318">
        <f t="shared" si="25"/>
        <v>0</v>
      </c>
      <c r="E318" s="42">
        <v>46246.875</v>
      </c>
      <c r="F318" s="51">
        <v>1.23E-34</v>
      </c>
      <c r="G318" s="51">
        <v>1.7200000000000001E-18</v>
      </c>
      <c r="H318" s="51">
        <v>2.0599999999999999E-7</v>
      </c>
      <c r="I318" s="45">
        <v>0</v>
      </c>
      <c r="J318" s="51">
        <v>1.2699999999999999E-15</v>
      </c>
      <c r="K318" s="45">
        <v>1420.002</v>
      </c>
      <c r="L318">
        <f t="shared" si="26"/>
        <v>0</v>
      </c>
    </row>
    <row r="319" spans="1:12">
      <c r="A319">
        <f t="shared" si="27"/>
        <v>0</v>
      </c>
      <c r="B319">
        <f t="shared" si="23"/>
        <v>0</v>
      </c>
      <c r="C319">
        <f t="shared" si="24"/>
        <v>0</v>
      </c>
      <c r="D319">
        <f t="shared" si="25"/>
        <v>0</v>
      </c>
      <c r="E319" s="42">
        <v>46246.916666666664</v>
      </c>
      <c r="F319" s="51">
        <v>2.6300000000000002E-35</v>
      </c>
      <c r="G319" s="51">
        <v>2.67E-19</v>
      </c>
      <c r="H319" s="51">
        <v>9.2599999999999995E-8</v>
      </c>
      <c r="I319" s="45">
        <v>0</v>
      </c>
      <c r="J319" s="51">
        <v>1.2300000000000001E-15</v>
      </c>
      <c r="K319" s="45">
        <v>1420.002</v>
      </c>
      <c r="L319">
        <f t="shared" si="26"/>
        <v>0</v>
      </c>
    </row>
    <row r="320" spans="1:12">
      <c r="A320">
        <f t="shared" si="27"/>
        <v>0</v>
      </c>
      <c r="B320">
        <f t="shared" si="23"/>
        <v>0</v>
      </c>
      <c r="C320">
        <f t="shared" si="24"/>
        <v>0</v>
      </c>
      <c r="D320">
        <f t="shared" si="25"/>
        <v>0</v>
      </c>
      <c r="E320" s="42">
        <v>46246.958333333336</v>
      </c>
      <c r="F320" s="51">
        <v>5.9299999999999997E-36</v>
      </c>
      <c r="G320" s="51">
        <v>2.4100000000000001E-19</v>
      </c>
      <c r="H320" s="51">
        <v>7.9300000000000002E-8</v>
      </c>
      <c r="I320" s="45">
        <v>0</v>
      </c>
      <c r="J320" s="51">
        <v>3.8099999999999998E-16</v>
      </c>
      <c r="K320" s="45">
        <v>1420.002</v>
      </c>
      <c r="L320">
        <f t="shared" si="26"/>
        <v>0</v>
      </c>
    </row>
    <row r="321" spans="1:12">
      <c r="A321">
        <f t="shared" si="27"/>
        <v>0</v>
      </c>
      <c r="B321">
        <f t="shared" si="23"/>
        <v>0</v>
      </c>
      <c r="C321">
        <f t="shared" si="24"/>
        <v>0</v>
      </c>
      <c r="D321">
        <f t="shared" si="25"/>
        <v>0</v>
      </c>
      <c r="E321" s="42">
        <v>46247</v>
      </c>
      <c r="F321" s="51">
        <v>1.26E-36</v>
      </c>
      <c r="G321" s="51">
        <v>3.7400000000000002E-20</v>
      </c>
      <c r="H321" s="51">
        <v>3.5700000000000002E-8</v>
      </c>
      <c r="I321" s="45">
        <v>0</v>
      </c>
      <c r="J321" s="51">
        <v>3.6899999999999998E-16</v>
      </c>
      <c r="K321" s="45">
        <v>1420.001</v>
      </c>
      <c r="L321">
        <f t="shared" si="26"/>
        <v>0</v>
      </c>
    </row>
    <row r="322" spans="1:12">
      <c r="A322">
        <f t="shared" si="27"/>
        <v>0</v>
      </c>
      <c r="B322">
        <f t="shared" si="23"/>
        <v>0</v>
      </c>
      <c r="C322">
        <f t="shared" si="24"/>
        <v>0</v>
      </c>
      <c r="D322">
        <f t="shared" si="25"/>
        <v>0</v>
      </c>
      <c r="E322" s="42">
        <v>46247.041666666664</v>
      </c>
      <c r="F322" s="51">
        <v>2.8400000000000001E-37</v>
      </c>
      <c r="G322" s="51">
        <v>3.3699999999999999E-20</v>
      </c>
      <c r="H322" s="51">
        <v>3.0600000000000003E-8</v>
      </c>
      <c r="I322" s="45">
        <v>0</v>
      </c>
      <c r="J322" s="51">
        <v>1.14E-16</v>
      </c>
      <c r="K322" s="45">
        <v>1420.001</v>
      </c>
      <c r="L322">
        <f t="shared" si="26"/>
        <v>0</v>
      </c>
    </row>
    <row r="323" spans="1:12">
      <c r="A323">
        <f t="shared" si="27"/>
        <v>0</v>
      </c>
      <c r="B323">
        <f t="shared" ref="B323:B374" si="28">AD323</f>
        <v>0</v>
      </c>
      <c r="C323">
        <f t="shared" ref="C323:C374" si="29">AE323</f>
        <v>0</v>
      </c>
      <c r="D323">
        <f t="shared" ref="D323:D374" si="30">AF323</f>
        <v>0</v>
      </c>
      <c r="E323" s="42">
        <v>46247.083333333336</v>
      </c>
      <c r="F323" s="51">
        <v>6.0399999999999995E-38</v>
      </c>
      <c r="G323" s="51">
        <v>5.2100000000000002E-21</v>
      </c>
      <c r="H323" s="51">
        <v>1.3799999999999999E-8</v>
      </c>
      <c r="I323" s="45">
        <v>0</v>
      </c>
      <c r="J323" s="51">
        <v>1.11E-16</v>
      </c>
      <c r="K323" s="45">
        <v>1420</v>
      </c>
      <c r="L323">
        <f t="shared" ref="L323:L386" si="31">IF(K323&gt;10000,K323-10000,0)</f>
        <v>0</v>
      </c>
    </row>
    <row r="324" spans="1:12">
      <c r="A324">
        <f t="shared" si="27"/>
        <v>0</v>
      </c>
      <c r="B324">
        <f t="shared" si="28"/>
        <v>0</v>
      </c>
      <c r="C324">
        <f t="shared" si="29"/>
        <v>0</v>
      </c>
      <c r="D324">
        <f t="shared" si="30"/>
        <v>0</v>
      </c>
      <c r="E324" s="42">
        <v>46247.125</v>
      </c>
      <c r="F324" s="51">
        <v>1.36E-38</v>
      </c>
      <c r="G324" s="51">
        <v>4.7100000000000002E-21</v>
      </c>
      <c r="H324" s="51">
        <v>1.18E-8</v>
      </c>
      <c r="I324" s="45">
        <v>0</v>
      </c>
      <c r="J324" s="51">
        <v>3.42E-17</v>
      </c>
      <c r="K324" s="45">
        <v>1420</v>
      </c>
      <c r="L324">
        <f t="shared" si="31"/>
        <v>0</v>
      </c>
    </row>
    <row r="325" spans="1:12">
      <c r="A325">
        <f t="shared" si="27"/>
        <v>0</v>
      </c>
      <c r="B325">
        <f t="shared" si="28"/>
        <v>0</v>
      </c>
      <c r="C325">
        <f t="shared" si="29"/>
        <v>0</v>
      </c>
      <c r="D325">
        <f t="shared" si="30"/>
        <v>0</v>
      </c>
      <c r="E325" s="42">
        <v>46247.166666666664</v>
      </c>
      <c r="F325" s="51">
        <v>2.8900000000000001E-39</v>
      </c>
      <c r="G325" s="51">
        <v>7.2599999999999996E-22</v>
      </c>
      <c r="H325" s="51">
        <v>5.3300000000000004E-9</v>
      </c>
      <c r="I325" s="45">
        <v>0</v>
      </c>
      <c r="J325" s="51">
        <v>3.3099999999999998E-17</v>
      </c>
      <c r="K325" s="45">
        <v>1420</v>
      </c>
      <c r="L325">
        <f t="shared" si="31"/>
        <v>0</v>
      </c>
    </row>
    <row r="326" spans="1:12">
      <c r="A326">
        <f t="shared" si="27"/>
        <v>0</v>
      </c>
      <c r="B326">
        <f t="shared" si="28"/>
        <v>0</v>
      </c>
      <c r="C326">
        <f t="shared" si="29"/>
        <v>0</v>
      </c>
      <c r="D326">
        <f t="shared" si="30"/>
        <v>0</v>
      </c>
      <c r="E326" s="42">
        <v>46247.208333333336</v>
      </c>
      <c r="F326" s="51">
        <v>6.4800000000000001E-40</v>
      </c>
      <c r="G326" s="51">
        <v>6.5499999999999998E-22</v>
      </c>
      <c r="H326" s="51">
        <v>4.56E-9</v>
      </c>
      <c r="I326" s="45">
        <v>0</v>
      </c>
      <c r="J326" s="51">
        <v>1.02E-17</v>
      </c>
      <c r="K326" s="45">
        <v>1420</v>
      </c>
      <c r="L326">
        <f t="shared" si="31"/>
        <v>0</v>
      </c>
    </row>
    <row r="327" spans="1:12">
      <c r="A327">
        <f t="shared" si="27"/>
        <v>0</v>
      </c>
      <c r="B327">
        <f t="shared" si="28"/>
        <v>0</v>
      </c>
      <c r="C327">
        <f t="shared" si="29"/>
        <v>0</v>
      </c>
      <c r="D327">
        <f t="shared" si="30"/>
        <v>0</v>
      </c>
      <c r="E327" s="42">
        <v>46247.25</v>
      </c>
      <c r="F327" s="51">
        <v>1.38E-40</v>
      </c>
      <c r="G327" s="51">
        <v>1.01E-22</v>
      </c>
      <c r="H327" s="51">
        <v>2.0599999999999999E-9</v>
      </c>
      <c r="I327" s="45">
        <v>0</v>
      </c>
      <c r="J327" s="51">
        <v>9.8999999999999997E-18</v>
      </c>
      <c r="K327" s="45">
        <v>1420</v>
      </c>
      <c r="L327">
        <f t="shared" si="31"/>
        <v>0</v>
      </c>
    </row>
    <row r="328" spans="1:12">
      <c r="A328">
        <f t="shared" si="27"/>
        <v>0</v>
      </c>
      <c r="B328">
        <f t="shared" si="28"/>
        <v>0</v>
      </c>
      <c r="C328">
        <f t="shared" si="29"/>
        <v>0</v>
      </c>
      <c r="D328">
        <f t="shared" si="30"/>
        <v>0</v>
      </c>
      <c r="E328" s="42">
        <v>46247.291666666664</v>
      </c>
      <c r="F328" s="51">
        <v>3.0900000000000002E-41</v>
      </c>
      <c r="G328" s="51">
        <v>9.0999999999999999E-23</v>
      </c>
      <c r="H328" s="51">
        <v>1.7599999999999999E-9</v>
      </c>
      <c r="I328" s="45">
        <v>0</v>
      </c>
      <c r="J328" s="51">
        <v>3.0599999999999999E-18</v>
      </c>
      <c r="K328" s="45">
        <v>1420</v>
      </c>
      <c r="L328">
        <f t="shared" si="31"/>
        <v>0</v>
      </c>
    </row>
    <row r="329" spans="1:12">
      <c r="A329">
        <f t="shared" si="27"/>
        <v>0</v>
      </c>
      <c r="B329">
        <f t="shared" si="28"/>
        <v>0</v>
      </c>
      <c r="C329">
        <f t="shared" si="29"/>
        <v>0</v>
      </c>
      <c r="D329">
        <f t="shared" si="30"/>
        <v>0</v>
      </c>
      <c r="E329" s="42">
        <v>46247.333333333336</v>
      </c>
      <c r="F329" s="51">
        <v>6.5599999999999997E-42</v>
      </c>
      <c r="G329" s="51">
        <v>1.3999999999999999E-23</v>
      </c>
      <c r="H329" s="51">
        <v>7.9400000000000005E-10</v>
      </c>
      <c r="I329" s="45">
        <v>0</v>
      </c>
      <c r="J329" s="51">
        <v>2.96E-18</v>
      </c>
      <c r="K329" s="45">
        <v>1420</v>
      </c>
      <c r="L329">
        <f t="shared" si="31"/>
        <v>0</v>
      </c>
    </row>
    <row r="330" spans="1:12">
      <c r="A330">
        <f t="shared" si="27"/>
        <v>0</v>
      </c>
      <c r="B330">
        <f t="shared" si="28"/>
        <v>0</v>
      </c>
      <c r="C330">
        <f t="shared" si="29"/>
        <v>0</v>
      </c>
      <c r="D330">
        <f t="shared" si="30"/>
        <v>0</v>
      </c>
      <c r="E330" s="42">
        <v>46247.375</v>
      </c>
      <c r="F330" s="51">
        <v>1.4699999999999999E-42</v>
      </c>
      <c r="G330" s="51">
        <v>1.26E-23</v>
      </c>
      <c r="H330" s="51">
        <v>6.8000000000000003E-10</v>
      </c>
      <c r="I330" s="45">
        <v>0</v>
      </c>
      <c r="J330" s="51">
        <v>9.1100000000000001E-19</v>
      </c>
      <c r="K330" s="45">
        <v>1420</v>
      </c>
      <c r="L330">
        <f t="shared" si="31"/>
        <v>0</v>
      </c>
    </row>
    <row r="331" spans="1:12">
      <c r="A331">
        <f t="shared" si="27"/>
        <v>0</v>
      </c>
      <c r="B331">
        <f t="shared" si="28"/>
        <v>0</v>
      </c>
      <c r="C331">
        <f t="shared" si="29"/>
        <v>0</v>
      </c>
      <c r="D331">
        <f t="shared" si="30"/>
        <v>0</v>
      </c>
      <c r="E331" s="42">
        <v>46247.416666666664</v>
      </c>
      <c r="F331" s="51">
        <v>3.1100000000000001E-43</v>
      </c>
      <c r="G331" s="51">
        <v>1.93E-24</v>
      </c>
      <c r="H331" s="51">
        <v>3.0599999999999998E-10</v>
      </c>
      <c r="I331" s="45">
        <v>0</v>
      </c>
      <c r="J331" s="51">
        <v>8.8099999999999997E-19</v>
      </c>
      <c r="K331" s="45">
        <v>1420</v>
      </c>
      <c r="L331">
        <f t="shared" si="31"/>
        <v>0</v>
      </c>
    </row>
    <row r="332" spans="1:12">
      <c r="A332">
        <f t="shared" si="27"/>
        <v>0</v>
      </c>
      <c r="B332">
        <f t="shared" si="28"/>
        <v>0</v>
      </c>
      <c r="C332">
        <f t="shared" si="29"/>
        <v>0</v>
      </c>
      <c r="D332">
        <f t="shared" si="30"/>
        <v>0</v>
      </c>
      <c r="E332" s="42">
        <v>46247.458333333336</v>
      </c>
      <c r="F332" s="51">
        <v>7.0099999999999999E-44</v>
      </c>
      <c r="G332" s="51">
        <v>1.7399999999999998E-24</v>
      </c>
      <c r="H332" s="51">
        <v>2.6200000000000003E-10</v>
      </c>
      <c r="I332" s="45">
        <v>0</v>
      </c>
      <c r="J332" s="51">
        <v>2.7099999999999999E-19</v>
      </c>
      <c r="K332" s="45">
        <v>1420</v>
      </c>
      <c r="L332">
        <f t="shared" si="31"/>
        <v>0</v>
      </c>
    </row>
    <row r="333" spans="1:12">
      <c r="A333">
        <f t="shared" si="27"/>
        <v>0</v>
      </c>
      <c r="B333">
        <f t="shared" si="28"/>
        <v>0</v>
      </c>
      <c r="C333">
        <f t="shared" si="29"/>
        <v>0</v>
      </c>
      <c r="D333">
        <f t="shared" si="30"/>
        <v>0</v>
      </c>
      <c r="E333" s="42">
        <v>46247.5</v>
      </c>
      <c r="F333" s="51">
        <v>1.5400000000000001E-44</v>
      </c>
      <c r="G333" s="51">
        <v>2.6699999999999998E-25</v>
      </c>
      <c r="H333" s="51">
        <v>1.1800000000000001E-10</v>
      </c>
      <c r="I333" s="45">
        <v>0</v>
      </c>
      <c r="J333" s="51">
        <v>2.6199999999999998E-19</v>
      </c>
      <c r="K333" s="45">
        <v>1420</v>
      </c>
      <c r="L333">
        <f t="shared" si="31"/>
        <v>0</v>
      </c>
    </row>
    <row r="334" spans="1:12">
      <c r="A334">
        <f t="shared" si="27"/>
        <v>0</v>
      </c>
      <c r="B334">
        <f t="shared" si="28"/>
        <v>0</v>
      </c>
      <c r="C334">
        <f t="shared" si="29"/>
        <v>0</v>
      </c>
      <c r="D334">
        <f t="shared" si="30"/>
        <v>0</v>
      </c>
      <c r="E334" s="42">
        <v>46247.541666666664</v>
      </c>
      <c r="F334" s="51">
        <v>2.8000000000000001E-45</v>
      </c>
      <c r="G334" s="51">
        <v>2.4100000000000001E-25</v>
      </c>
      <c r="H334" s="51">
        <v>1.01E-10</v>
      </c>
      <c r="I334" s="45">
        <v>0</v>
      </c>
      <c r="J334" s="51">
        <v>8.0699999999999995E-20</v>
      </c>
      <c r="K334" s="45">
        <v>1420</v>
      </c>
      <c r="L334">
        <f t="shared" si="31"/>
        <v>0</v>
      </c>
    </row>
    <row r="335" spans="1:12">
      <c r="A335">
        <f t="shared" si="27"/>
        <v>0</v>
      </c>
      <c r="B335">
        <f t="shared" si="28"/>
        <v>0</v>
      </c>
      <c r="C335">
        <f t="shared" si="29"/>
        <v>0</v>
      </c>
      <c r="D335">
        <f t="shared" si="30"/>
        <v>0</v>
      </c>
      <c r="E335" s="42">
        <v>46247.583333333336</v>
      </c>
      <c r="F335" s="45">
        <v>0</v>
      </c>
      <c r="G335" s="51">
        <v>3.6799999999999999E-26</v>
      </c>
      <c r="H335" s="51">
        <v>4.5600000000000003E-11</v>
      </c>
      <c r="I335" s="45">
        <v>0</v>
      </c>
      <c r="J335" s="51">
        <v>7.8000000000000001E-20</v>
      </c>
      <c r="K335" s="45">
        <v>1420</v>
      </c>
      <c r="L335">
        <f t="shared" si="31"/>
        <v>0</v>
      </c>
    </row>
    <row r="336" spans="1:12">
      <c r="A336">
        <f t="shared" si="27"/>
        <v>0</v>
      </c>
      <c r="B336">
        <f t="shared" si="28"/>
        <v>0</v>
      </c>
      <c r="C336">
        <f t="shared" si="29"/>
        <v>0</v>
      </c>
      <c r="D336">
        <f t="shared" si="30"/>
        <v>0</v>
      </c>
      <c r="E336" s="42">
        <v>46247.625</v>
      </c>
      <c r="F336" s="45">
        <v>0</v>
      </c>
      <c r="G336" s="51">
        <v>3.3199999999999998E-26</v>
      </c>
      <c r="H336" s="51">
        <v>3.9099999999999999E-11</v>
      </c>
      <c r="I336" s="45">
        <v>0</v>
      </c>
      <c r="J336" s="51">
        <v>2.3999999999999999E-20</v>
      </c>
      <c r="K336" s="45">
        <v>1420</v>
      </c>
      <c r="L336">
        <f t="shared" si="31"/>
        <v>0</v>
      </c>
    </row>
    <row r="337" spans="1:12">
      <c r="A337">
        <f t="shared" si="27"/>
        <v>0</v>
      </c>
      <c r="B337">
        <f t="shared" si="28"/>
        <v>0</v>
      </c>
      <c r="C337">
        <f t="shared" si="29"/>
        <v>0</v>
      </c>
      <c r="D337">
        <f t="shared" si="30"/>
        <v>0</v>
      </c>
      <c r="E337" s="42">
        <v>46247.666666666664</v>
      </c>
      <c r="F337" s="45">
        <v>0</v>
      </c>
      <c r="G337" s="51">
        <v>5.0600000000000003E-27</v>
      </c>
      <c r="H337" s="51">
        <v>1.7599999999999999E-11</v>
      </c>
      <c r="I337" s="45">
        <v>0</v>
      </c>
      <c r="J337" s="51">
        <v>2.32E-20</v>
      </c>
      <c r="K337" s="45">
        <v>1420</v>
      </c>
      <c r="L337">
        <f t="shared" si="31"/>
        <v>0</v>
      </c>
    </row>
    <row r="338" spans="1:12">
      <c r="A338">
        <f t="shared" si="27"/>
        <v>0</v>
      </c>
      <c r="B338">
        <f t="shared" si="28"/>
        <v>0</v>
      </c>
      <c r="C338">
        <f t="shared" si="29"/>
        <v>0</v>
      </c>
      <c r="D338">
        <f t="shared" si="30"/>
        <v>0</v>
      </c>
      <c r="E338" s="42">
        <v>46247.708333333336</v>
      </c>
      <c r="F338" s="45">
        <v>0</v>
      </c>
      <c r="G338" s="51">
        <v>4.5699999999999998E-27</v>
      </c>
      <c r="H338" s="51">
        <v>1.5100000000000001E-11</v>
      </c>
      <c r="I338" s="45">
        <v>0</v>
      </c>
      <c r="J338" s="51">
        <v>7.1100000000000001E-21</v>
      </c>
      <c r="K338" s="45">
        <v>1420</v>
      </c>
      <c r="L338">
        <f t="shared" si="31"/>
        <v>0</v>
      </c>
    </row>
    <row r="339" spans="1:12">
      <c r="A339">
        <f t="shared" si="27"/>
        <v>0</v>
      </c>
      <c r="B339">
        <f t="shared" si="28"/>
        <v>0</v>
      </c>
      <c r="C339">
        <f t="shared" si="29"/>
        <v>0</v>
      </c>
      <c r="D339">
        <f t="shared" si="30"/>
        <v>0</v>
      </c>
      <c r="E339" s="42">
        <v>46247.75</v>
      </c>
      <c r="F339" s="45">
        <v>0</v>
      </c>
      <c r="G339" s="51">
        <v>6.9500000000000004E-28</v>
      </c>
      <c r="H339" s="51">
        <v>6.8000000000000001E-12</v>
      </c>
      <c r="I339" s="45">
        <v>0</v>
      </c>
      <c r="J339" s="51">
        <v>6.87E-21</v>
      </c>
      <c r="K339" s="45">
        <v>1420</v>
      </c>
      <c r="L339">
        <f t="shared" si="31"/>
        <v>0</v>
      </c>
    </row>
    <row r="340" spans="1:12">
      <c r="A340">
        <f t="shared" si="27"/>
        <v>0</v>
      </c>
      <c r="B340">
        <f t="shared" si="28"/>
        <v>0</v>
      </c>
      <c r="C340">
        <f t="shared" si="29"/>
        <v>0</v>
      </c>
      <c r="D340">
        <f t="shared" si="30"/>
        <v>0</v>
      </c>
      <c r="E340" s="42">
        <v>46247.791666666664</v>
      </c>
      <c r="F340" s="45">
        <v>0</v>
      </c>
      <c r="G340" s="51">
        <v>6.2699999999999997E-28</v>
      </c>
      <c r="H340" s="51">
        <v>5.83E-12</v>
      </c>
      <c r="I340" s="45">
        <v>0</v>
      </c>
      <c r="J340" s="51">
        <v>2.11E-21</v>
      </c>
      <c r="K340" s="45">
        <v>1420</v>
      </c>
      <c r="L340">
        <f t="shared" si="31"/>
        <v>0</v>
      </c>
    </row>
    <row r="341" spans="1:12">
      <c r="A341">
        <f t="shared" si="27"/>
        <v>0</v>
      </c>
      <c r="B341">
        <f t="shared" si="28"/>
        <v>0</v>
      </c>
      <c r="C341">
        <f t="shared" si="29"/>
        <v>0</v>
      </c>
      <c r="D341">
        <f t="shared" si="30"/>
        <v>0</v>
      </c>
      <c r="E341" s="42">
        <v>46247.833333333336</v>
      </c>
      <c r="F341" s="45">
        <v>0</v>
      </c>
      <c r="G341" s="51">
        <v>9.5400000000000002E-29</v>
      </c>
      <c r="H341" s="51">
        <v>2.6299999999999999E-12</v>
      </c>
      <c r="I341" s="45">
        <v>0</v>
      </c>
      <c r="J341" s="51">
        <v>2.0400000000000001E-21</v>
      </c>
      <c r="K341" s="45">
        <v>1420</v>
      </c>
      <c r="L341">
        <f t="shared" si="31"/>
        <v>0</v>
      </c>
    </row>
    <row r="342" spans="1:12">
      <c r="A342">
        <f t="shared" si="27"/>
        <v>0</v>
      </c>
      <c r="B342">
        <f t="shared" si="28"/>
        <v>0</v>
      </c>
      <c r="C342">
        <f t="shared" si="29"/>
        <v>0</v>
      </c>
      <c r="D342">
        <f t="shared" si="30"/>
        <v>0</v>
      </c>
      <c r="E342" s="42">
        <v>46247.875</v>
      </c>
      <c r="F342" s="45">
        <v>0</v>
      </c>
      <c r="G342" s="51">
        <v>8.6100000000000004E-29</v>
      </c>
      <c r="H342" s="51">
        <v>2.2499999999999999E-12</v>
      </c>
      <c r="I342" s="45">
        <v>0</v>
      </c>
      <c r="J342" s="51">
        <v>6.2300000000000003E-22</v>
      </c>
      <c r="K342" s="45">
        <v>1420</v>
      </c>
      <c r="L342">
        <f t="shared" si="31"/>
        <v>0</v>
      </c>
    </row>
    <row r="343" spans="1:12">
      <c r="A343">
        <f t="shared" si="27"/>
        <v>0</v>
      </c>
      <c r="B343">
        <f t="shared" si="28"/>
        <v>0</v>
      </c>
      <c r="C343">
        <f t="shared" si="29"/>
        <v>0</v>
      </c>
      <c r="D343">
        <f t="shared" si="30"/>
        <v>0</v>
      </c>
      <c r="E343" s="42">
        <v>46247.916666666664</v>
      </c>
      <c r="F343" s="45">
        <v>0</v>
      </c>
      <c r="G343" s="51">
        <v>1.3100000000000001E-29</v>
      </c>
      <c r="H343" s="51">
        <v>1.0099999999999999E-12</v>
      </c>
      <c r="I343" s="45">
        <v>0</v>
      </c>
      <c r="J343" s="51">
        <v>6.0299999999999998E-22</v>
      </c>
      <c r="K343" s="45">
        <v>1420</v>
      </c>
      <c r="L343">
        <f t="shared" si="31"/>
        <v>0</v>
      </c>
    </row>
    <row r="344" spans="1:12">
      <c r="A344">
        <f t="shared" si="27"/>
        <v>0</v>
      </c>
      <c r="B344">
        <f t="shared" si="28"/>
        <v>0</v>
      </c>
      <c r="C344">
        <f t="shared" si="29"/>
        <v>0</v>
      </c>
      <c r="D344">
        <f t="shared" si="30"/>
        <v>0</v>
      </c>
      <c r="E344" s="42">
        <v>46247.958333333336</v>
      </c>
      <c r="F344" s="45">
        <v>0</v>
      </c>
      <c r="G344" s="51">
        <v>1.18E-29</v>
      </c>
      <c r="H344" s="51">
        <v>8.6800000000000004E-13</v>
      </c>
      <c r="I344" s="45">
        <v>0</v>
      </c>
      <c r="J344" s="51">
        <v>1.8400000000000001E-22</v>
      </c>
      <c r="K344" s="45">
        <v>1420</v>
      </c>
      <c r="L344">
        <f t="shared" si="31"/>
        <v>0</v>
      </c>
    </row>
    <row r="345" spans="1:12">
      <c r="A345">
        <f t="shared" si="27"/>
        <v>0</v>
      </c>
      <c r="B345">
        <f t="shared" si="28"/>
        <v>0</v>
      </c>
      <c r="C345">
        <f t="shared" si="29"/>
        <v>0</v>
      </c>
      <c r="D345">
        <f t="shared" si="30"/>
        <v>0</v>
      </c>
      <c r="E345" s="42">
        <v>46248</v>
      </c>
      <c r="F345" s="45">
        <v>0</v>
      </c>
      <c r="G345" s="51">
        <v>1.7899999999999999E-30</v>
      </c>
      <c r="H345" s="51">
        <v>3.91E-13</v>
      </c>
      <c r="I345" s="45">
        <v>0</v>
      </c>
      <c r="J345" s="51">
        <v>1.78E-22</v>
      </c>
      <c r="K345" s="45">
        <v>1420</v>
      </c>
      <c r="L345">
        <f t="shared" si="31"/>
        <v>0</v>
      </c>
    </row>
    <row r="346" spans="1:12">
      <c r="A346">
        <f t="shared" si="27"/>
        <v>0</v>
      </c>
      <c r="B346">
        <f t="shared" si="28"/>
        <v>0</v>
      </c>
      <c r="C346">
        <f t="shared" si="29"/>
        <v>0</v>
      </c>
      <c r="D346">
        <f t="shared" si="30"/>
        <v>0</v>
      </c>
      <c r="E346" s="42">
        <v>46248.041666666664</v>
      </c>
      <c r="F346" s="45">
        <v>0</v>
      </c>
      <c r="G346" s="51">
        <v>1.6100000000000001E-30</v>
      </c>
      <c r="H346" s="51">
        <v>3.3499999999999999E-13</v>
      </c>
      <c r="I346" s="45">
        <v>0</v>
      </c>
      <c r="J346" s="51">
        <v>5.4399999999999999E-23</v>
      </c>
      <c r="K346" s="45">
        <v>1420</v>
      </c>
      <c r="L346">
        <f t="shared" si="31"/>
        <v>0</v>
      </c>
    </row>
    <row r="347" spans="1:12">
      <c r="A347">
        <f t="shared" si="27"/>
        <v>0</v>
      </c>
      <c r="B347">
        <f t="shared" si="28"/>
        <v>0</v>
      </c>
      <c r="C347">
        <f t="shared" si="29"/>
        <v>0</v>
      </c>
      <c r="D347">
        <f t="shared" si="30"/>
        <v>0</v>
      </c>
      <c r="E347" s="42">
        <v>46248.083333333336</v>
      </c>
      <c r="F347" s="45">
        <v>0</v>
      </c>
      <c r="G347" s="51">
        <v>2.4399999999999998E-31</v>
      </c>
      <c r="H347" s="51">
        <v>1.5099999999999999E-13</v>
      </c>
      <c r="I347" s="45">
        <v>0</v>
      </c>
      <c r="J347" s="51">
        <v>5.2600000000000002E-23</v>
      </c>
      <c r="K347" s="45">
        <v>1420</v>
      </c>
      <c r="L347">
        <f t="shared" si="31"/>
        <v>0</v>
      </c>
    </row>
    <row r="348" spans="1:12">
      <c r="A348">
        <f t="shared" si="27"/>
        <v>0</v>
      </c>
      <c r="B348">
        <f t="shared" si="28"/>
        <v>0</v>
      </c>
      <c r="C348">
        <f t="shared" si="29"/>
        <v>0</v>
      </c>
      <c r="D348">
        <f t="shared" si="30"/>
        <v>0</v>
      </c>
      <c r="E348" s="42">
        <v>46248.125</v>
      </c>
      <c r="F348" s="45">
        <v>0</v>
      </c>
      <c r="G348" s="51">
        <v>2.2000000000000001E-31</v>
      </c>
      <c r="H348" s="51">
        <v>1.2900000000000001E-13</v>
      </c>
      <c r="I348" s="45">
        <v>0</v>
      </c>
      <c r="J348" s="51">
        <v>1.6099999999999999E-23</v>
      </c>
      <c r="K348" s="45">
        <v>1420</v>
      </c>
      <c r="L348">
        <f t="shared" si="31"/>
        <v>0</v>
      </c>
    </row>
    <row r="349" spans="1:12">
      <c r="A349">
        <f t="shared" si="27"/>
        <v>0</v>
      </c>
      <c r="B349">
        <f t="shared" si="28"/>
        <v>0</v>
      </c>
      <c r="C349">
        <f t="shared" si="29"/>
        <v>0</v>
      </c>
      <c r="D349">
        <f t="shared" si="30"/>
        <v>0</v>
      </c>
      <c r="E349" s="42">
        <v>46248.166666666664</v>
      </c>
      <c r="F349" s="45">
        <v>0</v>
      </c>
      <c r="G349" s="51">
        <v>3.3299999999999998E-32</v>
      </c>
      <c r="H349" s="51">
        <v>5.8300000000000001E-14</v>
      </c>
      <c r="I349" s="45">
        <v>0</v>
      </c>
      <c r="J349" s="51">
        <v>1.5499999999999999E-23</v>
      </c>
      <c r="K349" s="45">
        <v>1420</v>
      </c>
      <c r="L349">
        <f t="shared" si="31"/>
        <v>0</v>
      </c>
    </row>
    <row r="350" spans="1:12">
      <c r="A350">
        <f t="shared" si="27"/>
        <v>0</v>
      </c>
      <c r="B350">
        <f t="shared" si="28"/>
        <v>0</v>
      </c>
      <c r="C350">
        <f t="shared" si="29"/>
        <v>0</v>
      </c>
      <c r="D350">
        <f t="shared" si="30"/>
        <v>0</v>
      </c>
      <c r="E350" s="42">
        <v>46248.208333333336</v>
      </c>
      <c r="F350" s="45">
        <v>0</v>
      </c>
      <c r="G350" s="51">
        <v>3.0099999999999999E-32</v>
      </c>
      <c r="H350" s="51">
        <v>4.9900000000000001E-14</v>
      </c>
      <c r="I350" s="45">
        <v>0</v>
      </c>
      <c r="J350" s="51">
        <v>4.7300000000000002E-24</v>
      </c>
      <c r="K350" s="45">
        <v>1420</v>
      </c>
      <c r="L350">
        <f t="shared" si="31"/>
        <v>0</v>
      </c>
    </row>
    <row r="351" spans="1:12">
      <c r="A351">
        <f t="shared" si="27"/>
        <v>0</v>
      </c>
      <c r="B351">
        <f t="shared" si="28"/>
        <v>0</v>
      </c>
      <c r="C351">
        <f t="shared" si="29"/>
        <v>0</v>
      </c>
      <c r="D351">
        <f t="shared" si="30"/>
        <v>0</v>
      </c>
      <c r="E351" s="42">
        <v>46248.25</v>
      </c>
      <c r="F351" s="45">
        <v>0</v>
      </c>
      <c r="G351" s="51">
        <v>4.5399999999999998E-33</v>
      </c>
      <c r="H351" s="51">
        <v>2.2499999999999999E-14</v>
      </c>
      <c r="I351" s="45">
        <v>0</v>
      </c>
      <c r="J351" s="51">
        <v>4.5800000000000003E-24</v>
      </c>
      <c r="K351" s="45">
        <v>1420</v>
      </c>
      <c r="L351">
        <f t="shared" si="31"/>
        <v>0</v>
      </c>
    </row>
    <row r="352" spans="1:12">
      <c r="A352">
        <f t="shared" si="27"/>
        <v>0</v>
      </c>
      <c r="B352">
        <f t="shared" si="28"/>
        <v>0</v>
      </c>
      <c r="C352">
        <f t="shared" si="29"/>
        <v>0</v>
      </c>
      <c r="D352">
        <f t="shared" si="30"/>
        <v>0</v>
      </c>
      <c r="E352" s="42">
        <v>46248.291666666664</v>
      </c>
      <c r="F352" s="45">
        <v>0</v>
      </c>
      <c r="G352" s="51">
        <v>4.1E-33</v>
      </c>
      <c r="H352" s="51">
        <v>1.93E-14</v>
      </c>
      <c r="I352" s="45">
        <v>0</v>
      </c>
      <c r="J352" s="51">
        <v>1.3899999999999999E-24</v>
      </c>
      <c r="K352" s="45">
        <v>1420</v>
      </c>
      <c r="L352">
        <f t="shared" si="31"/>
        <v>0</v>
      </c>
    </row>
    <row r="353" spans="1:12">
      <c r="A353">
        <f t="shared" si="27"/>
        <v>0</v>
      </c>
      <c r="B353">
        <f t="shared" si="28"/>
        <v>0</v>
      </c>
      <c r="C353">
        <f t="shared" si="29"/>
        <v>0</v>
      </c>
      <c r="D353">
        <f t="shared" si="30"/>
        <v>0</v>
      </c>
      <c r="E353" s="42">
        <v>46248.333333333336</v>
      </c>
      <c r="F353" s="45">
        <v>0</v>
      </c>
      <c r="G353" s="51">
        <v>6.1899999999999998E-34</v>
      </c>
      <c r="H353" s="51">
        <v>8.6800000000000006E-15</v>
      </c>
      <c r="I353" s="45">
        <v>0</v>
      </c>
      <c r="J353" s="51">
        <v>1.35E-24</v>
      </c>
      <c r="K353" s="45">
        <v>1420</v>
      </c>
      <c r="L353">
        <f t="shared" si="31"/>
        <v>0</v>
      </c>
    </row>
    <row r="354" spans="1:12">
      <c r="A354">
        <f t="shared" si="27"/>
        <v>0</v>
      </c>
      <c r="B354">
        <f t="shared" si="28"/>
        <v>0</v>
      </c>
      <c r="C354">
        <f t="shared" si="29"/>
        <v>0</v>
      </c>
      <c r="D354">
        <f t="shared" si="30"/>
        <v>0</v>
      </c>
      <c r="E354" s="42">
        <v>46248.375</v>
      </c>
      <c r="F354" s="45">
        <v>0</v>
      </c>
      <c r="G354" s="51">
        <v>5.5800000000000003E-34</v>
      </c>
      <c r="H354" s="51">
        <v>7.4399999999999994E-15</v>
      </c>
      <c r="I354" s="45">
        <v>0</v>
      </c>
      <c r="J354" s="51">
        <v>4.0999999999999999E-25</v>
      </c>
      <c r="K354" s="45">
        <v>1420</v>
      </c>
      <c r="L354">
        <f t="shared" si="31"/>
        <v>0</v>
      </c>
    </row>
    <row r="355" spans="1:12">
      <c r="A355">
        <f t="shared" si="27"/>
        <v>0</v>
      </c>
      <c r="B355">
        <f t="shared" si="28"/>
        <v>0</v>
      </c>
      <c r="C355">
        <f t="shared" si="29"/>
        <v>0</v>
      </c>
      <c r="D355">
        <f t="shared" si="30"/>
        <v>0</v>
      </c>
      <c r="E355" s="42">
        <v>46248.416666666664</v>
      </c>
      <c r="F355" s="45">
        <v>0</v>
      </c>
      <c r="G355" s="51">
        <v>8.4100000000000001E-35</v>
      </c>
      <c r="H355" s="51">
        <v>3.35E-15</v>
      </c>
      <c r="I355" s="45">
        <v>0</v>
      </c>
      <c r="J355" s="51">
        <v>3.9699999999999998E-25</v>
      </c>
      <c r="K355" s="45">
        <v>1420</v>
      </c>
      <c r="L355">
        <f t="shared" si="31"/>
        <v>0</v>
      </c>
    </row>
    <row r="356" spans="1:12">
      <c r="A356">
        <f t="shared" si="27"/>
        <v>0</v>
      </c>
      <c r="B356">
        <f t="shared" si="28"/>
        <v>0</v>
      </c>
      <c r="C356">
        <f t="shared" si="29"/>
        <v>0</v>
      </c>
      <c r="D356">
        <f t="shared" si="30"/>
        <v>0</v>
      </c>
      <c r="E356" s="42">
        <v>46248.458333333336</v>
      </c>
      <c r="F356" s="45">
        <v>0</v>
      </c>
      <c r="G356" s="51">
        <v>7.59E-35</v>
      </c>
      <c r="H356" s="51">
        <v>2.8700000000000001E-15</v>
      </c>
      <c r="I356" s="45">
        <v>0</v>
      </c>
      <c r="J356" s="51">
        <v>1.21E-25</v>
      </c>
      <c r="K356" s="45">
        <v>1420</v>
      </c>
      <c r="L356">
        <f t="shared" si="31"/>
        <v>0</v>
      </c>
    </row>
    <row r="357" spans="1:12">
      <c r="A357">
        <f t="shared" si="27"/>
        <v>0</v>
      </c>
      <c r="B357">
        <f t="shared" si="28"/>
        <v>0</v>
      </c>
      <c r="C357">
        <f t="shared" si="29"/>
        <v>0</v>
      </c>
      <c r="D357">
        <f t="shared" si="30"/>
        <v>0</v>
      </c>
      <c r="E357" s="42">
        <v>46248.5</v>
      </c>
      <c r="F357" s="45">
        <v>0</v>
      </c>
      <c r="G357" s="51">
        <v>1.14E-35</v>
      </c>
      <c r="H357" s="51">
        <v>1.2900000000000001E-15</v>
      </c>
      <c r="I357" s="45">
        <v>0</v>
      </c>
      <c r="J357" s="51">
        <v>1.1699999999999999E-25</v>
      </c>
      <c r="K357" s="45">
        <v>1420</v>
      </c>
      <c r="L357">
        <f t="shared" si="31"/>
        <v>0</v>
      </c>
    </row>
    <row r="358" spans="1:12">
      <c r="A358">
        <f t="shared" si="27"/>
        <v>0</v>
      </c>
      <c r="B358">
        <f t="shared" si="28"/>
        <v>0</v>
      </c>
      <c r="C358">
        <f t="shared" si="29"/>
        <v>0</v>
      </c>
      <c r="D358">
        <f t="shared" si="30"/>
        <v>0</v>
      </c>
      <c r="E358" s="42">
        <v>46248.541666666664</v>
      </c>
      <c r="F358" s="45">
        <v>0</v>
      </c>
      <c r="G358" s="51">
        <v>1.03E-35</v>
      </c>
      <c r="H358" s="51">
        <v>1.1100000000000001E-15</v>
      </c>
      <c r="I358" s="45">
        <v>0</v>
      </c>
      <c r="J358" s="51">
        <v>3.5399999999999997E-26</v>
      </c>
      <c r="K358" s="45">
        <v>1420</v>
      </c>
      <c r="L358">
        <f t="shared" si="31"/>
        <v>0</v>
      </c>
    </row>
    <row r="359" spans="1:12">
      <c r="A359">
        <f>AC359</f>
        <v>0</v>
      </c>
      <c r="B359">
        <f t="shared" si="28"/>
        <v>0</v>
      </c>
      <c r="C359">
        <f t="shared" si="29"/>
        <v>0</v>
      </c>
      <c r="D359">
        <f t="shared" si="30"/>
        <v>0</v>
      </c>
      <c r="E359" s="42">
        <v>46248.583333333336</v>
      </c>
      <c r="F359" s="45">
        <v>0</v>
      </c>
      <c r="G359" s="51">
        <v>1.5499999999999999E-36</v>
      </c>
      <c r="H359" s="51">
        <v>4.9900000000000002E-16</v>
      </c>
      <c r="I359" s="45">
        <v>0</v>
      </c>
      <c r="J359" s="51">
        <v>3.4200000000000001E-26</v>
      </c>
      <c r="K359" s="45">
        <v>1420</v>
      </c>
      <c r="L359">
        <f t="shared" si="31"/>
        <v>0</v>
      </c>
    </row>
    <row r="360" spans="1:12">
      <c r="A360">
        <f t="shared" ref="A360:A367" si="32">AC360</f>
        <v>0</v>
      </c>
      <c r="B360">
        <f t="shared" si="28"/>
        <v>0</v>
      </c>
      <c r="C360">
        <f t="shared" si="29"/>
        <v>0</v>
      </c>
      <c r="D360">
        <f t="shared" si="30"/>
        <v>0</v>
      </c>
      <c r="E360" s="42">
        <v>46248.625</v>
      </c>
      <c r="F360" s="45">
        <v>0</v>
      </c>
      <c r="G360" s="51">
        <v>1.4000000000000001E-36</v>
      </c>
      <c r="H360" s="51">
        <v>4.28E-16</v>
      </c>
      <c r="I360" s="45">
        <v>0</v>
      </c>
      <c r="J360" s="51">
        <v>1.0400000000000001E-26</v>
      </c>
      <c r="K360" s="45">
        <v>1420</v>
      </c>
      <c r="L360">
        <f t="shared" si="31"/>
        <v>0</v>
      </c>
    </row>
    <row r="361" spans="1:12">
      <c r="A361">
        <f t="shared" si="32"/>
        <v>0</v>
      </c>
      <c r="B361">
        <f t="shared" si="28"/>
        <v>0</v>
      </c>
      <c r="C361">
        <f t="shared" si="29"/>
        <v>0</v>
      </c>
      <c r="D361">
        <f t="shared" si="30"/>
        <v>0</v>
      </c>
      <c r="E361" s="42">
        <v>46248.666666666664</v>
      </c>
      <c r="F361" s="45">
        <v>0</v>
      </c>
      <c r="G361" s="51">
        <v>2.1000000000000001E-37</v>
      </c>
      <c r="H361" s="51">
        <v>1.9300000000000001E-16</v>
      </c>
      <c r="I361" s="45">
        <v>0</v>
      </c>
      <c r="J361" s="51">
        <v>1E-26</v>
      </c>
      <c r="K361" s="45">
        <v>1420</v>
      </c>
      <c r="L361">
        <f t="shared" si="31"/>
        <v>0</v>
      </c>
    </row>
    <row r="362" spans="1:12">
      <c r="A362">
        <f t="shared" si="32"/>
        <v>0</v>
      </c>
      <c r="B362">
        <f t="shared" si="28"/>
        <v>0</v>
      </c>
      <c r="C362">
        <f t="shared" si="29"/>
        <v>0</v>
      </c>
      <c r="D362">
        <f t="shared" si="30"/>
        <v>0</v>
      </c>
      <c r="E362" s="42">
        <v>46248.708333333336</v>
      </c>
      <c r="F362" s="45">
        <v>0</v>
      </c>
      <c r="G362" s="51">
        <v>1.9000000000000002E-37</v>
      </c>
      <c r="H362" s="51">
        <v>1.6499999999999999E-16</v>
      </c>
      <c r="I362" s="45">
        <v>0</v>
      </c>
      <c r="J362" s="51">
        <v>3.05E-27</v>
      </c>
      <c r="K362" s="45">
        <v>1420</v>
      </c>
      <c r="L362">
        <f t="shared" si="31"/>
        <v>0</v>
      </c>
    </row>
    <row r="363" spans="1:12">
      <c r="A363">
        <f t="shared" si="32"/>
        <v>0</v>
      </c>
      <c r="B363">
        <f t="shared" si="28"/>
        <v>0</v>
      </c>
      <c r="C363">
        <f t="shared" si="29"/>
        <v>0</v>
      </c>
      <c r="D363">
        <f t="shared" si="30"/>
        <v>0</v>
      </c>
      <c r="E363" s="42">
        <v>46248.75</v>
      </c>
      <c r="F363" s="45">
        <v>0</v>
      </c>
      <c r="G363" s="51">
        <v>2.85E-38</v>
      </c>
      <c r="H363" s="51">
        <v>7.4399999999999999E-17</v>
      </c>
      <c r="I363" s="45">
        <v>0</v>
      </c>
      <c r="J363" s="51">
        <v>2.9499999999999999E-27</v>
      </c>
      <c r="K363" s="45">
        <v>1420</v>
      </c>
      <c r="L363">
        <f t="shared" si="31"/>
        <v>0</v>
      </c>
    </row>
    <row r="364" spans="1:12">
      <c r="A364">
        <f t="shared" si="32"/>
        <v>0</v>
      </c>
      <c r="B364">
        <f t="shared" si="28"/>
        <v>0</v>
      </c>
      <c r="C364">
        <f t="shared" si="29"/>
        <v>0</v>
      </c>
      <c r="D364">
        <f t="shared" si="30"/>
        <v>0</v>
      </c>
      <c r="E364" s="42">
        <v>46248.791666666664</v>
      </c>
      <c r="F364" s="45">
        <v>0</v>
      </c>
      <c r="G364" s="51">
        <v>2.57E-38</v>
      </c>
      <c r="H364" s="51">
        <v>6.3700000000000005E-17</v>
      </c>
      <c r="I364" s="45">
        <v>0</v>
      </c>
      <c r="J364" s="51">
        <v>8.9300000000000007E-28</v>
      </c>
      <c r="K364" s="45">
        <v>1420</v>
      </c>
      <c r="L364">
        <f t="shared" si="31"/>
        <v>0</v>
      </c>
    </row>
    <row r="365" spans="1:12">
      <c r="A365">
        <f t="shared" si="32"/>
        <v>0</v>
      </c>
      <c r="B365">
        <f t="shared" si="28"/>
        <v>0</v>
      </c>
      <c r="C365">
        <f t="shared" si="29"/>
        <v>0</v>
      </c>
      <c r="D365">
        <f t="shared" si="30"/>
        <v>0</v>
      </c>
      <c r="E365" s="42">
        <v>46248.833333333336</v>
      </c>
      <c r="F365" s="45">
        <v>0</v>
      </c>
      <c r="G365" s="51">
        <v>3.86E-39</v>
      </c>
      <c r="H365" s="51">
        <v>2.8700000000000003E-17</v>
      </c>
      <c r="I365" s="45">
        <v>0</v>
      </c>
      <c r="J365" s="51">
        <v>8.6400000000000007E-28</v>
      </c>
      <c r="K365" s="45">
        <v>1420</v>
      </c>
      <c r="L365">
        <f t="shared" si="31"/>
        <v>0</v>
      </c>
    </row>
    <row r="366" spans="1:12">
      <c r="A366">
        <f t="shared" si="32"/>
        <v>0</v>
      </c>
      <c r="B366">
        <f t="shared" si="28"/>
        <v>0</v>
      </c>
      <c r="C366">
        <f t="shared" si="29"/>
        <v>0</v>
      </c>
      <c r="D366">
        <f t="shared" si="30"/>
        <v>0</v>
      </c>
      <c r="E366" s="42">
        <v>46248.875</v>
      </c>
      <c r="F366" s="45">
        <v>0</v>
      </c>
      <c r="G366" s="51">
        <v>3.4799999999999999E-39</v>
      </c>
      <c r="H366" s="51">
        <v>2.4599999999999999E-17</v>
      </c>
      <c r="I366" s="45">
        <v>0</v>
      </c>
      <c r="J366" s="51">
        <v>2.6199999999999999E-28</v>
      </c>
      <c r="K366" s="45">
        <v>1420</v>
      </c>
      <c r="L366">
        <f t="shared" si="31"/>
        <v>0</v>
      </c>
    </row>
    <row r="367" spans="1:12">
      <c r="A367">
        <f t="shared" si="32"/>
        <v>0</v>
      </c>
      <c r="B367">
        <f t="shared" si="28"/>
        <v>0</v>
      </c>
      <c r="C367">
        <f t="shared" si="29"/>
        <v>0</v>
      </c>
      <c r="D367">
        <f t="shared" si="30"/>
        <v>0</v>
      </c>
      <c r="E367" s="42">
        <v>46248.916666666664</v>
      </c>
      <c r="F367" s="45">
        <v>0</v>
      </c>
      <c r="G367" s="51">
        <v>5.2200000000000001E-40</v>
      </c>
      <c r="H367" s="51">
        <v>1.1099999999999999E-17</v>
      </c>
      <c r="I367" s="45">
        <v>0</v>
      </c>
      <c r="J367" s="51">
        <v>2.5300000000000002E-28</v>
      </c>
      <c r="K367" s="45">
        <v>1420</v>
      </c>
      <c r="L367">
        <f t="shared" si="31"/>
        <v>0</v>
      </c>
    </row>
    <row r="368" spans="1:12">
      <c r="A368">
        <f>AC368</f>
        <v>0</v>
      </c>
      <c r="B368">
        <f t="shared" si="28"/>
        <v>0</v>
      </c>
      <c r="C368">
        <f t="shared" si="29"/>
        <v>0</v>
      </c>
      <c r="D368">
        <f t="shared" si="30"/>
        <v>0</v>
      </c>
      <c r="E368" s="42">
        <v>46248.958333333336</v>
      </c>
      <c r="F368" s="45">
        <v>0</v>
      </c>
      <c r="G368" s="51">
        <v>4.7099999999999998E-40</v>
      </c>
      <c r="H368" s="51">
        <v>9.5000000000000003E-18</v>
      </c>
      <c r="I368" s="45">
        <v>0</v>
      </c>
      <c r="J368" s="51">
        <v>7.6600000000000001E-29</v>
      </c>
      <c r="K368" s="45">
        <v>1420</v>
      </c>
      <c r="L368">
        <f t="shared" si="31"/>
        <v>0</v>
      </c>
    </row>
    <row r="369" spans="1:12">
      <c r="A369">
        <f t="shared" ref="A369:A374" si="33">AC369</f>
        <v>0</v>
      </c>
      <c r="B369">
        <f t="shared" si="28"/>
        <v>0</v>
      </c>
      <c r="C369">
        <f t="shared" si="29"/>
        <v>0</v>
      </c>
      <c r="D369">
        <f t="shared" si="30"/>
        <v>0</v>
      </c>
      <c r="E369" s="42">
        <v>46249</v>
      </c>
      <c r="F369" s="45">
        <v>0</v>
      </c>
      <c r="G369" s="51">
        <v>7.0599999999999998E-41</v>
      </c>
      <c r="H369" s="51">
        <v>4.2800000000000003E-18</v>
      </c>
      <c r="I369" s="45">
        <v>0</v>
      </c>
      <c r="J369" s="51">
        <v>7.3999999999999995E-29</v>
      </c>
      <c r="K369" s="45">
        <v>1420</v>
      </c>
      <c r="L369">
        <f t="shared" si="31"/>
        <v>0</v>
      </c>
    </row>
    <row r="370" spans="1:12">
      <c r="A370">
        <f t="shared" si="33"/>
        <v>0</v>
      </c>
      <c r="B370">
        <f t="shared" si="28"/>
        <v>0</v>
      </c>
      <c r="C370">
        <f t="shared" si="29"/>
        <v>0</v>
      </c>
      <c r="D370">
        <f t="shared" si="30"/>
        <v>0</v>
      </c>
      <c r="E370" s="42">
        <v>46249.041666666664</v>
      </c>
      <c r="F370" s="45">
        <v>0</v>
      </c>
      <c r="G370" s="51">
        <v>6.3700000000000003E-41</v>
      </c>
      <c r="H370" s="51">
        <v>3.6699999999999997E-18</v>
      </c>
      <c r="I370" s="45">
        <v>0</v>
      </c>
      <c r="J370" s="51">
        <v>2.2399999999999999E-29</v>
      </c>
      <c r="K370" s="45">
        <v>1420</v>
      </c>
      <c r="L370">
        <f t="shared" si="31"/>
        <v>0</v>
      </c>
    </row>
    <row r="371" spans="1:12">
      <c r="A371">
        <f t="shared" si="33"/>
        <v>0</v>
      </c>
      <c r="B371">
        <f t="shared" si="28"/>
        <v>0</v>
      </c>
      <c r="C371">
        <f t="shared" si="29"/>
        <v>0</v>
      </c>
      <c r="D371">
        <f t="shared" si="30"/>
        <v>0</v>
      </c>
      <c r="E371" s="42">
        <v>46249.083333333336</v>
      </c>
      <c r="F371" s="45">
        <v>0</v>
      </c>
      <c r="G371" s="51">
        <v>9.5400000000000002E-42</v>
      </c>
      <c r="H371" s="51">
        <v>1.6500000000000001E-18</v>
      </c>
      <c r="I371" s="45">
        <v>0</v>
      </c>
      <c r="J371" s="51">
        <v>2.1699999999999999E-29</v>
      </c>
      <c r="K371" s="45">
        <v>1420</v>
      </c>
      <c r="L371">
        <f t="shared" si="31"/>
        <v>0</v>
      </c>
    </row>
    <row r="372" spans="1:12">
      <c r="A372">
        <f t="shared" si="33"/>
        <v>0</v>
      </c>
      <c r="B372">
        <f t="shared" si="28"/>
        <v>0</v>
      </c>
      <c r="C372">
        <f t="shared" si="29"/>
        <v>0</v>
      </c>
      <c r="D372">
        <f t="shared" si="30"/>
        <v>0</v>
      </c>
      <c r="E372" s="42">
        <v>46249.125</v>
      </c>
      <c r="F372" s="45">
        <v>0</v>
      </c>
      <c r="G372" s="51">
        <v>8.6099999999999998E-42</v>
      </c>
      <c r="H372" s="51">
        <v>1.41E-18</v>
      </c>
      <c r="I372" s="45">
        <v>0</v>
      </c>
      <c r="J372" s="51">
        <v>6.5400000000000003E-30</v>
      </c>
      <c r="K372" s="45">
        <v>1420</v>
      </c>
      <c r="L372">
        <f t="shared" si="31"/>
        <v>0</v>
      </c>
    </row>
    <row r="373" spans="1:12">
      <c r="A373">
        <f t="shared" si="33"/>
        <v>0</v>
      </c>
      <c r="B373">
        <f t="shared" si="28"/>
        <v>0</v>
      </c>
      <c r="C373">
        <f t="shared" si="29"/>
        <v>0</v>
      </c>
      <c r="D373">
        <f t="shared" si="30"/>
        <v>0</v>
      </c>
      <c r="E373" s="42">
        <v>46249.166666666664</v>
      </c>
      <c r="F373" s="45">
        <v>0</v>
      </c>
      <c r="G373" s="51">
        <v>1.29E-42</v>
      </c>
      <c r="H373" s="51">
        <v>6.3799999999999999E-19</v>
      </c>
      <c r="I373" s="45">
        <v>0</v>
      </c>
      <c r="J373" s="51">
        <v>6.33E-30</v>
      </c>
      <c r="K373" s="45">
        <v>1420</v>
      </c>
      <c r="L373">
        <f t="shared" si="31"/>
        <v>0</v>
      </c>
    </row>
    <row r="374" spans="1:12">
      <c r="A374">
        <f t="shared" si="33"/>
        <v>0</v>
      </c>
      <c r="B374">
        <f t="shared" si="28"/>
        <v>0</v>
      </c>
      <c r="C374">
        <f t="shared" si="29"/>
        <v>0</v>
      </c>
      <c r="D374">
        <f t="shared" si="30"/>
        <v>0</v>
      </c>
      <c r="E374" s="42">
        <v>46249.208333333336</v>
      </c>
      <c r="F374" s="45">
        <v>0</v>
      </c>
      <c r="G374" s="51">
        <v>1.1600000000000001E-42</v>
      </c>
      <c r="H374" s="51">
        <v>5.4600000000000002E-19</v>
      </c>
      <c r="I374" s="45">
        <v>0</v>
      </c>
      <c r="J374" s="51">
        <v>1.9100000000000001E-30</v>
      </c>
      <c r="K374" s="45">
        <v>1420</v>
      </c>
      <c r="L374">
        <f t="shared" si="31"/>
        <v>0</v>
      </c>
    </row>
    <row r="375" spans="1:12">
      <c r="E375" s="42">
        <v>46249.25</v>
      </c>
      <c r="F375" s="45">
        <v>0</v>
      </c>
      <c r="G375" s="51">
        <v>1.7200000000000001E-43</v>
      </c>
      <c r="H375" s="51">
        <v>2.4599999999999998E-19</v>
      </c>
      <c r="I375" s="45">
        <v>0</v>
      </c>
      <c r="J375" s="51">
        <v>1.8500000000000002E-30</v>
      </c>
      <c r="K375" s="45">
        <v>1420</v>
      </c>
      <c r="L375">
        <f t="shared" si="31"/>
        <v>0</v>
      </c>
    </row>
    <row r="376" spans="1:12">
      <c r="E376" s="42">
        <v>46249.291666666664</v>
      </c>
      <c r="F376" s="45">
        <v>0</v>
      </c>
      <c r="G376" s="51">
        <v>1.57E-43</v>
      </c>
      <c r="H376" s="51">
        <v>2.11E-19</v>
      </c>
      <c r="I376" s="45">
        <v>0</v>
      </c>
      <c r="J376" s="51">
        <v>5.5800000000000001E-31</v>
      </c>
      <c r="K376" s="45">
        <v>1420</v>
      </c>
      <c r="L376">
        <f t="shared" si="31"/>
        <v>0</v>
      </c>
    </row>
    <row r="377" spans="1:12">
      <c r="E377" s="42">
        <v>46249.333333333336</v>
      </c>
      <c r="F377" s="45">
        <v>0</v>
      </c>
      <c r="G377" s="51">
        <v>2.2400000000000001E-44</v>
      </c>
      <c r="H377" s="51">
        <v>9.5E-20</v>
      </c>
      <c r="I377" s="45">
        <v>0</v>
      </c>
      <c r="J377" s="51">
        <v>5.39E-31</v>
      </c>
      <c r="K377" s="45">
        <v>1420</v>
      </c>
      <c r="L377">
        <f t="shared" si="31"/>
        <v>0</v>
      </c>
    </row>
    <row r="378" spans="1:12">
      <c r="E378" s="42">
        <v>46249.375</v>
      </c>
      <c r="F378" s="45">
        <v>0</v>
      </c>
      <c r="G378" s="51">
        <v>2.1E-44</v>
      </c>
      <c r="H378" s="51">
        <v>8.1400000000000006E-20</v>
      </c>
      <c r="I378" s="45">
        <v>0</v>
      </c>
      <c r="J378" s="51">
        <v>1.6300000000000001E-31</v>
      </c>
      <c r="K378" s="45">
        <v>1420</v>
      </c>
      <c r="L378">
        <f t="shared" si="31"/>
        <v>0</v>
      </c>
    </row>
    <row r="379" spans="1:12">
      <c r="E379" s="42">
        <v>46249.416666666664</v>
      </c>
      <c r="F379" s="45">
        <v>0</v>
      </c>
      <c r="G379" s="51">
        <v>2.8000000000000001E-45</v>
      </c>
      <c r="H379" s="51">
        <v>3.6700000000000003E-20</v>
      </c>
      <c r="I379" s="45">
        <v>0</v>
      </c>
      <c r="J379" s="51">
        <v>1.5699999999999999E-31</v>
      </c>
      <c r="K379" s="45">
        <v>1420</v>
      </c>
      <c r="L379">
        <f t="shared" si="31"/>
        <v>0</v>
      </c>
    </row>
    <row r="380" spans="1:12">
      <c r="E380" s="42">
        <v>46249.458333333336</v>
      </c>
      <c r="F380" s="45">
        <v>0</v>
      </c>
      <c r="G380" s="51">
        <v>2.8000000000000001E-45</v>
      </c>
      <c r="H380" s="51">
        <v>3.1400000000000001E-20</v>
      </c>
      <c r="I380" s="45">
        <v>0</v>
      </c>
      <c r="J380" s="51">
        <v>4.75E-32</v>
      </c>
      <c r="K380" s="45">
        <v>1420</v>
      </c>
      <c r="L380">
        <f t="shared" si="31"/>
        <v>0</v>
      </c>
    </row>
    <row r="381" spans="1:12">
      <c r="E381" s="42">
        <v>46249.5</v>
      </c>
      <c r="F381" s="45">
        <v>0</v>
      </c>
      <c r="G381" s="45">
        <v>0</v>
      </c>
      <c r="H381" s="51">
        <v>1.4199999999999999E-20</v>
      </c>
      <c r="I381" s="45">
        <v>0</v>
      </c>
      <c r="J381" s="51">
        <v>4.5899999999999997E-32</v>
      </c>
      <c r="K381" s="45">
        <v>1420</v>
      </c>
      <c r="L381">
        <f t="shared" si="31"/>
        <v>0</v>
      </c>
    </row>
    <row r="382" spans="1:12">
      <c r="E382" s="42">
        <v>46249.541666666664</v>
      </c>
      <c r="F382" s="45">
        <v>0</v>
      </c>
      <c r="G382" s="45">
        <v>0</v>
      </c>
      <c r="H382" s="51">
        <v>1.21E-20</v>
      </c>
      <c r="I382" s="45">
        <v>0</v>
      </c>
      <c r="J382" s="51">
        <v>1.38E-32</v>
      </c>
      <c r="K382" s="45">
        <v>1420</v>
      </c>
      <c r="L382">
        <f t="shared" si="31"/>
        <v>0</v>
      </c>
    </row>
    <row r="383" spans="1:12">
      <c r="E383" s="42">
        <v>46249.583333333336</v>
      </c>
      <c r="F383" s="45">
        <v>0</v>
      </c>
      <c r="G383" s="45">
        <v>0</v>
      </c>
      <c r="H383" s="51">
        <v>5.4600000000000003E-21</v>
      </c>
      <c r="I383" s="45">
        <v>0</v>
      </c>
      <c r="J383" s="51">
        <v>1.3400000000000001E-32</v>
      </c>
      <c r="K383" s="45">
        <v>1420</v>
      </c>
      <c r="L383">
        <f t="shared" si="31"/>
        <v>0</v>
      </c>
    </row>
    <row r="384" spans="1:12">
      <c r="E384" s="42">
        <v>46249.625</v>
      </c>
      <c r="F384" s="45">
        <v>0</v>
      </c>
      <c r="G384" s="45">
        <v>0</v>
      </c>
      <c r="H384" s="51">
        <v>4.6799999999999998E-21</v>
      </c>
      <c r="I384" s="45">
        <v>0</v>
      </c>
      <c r="J384" s="51">
        <v>4.0300000000000002E-33</v>
      </c>
      <c r="K384" s="45">
        <v>1420</v>
      </c>
      <c r="L384">
        <f t="shared" si="31"/>
        <v>0</v>
      </c>
    </row>
    <row r="385" spans="5:12">
      <c r="E385" s="42">
        <v>46249.666666666664</v>
      </c>
      <c r="F385" s="45">
        <v>0</v>
      </c>
      <c r="G385" s="45">
        <v>0</v>
      </c>
      <c r="H385" s="51">
        <v>2.11E-21</v>
      </c>
      <c r="I385" s="45">
        <v>0</v>
      </c>
      <c r="J385" s="51">
        <v>3.8899999999999998E-33</v>
      </c>
      <c r="K385" s="45">
        <v>1420</v>
      </c>
      <c r="L385">
        <f t="shared" si="31"/>
        <v>0</v>
      </c>
    </row>
    <row r="386" spans="5:12">
      <c r="E386" s="42">
        <v>46249.708333333336</v>
      </c>
      <c r="F386" s="45">
        <v>0</v>
      </c>
      <c r="G386" s="45">
        <v>0</v>
      </c>
      <c r="H386" s="51">
        <v>1.8099999999999998E-21</v>
      </c>
      <c r="I386" s="45">
        <v>0</v>
      </c>
      <c r="J386" s="51">
        <v>1.1700000000000001E-33</v>
      </c>
      <c r="K386" s="45">
        <v>1420</v>
      </c>
      <c r="L386">
        <f t="shared" si="31"/>
        <v>0</v>
      </c>
    </row>
    <row r="387" spans="5:12">
      <c r="E387" s="42">
        <v>46249.75</v>
      </c>
      <c r="F387" s="45">
        <v>0</v>
      </c>
      <c r="G387" s="45">
        <v>0</v>
      </c>
      <c r="H387" s="51">
        <v>8.1399999999999998E-22</v>
      </c>
      <c r="I387" s="45">
        <v>0</v>
      </c>
      <c r="J387" s="51">
        <v>1.13E-33</v>
      </c>
      <c r="K387" s="45">
        <v>1420</v>
      </c>
      <c r="L387">
        <f t="shared" ref="L387:L450" si="34">IF(K387&gt;10000,K387-10000,0)</f>
        <v>0</v>
      </c>
    </row>
    <row r="388" spans="5:12">
      <c r="E388" s="42">
        <v>46249.791666666664</v>
      </c>
      <c r="F388" s="45">
        <v>0</v>
      </c>
      <c r="G388" s="45">
        <v>0</v>
      </c>
      <c r="H388" s="51">
        <v>6.9700000000000001E-22</v>
      </c>
      <c r="I388" s="45">
        <v>0</v>
      </c>
      <c r="J388" s="51">
        <v>3.4099999999999999E-34</v>
      </c>
      <c r="K388" s="45">
        <v>1420</v>
      </c>
      <c r="L388">
        <f t="shared" si="34"/>
        <v>0</v>
      </c>
    </row>
    <row r="389" spans="5:12">
      <c r="E389" s="42">
        <v>46249.833333333336</v>
      </c>
      <c r="F389" s="45">
        <v>0</v>
      </c>
      <c r="G389" s="45">
        <v>0</v>
      </c>
      <c r="H389" s="51">
        <v>3.1399999999999998E-22</v>
      </c>
      <c r="I389" s="45">
        <v>0</v>
      </c>
      <c r="J389" s="51">
        <v>3.2999999999999998E-34</v>
      </c>
      <c r="K389" s="45">
        <v>1420</v>
      </c>
      <c r="L389">
        <f t="shared" si="34"/>
        <v>0</v>
      </c>
    </row>
    <row r="390" spans="5:12">
      <c r="E390" s="42">
        <v>46249.875</v>
      </c>
      <c r="F390" s="45">
        <v>0</v>
      </c>
      <c r="G390" s="45">
        <v>0</v>
      </c>
      <c r="H390" s="51">
        <v>2.69E-22</v>
      </c>
      <c r="I390" s="45">
        <v>0</v>
      </c>
      <c r="J390" s="51">
        <v>9.9199999999999995E-35</v>
      </c>
      <c r="K390" s="45">
        <v>1420</v>
      </c>
      <c r="L390">
        <f t="shared" si="34"/>
        <v>0</v>
      </c>
    </row>
    <row r="391" spans="5:12">
      <c r="E391" s="42">
        <v>46249.916666666664</v>
      </c>
      <c r="F391" s="45">
        <v>0</v>
      </c>
      <c r="G391" s="45">
        <v>0</v>
      </c>
      <c r="H391" s="51">
        <v>1.2099999999999999E-22</v>
      </c>
      <c r="I391" s="45">
        <v>0</v>
      </c>
      <c r="J391" s="51">
        <v>9.5900000000000003E-35</v>
      </c>
      <c r="K391" s="45">
        <v>1420</v>
      </c>
      <c r="L391">
        <f t="shared" si="34"/>
        <v>0</v>
      </c>
    </row>
    <row r="392" spans="5:12">
      <c r="E392" s="42">
        <v>46249.958333333336</v>
      </c>
      <c r="F392" s="45">
        <v>0</v>
      </c>
      <c r="G392" s="45">
        <v>0</v>
      </c>
      <c r="H392" s="51">
        <v>1.04E-22</v>
      </c>
      <c r="I392" s="45">
        <v>0</v>
      </c>
      <c r="J392" s="51">
        <v>2.8800000000000003E-35</v>
      </c>
      <c r="K392" s="45">
        <v>1420</v>
      </c>
      <c r="L392">
        <f t="shared" si="34"/>
        <v>0</v>
      </c>
    </row>
    <row r="393" spans="5:12">
      <c r="E393" s="42">
        <v>46250</v>
      </c>
      <c r="F393" s="45">
        <v>0</v>
      </c>
      <c r="G393" s="45">
        <v>0</v>
      </c>
      <c r="H393" s="51">
        <v>4.68E-23</v>
      </c>
      <c r="I393" s="45">
        <v>0</v>
      </c>
      <c r="J393" s="51">
        <v>2.7900000000000003E-35</v>
      </c>
      <c r="K393" s="45">
        <v>1420</v>
      </c>
      <c r="L393">
        <f t="shared" si="34"/>
        <v>0</v>
      </c>
    </row>
    <row r="394" spans="5:12">
      <c r="E394" s="42">
        <v>46250.041666666664</v>
      </c>
      <c r="F394" s="45">
        <v>0</v>
      </c>
      <c r="G394" s="45">
        <v>0</v>
      </c>
      <c r="H394" s="51">
        <v>4.0099999999999999E-23</v>
      </c>
      <c r="I394" s="45">
        <v>0</v>
      </c>
      <c r="J394" s="51">
        <v>8.3700000000000005E-36</v>
      </c>
      <c r="K394" s="45">
        <v>1420</v>
      </c>
      <c r="L394">
        <f t="shared" si="34"/>
        <v>0</v>
      </c>
    </row>
    <row r="395" spans="5:12">
      <c r="E395" s="42">
        <v>46250.083333333336</v>
      </c>
      <c r="F395" s="45">
        <v>0</v>
      </c>
      <c r="G395" s="45">
        <v>0</v>
      </c>
      <c r="H395" s="51">
        <v>1.8099999999999999E-23</v>
      </c>
      <c r="I395" s="45">
        <v>0</v>
      </c>
      <c r="J395" s="51">
        <v>8.0899999999999995E-36</v>
      </c>
      <c r="K395" s="45">
        <v>1420</v>
      </c>
      <c r="L395">
        <f t="shared" si="34"/>
        <v>0</v>
      </c>
    </row>
    <row r="396" spans="5:12">
      <c r="E396" s="42">
        <v>46250.125</v>
      </c>
      <c r="F396" s="45">
        <v>0</v>
      </c>
      <c r="G396" s="45">
        <v>0</v>
      </c>
      <c r="H396" s="51">
        <v>1.5499999999999999E-23</v>
      </c>
      <c r="I396" s="45">
        <v>0</v>
      </c>
      <c r="J396" s="51">
        <v>2.4300000000000001E-36</v>
      </c>
      <c r="K396" s="45">
        <v>1420</v>
      </c>
      <c r="L396">
        <f t="shared" si="34"/>
        <v>0</v>
      </c>
    </row>
    <row r="397" spans="5:12">
      <c r="E397" s="42">
        <v>46250.166666666664</v>
      </c>
      <c r="F397" s="45">
        <v>0</v>
      </c>
      <c r="G397" s="45">
        <v>0</v>
      </c>
      <c r="H397" s="51">
        <v>6.9800000000000001E-24</v>
      </c>
      <c r="I397" s="45">
        <v>0</v>
      </c>
      <c r="J397" s="51">
        <v>2.3500000000000001E-36</v>
      </c>
      <c r="K397" s="45">
        <v>1420</v>
      </c>
      <c r="L397">
        <f t="shared" si="34"/>
        <v>0</v>
      </c>
    </row>
    <row r="398" spans="5:12">
      <c r="E398" s="42">
        <v>46250.208333333336</v>
      </c>
      <c r="F398" s="45">
        <v>0</v>
      </c>
      <c r="G398" s="45">
        <v>0</v>
      </c>
      <c r="H398" s="51">
        <v>5.98E-24</v>
      </c>
      <c r="I398" s="45">
        <v>0</v>
      </c>
      <c r="J398" s="51">
        <v>7.0599999999999998E-37</v>
      </c>
      <c r="K398" s="45">
        <v>1420</v>
      </c>
      <c r="L398">
        <f t="shared" si="34"/>
        <v>0</v>
      </c>
    </row>
    <row r="399" spans="5:12">
      <c r="E399" s="42">
        <v>46250.25</v>
      </c>
      <c r="F399" s="45">
        <v>0</v>
      </c>
      <c r="G399" s="45">
        <v>0</v>
      </c>
      <c r="H399" s="51">
        <v>2.6900000000000001E-24</v>
      </c>
      <c r="I399" s="45">
        <v>0</v>
      </c>
      <c r="J399" s="51">
        <v>6.8199999999999999E-37</v>
      </c>
      <c r="K399" s="45">
        <v>1420</v>
      </c>
      <c r="L399">
        <f t="shared" si="34"/>
        <v>0</v>
      </c>
    </row>
    <row r="400" spans="5:12">
      <c r="E400" s="42">
        <v>46250.291666666664</v>
      </c>
      <c r="F400" s="45">
        <v>0</v>
      </c>
      <c r="G400" s="45">
        <v>0</v>
      </c>
      <c r="H400" s="51">
        <v>2.3100000000000001E-24</v>
      </c>
      <c r="I400" s="45">
        <v>0</v>
      </c>
      <c r="J400" s="51">
        <v>2.0499999999999999E-37</v>
      </c>
      <c r="K400" s="45">
        <v>1420</v>
      </c>
      <c r="L400">
        <f t="shared" si="34"/>
        <v>0</v>
      </c>
    </row>
    <row r="401" spans="5:12">
      <c r="E401" s="42">
        <v>46250.333333333336</v>
      </c>
      <c r="F401" s="45">
        <v>0</v>
      </c>
      <c r="G401" s="45">
        <v>0</v>
      </c>
      <c r="H401" s="51">
        <v>1.04E-24</v>
      </c>
      <c r="I401" s="45">
        <v>0</v>
      </c>
      <c r="J401" s="51">
        <v>1.9800000000000001E-37</v>
      </c>
      <c r="K401" s="45">
        <v>1420</v>
      </c>
      <c r="L401">
        <f t="shared" si="34"/>
        <v>0</v>
      </c>
    </row>
    <row r="402" spans="5:12">
      <c r="E402" s="42">
        <v>46250.375</v>
      </c>
      <c r="F402" s="45">
        <v>0</v>
      </c>
      <c r="G402" s="45">
        <v>0</v>
      </c>
      <c r="H402" s="51">
        <v>8.9000000000000005E-25</v>
      </c>
      <c r="I402" s="45">
        <v>0</v>
      </c>
      <c r="J402" s="51">
        <v>5.9300000000000004E-38</v>
      </c>
      <c r="K402" s="45">
        <v>1420</v>
      </c>
      <c r="L402">
        <f t="shared" si="34"/>
        <v>0</v>
      </c>
    </row>
    <row r="403" spans="5:12">
      <c r="E403" s="42">
        <v>46250.416666666664</v>
      </c>
      <c r="F403" s="45">
        <v>0</v>
      </c>
      <c r="G403" s="45">
        <v>0</v>
      </c>
      <c r="H403" s="51">
        <v>4.0100000000000001E-25</v>
      </c>
      <c r="I403" s="45">
        <v>0</v>
      </c>
      <c r="J403" s="51">
        <v>5.7399999999999997E-38</v>
      </c>
      <c r="K403" s="45">
        <v>1420</v>
      </c>
      <c r="L403">
        <f t="shared" si="34"/>
        <v>0</v>
      </c>
    </row>
    <row r="404" spans="5:12">
      <c r="E404" s="42">
        <v>46250.458333333336</v>
      </c>
      <c r="F404" s="45">
        <v>0</v>
      </c>
      <c r="G404" s="45">
        <v>0</v>
      </c>
      <c r="H404" s="51">
        <v>3.4399999999999999E-25</v>
      </c>
      <c r="I404" s="45">
        <v>0</v>
      </c>
      <c r="J404" s="51">
        <v>1.72E-38</v>
      </c>
      <c r="K404" s="45">
        <v>1420</v>
      </c>
      <c r="L404">
        <f t="shared" si="34"/>
        <v>0</v>
      </c>
    </row>
    <row r="405" spans="5:12">
      <c r="E405" s="42">
        <v>46250.5</v>
      </c>
      <c r="F405" s="45">
        <v>0</v>
      </c>
      <c r="G405" s="45">
        <v>0</v>
      </c>
      <c r="H405" s="51">
        <v>1.55E-25</v>
      </c>
      <c r="I405" s="45">
        <v>0</v>
      </c>
      <c r="J405" s="51">
        <v>1.6600000000000001E-38</v>
      </c>
      <c r="K405" s="45">
        <v>1420</v>
      </c>
      <c r="L405">
        <f t="shared" si="34"/>
        <v>0</v>
      </c>
    </row>
    <row r="406" spans="5:12">
      <c r="E406" s="42">
        <v>46250.541666666664</v>
      </c>
      <c r="F406" s="45">
        <v>0</v>
      </c>
      <c r="G406" s="45">
        <v>0</v>
      </c>
      <c r="H406" s="51">
        <v>1.3299999999999999E-25</v>
      </c>
      <c r="I406" s="45">
        <v>0</v>
      </c>
      <c r="J406" s="51">
        <v>4.9800000000000003E-39</v>
      </c>
      <c r="K406" s="45">
        <v>1420</v>
      </c>
      <c r="L406">
        <f t="shared" si="34"/>
        <v>0</v>
      </c>
    </row>
    <row r="407" spans="5:12">
      <c r="E407" s="42">
        <v>46250.583333333336</v>
      </c>
      <c r="F407" s="45">
        <v>0</v>
      </c>
      <c r="G407" s="45">
        <v>0</v>
      </c>
      <c r="H407" s="51">
        <v>5.9800000000000003E-26</v>
      </c>
      <c r="I407" s="45">
        <v>0</v>
      </c>
      <c r="J407" s="51">
        <v>4.8199999999999998E-39</v>
      </c>
      <c r="K407" s="45">
        <v>1420</v>
      </c>
      <c r="L407">
        <f t="shared" si="34"/>
        <v>0</v>
      </c>
    </row>
    <row r="408" spans="5:12">
      <c r="E408" s="42">
        <v>46250.625</v>
      </c>
      <c r="F408" s="45">
        <v>0</v>
      </c>
      <c r="G408" s="45">
        <v>0</v>
      </c>
      <c r="H408" s="51">
        <v>5.1199999999999999E-26</v>
      </c>
      <c r="I408" s="45">
        <v>0</v>
      </c>
      <c r="J408" s="51">
        <v>1.44E-39</v>
      </c>
      <c r="K408" s="45">
        <v>1420</v>
      </c>
      <c r="L408">
        <f t="shared" si="34"/>
        <v>0</v>
      </c>
    </row>
    <row r="409" spans="5:12">
      <c r="E409" s="42">
        <v>46250.666666666664</v>
      </c>
      <c r="F409" s="45">
        <v>0</v>
      </c>
      <c r="G409" s="45">
        <v>0</v>
      </c>
      <c r="H409" s="51">
        <v>2.3100000000000001E-26</v>
      </c>
      <c r="I409" s="45">
        <v>0</v>
      </c>
      <c r="J409" s="51">
        <v>1.4000000000000001E-39</v>
      </c>
      <c r="K409" s="45">
        <v>1420</v>
      </c>
      <c r="L409">
        <f t="shared" si="34"/>
        <v>0</v>
      </c>
    </row>
    <row r="410" spans="5:12">
      <c r="E410" s="42">
        <v>46250.708333333336</v>
      </c>
      <c r="F410" s="45">
        <v>0</v>
      </c>
      <c r="G410" s="45">
        <v>0</v>
      </c>
      <c r="H410" s="51">
        <v>1.9800000000000001E-26</v>
      </c>
      <c r="I410" s="45">
        <v>0</v>
      </c>
      <c r="J410" s="51">
        <v>4.1799999999999997E-40</v>
      </c>
      <c r="K410" s="45">
        <v>1420</v>
      </c>
      <c r="L410">
        <f t="shared" si="34"/>
        <v>0</v>
      </c>
    </row>
    <row r="411" spans="5:12">
      <c r="E411" s="42">
        <v>46250.75</v>
      </c>
      <c r="F411" s="45">
        <v>0</v>
      </c>
      <c r="G411" s="45">
        <v>0</v>
      </c>
      <c r="H411" s="51">
        <v>8.9099999999999995E-27</v>
      </c>
      <c r="I411" s="45">
        <v>0</v>
      </c>
      <c r="J411" s="51">
        <v>4.0400000000000002E-40</v>
      </c>
      <c r="K411" s="45">
        <v>1420</v>
      </c>
      <c r="L411">
        <f t="shared" si="34"/>
        <v>0</v>
      </c>
    </row>
    <row r="412" spans="5:12">
      <c r="E412" s="42">
        <v>46250.791666666664</v>
      </c>
      <c r="F412" s="45">
        <v>0</v>
      </c>
      <c r="G412" s="45">
        <v>0</v>
      </c>
      <c r="H412" s="51">
        <v>7.6299999999999993E-27</v>
      </c>
      <c r="I412" s="45">
        <v>0</v>
      </c>
      <c r="J412" s="51">
        <v>1.2100000000000001E-40</v>
      </c>
      <c r="K412" s="45">
        <v>1420</v>
      </c>
      <c r="L412">
        <f t="shared" si="34"/>
        <v>0</v>
      </c>
    </row>
    <row r="413" spans="5:12">
      <c r="E413" s="42">
        <v>46250.833333333336</v>
      </c>
      <c r="F413" s="45">
        <v>0</v>
      </c>
      <c r="G413" s="45">
        <v>0</v>
      </c>
      <c r="H413" s="51">
        <v>3.44E-27</v>
      </c>
      <c r="I413" s="45">
        <v>0</v>
      </c>
      <c r="J413" s="51">
        <v>1.17E-40</v>
      </c>
      <c r="K413" s="45">
        <v>1420</v>
      </c>
      <c r="L413">
        <f t="shared" si="34"/>
        <v>0</v>
      </c>
    </row>
    <row r="414" spans="5:12">
      <c r="E414" s="42">
        <v>46250.875</v>
      </c>
      <c r="F414" s="45">
        <v>0</v>
      </c>
      <c r="G414" s="45">
        <v>0</v>
      </c>
      <c r="H414" s="51">
        <v>2.9499999999999999E-27</v>
      </c>
      <c r="I414" s="45">
        <v>0</v>
      </c>
      <c r="J414" s="51">
        <v>3.5E-41</v>
      </c>
      <c r="K414" s="45">
        <v>1420</v>
      </c>
      <c r="L414">
        <f t="shared" si="34"/>
        <v>0</v>
      </c>
    </row>
    <row r="415" spans="5:12">
      <c r="E415" s="42">
        <v>46250.916666666664</v>
      </c>
      <c r="F415" s="45">
        <v>0</v>
      </c>
      <c r="G415" s="45">
        <v>0</v>
      </c>
      <c r="H415" s="51">
        <v>1.33E-27</v>
      </c>
      <c r="I415" s="45">
        <v>0</v>
      </c>
      <c r="J415" s="51">
        <v>3.3800000000000002E-41</v>
      </c>
      <c r="K415" s="45">
        <v>1420</v>
      </c>
      <c r="L415">
        <f t="shared" si="34"/>
        <v>0</v>
      </c>
    </row>
    <row r="416" spans="5:12">
      <c r="E416" s="42">
        <v>46250.958333333336</v>
      </c>
      <c r="F416" s="45">
        <v>0</v>
      </c>
      <c r="G416" s="45">
        <v>0</v>
      </c>
      <c r="H416" s="51">
        <v>1.1400000000000001E-27</v>
      </c>
      <c r="I416" s="45">
        <v>0</v>
      </c>
      <c r="J416" s="51">
        <v>1.0099999999999999E-41</v>
      </c>
      <c r="K416" s="45">
        <v>1420</v>
      </c>
      <c r="L416">
        <f t="shared" si="34"/>
        <v>0</v>
      </c>
    </row>
    <row r="417" spans="5:12">
      <c r="E417" s="42">
        <v>46251</v>
      </c>
      <c r="F417" s="45">
        <v>0</v>
      </c>
      <c r="G417" s="45">
        <v>0</v>
      </c>
      <c r="H417" s="51">
        <v>5.1200000000000004E-28</v>
      </c>
      <c r="I417" s="45">
        <v>0</v>
      </c>
      <c r="J417" s="51">
        <v>9.7799999999999997E-42</v>
      </c>
      <c r="K417" s="45">
        <v>1420</v>
      </c>
      <c r="L417">
        <f t="shared" si="34"/>
        <v>0</v>
      </c>
    </row>
    <row r="418" spans="5:12">
      <c r="E418" s="42">
        <v>46251.041666666664</v>
      </c>
      <c r="F418" s="45">
        <v>0</v>
      </c>
      <c r="G418" s="45">
        <v>0</v>
      </c>
      <c r="H418" s="51">
        <v>4.3900000000000002E-28</v>
      </c>
      <c r="I418" s="45">
        <v>0</v>
      </c>
      <c r="J418" s="51">
        <v>2.92E-42</v>
      </c>
      <c r="K418" s="45">
        <v>1420</v>
      </c>
      <c r="L418">
        <f t="shared" si="34"/>
        <v>0</v>
      </c>
    </row>
    <row r="419" spans="5:12">
      <c r="E419" s="42">
        <v>46251.083333333336</v>
      </c>
      <c r="F419" s="45">
        <v>0</v>
      </c>
      <c r="G419" s="45">
        <v>0</v>
      </c>
      <c r="H419" s="51">
        <v>1.9800000000000001E-28</v>
      </c>
      <c r="I419" s="45">
        <v>0</v>
      </c>
      <c r="J419" s="51">
        <v>2.8299999999999999E-42</v>
      </c>
      <c r="K419" s="45">
        <v>1420</v>
      </c>
      <c r="L419">
        <f t="shared" si="34"/>
        <v>0</v>
      </c>
    </row>
    <row r="420" spans="5:12">
      <c r="E420" s="42">
        <v>46251.125</v>
      </c>
      <c r="F420" s="45">
        <v>0</v>
      </c>
      <c r="G420" s="45">
        <v>0</v>
      </c>
      <c r="H420" s="51">
        <v>1.6900000000000001E-28</v>
      </c>
      <c r="I420" s="45">
        <v>0</v>
      </c>
      <c r="J420" s="51">
        <v>8.4600000000000001E-43</v>
      </c>
      <c r="K420" s="45">
        <v>1420</v>
      </c>
      <c r="L420">
        <f t="shared" si="34"/>
        <v>0</v>
      </c>
    </row>
    <row r="421" spans="5:12">
      <c r="E421" s="42">
        <v>46251.166666666664</v>
      </c>
      <c r="F421" s="45">
        <v>0</v>
      </c>
      <c r="G421" s="45">
        <v>0</v>
      </c>
      <c r="H421" s="51">
        <v>7.6299999999999998E-29</v>
      </c>
      <c r="I421" s="45">
        <v>0</v>
      </c>
      <c r="J421" s="51">
        <v>8.1699999999999997E-43</v>
      </c>
      <c r="K421" s="45">
        <v>1420</v>
      </c>
      <c r="L421">
        <f t="shared" si="34"/>
        <v>0</v>
      </c>
    </row>
    <row r="422" spans="5:12">
      <c r="E422" s="42">
        <v>46251.208333333336</v>
      </c>
      <c r="F422" s="45">
        <v>0</v>
      </c>
      <c r="G422" s="45">
        <v>0</v>
      </c>
      <c r="H422" s="51">
        <v>6.54E-29</v>
      </c>
      <c r="I422" s="45">
        <v>0</v>
      </c>
      <c r="J422" s="51">
        <v>2.4499999999999999E-43</v>
      </c>
      <c r="K422" s="45">
        <v>1420</v>
      </c>
      <c r="L422">
        <f t="shared" si="34"/>
        <v>0</v>
      </c>
    </row>
    <row r="423" spans="5:12">
      <c r="E423" s="42">
        <v>46251.25</v>
      </c>
      <c r="F423" s="45">
        <v>0</v>
      </c>
      <c r="G423" s="45">
        <v>0</v>
      </c>
      <c r="H423" s="51">
        <v>2.95E-29</v>
      </c>
      <c r="I423" s="45">
        <v>0</v>
      </c>
      <c r="J423" s="51">
        <v>2.35E-43</v>
      </c>
      <c r="K423" s="45">
        <v>1420</v>
      </c>
      <c r="L423">
        <f t="shared" si="34"/>
        <v>0</v>
      </c>
    </row>
    <row r="424" spans="5:12">
      <c r="E424" s="42">
        <v>46251.291666666664</v>
      </c>
      <c r="F424" s="45">
        <v>0</v>
      </c>
      <c r="G424" s="45">
        <v>0</v>
      </c>
      <c r="H424" s="51">
        <v>2.5199999999999999E-29</v>
      </c>
      <c r="I424" s="45">
        <v>0</v>
      </c>
      <c r="J424" s="51">
        <v>7.0099999999999999E-44</v>
      </c>
      <c r="K424" s="45">
        <v>1420</v>
      </c>
      <c r="L424">
        <f t="shared" si="34"/>
        <v>0</v>
      </c>
    </row>
    <row r="425" spans="5:12">
      <c r="E425" s="42">
        <v>46251.333333333336</v>
      </c>
      <c r="F425" s="45">
        <v>0</v>
      </c>
      <c r="G425" s="45">
        <v>0</v>
      </c>
      <c r="H425" s="51">
        <v>1.14E-29</v>
      </c>
      <c r="I425" s="45">
        <v>0</v>
      </c>
      <c r="J425" s="51">
        <v>6.7300000000000002E-44</v>
      </c>
      <c r="K425" s="45">
        <v>1420</v>
      </c>
      <c r="L425">
        <f t="shared" si="34"/>
        <v>0</v>
      </c>
    </row>
    <row r="426" spans="5:12">
      <c r="E426" s="42">
        <v>46251.375</v>
      </c>
      <c r="F426" s="45">
        <v>0</v>
      </c>
      <c r="G426" s="45">
        <v>0</v>
      </c>
      <c r="H426" s="51">
        <v>9.7400000000000005E-30</v>
      </c>
      <c r="I426" s="45">
        <v>0</v>
      </c>
      <c r="J426" s="51">
        <v>1.9599999999999999E-44</v>
      </c>
      <c r="K426" s="45">
        <v>1420</v>
      </c>
      <c r="L426">
        <f t="shared" si="34"/>
        <v>0</v>
      </c>
    </row>
    <row r="427" spans="5:12">
      <c r="E427" s="42">
        <v>46251.416666666664</v>
      </c>
      <c r="F427" s="45">
        <v>0</v>
      </c>
      <c r="G427" s="45">
        <v>0</v>
      </c>
      <c r="H427" s="51">
        <v>4.3900000000000001E-30</v>
      </c>
      <c r="I427" s="45">
        <v>0</v>
      </c>
      <c r="J427" s="51">
        <v>1.9599999999999999E-44</v>
      </c>
      <c r="K427" s="45">
        <v>1420</v>
      </c>
      <c r="L427">
        <f t="shared" si="34"/>
        <v>0</v>
      </c>
    </row>
    <row r="428" spans="5:12">
      <c r="E428" s="42">
        <v>46251.458333333336</v>
      </c>
      <c r="F428" s="45">
        <v>0</v>
      </c>
      <c r="G428" s="45">
        <v>0</v>
      </c>
      <c r="H428" s="51">
        <v>3.7599999999999999E-30</v>
      </c>
      <c r="I428" s="45">
        <v>0</v>
      </c>
      <c r="J428" s="51">
        <v>5.6100000000000003E-45</v>
      </c>
      <c r="K428" s="45">
        <v>1420</v>
      </c>
      <c r="L428">
        <f t="shared" si="34"/>
        <v>0</v>
      </c>
    </row>
    <row r="429" spans="5:12">
      <c r="E429" s="42">
        <v>46251.5</v>
      </c>
      <c r="F429" s="45">
        <v>0</v>
      </c>
      <c r="G429" s="45">
        <v>0</v>
      </c>
      <c r="H429" s="51">
        <v>1.6899999999999999E-30</v>
      </c>
      <c r="I429" s="45">
        <v>0</v>
      </c>
      <c r="J429" s="51">
        <v>5.6100000000000003E-45</v>
      </c>
      <c r="K429" s="45">
        <v>1420</v>
      </c>
      <c r="L429">
        <f t="shared" si="34"/>
        <v>0</v>
      </c>
    </row>
    <row r="430" spans="5:12">
      <c r="E430" s="42">
        <v>46251.541666666664</v>
      </c>
      <c r="F430" s="45">
        <v>0</v>
      </c>
      <c r="G430" s="45">
        <v>0</v>
      </c>
      <c r="H430" s="51">
        <v>1.4499999999999999E-30</v>
      </c>
      <c r="I430" s="45">
        <v>0</v>
      </c>
      <c r="J430" s="51">
        <v>1.4000000000000001E-45</v>
      </c>
      <c r="K430" s="45">
        <v>1420</v>
      </c>
      <c r="L430">
        <f t="shared" si="34"/>
        <v>0</v>
      </c>
    </row>
    <row r="431" spans="5:12">
      <c r="E431" s="42">
        <v>46251.583333333336</v>
      </c>
      <c r="F431" s="45">
        <v>0</v>
      </c>
      <c r="G431" s="45">
        <v>0</v>
      </c>
      <c r="H431" s="51">
        <v>6.5399999999999999E-31</v>
      </c>
      <c r="I431" s="45">
        <v>0</v>
      </c>
      <c r="J431" s="51">
        <v>1.4000000000000001E-45</v>
      </c>
      <c r="K431" s="45">
        <v>1420</v>
      </c>
      <c r="L431">
        <f t="shared" si="34"/>
        <v>0</v>
      </c>
    </row>
    <row r="432" spans="5:12">
      <c r="E432" s="42">
        <v>46251.625</v>
      </c>
      <c r="F432" s="45">
        <v>0</v>
      </c>
      <c r="G432" s="45">
        <v>0</v>
      </c>
      <c r="H432" s="51">
        <v>5.5999999999999998E-31</v>
      </c>
      <c r="I432" s="45">
        <v>0</v>
      </c>
      <c r="J432" s="45">
        <v>0</v>
      </c>
      <c r="K432" s="45">
        <v>1420</v>
      </c>
      <c r="L432">
        <f t="shared" si="34"/>
        <v>0</v>
      </c>
    </row>
    <row r="433" spans="5:12">
      <c r="E433" s="42">
        <v>46251.666666666664</v>
      </c>
      <c r="F433" s="45">
        <v>0</v>
      </c>
      <c r="G433" s="45">
        <v>0</v>
      </c>
      <c r="H433" s="51">
        <v>2.5199999999999999E-31</v>
      </c>
      <c r="I433" s="45">
        <v>0</v>
      </c>
      <c r="J433" s="45">
        <v>0</v>
      </c>
      <c r="K433" s="45">
        <v>1420</v>
      </c>
      <c r="L433">
        <f t="shared" si="34"/>
        <v>0</v>
      </c>
    </row>
    <row r="434" spans="5:12">
      <c r="E434" s="42">
        <v>46251.708333333336</v>
      </c>
      <c r="F434" s="45">
        <v>0</v>
      </c>
      <c r="G434" s="45">
        <v>0</v>
      </c>
      <c r="H434" s="51">
        <v>2.1599999999999998E-31</v>
      </c>
      <c r="I434" s="45">
        <v>0</v>
      </c>
      <c r="J434" s="45">
        <v>0</v>
      </c>
      <c r="K434" s="45">
        <v>1420</v>
      </c>
      <c r="L434">
        <f t="shared" si="34"/>
        <v>0</v>
      </c>
    </row>
    <row r="435" spans="5:12">
      <c r="E435" s="42">
        <v>46251.75</v>
      </c>
      <c r="F435" s="45">
        <v>0</v>
      </c>
      <c r="G435" s="45">
        <v>0</v>
      </c>
      <c r="H435" s="51">
        <v>9.7400000000000005E-32</v>
      </c>
      <c r="I435" s="45">
        <v>0</v>
      </c>
      <c r="J435" s="45">
        <v>0</v>
      </c>
      <c r="K435" s="45">
        <v>1420</v>
      </c>
      <c r="L435">
        <f t="shared" si="34"/>
        <v>0</v>
      </c>
    </row>
    <row r="436" spans="5:12">
      <c r="E436" s="42">
        <v>46251.791666666664</v>
      </c>
      <c r="F436" s="45">
        <v>0</v>
      </c>
      <c r="G436" s="45">
        <v>0</v>
      </c>
      <c r="H436" s="51">
        <v>8.3500000000000004E-32</v>
      </c>
      <c r="I436" s="45">
        <v>0</v>
      </c>
      <c r="J436" s="45">
        <v>0</v>
      </c>
      <c r="K436" s="45">
        <v>1420</v>
      </c>
      <c r="L436">
        <f t="shared" si="34"/>
        <v>0</v>
      </c>
    </row>
    <row r="437" spans="5:12">
      <c r="E437" s="42">
        <v>46251.833333333336</v>
      </c>
      <c r="F437" s="45">
        <v>0</v>
      </c>
      <c r="G437" s="45">
        <v>0</v>
      </c>
      <c r="H437" s="51">
        <v>3.7600000000000002E-32</v>
      </c>
      <c r="I437" s="45">
        <v>0</v>
      </c>
      <c r="J437" s="45">
        <v>0</v>
      </c>
      <c r="K437" s="45">
        <v>1420</v>
      </c>
      <c r="L437">
        <f t="shared" si="34"/>
        <v>0</v>
      </c>
    </row>
    <row r="438" spans="5:12">
      <c r="E438" s="42">
        <v>46251.875</v>
      </c>
      <c r="F438" s="45">
        <v>0</v>
      </c>
      <c r="G438" s="45">
        <v>0</v>
      </c>
      <c r="H438" s="51">
        <v>3.2199999999999999E-32</v>
      </c>
      <c r="I438" s="45">
        <v>0</v>
      </c>
      <c r="J438" s="45">
        <v>0</v>
      </c>
      <c r="K438" s="45">
        <v>1420</v>
      </c>
      <c r="L438">
        <f t="shared" si="34"/>
        <v>0</v>
      </c>
    </row>
    <row r="439" spans="5:12">
      <c r="E439" s="42">
        <v>46251.916666666664</v>
      </c>
      <c r="F439" s="45">
        <v>0</v>
      </c>
      <c r="G439" s="45">
        <v>0</v>
      </c>
      <c r="H439" s="51">
        <v>1.45E-32</v>
      </c>
      <c r="I439" s="45">
        <v>0</v>
      </c>
      <c r="J439" s="45">
        <v>0</v>
      </c>
      <c r="K439" s="45">
        <v>1420</v>
      </c>
      <c r="L439">
        <f t="shared" si="34"/>
        <v>0</v>
      </c>
    </row>
    <row r="440" spans="5:12">
      <c r="E440" s="42">
        <v>46251.958333333336</v>
      </c>
      <c r="F440" s="45">
        <v>0</v>
      </c>
      <c r="G440" s="45">
        <v>0</v>
      </c>
      <c r="H440" s="51">
        <v>1.24E-32</v>
      </c>
      <c r="I440" s="45">
        <v>0</v>
      </c>
      <c r="J440" s="45">
        <v>0</v>
      </c>
      <c r="K440" s="45">
        <v>1420</v>
      </c>
      <c r="L440">
        <f t="shared" si="34"/>
        <v>0</v>
      </c>
    </row>
    <row r="441" spans="5:12">
      <c r="E441" s="42">
        <v>46252</v>
      </c>
      <c r="F441" s="45">
        <v>0</v>
      </c>
      <c r="G441" s="45">
        <v>0</v>
      </c>
      <c r="H441" s="51">
        <v>5.5999999999999998E-33</v>
      </c>
      <c r="I441" s="45">
        <v>0</v>
      </c>
      <c r="J441" s="45">
        <v>0</v>
      </c>
      <c r="K441" s="45">
        <v>1420</v>
      </c>
      <c r="L441">
        <f t="shared" si="34"/>
        <v>0</v>
      </c>
    </row>
    <row r="442" spans="5:12">
      <c r="E442" s="42">
        <v>46252.041666666664</v>
      </c>
      <c r="F442" s="45">
        <v>0</v>
      </c>
      <c r="G442" s="45">
        <v>0</v>
      </c>
      <c r="H442" s="51">
        <v>4.8E-33</v>
      </c>
      <c r="I442" s="45">
        <v>0</v>
      </c>
      <c r="J442" s="45">
        <v>0</v>
      </c>
      <c r="K442" s="45">
        <v>1420</v>
      </c>
      <c r="L442">
        <f t="shared" si="34"/>
        <v>0</v>
      </c>
    </row>
    <row r="443" spans="5:12">
      <c r="E443" s="42">
        <v>46252.083333333336</v>
      </c>
      <c r="F443" s="45">
        <v>0</v>
      </c>
      <c r="G443" s="45">
        <v>0</v>
      </c>
      <c r="H443" s="51">
        <v>2.1600000000000001E-33</v>
      </c>
      <c r="I443" s="45">
        <v>0</v>
      </c>
      <c r="J443" s="45">
        <v>0</v>
      </c>
      <c r="K443" s="45">
        <v>1420</v>
      </c>
      <c r="L443">
        <f t="shared" si="34"/>
        <v>0</v>
      </c>
    </row>
    <row r="444" spans="5:12">
      <c r="E444" s="42">
        <v>46252.125</v>
      </c>
      <c r="F444" s="45">
        <v>0</v>
      </c>
      <c r="G444" s="45">
        <v>0</v>
      </c>
      <c r="H444" s="51">
        <v>1.8500000000000001E-33</v>
      </c>
      <c r="I444" s="45">
        <v>0</v>
      </c>
      <c r="J444" s="45">
        <v>0</v>
      </c>
      <c r="K444" s="45">
        <v>1420</v>
      </c>
      <c r="L444">
        <f t="shared" si="34"/>
        <v>0</v>
      </c>
    </row>
    <row r="445" spans="5:12">
      <c r="E445" s="42">
        <v>46252.166666666664</v>
      </c>
      <c r="F445" s="45">
        <v>0</v>
      </c>
      <c r="G445" s="45">
        <v>0</v>
      </c>
      <c r="H445" s="51">
        <v>8.3500000000000004E-34</v>
      </c>
      <c r="I445" s="45">
        <v>0</v>
      </c>
      <c r="J445" s="45">
        <v>0</v>
      </c>
      <c r="K445" s="45">
        <v>1420</v>
      </c>
      <c r="L445">
        <f t="shared" si="34"/>
        <v>0</v>
      </c>
    </row>
    <row r="446" spans="5:12">
      <c r="E446" s="42">
        <v>46252.208333333336</v>
      </c>
      <c r="F446" s="45">
        <v>0</v>
      </c>
      <c r="G446" s="45">
        <v>0</v>
      </c>
      <c r="H446" s="51">
        <v>7.1500000000000003E-34</v>
      </c>
      <c r="I446" s="45">
        <v>0</v>
      </c>
      <c r="J446" s="45">
        <v>0</v>
      </c>
      <c r="K446" s="45">
        <v>1420</v>
      </c>
      <c r="L446">
        <f t="shared" si="34"/>
        <v>0</v>
      </c>
    </row>
    <row r="447" spans="5:12">
      <c r="E447" s="42">
        <v>46252.25</v>
      </c>
      <c r="F447" s="45">
        <v>0</v>
      </c>
      <c r="G447" s="45">
        <v>0</v>
      </c>
      <c r="H447" s="51">
        <v>3.2200000000000001E-34</v>
      </c>
      <c r="I447" s="45">
        <v>0</v>
      </c>
      <c r="J447" s="45">
        <v>0</v>
      </c>
      <c r="K447" s="45">
        <v>1420</v>
      </c>
      <c r="L447">
        <f t="shared" si="34"/>
        <v>0</v>
      </c>
    </row>
    <row r="448" spans="5:12">
      <c r="E448" s="42">
        <v>46252.291666666664</v>
      </c>
      <c r="F448" s="45">
        <v>0</v>
      </c>
      <c r="G448" s="45">
        <v>0</v>
      </c>
      <c r="H448" s="51">
        <v>2.7599999999999999E-34</v>
      </c>
      <c r="I448" s="45">
        <v>0</v>
      </c>
      <c r="J448" s="45">
        <v>0</v>
      </c>
      <c r="K448" s="45">
        <v>1420</v>
      </c>
      <c r="L448">
        <f t="shared" si="34"/>
        <v>0</v>
      </c>
    </row>
    <row r="449" spans="5:12">
      <c r="E449" s="42">
        <v>46252.333333333336</v>
      </c>
      <c r="F449" s="45">
        <v>0</v>
      </c>
      <c r="G449" s="45">
        <v>0</v>
      </c>
      <c r="H449" s="51">
        <v>1.24E-34</v>
      </c>
      <c r="I449" s="45">
        <v>0</v>
      </c>
      <c r="J449" s="45">
        <v>0</v>
      </c>
      <c r="K449" s="45">
        <v>1420</v>
      </c>
      <c r="L449">
        <f t="shared" si="34"/>
        <v>0</v>
      </c>
    </row>
    <row r="450" spans="5:12">
      <c r="E450" s="42">
        <v>46252.375</v>
      </c>
      <c r="F450" s="45">
        <v>0</v>
      </c>
      <c r="G450" s="45">
        <v>0</v>
      </c>
      <c r="H450" s="51">
        <v>1.0700000000000001E-34</v>
      </c>
      <c r="I450" s="45">
        <v>0</v>
      </c>
      <c r="J450" s="45">
        <v>0</v>
      </c>
      <c r="K450" s="45">
        <v>1420</v>
      </c>
      <c r="L450">
        <f t="shared" si="34"/>
        <v>0</v>
      </c>
    </row>
    <row r="451" spans="5:12">
      <c r="E451" s="42">
        <v>46252.416666666664</v>
      </c>
      <c r="F451" s="45">
        <v>0</v>
      </c>
      <c r="G451" s="45">
        <v>0</v>
      </c>
      <c r="H451" s="51">
        <v>4.8000000000000003E-35</v>
      </c>
      <c r="I451" s="45">
        <v>0</v>
      </c>
      <c r="J451" s="45">
        <v>0</v>
      </c>
      <c r="K451" s="45">
        <v>1420</v>
      </c>
      <c r="L451">
        <f t="shared" ref="L451:L514" si="35">IF(K451&gt;10000,K451-10000,0)</f>
        <v>0</v>
      </c>
    </row>
    <row r="452" spans="5:12">
      <c r="E452" s="42">
        <v>46252.458333333336</v>
      </c>
      <c r="F452" s="45">
        <v>0</v>
      </c>
      <c r="G452" s="45">
        <v>0</v>
      </c>
      <c r="H452" s="51">
        <v>4.11E-35</v>
      </c>
      <c r="I452" s="45">
        <v>0</v>
      </c>
      <c r="J452" s="45">
        <v>0</v>
      </c>
      <c r="K452" s="45">
        <v>1420</v>
      </c>
      <c r="L452">
        <f t="shared" si="35"/>
        <v>0</v>
      </c>
    </row>
    <row r="453" spans="5:12">
      <c r="E453" s="42">
        <v>46252.5</v>
      </c>
      <c r="F453" s="45">
        <v>0</v>
      </c>
      <c r="G453" s="45">
        <v>0</v>
      </c>
      <c r="H453" s="51">
        <v>1.8499999999999999E-35</v>
      </c>
      <c r="I453" s="45">
        <v>0</v>
      </c>
      <c r="J453" s="45">
        <v>0</v>
      </c>
      <c r="K453" s="45">
        <v>1420</v>
      </c>
      <c r="L453">
        <f t="shared" si="35"/>
        <v>0</v>
      </c>
    </row>
    <row r="454" spans="5:12">
      <c r="E454" s="42">
        <v>46252.541666666664</v>
      </c>
      <c r="F454" s="45">
        <v>0</v>
      </c>
      <c r="G454" s="45">
        <v>0</v>
      </c>
      <c r="H454" s="51">
        <v>1.5899999999999999E-35</v>
      </c>
      <c r="I454" s="45">
        <v>0</v>
      </c>
      <c r="J454" s="45">
        <v>0</v>
      </c>
      <c r="K454" s="45">
        <v>1420</v>
      </c>
      <c r="L454">
        <f t="shared" si="35"/>
        <v>0</v>
      </c>
    </row>
    <row r="455" spans="5:12">
      <c r="E455" s="42">
        <v>46252.583333333336</v>
      </c>
      <c r="F455" s="45">
        <v>0</v>
      </c>
      <c r="G455" s="45">
        <v>0</v>
      </c>
      <c r="H455" s="51">
        <v>7.1600000000000005E-36</v>
      </c>
      <c r="I455" s="45">
        <v>0</v>
      </c>
      <c r="J455" s="45">
        <v>0</v>
      </c>
      <c r="K455" s="45">
        <v>1420</v>
      </c>
      <c r="L455">
        <f t="shared" si="35"/>
        <v>0</v>
      </c>
    </row>
    <row r="456" spans="5:12">
      <c r="E456" s="42">
        <v>46252.625</v>
      </c>
      <c r="F456" s="45">
        <v>0</v>
      </c>
      <c r="G456" s="45">
        <v>0</v>
      </c>
      <c r="H456" s="51">
        <v>6.1300000000000005E-36</v>
      </c>
      <c r="I456" s="45">
        <v>0</v>
      </c>
      <c r="J456" s="45">
        <v>0</v>
      </c>
      <c r="K456" s="45">
        <v>1420</v>
      </c>
      <c r="L456">
        <f t="shared" si="35"/>
        <v>0</v>
      </c>
    </row>
    <row r="457" spans="5:12">
      <c r="E457" s="42">
        <v>46252.666666666664</v>
      </c>
      <c r="F457" s="45">
        <v>0</v>
      </c>
      <c r="G457" s="45">
        <v>0</v>
      </c>
      <c r="H457" s="51">
        <v>2.76E-36</v>
      </c>
      <c r="I457" s="45">
        <v>0</v>
      </c>
      <c r="J457" s="45">
        <v>0</v>
      </c>
      <c r="K457" s="45">
        <v>1420</v>
      </c>
      <c r="L457">
        <f t="shared" si="35"/>
        <v>0</v>
      </c>
    </row>
    <row r="458" spans="5:12">
      <c r="E458" s="42">
        <v>46252.708333333336</v>
      </c>
      <c r="F458" s="45">
        <v>0</v>
      </c>
      <c r="G458" s="45">
        <v>0</v>
      </c>
      <c r="H458" s="51">
        <v>2.3699999999999999E-36</v>
      </c>
      <c r="I458" s="45">
        <v>0</v>
      </c>
      <c r="J458" s="45">
        <v>0</v>
      </c>
      <c r="K458" s="45">
        <v>1420</v>
      </c>
      <c r="L458">
        <f t="shared" si="35"/>
        <v>0</v>
      </c>
    </row>
    <row r="459" spans="5:12">
      <c r="E459" s="42">
        <v>46252.75</v>
      </c>
      <c r="F459" s="45">
        <v>0</v>
      </c>
      <c r="G459" s="45">
        <v>0</v>
      </c>
      <c r="H459" s="51">
        <v>1.07E-36</v>
      </c>
      <c r="I459" s="45">
        <v>0</v>
      </c>
      <c r="J459" s="45">
        <v>0</v>
      </c>
      <c r="K459" s="45">
        <v>1420</v>
      </c>
      <c r="L459">
        <f t="shared" si="35"/>
        <v>0</v>
      </c>
    </row>
    <row r="460" spans="5:12">
      <c r="E460" s="42">
        <v>46252.791666666664</v>
      </c>
      <c r="F460" s="45">
        <v>0</v>
      </c>
      <c r="G460" s="45">
        <v>0</v>
      </c>
      <c r="H460" s="51">
        <v>9.1299999999999993E-37</v>
      </c>
      <c r="I460" s="45">
        <v>0</v>
      </c>
      <c r="J460" s="45">
        <v>0</v>
      </c>
      <c r="K460" s="45">
        <v>1420</v>
      </c>
      <c r="L460">
        <f t="shared" si="35"/>
        <v>0</v>
      </c>
    </row>
    <row r="461" spans="5:12">
      <c r="E461" s="42">
        <v>46252.833333333336</v>
      </c>
      <c r="F461" s="45">
        <v>0</v>
      </c>
      <c r="G461" s="45">
        <v>0</v>
      </c>
      <c r="H461" s="51">
        <v>4.1200000000000002E-37</v>
      </c>
      <c r="I461" s="45">
        <v>0</v>
      </c>
      <c r="J461" s="45">
        <v>0</v>
      </c>
      <c r="K461" s="45">
        <v>1420</v>
      </c>
      <c r="L461">
        <f t="shared" si="35"/>
        <v>0</v>
      </c>
    </row>
    <row r="462" spans="5:12">
      <c r="E462" s="42">
        <v>46252.875</v>
      </c>
      <c r="F462" s="45">
        <v>0</v>
      </c>
      <c r="G462" s="45">
        <v>0</v>
      </c>
      <c r="H462" s="51">
        <v>3.5299999999999999E-37</v>
      </c>
      <c r="I462" s="45">
        <v>0</v>
      </c>
      <c r="J462" s="45">
        <v>0</v>
      </c>
      <c r="K462" s="45">
        <v>1420</v>
      </c>
      <c r="L462">
        <f t="shared" si="35"/>
        <v>0</v>
      </c>
    </row>
    <row r="463" spans="5:12">
      <c r="E463" s="42">
        <v>46252.916666666664</v>
      </c>
      <c r="F463" s="45">
        <v>0</v>
      </c>
      <c r="G463" s="45">
        <v>0</v>
      </c>
      <c r="H463" s="51">
        <v>1.5899999999999999E-37</v>
      </c>
      <c r="I463" s="45">
        <v>0</v>
      </c>
      <c r="J463" s="45">
        <v>0</v>
      </c>
      <c r="K463" s="45">
        <v>1420</v>
      </c>
      <c r="L463">
        <f t="shared" si="35"/>
        <v>0</v>
      </c>
    </row>
    <row r="464" spans="5:12">
      <c r="E464" s="42">
        <v>46252.958333333336</v>
      </c>
      <c r="F464" s="45">
        <v>0</v>
      </c>
      <c r="G464" s="45">
        <v>0</v>
      </c>
      <c r="H464" s="51">
        <v>1.3600000000000001E-37</v>
      </c>
      <c r="I464" s="45">
        <v>0</v>
      </c>
      <c r="J464" s="45">
        <v>0</v>
      </c>
      <c r="K464" s="45">
        <v>1420</v>
      </c>
      <c r="L464">
        <f t="shared" si="35"/>
        <v>0</v>
      </c>
    </row>
    <row r="465" spans="5:12">
      <c r="E465" s="42">
        <v>46253</v>
      </c>
      <c r="F465" s="45">
        <v>0</v>
      </c>
      <c r="G465" s="45">
        <v>0</v>
      </c>
      <c r="H465" s="51">
        <v>6.1300000000000003E-38</v>
      </c>
      <c r="I465" s="45">
        <v>0</v>
      </c>
      <c r="J465" s="45">
        <v>0</v>
      </c>
      <c r="K465" s="45">
        <v>1420</v>
      </c>
      <c r="L465">
        <f t="shared" si="35"/>
        <v>0</v>
      </c>
    </row>
    <row r="466" spans="5:12">
      <c r="E466" s="42">
        <v>46253.041666666664</v>
      </c>
      <c r="F466" s="45">
        <v>0</v>
      </c>
      <c r="G466" s="45">
        <v>0</v>
      </c>
      <c r="H466" s="51">
        <v>5.2500000000000002E-38</v>
      </c>
      <c r="I466" s="45">
        <v>0</v>
      </c>
      <c r="J466" s="45">
        <v>0</v>
      </c>
      <c r="K466" s="45">
        <v>1420</v>
      </c>
      <c r="L466">
        <f t="shared" si="35"/>
        <v>0</v>
      </c>
    </row>
    <row r="467" spans="5:12">
      <c r="E467" s="42">
        <v>46253.083333333336</v>
      </c>
      <c r="F467" s="45">
        <v>0</v>
      </c>
      <c r="G467" s="45">
        <v>0</v>
      </c>
      <c r="H467" s="51">
        <v>2.3700000000000001E-38</v>
      </c>
      <c r="I467" s="45">
        <v>0</v>
      </c>
      <c r="J467" s="45">
        <v>0</v>
      </c>
      <c r="K467" s="45">
        <v>1420</v>
      </c>
      <c r="L467">
        <f t="shared" si="35"/>
        <v>0</v>
      </c>
    </row>
    <row r="468" spans="5:12">
      <c r="E468" s="42">
        <v>46253.125</v>
      </c>
      <c r="F468" s="45">
        <v>0</v>
      </c>
      <c r="G468" s="45">
        <v>0</v>
      </c>
      <c r="H468" s="51">
        <v>2.03E-38</v>
      </c>
      <c r="I468" s="45">
        <v>0</v>
      </c>
      <c r="J468" s="45">
        <v>0</v>
      </c>
      <c r="K468" s="45">
        <v>1420</v>
      </c>
      <c r="L468">
        <f t="shared" si="35"/>
        <v>0</v>
      </c>
    </row>
    <row r="469" spans="5:12">
      <c r="E469" s="42">
        <v>46253.166666666664</v>
      </c>
      <c r="F469" s="45">
        <v>0</v>
      </c>
      <c r="G469" s="45">
        <v>0</v>
      </c>
      <c r="H469" s="51">
        <v>9.1399999999999999E-39</v>
      </c>
      <c r="I469" s="45">
        <v>0</v>
      </c>
      <c r="J469" s="45">
        <v>0</v>
      </c>
      <c r="K469" s="45">
        <v>1420</v>
      </c>
      <c r="L469">
        <f t="shared" si="35"/>
        <v>0</v>
      </c>
    </row>
    <row r="470" spans="5:12">
      <c r="E470" s="42">
        <v>46253.208333333336</v>
      </c>
      <c r="F470" s="45">
        <v>0</v>
      </c>
      <c r="G470" s="45">
        <v>0</v>
      </c>
      <c r="H470" s="51">
        <v>7.8300000000000002E-39</v>
      </c>
      <c r="I470" s="45">
        <v>0</v>
      </c>
      <c r="J470" s="45">
        <v>0</v>
      </c>
      <c r="K470" s="45">
        <v>1420</v>
      </c>
      <c r="L470">
        <f t="shared" si="35"/>
        <v>0</v>
      </c>
    </row>
    <row r="471" spans="5:12">
      <c r="E471" s="42">
        <v>46253.25</v>
      </c>
      <c r="F471" s="45">
        <v>0</v>
      </c>
      <c r="G471" s="45">
        <v>0</v>
      </c>
      <c r="H471" s="51">
        <v>3.5300000000000002E-39</v>
      </c>
      <c r="I471" s="45">
        <v>0</v>
      </c>
      <c r="J471" s="45">
        <v>0</v>
      </c>
      <c r="K471" s="45">
        <v>1420</v>
      </c>
      <c r="L471">
        <f t="shared" si="35"/>
        <v>0</v>
      </c>
    </row>
    <row r="472" spans="5:12">
      <c r="E472" s="42">
        <v>46253.291666666664</v>
      </c>
      <c r="F472" s="45">
        <v>0</v>
      </c>
      <c r="G472" s="45">
        <v>0</v>
      </c>
      <c r="H472" s="51">
        <v>3.0199999999999998E-39</v>
      </c>
      <c r="I472" s="45">
        <v>0</v>
      </c>
      <c r="J472" s="45">
        <v>0</v>
      </c>
      <c r="K472" s="45">
        <v>1420</v>
      </c>
      <c r="L472">
        <f t="shared" si="35"/>
        <v>0</v>
      </c>
    </row>
    <row r="473" spans="5:12">
      <c r="E473" s="42">
        <v>46253.333333333336</v>
      </c>
      <c r="F473" s="45">
        <v>0</v>
      </c>
      <c r="G473" s="45">
        <v>0</v>
      </c>
      <c r="H473" s="51">
        <v>1.3599999999999999E-39</v>
      </c>
      <c r="I473" s="45">
        <v>0</v>
      </c>
      <c r="J473" s="45">
        <v>0</v>
      </c>
      <c r="K473" s="45">
        <v>1420</v>
      </c>
      <c r="L473">
        <f t="shared" si="35"/>
        <v>0</v>
      </c>
    </row>
    <row r="474" spans="5:12">
      <c r="E474" s="42">
        <v>46253.375</v>
      </c>
      <c r="F474" s="45">
        <v>0</v>
      </c>
      <c r="G474" s="45">
        <v>0</v>
      </c>
      <c r="H474" s="51">
        <v>1.17E-39</v>
      </c>
      <c r="I474" s="45">
        <v>0</v>
      </c>
      <c r="J474" s="45">
        <v>0</v>
      </c>
      <c r="K474" s="45">
        <v>1420</v>
      </c>
      <c r="L474">
        <f t="shared" si="35"/>
        <v>0</v>
      </c>
    </row>
    <row r="475" spans="5:12">
      <c r="E475" s="42">
        <v>46253.416666666664</v>
      </c>
      <c r="F475" s="45">
        <v>0</v>
      </c>
      <c r="G475" s="45">
        <v>0</v>
      </c>
      <c r="H475" s="51">
        <v>5.2499999999999998E-40</v>
      </c>
      <c r="I475" s="45">
        <v>0</v>
      </c>
      <c r="J475" s="45">
        <v>0</v>
      </c>
      <c r="K475" s="45">
        <v>1420</v>
      </c>
      <c r="L475">
        <f t="shared" si="35"/>
        <v>0</v>
      </c>
    </row>
    <row r="476" spans="5:12">
      <c r="E476" s="42">
        <v>46253.458333333336</v>
      </c>
      <c r="F476" s="45">
        <v>0</v>
      </c>
      <c r="G476" s="45">
        <v>0</v>
      </c>
      <c r="H476" s="51">
        <v>4.5000000000000001E-40</v>
      </c>
      <c r="I476" s="45">
        <v>0</v>
      </c>
      <c r="J476" s="45">
        <v>0</v>
      </c>
      <c r="K476" s="45">
        <v>1420</v>
      </c>
      <c r="L476">
        <f t="shared" si="35"/>
        <v>0</v>
      </c>
    </row>
    <row r="477" spans="5:12">
      <c r="E477" s="42">
        <v>46253.5</v>
      </c>
      <c r="F477" s="45">
        <v>0</v>
      </c>
      <c r="G477" s="45">
        <v>0</v>
      </c>
      <c r="H477" s="51">
        <v>2.03E-40</v>
      </c>
      <c r="I477" s="45">
        <v>0</v>
      </c>
      <c r="J477" s="45">
        <v>0</v>
      </c>
      <c r="K477" s="45">
        <v>1420</v>
      </c>
      <c r="L477">
        <f t="shared" si="35"/>
        <v>0</v>
      </c>
    </row>
    <row r="478" spans="5:12">
      <c r="E478" s="42">
        <v>46253.541666666664</v>
      </c>
      <c r="F478" s="45">
        <v>0</v>
      </c>
      <c r="G478" s="45">
        <v>0</v>
      </c>
      <c r="H478" s="51">
        <v>1.74E-40</v>
      </c>
      <c r="I478" s="45">
        <v>0</v>
      </c>
      <c r="J478" s="45">
        <v>0</v>
      </c>
      <c r="K478" s="45">
        <v>1420</v>
      </c>
      <c r="L478">
        <f t="shared" si="35"/>
        <v>0</v>
      </c>
    </row>
    <row r="479" spans="5:12">
      <c r="E479" s="42">
        <v>46253.583333333336</v>
      </c>
      <c r="F479" s="45">
        <v>0</v>
      </c>
      <c r="G479" s="45">
        <v>0</v>
      </c>
      <c r="H479" s="51">
        <v>7.8299999999999997E-41</v>
      </c>
      <c r="I479" s="45">
        <v>0</v>
      </c>
      <c r="J479" s="45">
        <v>0</v>
      </c>
      <c r="K479" s="45">
        <v>1420</v>
      </c>
      <c r="L479">
        <f t="shared" si="35"/>
        <v>0</v>
      </c>
    </row>
    <row r="480" spans="5:12">
      <c r="E480" s="42">
        <v>46253.625</v>
      </c>
      <c r="F480" s="45">
        <v>0</v>
      </c>
      <c r="G480" s="45">
        <v>0</v>
      </c>
      <c r="H480" s="51">
        <v>6.7099999999999999E-41</v>
      </c>
      <c r="I480" s="45">
        <v>0</v>
      </c>
      <c r="J480" s="45">
        <v>0</v>
      </c>
      <c r="K480" s="45">
        <v>1420</v>
      </c>
      <c r="L480">
        <f t="shared" si="35"/>
        <v>0</v>
      </c>
    </row>
    <row r="481" spans="5:12">
      <c r="E481" s="42">
        <v>46253.666666666664</v>
      </c>
      <c r="F481" s="45">
        <v>0</v>
      </c>
      <c r="G481" s="45">
        <v>0</v>
      </c>
      <c r="H481" s="51">
        <v>3.02E-41</v>
      </c>
      <c r="I481" s="45">
        <v>0</v>
      </c>
      <c r="J481" s="45">
        <v>0</v>
      </c>
      <c r="K481" s="45">
        <v>1420</v>
      </c>
      <c r="L481">
        <f t="shared" si="35"/>
        <v>0</v>
      </c>
    </row>
    <row r="482" spans="5:12">
      <c r="E482" s="42">
        <v>46253.708333333336</v>
      </c>
      <c r="F482" s="45">
        <v>0</v>
      </c>
      <c r="G482" s="45">
        <v>0</v>
      </c>
      <c r="H482" s="51">
        <v>2.5900000000000001E-41</v>
      </c>
      <c r="I482" s="45">
        <v>0</v>
      </c>
      <c r="J482" s="45">
        <v>0</v>
      </c>
      <c r="K482" s="45">
        <v>1420</v>
      </c>
      <c r="L482">
        <f t="shared" si="35"/>
        <v>0</v>
      </c>
    </row>
    <row r="483" spans="5:12">
      <c r="E483" s="42">
        <v>46253.75</v>
      </c>
      <c r="F483" s="45">
        <v>0</v>
      </c>
      <c r="G483" s="45">
        <v>0</v>
      </c>
      <c r="H483" s="51">
        <v>1.1699999999999999E-41</v>
      </c>
      <c r="I483" s="45">
        <v>0</v>
      </c>
      <c r="J483" s="45">
        <v>0</v>
      </c>
      <c r="K483" s="45">
        <v>1420</v>
      </c>
      <c r="L483">
        <f t="shared" si="35"/>
        <v>0</v>
      </c>
    </row>
    <row r="484" spans="5:12">
      <c r="E484" s="42">
        <v>46253.791666666664</v>
      </c>
      <c r="F484" s="45">
        <v>0</v>
      </c>
      <c r="G484" s="45">
        <v>0</v>
      </c>
      <c r="H484" s="51">
        <v>9.9900000000000005E-42</v>
      </c>
      <c r="I484" s="45">
        <v>0</v>
      </c>
      <c r="J484" s="45">
        <v>0</v>
      </c>
      <c r="K484" s="45">
        <v>1420</v>
      </c>
      <c r="L484">
        <f t="shared" si="35"/>
        <v>0</v>
      </c>
    </row>
    <row r="485" spans="5:12">
      <c r="E485" s="42">
        <v>46253.833333333336</v>
      </c>
      <c r="F485" s="45">
        <v>0</v>
      </c>
      <c r="G485" s="45">
        <v>0</v>
      </c>
      <c r="H485" s="51">
        <v>4.5000000000000001E-42</v>
      </c>
      <c r="I485" s="45">
        <v>0</v>
      </c>
      <c r="J485" s="45">
        <v>0</v>
      </c>
      <c r="K485" s="45">
        <v>1420</v>
      </c>
      <c r="L485">
        <f t="shared" si="35"/>
        <v>0</v>
      </c>
    </row>
    <row r="486" spans="5:12">
      <c r="E486" s="42">
        <v>46253.875</v>
      </c>
      <c r="F486" s="45">
        <v>0</v>
      </c>
      <c r="G486" s="45">
        <v>0</v>
      </c>
      <c r="H486" s="51">
        <v>3.86E-42</v>
      </c>
      <c r="I486" s="45">
        <v>0</v>
      </c>
      <c r="J486" s="45">
        <v>0</v>
      </c>
      <c r="K486" s="45">
        <v>1420</v>
      </c>
      <c r="L486">
        <f t="shared" si="35"/>
        <v>0</v>
      </c>
    </row>
    <row r="487" spans="5:12">
      <c r="E487" s="42">
        <v>46253.916666666664</v>
      </c>
      <c r="F487" s="45">
        <v>0</v>
      </c>
      <c r="G487" s="45">
        <v>0</v>
      </c>
      <c r="H487" s="51">
        <v>1.7399999999999999E-42</v>
      </c>
      <c r="I487" s="45">
        <v>0</v>
      </c>
      <c r="J487" s="45">
        <v>0</v>
      </c>
      <c r="K487" s="45">
        <v>1420</v>
      </c>
      <c r="L487">
        <f t="shared" si="35"/>
        <v>0</v>
      </c>
    </row>
    <row r="488" spans="5:12">
      <c r="E488" s="42">
        <v>46253.958333333336</v>
      </c>
      <c r="F488" s="45">
        <v>0</v>
      </c>
      <c r="G488" s="45">
        <v>0</v>
      </c>
      <c r="H488" s="51">
        <v>1.4899999999999999E-42</v>
      </c>
      <c r="I488" s="45">
        <v>0</v>
      </c>
      <c r="J488" s="45">
        <v>0</v>
      </c>
      <c r="K488" s="45">
        <v>1420</v>
      </c>
      <c r="L488">
        <f t="shared" si="35"/>
        <v>0</v>
      </c>
    </row>
    <row r="489" spans="5:12">
      <c r="E489" s="42">
        <v>46254</v>
      </c>
      <c r="F489" s="45">
        <v>0</v>
      </c>
      <c r="G489" s="45">
        <v>0</v>
      </c>
      <c r="H489" s="51">
        <v>6.6999999999999998E-43</v>
      </c>
      <c r="I489" s="45">
        <v>0</v>
      </c>
      <c r="J489" s="45">
        <v>0</v>
      </c>
      <c r="K489" s="45">
        <v>1420</v>
      </c>
      <c r="L489">
        <f t="shared" si="35"/>
        <v>0</v>
      </c>
    </row>
    <row r="490" spans="5:12">
      <c r="E490" s="42">
        <v>46254.041666666664</v>
      </c>
      <c r="F490" s="45">
        <v>0</v>
      </c>
      <c r="G490" s="45">
        <v>0</v>
      </c>
      <c r="H490" s="51">
        <v>5.7500000000000001E-43</v>
      </c>
      <c r="I490" s="45">
        <v>0</v>
      </c>
      <c r="J490" s="45">
        <v>0</v>
      </c>
      <c r="K490" s="45">
        <v>1420</v>
      </c>
      <c r="L490">
        <f t="shared" si="35"/>
        <v>0</v>
      </c>
    </row>
    <row r="491" spans="5:12">
      <c r="E491" s="42">
        <v>46254.083333333336</v>
      </c>
      <c r="F491" s="45">
        <v>0</v>
      </c>
      <c r="G491" s="45">
        <v>0</v>
      </c>
      <c r="H491" s="51">
        <v>2.5800000000000002E-43</v>
      </c>
      <c r="I491" s="45">
        <v>0</v>
      </c>
      <c r="J491" s="45">
        <v>0</v>
      </c>
      <c r="K491" s="45">
        <v>1420</v>
      </c>
      <c r="L491">
        <f t="shared" si="35"/>
        <v>0</v>
      </c>
    </row>
    <row r="492" spans="5:12">
      <c r="E492" s="42">
        <v>46254.125</v>
      </c>
      <c r="F492" s="45">
        <v>0</v>
      </c>
      <c r="G492" s="45">
        <v>0</v>
      </c>
      <c r="H492" s="51">
        <v>2.2100000000000001E-43</v>
      </c>
      <c r="I492" s="45">
        <v>0</v>
      </c>
      <c r="J492" s="45">
        <v>0</v>
      </c>
      <c r="K492" s="45">
        <v>1420</v>
      </c>
      <c r="L492">
        <f t="shared" si="35"/>
        <v>0</v>
      </c>
    </row>
    <row r="493" spans="5:12">
      <c r="E493" s="42">
        <v>46254.166666666664</v>
      </c>
      <c r="F493" s="45">
        <v>0</v>
      </c>
      <c r="G493" s="45">
        <v>0</v>
      </c>
      <c r="H493" s="51">
        <v>9.9500000000000002E-44</v>
      </c>
      <c r="I493" s="45">
        <v>0</v>
      </c>
      <c r="J493" s="45">
        <v>0</v>
      </c>
      <c r="K493" s="45">
        <v>1420</v>
      </c>
      <c r="L493">
        <f t="shared" si="35"/>
        <v>0</v>
      </c>
    </row>
    <row r="494" spans="5:12">
      <c r="E494" s="42">
        <v>46254.208333333336</v>
      </c>
      <c r="F494" s="45">
        <v>0</v>
      </c>
      <c r="G494" s="45">
        <v>0</v>
      </c>
      <c r="H494" s="51">
        <v>8.5499999999999997E-44</v>
      </c>
      <c r="I494" s="45">
        <v>0</v>
      </c>
      <c r="J494" s="45">
        <v>0</v>
      </c>
      <c r="K494" s="45">
        <v>1420</v>
      </c>
      <c r="L494">
        <f t="shared" si="35"/>
        <v>0</v>
      </c>
    </row>
    <row r="495" spans="5:12">
      <c r="E495" s="42">
        <v>46254.25</v>
      </c>
      <c r="F495" s="45">
        <v>0</v>
      </c>
      <c r="G495" s="45">
        <v>0</v>
      </c>
      <c r="H495" s="51">
        <v>3.9199999999999998E-44</v>
      </c>
      <c r="I495" s="45">
        <v>0</v>
      </c>
      <c r="J495" s="45">
        <v>0</v>
      </c>
      <c r="K495" s="45">
        <v>1420</v>
      </c>
      <c r="L495">
        <f t="shared" si="35"/>
        <v>0</v>
      </c>
    </row>
    <row r="496" spans="5:12">
      <c r="E496" s="42">
        <v>46254.291666666664</v>
      </c>
      <c r="F496" s="45">
        <v>0</v>
      </c>
      <c r="G496" s="45">
        <v>0</v>
      </c>
      <c r="H496" s="51">
        <v>3.3599999999999999E-44</v>
      </c>
      <c r="I496" s="45">
        <v>0</v>
      </c>
      <c r="J496" s="45">
        <v>0</v>
      </c>
      <c r="K496" s="45">
        <v>1420</v>
      </c>
      <c r="L496">
        <f t="shared" si="35"/>
        <v>0</v>
      </c>
    </row>
    <row r="497" spans="5:12">
      <c r="E497" s="42">
        <v>46254.333333333336</v>
      </c>
      <c r="F497" s="45">
        <v>0</v>
      </c>
      <c r="G497" s="45">
        <v>0</v>
      </c>
      <c r="H497" s="51">
        <v>1.4E-44</v>
      </c>
      <c r="I497" s="45">
        <v>0</v>
      </c>
      <c r="J497" s="45">
        <v>0</v>
      </c>
      <c r="K497" s="45">
        <v>1420</v>
      </c>
      <c r="L497">
        <f t="shared" si="35"/>
        <v>0</v>
      </c>
    </row>
    <row r="498" spans="5:12">
      <c r="E498" s="42">
        <v>46254.375</v>
      </c>
      <c r="F498" s="45">
        <v>0</v>
      </c>
      <c r="G498" s="45">
        <v>0</v>
      </c>
      <c r="H498" s="51">
        <v>1.2599999999999999E-44</v>
      </c>
      <c r="I498" s="45">
        <v>0</v>
      </c>
      <c r="J498" s="45">
        <v>0</v>
      </c>
      <c r="K498" s="45">
        <v>1420</v>
      </c>
      <c r="L498">
        <f t="shared" si="35"/>
        <v>0</v>
      </c>
    </row>
    <row r="499" spans="5:12">
      <c r="E499" s="42">
        <v>46254.416666666664</v>
      </c>
      <c r="F499" s="45">
        <v>0</v>
      </c>
      <c r="G499" s="45">
        <v>0</v>
      </c>
      <c r="H499" s="51">
        <v>5.6100000000000003E-45</v>
      </c>
      <c r="I499" s="45">
        <v>0</v>
      </c>
      <c r="J499" s="45">
        <v>0</v>
      </c>
      <c r="K499" s="45">
        <v>1420</v>
      </c>
      <c r="L499">
        <f t="shared" si="35"/>
        <v>0</v>
      </c>
    </row>
    <row r="500" spans="5:12">
      <c r="E500" s="42">
        <v>46254.458333333336</v>
      </c>
      <c r="F500" s="45">
        <v>0</v>
      </c>
      <c r="G500" s="45">
        <v>0</v>
      </c>
      <c r="H500" s="51">
        <v>5.6100000000000003E-45</v>
      </c>
      <c r="I500" s="45">
        <v>0</v>
      </c>
      <c r="J500" s="45">
        <v>0</v>
      </c>
      <c r="K500" s="45">
        <v>1420</v>
      </c>
      <c r="L500">
        <f t="shared" si="35"/>
        <v>0</v>
      </c>
    </row>
    <row r="501" spans="5:12">
      <c r="E501" s="42">
        <v>46254.5</v>
      </c>
      <c r="F501" s="45">
        <v>0</v>
      </c>
      <c r="G501" s="45">
        <v>0</v>
      </c>
      <c r="H501" s="51">
        <v>2.8000000000000001E-45</v>
      </c>
      <c r="I501" s="45">
        <v>0</v>
      </c>
      <c r="J501" s="45">
        <v>0</v>
      </c>
      <c r="K501" s="45">
        <v>1420</v>
      </c>
      <c r="L501">
        <f t="shared" si="35"/>
        <v>0</v>
      </c>
    </row>
    <row r="502" spans="5:12">
      <c r="E502" s="42">
        <v>46254.541666666664</v>
      </c>
      <c r="F502" s="45">
        <v>0</v>
      </c>
      <c r="G502" s="45">
        <v>0</v>
      </c>
      <c r="H502" s="51">
        <v>2.8000000000000001E-45</v>
      </c>
      <c r="I502" s="45">
        <v>0</v>
      </c>
      <c r="J502" s="45">
        <v>0</v>
      </c>
      <c r="K502" s="45">
        <v>1420</v>
      </c>
      <c r="L502">
        <f t="shared" si="35"/>
        <v>0</v>
      </c>
    </row>
    <row r="503" spans="5:12">
      <c r="E503" s="42">
        <v>46254.583333333336</v>
      </c>
      <c r="F503" s="45">
        <v>0</v>
      </c>
      <c r="G503" s="45">
        <v>0</v>
      </c>
      <c r="H503" s="45">
        <v>0</v>
      </c>
      <c r="I503" s="45">
        <v>0</v>
      </c>
      <c r="J503" s="45">
        <v>0</v>
      </c>
      <c r="K503" s="45">
        <v>1420</v>
      </c>
      <c r="L503">
        <f t="shared" si="35"/>
        <v>0</v>
      </c>
    </row>
    <row r="504" spans="5:12">
      <c r="E504" s="42">
        <v>46254.625</v>
      </c>
      <c r="F504" s="45">
        <v>0</v>
      </c>
      <c r="G504" s="45">
        <v>0</v>
      </c>
      <c r="H504" s="45">
        <v>0</v>
      </c>
      <c r="I504" s="45">
        <v>0</v>
      </c>
      <c r="J504" s="45">
        <v>0</v>
      </c>
      <c r="K504" s="45">
        <v>1420</v>
      </c>
      <c r="L504">
        <f t="shared" si="35"/>
        <v>0</v>
      </c>
    </row>
    <row r="505" spans="5:12">
      <c r="E505" s="42">
        <v>46254.666666666664</v>
      </c>
      <c r="F505" s="45">
        <v>0</v>
      </c>
      <c r="G505" s="45">
        <v>0</v>
      </c>
      <c r="H505" s="45">
        <v>0</v>
      </c>
      <c r="I505" s="45">
        <v>0</v>
      </c>
      <c r="J505" s="45">
        <v>0</v>
      </c>
      <c r="K505" s="45">
        <v>1420</v>
      </c>
      <c r="L505">
        <f t="shared" si="35"/>
        <v>0</v>
      </c>
    </row>
    <row r="506" spans="5:12">
      <c r="E506" s="42">
        <v>46254.708333333336</v>
      </c>
      <c r="F506" s="45">
        <v>0</v>
      </c>
      <c r="G506" s="45">
        <v>0</v>
      </c>
      <c r="H506" s="45">
        <v>0</v>
      </c>
      <c r="I506" s="45">
        <v>0</v>
      </c>
      <c r="J506" s="45">
        <v>0</v>
      </c>
      <c r="K506" s="45">
        <v>1420</v>
      </c>
      <c r="L506">
        <f t="shared" si="35"/>
        <v>0</v>
      </c>
    </row>
    <row r="507" spans="5:12">
      <c r="E507" s="42">
        <v>46254.75</v>
      </c>
      <c r="F507" s="45">
        <v>0</v>
      </c>
      <c r="G507" s="45">
        <v>0</v>
      </c>
      <c r="H507" s="45">
        <v>0</v>
      </c>
      <c r="I507" s="45">
        <v>0</v>
      </c>
      <c r="J507" s="45">
        <v>0</v>
      </c>
      <c r="K507" s="45">
        <v>1420</v>
      </c>
      <c r="L507">
        <f t="shared" si="35"/>
        <v>0</v>
      </c>
    </row>
    <row r="508" spans="5:12">
      <c r="E508" s="42">
        <v>46254.791666666664</v>
      </c>
      <c r="F508" s="45">
        <v>0</v>
      </c>
      <c r="G508" s="45">
        <v>0</v>
      </c>
      <c r="H508" s="45">
        <v>0</v>
      </c>
      <c r="I508" s="45">
        <v>0</v>
      </c>
      <c r="J508" s="45">
        <v>0</v>
      </c>
      <c r="K508" s="45">
        <v>1420</v>
      </c>
      <c r="L508">
        <f t="shared" si="35"/>
        <v>0</v>
      </c>
    </row>
    <row r="509" spans="5:12">
      <c r="E509" s="42">
        <v>46254.833333333336</v>
      </c>
      <c r="F509" s="45">
        <v>0</v>
      </c>
      <c r="G509" s="45">
        <v>0</v>
      </c>
      <c r="H509" s="45">
        <v>0</v>
      </c>
      <c r="I509" s="45">
        <v>0</v>
      </c>
      <c r="J509" s="45">
        <v>0</v>
      </c>
      <c r="K509" s="45">
        <v>1420</v>
      </c>
      <c r="L509">
        <f t="shared" si="35"/>
        <v>0</v>
      </c>
    </row>
    <row r="510" spans="5:12">
      <c r="E510" s="42">
        <v>46254.875</v>
      </c>
      <c r="F510" s="45">
        <v>0</v>
      </c>
      <c r="G510" s="45">
        <v>0</v>
      </c>
      <c r="H510" s="45">
        <v>0</v>
      </c>
      <c r="I510" s="45">
        <v>0</v>
      </c>
      <c r="J510" s="45">
        <v>0</v>
      </c>
      <c r="K510" s="45">
        <v>1420</v>
      </c>
      <c r="L510">
        <f t="shared" si="35"/>
        <v>0</v>
      </c>
    </row>
    <row r="511" spans="5:12">
      <c r="E511" s="42">
        <v>46254.916666666664</v>
      </c>
      <c r="F511" s="45">
        <v>0</v>
      </c>
      <c r="G511" s="45">
        <v>0</v>
      </c>
      <c r="H511" s="45">
        <v>0</v>
      </c>
      <c r="I511" s="45">
        <v>0</v>
      </c>
      <c r="J511" s="45">
        <v>0</v>
      </c>
      <c r="K511" s="45">
        <v>1420</v>
      </c>
      <c r="L511">
        <f t="shared" si="35"/>
        <v>0</v>
      </c>
    </row>
    <row r="512" spans="5:12">
      <c r="E512" s="42">
        <v>46254.958333333336</v>
      </c>
      <c r="F512" s="45">
        <v>0</v>
      </c>
      <c r="G512" s="45">
        <v>0</v>
      </c>
      <c r="H512" s="45">
        <v>0</v>
      </c>
      <c r="I512" s="45">
        <v>0</v>
      </c>
      <c r="J512" s="45">
        <v>0</v>
      </c>
      <c r="K512" s="45">
        <v>1420</v>
      </c>
      <c r="L512">
        <f t="shared" si="35"/>
        <v>0</v>
      </c>
    </row>
    <row r="513" spans="5:12">
      <c r="E513" s="42">
        <v>46255</v>
      </c>
      <c r="F513" s="45">
        <v>0</v>
      </c>
      <c r="G513" s="45">
        <v>0</v>
      </c>
      <c r="H513" s="45">
        <v>0</v>
      </c>
      <c r="I513" s="45">
        <v>0</v>
      </c>
      <c r="J513" s="45">
        <v>0</v>
      </c>
      <c r="K513" s="45">
        <v>1420</v>
      </c>
      <c r="L513">
        <f t="shared" si="35"/>
        <v>0</v>
      </c>
    </row>
    <row r="514" spans="5:12">
      <c r="E514" s="42">
        <v>46255.041666666664</v>
      </c>
      <c r="F514" s="45">
        <v>0</v>
      </c>
      <c r="G514" s="45">
        <v>0</v>
      </c>
      <c r="H514" s="45">
        <v>0</v>
      </c>
      <c r="I514" s="45">
        <v>0</v>
      </c>
      <c r="J514" s="45">
        <v>0</v>
      </c>
      <c r="K514" s="45">
        <v>1420</v>
      </c>
      <c r="L514">
        <f t="shared" si="35"/>
        <v>0</v>
      </c>
    </row>
    <row r="515" spans="5:12">
      <c r="E515" s="42">
        <v>46255.083333333336</v>
      </c>
      <c r="F515" s="45">
        <v>0</v>
      </c>
      <c r="G515" s="45">
        <v>0</v>
      </c>
      <c r="H515" s="45">
        <v>0</v>
      </c>
      <c r="I515" s="45">
        <v>0</v>
      </c>
      <c r="J515" s="45">
        <v>0</v>
      </c>
      <c r="K515" s="45">
        <v>1420</v>
      </c>
      <c r="L515">
        <f t="shared" ref="L515:L578" si="36">IF(K515&gt;10000,K515-10000,0)</f>
        <v>0</v>
      </c>
    </row>
    <row r="516" spans="5:12">
      <c r="E516" s="42">
        <v>46255.125</v>
      </c>
      <c r="F516" s="45">
        <v>0</v>
      </c>
      <c r="G516" s="45">
        <v>0</v>
      </c>
      <c r="H516" s="45">
        <v>0</v>
      </c>
      <c r="I516" s="45">
        <v>0</v>
      </c>
      <c r="J516" s="45">
        <v>0</v>
      </c>
      <c r="K516" s="45">
        <v>1420</v>
      </c>
      <c r="L516">
        <f t="shared" si="36"/>
        <v>0</v>
      </c>
    </row>
    <row r="517" spans="5:12">
      <c r="E517" s="42">
        <v>46255.166666666664</v>
      </c>
      <c r="F517" s="45">
        <v>0</v>
      </c>
      <c r="G517" s="45">
        <v>0</v>
      </c>
      <c r="H517" s="45">
        <v>0</v>
      </c>
      <c r="I517" s="45">
        <v>0</v>
      </c>
      <c r="J517" s="45">
        <v>0</v>
      </c>
      <c r="K517" s="45">
        <v>1420</v>
      </c>
      <c r="L517">
        <f t="shared" si="36"/>
        <v>0</v>
      </c>
    </row>
    <row r="518" spans="5:12">
      <c r="E518" s="42">
        <v>46255.208333333336</v>
      </c>
      <c r="F518" s="45">
        <v>0</v>
      </c>
      <c r="G518" s="45">
        <v>0</v>
      </c>
      <c r="H518" s="45">
        <v>0</v>
      </c>
      <c r="I518" s="45">
        <v>0</v>
      </c>
      <c r="J518" s="45">
        <v>0</v>
      </c>
      <c r="K518" s="45">
        <v>1420</v>
      </c>
      <c r="L518">
        <f t="shared" si="36"/>
        <v>0</v>
      </c>
    </row>
    <row r="519" spans="5:12">
      <c r="E519" s="42">
        <v>46255.25</v>
      </c>
      <c r="F519" s="45">
        <v>0</v>
      </c>
      <c r="G519" s="45">
        <v>0</v>
      </c>
      <c r="H519" s="45">
        <v>0</v>
      </c>
      <c r="I519" s="45">
        <v>0</v>
      </c>
      <c r="J519" s="45">
        <v>0</v>
      </c>
      <c r="K519" s="45">
        <v>1420</v>
      </c>
      <c r="L519">
        <f t="shared" si="36"/>
        <v>0</v>
      </c>
    </row>
    <row r="520" spans="5:12">
      <c r="E520" s="42">
        <v>46255.291666666664</v>
      </c>
      <c r="F520" s="45">
        <v>0</v>
      </c>
      <c r="G520" s="45">
        <v>0</v>
      </c>
      <c r="H520" s="45">
        <v>0</v>
      </c>
      <c r="I520" s="45">
        <v>0</v>
      </c>
      <c r="J520" s="45">
        <v>0</v>
      </c>
      <c r="K520" s="45">
        <v>1420</v>
      </c>
      <c r="L520">
        <f t="shared" si="36"/>
        <v>0</v>
      </c>
    </row>
    <row r="521" spans="5:12">
      <c r="E521" s="42">
        <v>46255.333333333336</v>
      </c>
      <c r="F521" s="45">
        <v>0</v>
      </c>
      <c r="G521" s="45">
        <v>0</v>
      </c>
      <c r="H521" s="45">
        <v>0</v>
      </c>
      <c r="I521" s="45">
        <v>0</v>
      </c>
      <c r="J521" s="45">
        <v>0</v>
      </c>
      <c r="K521" s="45">
        <v>1420</v>
      </c>
      <c r="L521">
        <f t="shared" si="36"/>
        <v>0</v>
      </c>
    </row>
    <row r="522" spans="5:12">
      <c r="E522" s="42">
        <v>46255.375</v>
      </c>
      <c r="F522" s="45">
        <v>0</v>
      </c>
      <c r="G522" s="45">
        <v>0</v>
      </c>
      <c r="H522" s="45">
        <v>0</v>
      </c>
      <c r="I522" s="45">
        <v>0</v>
      </c>
      <c r="J522" s="45">
        <v>0</v>
      </c>
      <c r="K522" s="45">
        <v>1420</v>
      </c>
      <c r="L522">
        <f t="shared" si="36"/>
        <v>0</v>
      </c>
    </row>
    <row r="523" spans="5:12">
      <c r="E523" s="42">
        <v>46255.416666666664</v>
      </c>
      <c r="F523" s="45">
        <v>0</v>
      </c>
      <c r="G523" s="45">
        <v>0</v>
      </c>
      <c r="H523" s="45">
        <v>0</v>
      </c>
      <c r="I523" s="45">
        <v>0</v>
      </c>
      <c r="J523" s="45">
        <v>0</v>
      </c>
      <c r="K523" s="45">
        <v>1420</v>
      </c>
      <c r="L523">
        <f t="shared" si="36"/>
        <v>0</v>
      </c>
    </row>
    <row r="524" spans="5:12">
      <c r="E524" s="42">
        <v>46255.458333333336</v>
      </c>
      <c r="F524" s="45">
        <v>0</v>
      </c>
      <c r="G524" s="45">
        <v>0</v>
      </c>
      <c r="H524" s="45">
        <v>0</v>
      </c>
      <c r="I524" s="45">
        <v>0</v>
      </c>
      <c r="J524" s="45">
        <v>0</v>
      </c>
      <c r="K524" s="45">
        <v>1420</v>
      </c>
      <c r="L524">
        <f t="shared" si="36"/>
        <v>0</v>
      </c>
    </row>
    <row r="525" spans="5:12">
      <c r="E525" s="42">
        <v>46255.5</v>
      </c>
      <c r="F525" s="45">
        <v>0</v>
      </c>
      <c r="G525" s="45">
        <v>0</v>
      </c>
      <c r="H525" s="45">
        <v>0</v>
      </c>
      <c r="I525" s="45">
        <v>0</v>
      </c>
      <c r="J525" s="45">
        <v>0</v>
      </c>
      <c r="K525" s="45">
        <v>1420</v>
      </c>
      <c r="L525">
        <f t="shared" si="36"/>
        <v>0</v>
      </c>
    </row>
    <row r="526" spans="5:12">
      <c r="E526" s="42">
        <v>46255.541666666664</v>
      </c>
      <c r="F526" s="45">
        <v>0</v>
      </c>
      <c r="G526" s="45">
        <v>0</v>
      </c>
      <c r="H526" s="45">
        <v>0</v>
      </c>
      <c r="I526" s="45">
        <v>0</v>
      </c>
      <c r="J526" s="45">
        <v>0</v>
      </c>
      <c r="K526" s="45">
        <v>1420</v>
      </c>
      <c r="L526">
        <f t="shared" si="36"/>
        <v>0</v>
      </c>
    </row>
    <row r="527" spans="5:12">
      <c r="E527" s="42">
        <v>46255.583333333336</v>
      </c>
      <c r="F527" s="45">
        <v>0</v>
      </c>
      <c r="G527" s="45">
        <v>0</v>
      </c>
      <c r="H527" s="45">
        <v>0</v>
      </c>
      <c r="I527" s="45">
        <v>0</v>
      </c>
      <c r="J527" s="45">
        <v>0</v>
      </c>
      <c r="K527" s="45">
        <v>1420</v>
      </c>
      <c r="L527">
        <f t="shared" si="36"/>
        <v>0</v>
      </c>
    </row>
    <row r="528" spans="5:12">
      <c r="E528" s="42">
        <v>46255.625</v>
      </c>
      <c r="F528" s="45">
        <v>0</v>
      </c>
      <c r="G528" s="45">
        <v>0</v>
      </c>
      <c r="H528" s="45">
        <v>0</v>
      </c>
      <c r="I528" s="45">
        <v>0</v>
      </c>
      <c r="J528" s="45">
        <v>0</v>
      </c>
      <c r="K528" s="45">
        <v>1420</v>
      </c>
      <c r="L528">
        <f t="shared" si="36"/>
        <v>0</v>
      </c>
    </row>
    <row r="529" spans="5:12">
      <c r="E529" s="42">
        <v>46255.666666666664</v>
      </c>
      <c r="F529" s="45">
        <v>0</v>
      </c>
      <c r="G529" s="45">
        <v>0</v>
      </c>
      <c r="H529" s="45">
        <v>0</v>
      </c>
      <c r="I529" s="45">
        <v>0</v>
      </c>
      <c r="J529" s="45">
        <v>0</v>
      </c>
      <c r="K529" s="45">
        <v>1420</v>
      </c>
      <c r="L529">
        <f t="shared" si="36"/>
        <v>0</v>
      </c>
    </row>
    <row r="530" spans="5:12">
      <c r="E530" s="42">
        <v>46255.708333333336</v>
      </c>
      <c r="F530" s="45">
        <v>0</v>
      </c>
      <c r="G530" s="45">
        <v>0</v>
      </c>
      <c r="H530" s="45">
        <v>0</v>
      </c>
      <c r="I530" s="45">
        <v>0</v>
      </c>
      <c r="J530" s="45">
        <v>0</v>
      </c>
      <c r="K530" s="45">
        <v>1420</v>
      </c>
      <c r="L530">
        <f t="shared" si="36"/>
        <v>0</v>
      </c>
    </row>
    <row r="531" spans="5:12">
      <c r="E531" s="42">
        <v>46255.75</v>
      </c>
      <c r="F531" s="45">
        <v>0</v>
      </c>
      <c r="G531" s="45">
        <v>0</v>
      </c>
      <c r="H531" s="45">
        <v>0</v>
      </c>
      <c r="I531" s="45">
        <v>0</v>
      </c>
      <c r="J531" s="45">
        <v>0</v>
      </c>
      <c r="K531" s="45">
        <v>1420</v>
      </c>
      <c r="L531">
        <f t="shared" si="36"/>
        <v>0</v>
      </c>
    </row>
    <row r="532" spans="5:12">
      <c r="E532" s="42">
        <v>46255.791666666664</v>
      </c>
      <c r="F532" s="45">
        <v>0</v>
      </c>
      <c r="G532" s="45">
        <v>0</v>
      </c>
      <c r="H532" s="45">
        <v>0</v>
      </c>
      <c r="I532" s="45">
        <v>0</v>
      </c>
      <c r="J532" s="45">
        <v>0</v>
      </c>
      <c r="K532" s="45">
        <v>1420</v>
      </c>
      <c r="L532">
        <f t="shared" si="36"/>
        <v>0</v>
      </c>
    </row>
    <row r="533" spans="5:12">
      <c r="E533" s="42">
        <v>46255.833333333336</v>
      </c>
      <c r="F533" s="45">
        <v>0</v>
      </c>
      <c r="G533" s="45">
        <v>0</v>
      </c>
      <c r="H533" s="45">
        <v>0</v>
      </c>
      <c r="I533" s="45">
        <v>0</v>
      </c>
      <c r="J533" s="45">
        <v>0</v>
      </c>
      <c r="K533" s="45">
        <v>1420</v>
      </c>
      <c r="L533">
        <f t="shared" si="36"/>
        <v>0</v>
      </c>
    </row>
    <row r="534" spans="5:12">
      <c r="E534" s="42">
        <v>46255.875</v>
      </c>
      <c r="F534" s="45">
        <v>0</v>
      </c>
      <c r="G534" s="45">
        <v>0</v>
      </c>
      <c r="H534" s="45">
        <v>0</v>
      </c>
      <c r="I534" s="45">
        <v>0</v>
      </c>
      <c r="J534" s="45">
        <v>0</v>
      </c>
      <c r="K534" s="45">
        <v>1420</v>
      </c>
      <c r="L534">
        <f t="shared" si="36"/>
        <v>0</v>
      </c>
    </row>
    <row r="535" spans="5:12">
      <c r="E535" s="42">
        <v>46255.916666666664</v>
      </c>
      <c r="F535" s="45">
        <v>0</v>
      </c>
      <c r="G535" s="45">
        <v>0</v>
      </c>
      <c r="H535" s="45">
        <v>0</v>
      </c>
      <c r="I535" s="45">
        <v>0</v>
      </c>
      <c r="J535" s="45">
        <v>0</v>
      </c>
      <c r="K535" s="45">
        <v>1420</v>
      </c>
      <c r="L535">
        <f t="shared" si="36"/>
        <v>0</v>
      </c>
    </row>
    <row r="536" spans="5:12">
      <c r="E536" s="42">
        <v>46255.958333333336</v>
      </c>
      <c r="F536" s="45">
        <v>0</v>
      </c>
      <c r="G536" s="45">
        <v>0</v>
      </c>
      <c r="H536" s="45">
        <v>0</v>
      </c>
      <c r="I536" s="45">
        <v>0</v>
      </c>
      <c r="J536" s="45">
        <v>0</v>
      </c>
      <c r="K536" s="45">
        <v>1420</v>
      </c>
      <c r="L536">
        <f t="shared" si="36"/>
        <v>0</v>
      </c>
    </row>
    <row r="537" spans="5:12">
      <c r="E537" s="42">
        <v>46256</v>
      </c>
      <c r="F537" s="45">
        <v>0</v>
      </c>
      <c r="G537" s="45">
        <v>0</v>
      </c>
      <c r="H537" s="45">
        <v>0</v>
      </c>
      <c r="I537" s="45">
        <v>0</v>
      </c>
      <c r="J537" s="45">
        <v>0</v>
      </c>
      <c r="K537" s="45">
        <v>1420</v>
      </c>
      <c r="L537">
        <f t="shared" si="36"/>
        <v>0</v>
      </c>
    </row>
    <row r="538" spans="5:12">
      <c r="E538" s="42">
        <v>46256.041666666664</v>
      </c>
      <c r="F538" s="45">
        <v>0</v>
      </c>
      <c r="G538" s="45">
        <v>0</v>
      </c>
      <c r="H538" s="45">
        <v>0</v>
      </c>
      <c r="I538" s="45">
        <v>0</v>
      </c>
      <c r="J538" s="45">
        <v>0</v>
      </c>
      <c r="K538" s="45">
        <v>1420</v>
      </c>
      <c r="L538">
        <f t="shared" si="36"/>
        <v>0</v>
      </c>
    </row>
    <row r="539" spans="5:12">
      <c r="E539" s="42">
        <v>46256.083333333336</v>
      </c>
      <c r="F539" s="45">
        <v>0</v>
      </c>
      <c r="G539" s="45">
        <v>0</v>
      </c>
      <c r="H539" s="45">
        <v>0</v>
      </c>
      <c r="I539" s="45">
        <v>0</v>
      </c>
      <c r="J539" s="45">
        <v>0</v>
      </c>
      <c r="K539" s="45">
        <v>1420</v>
      </c>
      <c r="L539">
        <f t="shared" si="36"/>
        <v>0</v>
      </c>
    </row>
    <row r="540" spans="5:12">
      <c r="E540" s="42">
        <v>46256.125</v>
      </c>
      <c r="F540" s="45">
        <v>0</v>
      </c>
      <c r="G540" s="45">
        <v>0</v>
      </c>
      <c r="H540" s="45">
        <v>0</v>
      </c>
      <c r="I540" s="45">
        <v>0</v>
      </c>
      <c r="J540" s="45">
        <v>0</v>
      </c>
      <c r="K540" s="45">
        <v>1420</v>
      </c>
      <c r="L540">
        <f t="shared" si="36"/>
        <v>0</v>
      </c>
    </row>
    <row r="541" spans="5:12">
      <c r="E541" s="42">
        <v>46256.166666666664</v>
      </c>
      <c r="F541" s="45">
        <v>0</v>
      </c>
      <c r="G541" s="45">
        <v>0</v>
      </c>
      <c r="H541" s="45">
        <v>0</v>
      </c>
      <c r="I541" s="45">
        <v>0</v>
      </c>
      <c r="J541" s="45">
        <v>0</v>
      </c>
      <c r="K541" s="45">
        <v>1420</v>
      </c>
      <c r="L541">
        <f t="shared" si="36"/>
        <v>0</v>
      </c>
    </row>
    <row r="542" spans="5:12">
      <c r="E542" s="42">
        <v>46256.208333333336</v>
      </c>
      <c r="F542" s="45">
        <v>0</v>
      </c>
      <c r="G542" s="45">
        <v>0</v>
      </c>
      <c r="H542" s="45">
        <v>0</v>
      </c>
      <c r="I542" s="45">
        <v>0</v>
      </c>
      <c r="J542" s="45">
        <v>0</v>
      </c>
      <c r="K542" s="45">
        <v>1420</v>
      </c>
      <c r="L542">
        <f t="shared" si="36"/>
        <v>0</v>
      </c>
    </row>
    <row r="543" spans="5:12">
      <c r="E543" s="42">
        <v>46256.25</v>
      </c>
      <c r="F543" s="45">
        <v>0</v>
      </c>
      <c r="G543" s="45">
        <v>0</v>
      </c>
      <c r="H543" s="45">
        <v>0</v>
      </c>
      <c r="I543" s="45">
        <v>0</v>
      </c>
      <c r="J543" s="45">
        <v>0</v>
      </c>
      <c r="K543" s="45">
        <v>1420</v>
      </c>
      <c r="L543">
        <f t="shared" si="36"/>
        <v>0</v>
      </c>
    </row>
    <row r="544" spans="5:12">
      <c r="E544" s="42">
        <v>46256.291666666664</v>
      </c>
      <c r="F544" s="45">
        <v>0</v>
      </c>
      <c r="G544" s="45">
        <v>0</v>
      </c>
      <c r="H544" s="45">
        <v>0</v>
      </c>
      <c r="I544" s="45">
        <v>0</v>
      </c>
      <c r="J544" s="45">
        <v>0</v>
      </c>
      <c r="K544" s="45">
        <v>1420</v>
      </c>
      <c r="L544">
        <f t="shared" si="36"/>
        <v>0</v>
      </c>
    </row>
    <row r="545" spans="5:12">
      <c r="E545" s="42">
        <v>46256.333333333336</v>
      </c>
      <c r="F545" s="45">
        <v>0</v>
      </c>
      <c r="G545" s="45">
        <v>0</v>
      </c>
      <c r="H545" s="45">
        <v>0</v>
      </c>
      <c r="I545" s="45">
        <v>0</v>
      </c>
      <c r="J545" s="45">
        <v>0</v>
      </c>
      <c r="K545" s="45">
        <v>1420</v>
      </c>
      <c r="L545">
        <f t="shared" si="36"/>
        <v>0</v>
      </c>
    </row>
    <row r="546" spans="5:12">
      <c r="E546" s="42">
        <v>46256.375</v>
      </c>
      <c r="F546" s="45">
        <v>0</v>
      </c>
      <c r="G546" s="45">
        <v>0</v>
      </c>
      <c r="H546" s="45">
        <v>0</v>
      </c>
      <c r="I546" s="45">
        <v>0</v>
      </c>
      <c r="J546" s="45">
        <v>0</v>
      </c>
      <c r="K546" s="45">
        <v>1420</v>
      </c>
      <c r="L546">
        <f t="shared" si="36"/>
        <v>0</v>
      </c>
    </row>
    <row r="547" spans="5:12">
      <c r="E547" s="42">
        <v>46256.416666666664</v>
      </c>
      <c r="F547" s="45">
        <v>0</v>
      </c>
      <c r="G547" s="45">
        <v>0</v>
      </c>
      <c r="H547" s="45">
        <v>0</v>
      </c>
      <c r="I547" s="45">
        <v>0</v>
      </c>
      <c r="J547" s="45">
        <v>0</v>
      </c>
      <c r="K547" s="45">
        <v>1420</v>
      </c>
      <c r="L547">
        <f t="shared" si="36"/>
        <v>0</v>
      </c>
    </row>
    <row r="548" spans="5:12">
      <c r="E548" s="42">
        <v>46256.458333333336</v>
      </c>
      <c r="F548" s="45">
        <v>0</v>
      </c>
      <c r="G548" s="45">
        <v>0</v>
      </c>
      <c r="H548" s="45">
        <v>0</v>
      </c>
      <c r="I548" s="45">
        <v>0</v>
      </c>
      <c r="J548" s="45">
        <v>0</v>
      </c>
      <c r="K548" s="45">
        <v>1420</v>
      </c>
      <c r="L548">
        <f t="shared" si="36"/>
        <v>0</v>
      </c>
    </row>
    <row r="549" spans="5:12">
      <c r="E549" s="42">
        <v>46256.5</v>
      </c>
      <c r="F549" s="45">
        <v>0</v>
      </c>
      <c r="G549" s="45">
        <v>0</v>
      </c>
      <c r="H549" s="45">
        <v>0</v>
      </c>
      <c r="I549" s="45">
        <v>0</v>
      </c>
      <c r="J549" s="45">
        <v>0</v>
      </c>
      <c r="K549" s="45">
        <v>1420</v>
      </c>
      <c r="L549">
        <f t="shared" si="36"/>
        <v>0</v>
      </c>
    </row>
    <row r="550" spans="5:12">
      <c r="E550" s="42">
        <v>46256.541666666664</v>
      </c>
      <c r="F550" s="45">
        <v>0</v>
      </c>
      <c r="G550" s="45">
        <v>0</v>
      </c>
      <c r="H550" s="45">
        <v>0</v>
      </c>
      <c r="I550" s="45">
        <v>0</v>
      </c>
      <c r="J550" s="45">
        <v>0</v>
      </c>
      <c r="K550" s="45">
        <v>1420</v>
      </c>
      <c r="L550">
        <f t="shared" si="36"/>
        <v>0</v>
      </c>
    </row>
    <row r="551" spans="5:12">
      <c r="E551" s="42">
        <v>46256.583333333336</v>
      </c>
      <c r="F551" s="45">
        <v>0</v>
      </c>
      <c r="G551" s="45">
        <v>0</v>
      </c>
      <c r="H551" s="45">
        <v>0</v>
      </c>
      <c r="I551" s="45">
        <v>0</v>
      </c>
      <c r="J551" s="45">
        <v>0</v>
      </c>
      <c r="K551" s="45">
        <v>1420</v>
      </c>
      <c r="L551">
        <f t="shared" si="36"/>
        <v>0</v>
      </c>
    </row>
    <row r="552" spans="5:12">
      <c r="E552" s="42">
        <v>46256.625</v>
      </c>
      <c r="F552" s="45">
        <v>0</v>
      </c>
      <c r="G552" s="45">
        <v>0</v>
      </c>
      <c r="H552" s="45">
        <v>0</v>
      </c>
      <c r="I552" s="45">
        <v>0</v>
      </c>
      <c r="J552" s="45">
        <v>0</v>
      </c>
      <c r="K552" s="45">
        <v>1420</v>
      </c>
      <c r="L552">
        <f t="shared" si="36"/>
        <v>0</v>
      </c>
    </row>
    <row r="553" spans="5:12">
      <c r="E553" s="42">
        <v>46256.666666666664</v>
      </c>
      <c r="F553" s="45">
        <v>0</v>
      </c>
      <c r="G553" s="45">
        <v>0</v>
      </c>
      <c r="H553" s="45">
        <v>0</v>
      </c>
      <c r="I553" s="45">
        <v>0</v>
      </c>
      <c r="J553" s="45">
        <v>0</v>
      </c>
      <c r="K553" s="45">
        <v>1420</v>
      </c>
      <c r="L553">
        <f t="shared" si="36"/>
        <v>0</v>
      </c>
    </row>
    <row r="554" spans="5:12">
      <c r="E554" s="42">
        <v>46256.708333333336</v>
      </c>
      <c r="F554" s="45">
        <v>0</v>
      </c>
      <c r="G554" s="45">
        <v>0</v>
      </c>
      <c r="H554" s="45">
        <v>0</v>
      </c>
      <c r="I554" s="45">
        <v>0</v>
      </c>
      <c r="J554" s="45">
        <v>0</v>
      </c>
      <c r="K554" s="45">
        <v>1420</v>
      </c>
      <c r="L554">
        <f t="shared" si="36"/>
        <v>0</v>
      </c>
    </row>
    <row r="555" spans="5:12">
      <c r="E555" s="42">
        <v>46256.75</v>
      </c>
      <c r="F555" s="45">
        <v>0</v>
      </c>
      <c r="G555" s="45">
        <v>0</v>
      </c>
      <c r="H555" s="45">
        <v>0</v>
      </c>
      <c r="I555" s="45">
        <v>0</v>
      </c>
      <c r="J555" s="45">
        <v>0</v>
      </c>
      <c r="K555" s="45">
        <v>1420</v>
      </c>
      <c r="L555">
        <f t="shared" si="36"/>
        <v>0</v>
      </c>
    </row>
    <row r="556" spans="5:12">
      <c r="E556" s="42">
        <v>46256.791666666664</v>
      </c>
      <c r="F556" s="45">
        <v>0</v>
      </c>
      <c r="G556" s="45">
        <v>0</v>
      </c>
      <c r="H556" s="45">
        <v>0</v>
      </c>
      <c r="I556" s="45">
        <v>0</v>
      </c>
      <c r="J556" s="45">
        <v>0</v>
      </c>
      <c r="K556" s="45">
        <v>1420</v>
      </c>
      <c r="L556">
        <f t="shared" si="36"/>
        <v>0</v>
      </c>
    </row>
    <row r="557" spans="5:12">
      <c r="E557" s="42">
        <v>46256.833333333336</v>
      </c>
      <c r="F557" s="45">
        <v>0</v>
      </c>
      <c r="G557" s="45">
        <v>0</v>
      </c>
      <c r="H557" s="45">
        <v>0</v>
      </c>
      <c r="I557" s="45">
        <v>0</v>
      </c>
      <c r="J557" s="45">
        <v>0</v>
      </c>
      <c r="K557" s="45">
        <v>1420</v>
      </c>
      <c r="L557">
        <f t="shared" si="36"/>
        <v>0</v>
      </c>
    </row>
    <row r="558" spans="5:12">
      <c r="E558" s="42">
        <v>46256.875</v>
      </c>
      <c r="F558" s="45">
        <v>0</v>
      </c>
      <c r="G558" s="45">
        <v>0</v>
      </c>
      <c r="H558" s="45">
        <v>0</v>
      </c>
      <c r="I558" s="45">
        <v>0</v>
      </c>
      <c r="J558" s="45">
        <v>0</v>
      </c>
      <c r="K558" s="45">
        <v>1420</v>
      </c>
      <c r="L558">
        <f t="shared" si="36"/>
        <v>0</v>
      </c>
    </row>
    <row r="559" spans="5:12">
      <c r="E559" s="42">
        <v>46256.916666666664</v>
      </c>
      <c r="F559" s="45">
        <v>0</v>
      </c>
      <c r="G559" s="45">
        <v>0</v>
      </c>
      <c r="H559" s="45">
        <v>0</v>
      </c>
      <c r="I559" s="45">
        <v>0</v>
      </c>
      <c r="J559" s="45">
        <v>0</v>
      </c>
      <c r="K559" s="45">
        <v>1420</v>
      </c>
      <c r="L559">
        <f t="shared" si="36"/>
        <v>0</v>
      </c>
    </row>
    <row r="560" spans="5:12">
      <c r="E560" s="42">
        <v>46256.958333333336</v>
      </c>
      <c r="F560" s="45">
        <v>0</v>
      </c>
      <c r="G560" s="45">
        <v>0</v>
      </c>
      <c r="H560" s="45">
        <v>0</v>
      </c>
      <c r="I560" s="45">
        <v>0</v>
      </c>
      <c r="J560" s="45">
        <v>0</v>
      </c>
      <c r="K560" s="45">
        <v>1420</v>
      </c>
      <c r="L560">
        <f t="shared" si="36"/>
        <v>0</v>
      </c>
    </row>
    <row r="561" spans="5:12">
      <c r="E561" s="42">
        <v>46257</v>
      </c>
      <c r="F561" s="45">
        <v>0</v>
      </c>
      <c r="G561" s="45">
        <v>0</v>
      </c>
      <c r="H561" s="45">
        <v>0</v>
      </c>
      <c r="I561" s="45">
        <v>0</v>
      </c>
      <c r="J561" s="45">
        <v>0</v>
      </c>
      <c r="K561" s="45">
        <v>1420</v>
      </c>
      <c r="L561">
        <f t="shared" si="36"/>
        <v>0</v>
      </c>
    </row>
    <row r="562" spans="5:12">
      <c r="E562" s="42">
        <v>46257.041666666664</v>
      </c>
      <c r="F562" s="45">
        <v>0</v>
      </c>
      <c r="G562" s="45">
        <v>0</v>
      </c>
      <c r="H562" s="45">
        <v>0</v>
      </c>
      <c r="I562" s="45">
        <v>0</v>
      </c>
      <c r="J562" s="45">
        <v>0</v>
      </c>
      <c r="K562" s="45">
        <v>1420</v>
      </c>
      <c r="L562">
        <f t="shared" si="36"/>
        <v>0</v>
      </c>
    </row>
    <row r="563" spans="5:12">
      <c r="E563" s="42">
        <v>46257.083333333336</v>
      </c>
      <c r="F563" s="45">
        <v>0</v>
      </c>
      <c r="G563" s="45">
        <v>0</v>
      </c>
      <c r="H563" s="45">
        <v>0</v>
      </c>
      <c r="I563" s="45">
        <v>0</v>
      </c>
      <c r="J563" s="45">
        <v>0</v>
      </c>
      <c r="K563" s="45">
        <v>1420</v>
      </c>
      <c r="L563">
        <f t="shared" si="36"/>
        <v>0</v>
      </c>
    </row>
    <row r="564" spans="5:12">
      <c r="E564" s="42">
        <v>46257.125</v>
      </c>
      <c r="F564" s="45">
        <v>0</v>
      </c>
      <c r="G564" s="45">
        <v>0</v>
      </c>
      <c r="H564" s="45">
        <v>0</v>
      </c>
      <c r="I564" s="45">
        <v>0</v>
      </c>
      <c r="J564" s="45">
        <v>0</v>
      </c>
      <c r="K564" s="45">
        <v>1420</v>
      </c>
      <c r="L564">
        <f t="shared" si="36"/>
        <v>0</v>
      </c>
    </row>
    <row r="565" spans="5:12">
      <c r="E565" s="42">
        <v>46257.166666666664</v>
      </c>
      <c r="F565" s="45">
        <v>0</v>
      </c>
      <c r="G565" s="45">
        <v>0</v>
      </c>
      <c r="H565" s="45">
        <v>0</v>
      </c>
      <c r="I565" s="45">
        <v>0</v>
      </c>
      <c r="J565" s="45">
        <v>0</v>
      </c>
      <c r="K565" s="45">
        <v>1420</v>
      </c>
      <c r="L565">
        <f t="shared" si="36"/>
        <v>0</v>
      </c>
    </row>
    <row r="566" spans="5:12">
      <c r="E566" s="42">
        <v>46257.208333333336</v>
      </c>
      <c r="F566" s="45">
        <v>0</v>
      </c>
      <c r="G566" s="45">
        <v>0</v>
      </c>
      <c r="H566" s="45">
        <v>0</v>
      </c>
      <c r="I566" s="45">
        <v>0</v>
      </c>
      <c r="J566" s="45">
        <v>0</v>
      </c>
      <c r="K566" s="45">
        <v>1420</v>
      </c>
      <c r="L566">
        <f t="shared" si="36"/>
        <v>0</v>
      </c>
    </row>
    <row r="567" spans="5:12">
      <c r="E567" s="42">
        <v>46257.25</v>
      </c>
      <c r="F567" s="45">
        <v>0</v>
      </c>
      <c r="G567" s="45">
        <v>0</v>
      </c>
      <c r="H567" s="45">
        <v>0</v>
      </c>
      <c r="I567" s="45">
        <v>0</v>
      </c>
      <c r="J567" s="45">
        <v>0</v>
      </c>
      <c r="K567" s="45">
        <v>1420</v>
      </c>
      <c r="L567">
        <f t="shared" si="36"/>
        <v>0</v>
      </c>
    </row>
    <row r="568" spans="5:12">
      <c r="E568" s="42">
        <v>46257.291666666664</v>
      </c>
      <c r="F568" s="45">
        <v>0</v>
      </c>
      <c r="G568" s="45">
        <v>0</v>
      </c>
      <c r="H568" s="45">
        <v>0</v>
      </c>
      <c r="I568" s="45">
        <v>0</v>
      </c>
      <c r="J568" s="45">
        <v>0</v>
      </c>
      <c r="K568" s="45">
        <v>1420</v>
      </c>
      <c r="L568">
        <f t="shared" si="36"/>
        <v>0</v>
      </c>
    </row>
    <row r="569" spans="5:12">
      <c r="E569" s="42">
        <v>46257.333333333336</v>
      </c>
      <c r="F569" s="45">
        <v>0</v>
      </c>
      <c r="G569" s="45">
        <v>0</v>
      </c>
      <c r="H569" s="45">
        <v>0</v>
      </c>
      <c r="I569" s="45">
        <v>0</v>
      </c>
      <c r="J569" s="45">
        <v>0</v>
      </c>
      <c r="K569" s="45">
        <v>1420</v>
      </c>
      <c r="L569">
        <f t="shared" si="36"/>
        <v>0</v>
      </c>
    </row>
    <row r="570" spans="5:12">
      <c r="E570" s="42">
        <v>46257.375</v>
      </c>
      <c r="F570" s="45">
        <v>0</v>
      </c>
      <c r="G570" s="45">
        <v>0</v>
      </c>
      <c r="H570" s="45">
        <v>0</v>
      </c>
      <c r="I570" s="45">
        <v>0</v>
      </c>
      <c r="J570" s="45">
        <v>0</v>
      </c>
      <c r="K570" s="45">
        <v>1420</v>
      </c>
      <c r="L570">
        <f t="shared" si="36"/>
        <v>0</v>
      </c>
    </row>
    <row r="571" spans="5:12">
      <c r="E571" s="42">
        <v>46257.416666666664</v>
      </c>
      <c r="F571" s="45">
        <v>0</v>
      </c>
      <c r="G571" s="45">
        <v>0</v>
      </c>
      <c r="H571" s="45">
        <v>0</v>
      </c>
      <c r="I571" s="45">
        <v>0</v>
      </c>
      <c r="J571" s="45">
        <v>0</v>
      </c>
      <c r="K571" s="45">
        <v>1420</v>
      </c>
      <c r="L571">
        <f t="shared" si="36"/>
        <v>0</v>
      </c>
    </row>
    <row r="572" spans="5:12">
      <c r="E572" s="42">
        <v>46257.458333333336</v>
      </c>
      <c r="F572" s="45">
        <v>0</v>
      </c>
      <c r="G572" s="45">
        <v>0</v>
      </c>
      <c r="H572" s="45">
        <v>0</v>
      </c>
      <c r="I572" s="45">
        <v>0</v>
      </c>
      <c r="J572" s="45">
        <v>0</v>
      </c>
      <c r="K572" s="45">
        <v>1420</v>
      </c>
      <c r="L572">
        <f t="shared" si="36"/>
        <v>0</v>
      </c>
    </row>
    <row r="573" spans="5:12">
      <c r="E573" s="42">
        <v>46257.5</v>
      </c>
      <c r="F573" s="45">
        <v>0</v>
      </c>
      <c r="G573" s="45">
        <v>0</v>
      </c>
      <c r="H573" s="45">
        <v>0</v>
      </c>
      <c r="I573" s="45">
        <v>0</v>
      </c>
      <c r="J573" s="45">
        <v>0</v>
      </c>
      <c r="K573" s="45">
        <v>1420</v>
      </c>
      <c r="L573">
        <f t="shared" si="36"/>
        <v>0</v>
      </c>
    </row>
    <row r="574" spans="5:12">
      <c r="E574" s="42">
        <v>46257.541666666664</v>
      </c>
      <c r="F574" s="45">
        <v>0</v>
      </c>
      <c r="G574" s="45">
        <v>0</v>
      </c>
      <c r="H574" s="45">
        <v>0</v>
      </c>
      <c r="I574" s="45">
        <v>0</v>
      </c>
      <c r="J574" s="45">
        <v>0</v>
      </c>
      <c r="K574" s="45">
        <v>1420</v>
      </c>
      <c r="L574">
        <f t="shared" si="36"/>
        <v>0</v>
      </c>
    </row>
    <row r="575" spans="5:12">
      <c r="E575" s="42">
        <v>46257.583333333336</v>
      </c>
      <c r="F575" s="45">
        <v>0</v>
      </c>
      <c r="G575" s="45">
        <v>0</v>
      </c>
      <c r="H575" s="45">
        <v>0</v>
      </c>
      <c r="I575" s="45">
        <v>0</v>
      </c>
      <c r="J575" s="45">
        <v>0</v>
      </c>
      <c r="K575" s="45">
        <v>1420</v>
      </c>
      <c r="L575">
        <f t="shared" si="36"/>
        <v>0</v>
      </c>
    </row>
    <row r="576" spans="5:12">
      <c r="E576" s="42">
        <v>46257.625</v>
      </c>
      <c r="F576" s="45">
        <v>0</v>
      </c>
      <c r="G576" s="45">
        <v>0</v>
      </c>
      <c r="H576" s="45">
        <v>0</v>
      </c>
      <c r="I576" s="45">
        <v>0</v>
      </c>
      <c r="J576" s="45">
        <v>0</v>
      </c>
      <c r="K576" s="45">
        <v>1420</v>
      </c>
      <c r="L576">
        <f t="shared" si="36"/>
        <v>0</v>
      </c>
    </row>
    <row r="577" spans="5:12">
      <c r="E577" s="42">
        <v>46257.666666666664</v>
      </c>
      <c r="F577" s="45">
        <v>0</v>
      </c>
      <c r="G577" s="45">
        <v>0</v>
      </c>
      <c r="H577" s="45">
        <v>0</v>
      </c>
      <c r="I577" s="45">
        <v>0</v>
      </c>
      <c r="J577" s="45">
        <v>0</v>
      </c>
      <c r="K577" s="45">
        <v>1420</v>
      </c>
      <c r="L577">
        <f t="shared" si="36"/>
        <v>0</v>
      </c>
    </row>
    <row r="578" spans="5:12">
      <c r="E578" s="42">
        <v>46257.708333333336</v>
      </c>
      <c r="F578" s="45">
        <v>0</v>
      </c>
      <c r="G578" s="45">
        <v>0</v>
      </c>
      <c r="H578" s="45">
        <v>0</v>
      </c>
      <c r="I578" s="45">
        <v>0</v>
      </c>
      <c r="J578" s="45">
        <v>0</v>
      </c>
      <c r="K578" s="45">
        <v>1420</v>
      </c>
      <c r="L578">
        <f t="shared" si="36"/>
        <v>0</v>
      </c>
    </row>
    <row r="579" spans="5:12">
      <c r="E579" s="42">
        <v>46257.75</v>
      </c>
      <c r="F579" s="45">
        <v>0</v>
      </c>
      <c r="G579" s="45">
        <v>0</v>
      </c>
      <c r="H579" s="45">
        <v>0</v>
      </c>
      <c r="I579" s="45">
        <v>0</v>
      </c>
      <c r="J579" s="45">
        <v>0</v>
      </c>
      <c r="K579" s="45">
        <v>1420</v>
      </c>
      <c r="L579">
        <f t="shared" ref="L579:L642" si="37">IF(K579&gt;10000,K579-10000,0)</f>
        <v>0</v>
      </c>
    </row>
    <row r="580" spans="5:12">
      <c r="E580" s="42">
        <v>46257.791666666664</v>
      </c>
      <c r="F580" s="45">
        <v>0</v>
      </c>
      <c r="G580" s="45">
        <v>0</v>
      </c>
      <c r="H580" s="45">
        <v>0</v>
      </c>
      <c r="I580" s="45">
        <v>0</v>
      </c>
      <c r="J580" s="45">
        <v>0</v>
      </c>
      <c r="K580" s="45">
        <v>1420</v>
      </c>
      <c r="L580">
        <f t="shared" si="37"/>
        <v>0</v>
      </c>
    </row>
    <row r="581" spans="5:12">
      <c r="E581" s="42">
        <v>46257.833333333336</v>
      </c>
      <c r="F581" s="45">
        <v>0</v>
      </c>
      <c r="G581" s="45">
        <v>0</v>
      </c>
      <c r="H581" s="45">
        <v>0</v>
      </c>
      <c r="I581" s="45">
        <v>0</v>
      </c>
      <c r="J581" s="45">
        <v>0</v>
      </c>
      <c r="K581" s="45">
        <v>1420</v>
      </c>
      <c r="L581">
        <f t="shared" si="37"/>
        <v>0</v>
      </c>
    </row>
    <row r="582" spans="5:12">
      <c r="E582" s="42">
        <v>46257.875</v>
      </c>
      <c r="F582" s="45">
        <v>0</v>
      </c>
      <c r="G582" s="45">
        <v>0</v>
      </c>
      <c r="H582" s="45">
        <v>0</v>
      </c>
      <c r="I582" s="45">
        <v>0</v>
      </c>
      <c r="J582" s="45">
        <v>0</v>
      </c>
      <c r="K582" s="45">
        <v>1420</v>
      </c>
      <c r="L582">
        <f t="shared" si="37"/>
        <v>0</v>
      </c>
    </row>
    <row r="583" spans="5:12">
      <c r="E583" s="42">
        <v>46257.916666666664</v>
      </c>
      <c r="F583" s="45">
        <v>0</v>
      </c>
      <c r="G583" s="45">
        <v>0</v>
      </c>
      <c r="H583" s="45">
        <v>0</v>
      </c>
      <c r="I583" s="45">
        <v>0</v>
      </c>
      <c r="J583" s="45">
        <v>0</v>
      </c>
      <c r="K583" s="45">
        <v>1420</v>
      </c>
      <c r="L583">
        <f t="shared" si="37"/>
        <v>0</v>
      </c>
    </row>
    <row r="584" spans="5:12">
      <c r="E584" s="42">
        <v>46257.958333333336</v>
      </c>
      <c r="F584" s="45">
        <v>0</v>
      </c>
      <c r="G584" s="45">
        <v>0</v>
      </c>
      <c r="H584" s="45">
        <v>0</v>
      </c>
      <c r="I584" s="45">
        <v>0</v>
      </c>
      <c r="J584" s="45">
        <v>0</v>
      </c>
      <c r="K584" s="45">
        <v>1420</v>
      </c>
      <c r="L584">
        <f t="shared" si="37"/>
        <v>0</v>
      </c>
    </row>
    <row r="585" spans="5:12">
      <c r="E585" s="42">
        <v>46258</v>
      </c>
      <c r="F585" s="45">
        <v>0</v>
      </c>
      <c r="G585" s="45">
        <v>0</v>
      </c>
      <c r="H585" s="45">
        <v>0</v>
      </c>
      <c r="I585" s="45">
        <v>0</v>
      </c>
      <c r="J585" s="45">
        <v>0</v>
      </c>
      <c r="K585" s="45">
        <v>1420</v>
      </c>
      <c r="L585">
        <f t="shared" si="37"/>
        <v>0</v>
      </c>
    </row>
    <row r="586" spans="5:12">
      <c r="E586" s="42">
        <v>46258.041666666664</v>
      </c>
      <c r="F586" s="45">
        <v>0</v>
      </c>
      <c r="G586" s="45">
        <v>0</v>
      </c>
      <c r="H586" s="45">
        <v>0</v>
      </c>
      <c r="I586" s="45">
        <v>0</v>
      </c>
      <c r="J586" s="45">
        <v>0</v>
      </c>
      <c r="K586" s="45">
        <v>1420</v>
      </c>
      <c r="L586">
        <f t="shared" si="37"/>
        <v>0</v>
      </c>
    </row>
    <row r="587" spans="5:12">
      <c r="E587" s="42">
        <v>46258.083333333336</v>
      </c>
      <c r="F587" s="45">
        <v>0</v>
      </c>
      <c r="G587" s="45">
        <v>0</v>
      </c>
      <c r="H587" s="45">
        <v>0</v>
      </c>
      <c r="I587" s="45">
        <v>0</v>
      </c>
      <c r="J587" s="45">
        <v>0</v>
      </c>
      <c r="K587" s="45">
        <v>1420</v>
      </c>
      <c r="L587">
        <f t="shared" si="37"/>
        <v>0</v>
      </c>
    </row>
    <row r="588" spans="5:12">
      <c r="E588" s="42">
        <v>46258.125</v>
      </c>
      <c r="F588" s="45">
        <v>0</v>
      </c>
      <c r="G588" s="45">
        <v>0</v>
      </c>
      <c r="H588" s="45">
        <v>0</v>
      </c>
      <c r="I588" s="45">
        <v>0</v>
      </c>
      <c r="J588" s="45">
        <v>0</v>
      </c>
      <c r="K588" s="45">
        <v>1420</v>
      </c>
      <c r="L588">
        <f t="shared" si="37"/>
        <v>0</v>
      </c>
    </row>
    <row r="589" spans="5:12">
      <c r="E589" s="42">
        <v>46258.166666666664</v>
      </c>
      <c r="F589" s="45">
        <v>0</v>
      </c>
      <c r="G589" s="45">
        <v>0</v>
      </c>
      <c r="H589" s="45">
        <v>0</v>
      </c>
      <c r="I589" s="45">
        <v>0</v>
      </c>
      <c r="J589" s="45">
        <v>0</v>
      </c>
      <c r="K589" s="45">
        <v>1420</v>
      </c>
      <c r="L589">
        <f t="shared" si="37"/>
        <v>0</v>
      </c>
    </row>
    <row r="590" spans="5:12">
      <c r="E590" s="42">
        <v>46258.208333333336</v>
      </c>
      <c r="F590" s="45">
        <v>0</v>
      </c>
      <c r="G590" s="45">
        <v>0</v>
      </c>
      <c r="H590" s="45">
        <v>0</v>
      </c>
      <c r="I590" s="45">
        <v>0</v>
      </c>
      <c r="J590" s="45">
        <v>0</v>
      </c>
      <c r="K590" s="45">
        <v>1420</v>
      </c>
      <c r="L590">
        <f t="shared" si="37"/>
        <v>0</v>
      </c>
    </row>
    <row r="591" spans="5:12">
      <c r="E591" s="42">
        <v>46258.25</v>
      </c>
      <c r="F591" s="45">
        <v>0</v>
      </c>
      <c r="G591" s="45">
        <v>0</v>
      </c>
      <c r="H591" s="45">
        <v>0</v>
      </c>
      <c r="I591" s="45">
        <v>0</v>
      </c>
      <c r="J591" s="45">
        <v>0</v>
      </c>
      <c r="K591" s="45">
        <v>1420</v>
      </c>
      <c r="L591">
        <f t="shared" si="37"/>
        <v>0</v>
      </c>
    </row>
    <row r="592" spans="5:12">
      <c r="E592" s="42">
        <v>46258.291666666664</v>
      </c>
      <c r="F592" s="45">
        <v>0</v>
      </c>
      <c r="G592" s="45">
        <v>0</v>
      </c>
      <c r="H592" s="45">
        <v>0</v>
      </c>
      <c r="I592" s="45">
        <v>0</v>
      </c>
      <c r="J592" s="45">
        <v>0</v>
      </c>
      <c r="K592" s="45">
        <v>1420</v>
      </c>
      <c r="L592">
        <f t="shared" si="37"/>
        <v>0</v>
      </c>
    </row>
    <row r="593" spans="5:12">
      <c r="E593" s="42">
        <v>46258.333333333336</v>
      </c>
      <c r="F593" s="45">
        <v>0</v>
      </c>
      <c r="G593" s="45">
        <v>0</v>
      </c>
      <c r="H593" s="45">
        <v>0</v>
      </c>
      <c r="I593" s="45">
        <v>0</v>
      </c>
      <c r="J593" s="45">
        <v>0</v>
      </c>
      <c r="K593" s="45">
        <v>1420</v>
      </c>
      <c r="L593">
        <f t="shared" si="37"/>
        <v>0</v>
      </c>
    </row>
    <row r="594" spans="5:12">
      <c r="E594" s="42">
        <v>46258.375</v>
      </c>
      <c r="F594" s="45">
        <v>0</v>
      </c>
      <c r="G594" s="45">
        <v>0</v>
      </c>
      <c r="H594" s="45">
        <v>0</v>
      </c>
      <c r="I594" s="45">
        <v>0</v>
      </c>
      <c r="J594" s="45">
        <v>0</v>
      </c>
      <c r="K594" s="45">
        <v>1420</v>
      </c>
      <c r="L594">
        <f t="shared" si="37"/>
        <v>0</v>
      </c>
    </row>
    <row r="595" spans="5:12">
      <c r="E595" s="42">
        <v>46258.416666666664</v>
      </c>
      <c r="F595" s="45">
        <v>0</v>
      </c>
      <c r="G595" s="45">
        <v>0</v>
      </c>
      <c r="H595" s="45">
        <v>0</v>
      </c>
      <c r="I595" s="45">
        <v>0</v>
      </c>
      <c r="J595" s="45">
        <v>0</v>
      </c>
      <c r="K595" s="45">
        <v>1420</v>
      </c>
      <c r="L595">
        <f t="shared" si="37"/>
        <v>0</v>
      </c>
    </row>
    <row r="596" spans="5:12">
      <c r="E596" s="42">
        <v>46258.458333333336</v>
      </c>
      <c r="F596" s="45">
        <v>0</v>
      </c>
      <c r="G596" s="45">
        <v>0</v>
      </c>
      <c r="H596" s="45">
        <v>0</v>
      </c>
      <c r="I596" s="45">
        <v>0</v>
      </c>
      <c r="J596" s="45">
        <v>0</v>
      </c>
      <c r="K596" s="45">
        <v>1420</v>
      </c>
      <c r="L596">
        <f t="shared" si="37"/>
        <v>0</v>
      </c>
    </row>
    <row r="597" spans="5:12">
      <c r="E597" s="42">
        <v>46258.5</v>
      </c>
      <c r="F597" s="45">
        <v>0</v>
      </c>
      <c r="G597" s="45">
        <v>0</v>
      </c>
      <c r="H597" s="45">
        <v>0</v>
      </c>
      <c r="I597" s="45">
        <v>0</v>
      </c>
      <c r="J597" s="45">
        <v>0</v>
      </c>
      <c r="K597" s="45">
        <v>1420</v>
      </c>
      <c r="L597">
        <f t="shared" si="37"/>
        <v>0</v>
      </c>
    </row>
    <row r="598" spans="5:12">
      <c r="E598" s="42">
        <v>46258.541666666664</v>
      </c>
      <c r="F598" s="45">
        <v>0</v>
      </c>
      <c r="G598" s="45">
        <v>0</v>
      </c>
      <c r="H598" s="45">
        <v>0</v>
      </c>
      <c r="I598" s="45">
        <v>0</v>
      </c>
      <c r="J598" s="45">
        <v>0</v>
      </c>
      <c r="K598" s="45">
        <v>1420</v>
      </c>
      <c r="L598">
        <f t="shared" si="37"/>
        <v>0</v>
      </c>
    </row>
    <row r="599" spans="5:12">
      <c r="E599" s="42">
        <v>46258.583333333336</v>
      </c>
      <c r="F599" s="45">
        <v>0</v>
      </c>
      <c r="G599" s="45">
        <v>0</v>
      </c>
      <c r="H599" s="45">
        <v>0</v>
      </c>
      <c r="I599" s="45">
        <v>0</v>
      </c>
      <c r="J599" s="45">
        <v>0</v>
      </c>
      <c r="K599" s="45">
        <v>1420</v>
      </c>
      <c r="L599">
        <f t="shared" si="37"/>
        <v>0</v>
      </c>
    </row>
    <row r="600" spans="5:12">
      <c r="E600" s="42">
        <v>46258.625</v>
      </c>
      <c r="F600" s="45">
        <v>0</v>
      </c>
      <c r="G600" s="45">
        <v>0</v>
      </c>
      <c r="H600" s="45">
        <v>0</v>
      </c>
      <c r="I600" s="45">
        <v>0</v>
      </c>
      <c r="J600" s="45">
        <v>0</v>
      </c>
      <c r="K600" s="45">
        <v>1420</v>
      </c>
      <c r="L600">
        <f t="shared" si="37"/>
        <v>0</v>
      </c>
    </row>
    <row r="601" spans="5:12">
      <c r="E601" s="42">
        <v>46258.666666666664</v>
      </c>
      <c r="F601" s="45">
        <v>0</v>
      </c>
      <c r="G601" s="45">
        <v>0</v>
      </c>
      <c r="H601" s="45">
        <v>0</v>
      </c>
      <c r="I601" s="45">
        <v>0</v>
      </c>
      <c r="J601" s="45">
        <v>0</v>
      </c>
      <c r="K601" s="45">
        <v>1420</v>
      </c>
      <c r="L601">
        <f t="shared" si="37"/>
        <v>0</v>
      </c>
    </row>
    <row r="602" spans="5:12">
      <c r="E602" s="42">
        <v>46258.708333333336</v>
      </c>
      <c r="F602" s="45">
        <v>0</v>
      </c>
      <c r="G602" s="45">
        <v>0</v>
      </c>
      <c r="H602" s="45">
        <v>0</v>
      </c>
      <c r="I602" s="45">
        <v>0</v>
      </c>
      <c r="J602" s="45">
        <v>0</v>
      </c>
      <c r="K602" s="45">
        <v>1420</v>
      </c>
      <c r="L602">
        <f t="shared" si="37"/>
        <v>0</v>
      </c>
    </row>
    <row r="603" spans="5:12">
      <c r="E603" s="42">
        <v>46258.75</v>
      </c>
      <c r="F603" s="45">
        <v>0</v>
      </c>
      <c r="G603" s="45">
        <v>0</v>
      </c>
      <c r="H603" s="45">
        <v>0</v>
      </c>
      <c r="I603" s="45">
        <v>0</v>
      </c>
      <c r="J603" s="45">
        <v>0</v>
      </c>
      <c r="K603" s="45">
        <v>1420</v>
      </c>
      <c r="L603">
        <f t="shared" si="37"/>
        <v>0</v>
      </c>
    </row>
    <row r="604" spans="5:12">
      <c r="E604" s="42">
        <v>46258.791666666664</v>
      </c>
      <c r="F604" s="45">
        <v>0</v>
      </c>
      <c r="G604" s="45">
        <v>0</v>
      </c>
      <c r="H604" s="45">
        <v>0</v>
      </c>
      <c r="I604" s="45">
        <v>0</v>
      </c>
      <c r="J604" s="45">
        <v>0</v>
      </c>
      <c r="K604" s="45">
        <v>1420</v>
      </c>
      <c r="L604">
        <f t="shared" si="37"/>
        <v>0</v>
      </c>
    </row>
    <row r="605" spans="5:12">
      <c r="E605" s="42">
        <v>46258.833333333336</v>
      </c>
      <c r="F605" s="45">
        <v>0</v>
      </c>
      <c r="G605" s="45">
        <v>0</v>
      </c>
      <c r="H605" s="45">
        <v>0</v>
      </c>
      <c r="I605" s="45">
        <v>0</v>
      </c>
      <c r="J605" s="45">
        <v>0</v>
      </c>
      <c r="K605" s="45">
        <v>1420</v>
      </c>
      <c r="L605">
        <f t="shared" si="37"/>
        <v>0</v>
      </c>
    </row>
    <row r="606" spans="5:12">
      <c r="E606" s="42">
        <v>46258.875</v>
      </c>
      <c r="F606" s="45">
        <v>0</v>
      </c>
      <c r="G606" s="45">
        <v>0</v>
      </c>
      <c r="H606" s="45">
        <v>0</v>
      </c>
      <c r="I606" s="45">
        <v>0</v>
      </c>
      <c r="J606" s="45">
        <v>0</v>
      </c>
      <c r="K606" s="45">
        <v>1420</v>
      </c>
      <c r="L606">
        <f t="shared" si="37"/>
        <v>0</v>
      </c>
    </row>
    <row r="607" spans="5:12">
      <c r="E607" s="42">
        <v>46258.916666666664</v>
      </c>
      <c r="F607" s="45">
        <v>0</v>
      </c>
      <c r="G607" s="45">
        <v>0</v>
      </c>
      <c r="H607" s="45">
        <v>0</v>
      </c>
      <c r="I607" s="45">
        <v>0</v>
      </c>
      <c r="J607" s="45">
        <v>0</v>
      </c>
      <c r="K607" s="45">
        <v>1420</v>
      </c>
      <c r="L607">
        <f t="shared" si="37"/>
        <v>0</v>
      </c>
    </row>
    <row r="608" spans="5:12">
      <c r="E608" s="42">
        <v>46258.958333333336</v>
      </c>
      <c r="F608" s="45">
        <v>0</v>
      </c>
      <c r="G608" s="45">
        <v>0</v>
      </c>
      <c r="H608" s="45">
        <v>0</v>
      </c>
      <c r="I608" s="45">
        <v>0</v>
      </c>
      <c r="J608" s="45">
        <v>0</v>
      </c>
      <c r="K608" s="45">
        <v>1420</v>
      </c>
      <c r="L608">
        <f t="shared" si="37"/>
        <v>0</v>
      </c>
    </row>
    <row r="609" spans="5:12">
      <c r="E609" s="42">
        <v>46259</v>
      </c>
      <c r="F609" s="45">
        <v>0</v>
      </c>
      <c r="G609" s="45">
        <v>0</v>
      </c>
      <c r="H609" s="45">
        <v>0</v>
      </c>
      <c r="I609" s="45">
        <v>0</v>
      </c>
      <c r="J609" s="45">
        <v>0</v>
      </c>
      <c r="K609" s="45">
        <v>1420</v>
      </c>
      <c r="L609">
        <f t="shared" si="37"/>
        <v>0</v>
      </c>
    </row>
    <row r="610" spans="5:12">
      <c r="E610" s="42">
        <v>46259.041666666664</v>
      </c>
      <c r="F610" s="45">
        <v>0</v>
      </c>
      <c r="G610" s="45">
        <v>0</v>
      </c>
      <c r="H610" s="45">
        <v>0</v>
      </c>
      <c r="I610" s="45">
        <v>0</v>
      </c>
      <c r="J610" s="45">
        <v>0</v>
      </c>
      <c r="K610" s="45">
        <v>1420</v>
      </c>
      <c r="L610">
        <f t="shared" si="37"/>
        <v>0</v>
      </c>
    </row>
    <row r="611" spans="5:12">
      <c r="E611" s="42">
        <v>46259.083333333336</v>
      </c>
      <c r="F611" s="45">
        <v>0</v>
      </c>
      <c r="G611" s="45">
        <v>0</v>
      </c>
      <c r="H611" s="45">
        <v>0</v>
      </c>
      <c r="I611" s="45">
        <v>0</v>
      </c>
      <c r="J611" s="45">
        <v>0</v>
      </c>
      <c r="K611" s="45">
        <v>1420</v>
      </c>
      <c r="L611">
        <f t="shared" si="37"/>
        <v>0</v>
      </c>
    </row>
    <row r="612" spans="5:12">
      <c r="E612" s="42">
        <v>46259.125</v>
      </c>
      <c r="F612" s="45">
        <v>0</v>
      </c>
      <c r="G612" s="45">
        <v>0</v>
      </c>
      <c r="H612" s="45">
        <v>0</v>
      </c>
      <c r="I612" s="45">
        <v>0</v>
      </c>
      <c r="J612" s="45">
        <v>0</v>
      </c>
      <c r="K612" s="45">
        <v>1420</v>
      </c>
      <c r="L612">
        <f t="shared" si="37"/>
        <v>0</v>
      </c>
    </row>
    <row r="613" spans="5:12">
      <c r="E613" s="42">
        <v>46259.166666666664</v>
      </c>
      <c r="F613" s="45">
        <v>0</v>
      </c>
      <c r="G613" s="45">
        <v>0</v>
      </c>
      <c r="H613" s="45">
        <v>0</v>
      </c>
      <c r="I613" s="45">
        <v>0</v>
      </c>
      <c r="J613" s="45">
        <v>0</v>
      </c>
      <c r="K613" s="45">
        <v>1420</v>
      </c>
      <c r="L613">
        <f t="shared" si="37"/>
        <v>0</v>
      </c>
    </row>
    <row r="614" spans="5:12">
      <c r="E614" s="42">
        <v>46259.208333333336</v>
      </c>
      <c r="F614" s="45">
        <v>0</v>
      </c>
      <c r="G614" s="45">
        <v>0</v>
      </c>
      <c r="H614" s="45">
        <v>0</v>
      </c>
      <c r="I614" s="45">
        <v>0</v>
      </c>
      <c r="J614" s="45">
        <v>0</v>
      </c>
      <c r="K614" s="45">
        <v>1420</v>
      </c>
      <c r="L614">
        <f t="shared" si="37"/>
        <v>0</v>
      </c>
    </row>
    <row r="615" spans="5:12">
      <c r="E615" s="42">
        <v>46259.25</v>
      </c>
      <c r="F615" s="45">
        <v>0</v>
      </c>
      <c r="G615" s="45">
        <v>0</v>
      </c>
      <c r="H615" s="45">
        <v>0</v>
      </c>
      <c r="I615" s="45">
        <v>0</v>
      </c>
      <c r="J615" s="45">
        <v>0</v>
      </c>
      <c r="K615" s="45">
        <v>1420</v>
      </c>
      <c r="L615">
        <f t="shared" si="37"/>
        <v>0</v>
      </c>
    </row>
    <row r="616" spans="5:12">
      <c r="E616" s="42">
        <v>46259.291666666664</v>
      </c>
      <c r="F616" s="45">
        <v>0</v>
      </c>
      <c r="G616" s="45">
        <v>0</v>
      </c>
      <c r="H616" s="45">
        <v>0</v>
      </c>
      <c r="I616" s="45">
        <v>0</v>
      </c>
      <c r="J616" s="45">
        <v>0</v>
      </c>
      <c r="K616" s="45">
        <v>1420</v>
      </c>
      <c r="L616">
        <f t="shared" si="37"/>
        <v>0</v>
      </c>
    </row>
    <row r="617" spans="5:12">
      <c r="E617" s="42">
        <v>46259.333333333336</v>
      </c>
      <c r="F617" s="45">
        <v>0</v>
      </c>
      <c r="G617" s="45">
        <v>0</v>
      </c>
      <c r="H617" s="45">
        <v>0</v>
      </c>
      <c r="I617" s="45">
        <v>0</v>
      </c>
      <c r="J617" s="45">
        <v>0</v>
      </c>
      <c r="K617" s="45">
        <v>1420</v>
      </c>
      <c r="L617">
        <f t="shared" si="37"/>
        <v>0</v>
      </c>
    </row>
    <row r="618" spans="5:12">
      <c r="E618" s="42">
        <v>46259.375</v>
      </c>
      <c r="F618" s="45">
        <v>0</v>
      </c>
      <c r="G618" s="45">
        <v>0</v>
      </c>
      <c r="H618" s="45">
        <v>0</v>
      </c>
      <c r="I618" s="45">
        <v>0</v>
      </c>
      <c r="J618" s="45">
        <v>0</v>
      </c>
      <c r="K618" s="45">
        <v>1420</v>
      </c>
      <c r="L618">
        <f t="shared" si="37"/>
        <v>0</v>
      </c>
    </row>
    <row r="619" spans="5:12">
      <c r="E619" s="42">
        <v>46259.416666666664</v>
      </c>
      <c r="F619" s="45">
        <v>0</v>
      </c>
      <c r="G619" s="45">
        <v>0</v>
      </c>
      <c r="H619" s="45">
        <v>0</v>
      </c>
      <c r="I619" s="45">
        <v>0</v>
      </c>
      <c r="J619" s="45">
        <v>0</v>
      </c>
      <c r="K619" s="45">
        <v>1420</v>
      </c>
      <c r="L619">
        <f t="shared" si="37"/>
        <v>0</v>
      </c>
    </row>
    <row r="620" spans="5:12">
      <c r="E620" s="42">
        <v>46259.458333333336</v>
      </c>
      <c r="F620" s="45">
        <v>0</v>
      </c>
      <c r="G620" s="45">
        <v>0</v>
      </c>
      <c r="H620" s="45">
        <v>0</v>
      </c>
      <c r="I620" s="45">
        <v>0</v>
      </c>
      <c r="J620" s="45">
        <v>0</v>
      </c>
      <c r="K620" s="45">
        <v>1420</v>
      </c>
      <c r="L620">
        <f t="shared" si="37"/>
        <v>0</v>
      </c>
    </row>
    <row r="621" spans="5:12">
      <c r="E621" s="42">
        <v>46259.5</v>
      </c>
      <c r="F621" s="45">
        <v>0</v>
      </c>
      <c r="G621" s="45">
        <v>0</v>
      </c>
      <c r="H621" s="45">
        <v>0</v>
      </c>
      <c r="I621" s="45">
        <v>0</v>
      </c>
      <c r="J621" s="45">
        <v>0</v>
      </c>
      <c r="K621" s="45">
        <v>1420</v>
      </c>
      <c r="L621">
        <f t="shared" si="37"/>
        <v>0</v>
      </c>
    </row>
    <row r="622" spans="5:12">
      <c r="E622" s="42">
        <v>46259.541666666664</v>
      </c>
      <c r="F622" s="45">
        <v>0</v>
      </c>
      <c r="G622" s="45">
        <v>0</v>
      </c>
      <c r="H622" s="45">
        <v>0</v>
      </c>
      <c r="I622" s="45">
        <v>0</v>
      </c>
      <c r="J622" s="45">
        <v>0</v>
      </c>
      <c r="K622" s="45">
        <v>1420</v>
      </c>
      <c r="L622">
        <f t="shared" si="37"/>
        <v>0</v>
      </c>
    </row>
    <row r="623" spans="5:12">
      <c r="E623" s="42">
        <v>46259.583333333336</v>
      </c>
      <c r="F623" s="45">
        <v>0</v>
      </c>
      <c r="G623" s="45">
        <v>0</v>
      </c>
      <c r="H623" s="45">
        <v>0</v>
      </c>
      <c r="I623" s="45">
        <v>0</v>
      </c>
      <c r="J623" s="45">
        <v>0</v>
      </c>
      <c r="K623" s="45">
        <v>1420</v>
      </c>
      <c r="L623">
        <f t="shared" si="37"/>
        <v>0</v>
      </c>
    </row>
    <row r="624" spans="5:12">
      <c r="E624" s="42">
        <v>46259.625</v>
      </c>
      <c r="F624" s="45">
        <v>0</v>
      </c>
      <c r="G624" s="45">
        <v>0</v>
      </c>
      <c r="H624" s="45">
        <v>0</v>
      </c>
      <c r="I624" s="45">
        <v>0</v>
      </c>
      <c r="J624" s="45">
        <v>0</v>
      </c>
      <c r="K624" s="45">
        <v>1420</v>
      </c>
      <c r="L624">
        <f t="shared" si="37"/>
        <v>0</v>
      </c>
    </row>
    <row r="625" spans="5:12">
      <c r="E625" s="42">
        <v>46259.666666666664</v>
      </c>
      <c r="F625" s="45">
        <v>0</v>
      </c>
      <c r="G625" s="45">
        <v>0</v>
      </c>
      <c r="H625" s="45">
        <v>0</v>
      </c>
      <c r="I625" s="45">
        <v>0</v>
      </c>
      <c r="J625" s="45">
        <v>0</v>
      </c>
      <c r="K625" s="45">
        <v>1420</v>
      </c>
      <c r="L625">
        <f t="shared" si="37"/>
        <v>0</v>
      </c>
    </row>
    <row r="626" spans="5:12">
      <c r="E626" s="42">
        <v>46259.708333333336</v>
      </c>
      <c r="F626" s="45">
        <v>0</v>
      </c>
      <c r="G626" s="45">
        <v>0</v>
      </c>
      <c r="H626" s="45">
        <v>0</v>
      </c>
      <c r="I626" s="45">
        <v>0</v>
      </c>
      <c r="J626" s="45">
        <v>0</v>
      </c>
      <c r="K626" s="45">
        <v>1420</v>
      </c>
      <c r="L626">
        <f t="shared" si="37"/>
        <v>0</v>
      </c>
    </row>
    <row r="627" spans="5:12">
      <c r="E627" s="42">
        <v>46259.75</v>
      </c>
      <c r="F627" s="45">
        <v>0</v>
      </c>
      <c r="G627" s="45">
        <v>0</v>
      </c>
      <c r="H627" s="45">
        <v>0</v>
      </c>
      <c r="I627" s="45">
        <v>0</v>
      </c>
      <c r="J627" s="45">
        <v>0</v>
      </c>
      <c r="K627" s="45">
        <v>1420</v>
      </c>
      <c r="L627">
        <f t="shared" si="37"/>
        <v>0</v>
      </c>
    </row>
    <row r="628" spans="5:12">
      <c r="E628" s="42">
        <v>46259.791666666664</v>
      </c>
      <c r="F628" s="45">
        <v>0</v>
      </c>
      <c r="G628" s="45">
        <v>0</v>
      </c>
      <c r="H628" s="45">
        <v>0</v>
      </c>
      <c r="I628" s="45">
        <v>0</v>
      </c>
      <c r="J628" s="45">
        <v>0</v>
      </c>
      <c r="K628" s="45">
        <v>1420</v>
      </c>
      <c r="L628">
        <f t="shared" si="37"/>
        <v>0</v>
      </c>
    </row>
    <row r="629" spans="5:12">
      <c r="E629" s="42">
        <v>46259.833333333336</v>
      </c>
      <c r="F629" s="45">
        <v>0</v>
      </c>
      <c r="G629" s="45">
        <v>0</v>
      </c>
      <c r="H629" s="45">
        <v>0</v>
      </c>
      <c r="I629" s="45">
        <v>0</v>
      </c>
      <c r="J629" s="45">
        <v>0</v>
      </c>
      <c r="K629" s="45">
        <v>1420</v>
      </c>
      <c r="L629">
        <f t="shared" si="37"/>
        <v>0</v>
      </c>
    </row>
    <row r="630" spans="5:12">
      <c r="E630" s="42">
        <v>46259.875</v>
      </c>
      <c r="F630" s="45">
        <v>0</v>
      </c>
      <c r="G630" s="45">
        <v>0</v>
      </c>
      <c r="H630" s="45">
        <v>0</v>
      </c>
      <c r="I630" s="45">
        <v>0</v>
      </c>
      <c r="J630" s="45">
        <v>0</v>
      </c>
      <c r="K630" s="45">
        <v>1420</v>
      </c>
      <c r="L630">
        <f t="shared" si="37"/>
        <v>0</v>
      </c>
    </row>
    <row r="631" spans="5:12">
      <c r="E631" s="42">
        <v>46259.916666666664</v>
      </c>
      <c r="F631" s="45">
        <v>0</v>
      </c>
      <c r="G631" s="45">
        <v>0</v>
      </c>
      <c r="H631" s="45">
        <v>0</v>
      </c>
      <c r="I631" s="45">
        <v>0</v>
      </c>
      <c r="J631" s="45">
        <v>0</v>
      </c>
      <c r="K631" s="45">
        <v>1420</v>
      </c>
      <c r="L631">
        <f t="shared" si="37"/>
        <v>0</v>
      </c>
    </row>
    <row r="632" spans="5:12">
      <c r="E632" s="42">
        <v>46259.958333333336</v>
      </c>
      <c r="F632" s="45">
        <v>0</v>
      </c>
      <c r="G632" s="45">
        <v>0</v>
      </c>
      <c r="H632" s="45">
        <v>0</v>
      </c>
      <c r="I632" s="45">
        <v>0</v>
      </c>
      <c r="J632" s="45">
        <v>0</v>
      </c>
      <c r="K632" s="45">
        <v>1420</v>
      </c>
      <c r="L632">
        <f t="shared" si="37"/>
        <v>0</v>
      </c>
    </row>
    <row r="633" spans="5:12">
      <c r="E633" s="42">
        <v>46260</v>
      </c>
      <c r="F633" s="45">
        <v>0</v>
      </c>
      <c r="G633" s="45">
        <v>0</v>
      </c>
      <c r="H633" s="45">
        <v>0</v>
      </c>
      <c r="I633" s="45">
        <v>0</v>
      </c>
      <c r="J633" s="45">
        <v>0</v>
      </c>
      <c r="K633" s="45">
        <v>1420</v>
      </c>
      <c r="L633">
        <f t="shared" si="37"/>
        <v>0</v>
      </c>
    </row>
    <row r="634" spans="5:12">
      <c r="E634" s="42">
        <v>46260.041666666664</v>
      </c>
      <c r="F634" s="45">
        <v>0</v>
      </c>
      <c r="G634" s="45">
        <v>0</v>
      </c>
      <c r="H634" s="45">
        <v>0</v>
      </c>
      <c r="I634" s="45">
        <v>0</v>
      </c>
      <c r="J634" s="45">
        <v>0</v>
      </c>
      <c r="K634" s="45">
        <v>1420</v>
      </c>
      <c r="L634">
        <f t="shared" si="37"/>
        <v>0</v>
      </c>
    </row>
    <row r="635" spans="5:12">
      <c r="E635" s="42">
        <v>46260.083333333336</v>
      </c>
      <c r="F635" s="45">
        <v>0</v>
      </c>
      <c r="G635" s="45">
        <v>0</v>
      </c>
      <c r="H635" s="45">
        <v>0</v>
      </c>
      <c r="I635" s="45">
        <v>0</v>
      </c>
      <c r="J635" s="45">
        <v>0</v>
      </c>
      <c r="K635" s="45">
        <v>1420</v>
      </c>
      <c r="L635">
        <f t="shared" si="37"/>
        <v>0</v>
      </c>
    </row>
    <row r="636" spans="5:12">
      <c r="E636" s="42">
        <v>46260.125</v>
      </c>
      <c r="F636" s="45">
        <v>0</v>
      </c>
      <c r="G636" s="45">
        <v>0</v>
      </c>
      <c r="H636" s="45">
        <v>0</v>
      </c>
      <c r="I636" s="45">
        <v>0</v>
      </c>
      <c r="J636" s="45">
        <v>0</v>
      </c>
      <c r="K636" s="45">
        <v>1420</v>
      </c>
      <c r="L636">
        <f t="shared" si="37"/>
        <v>0</v>
      </c>
    </row>
    <row r="637" spans="5:12">
      <c r="E637" s="42">
        <v>46260.166666666664</v>
      </c>
      <c r="F637" s="45">
        <v>0</v>
      </c>
      <c r="G637" s="45">
        <v>0</v>
      </c>
      <c r="H637" s="45">
        <v>0</v>
      </c>
      <c r="I637" s="45">
        <v>0</v>
      </c>
      <c r="J637" s="45">
        <v>0</v>
      </c>
      <c r="K637" s="45">
        <v>1420</v>
      </c>
      <c r="L637">
        <f t="shared" si="37"/>
        <v>0</v>
      </c>
    </row>
    <row r="638" spans="5:12">
      <c r="E638" s="42">
        <v>46260.208333333336</v>
      </c>
      <c r="F638" s="45">
        <v>0</v>
      </c>
      <c r="G638" s="45">
        <v>0</v>
      </c>
      <c r="H638" s="45">
        <v>0</v>
      </c>
      <c r="I638" s="45">
        <v>0</v>
      </c>
      <c r="J638" s="45">
        <v>0</v>
      </c>
      <c r="K638" s="45">
        <v>1420</v>
      </c>
      <c r="L638">
        <f t="shared" si="37"/>
        <v>0</v>
      </c>
    </row>
    <row r="639" spans="5:12">
      <c r="E639" s="42">
        <v>46260.25</v>
      </c>
      <c r="F639" s="45">
        <v>0</v>
      </c>
      <c r="G639" s="45">
        <v>0</v>
      </c>
      <c r="H639" s="45">
        <v>0</v>
      </c>
      <c r="I639" s="45">
        <v>0</v>
      </c>
      <c r="J639" s="45">
        <v>0</v>
      </c>
      <c r="K639" s="45">
        <v>1420</v>
      </c>
      <c r="L639">
        <f t="shared" si="37"/>
        <v>0</v>
      </c>
    </row>
    <row r="640" spans="5:12">
      <c r="E640" s="42">
        <v>46260.291666666664</v>
      </c>
      <c r="F640" s="45">
        <v>0</v>
      </c>
      <c r="G640" s="45">
        <v>0</v>
      </c>
      <c r="H640" s="45">
        <v>0</v>
      </c>
      <c r="I640" s="45">
        <v>0</v>
      </c>
      <c r="J640" s="45">
        <v>0</v>
      </c>
      <c r="K640" s="45">
        <v>1420</v>
      </c>
      <c r="L640">
        <f t="shared" si="37"/>
        <v>0</v>
      </c>
    </row>
    <row r="641" spans="5:12">
      <c r="E641" s="42">
        <v>46260.333333333336</v>
      </c>
      <c r="F641" s="45">
        <v>0</v>
      </c>
      <c r="G641" s="45">
        <v>0</v>
      </c>
      <c r="H641" s="45">
        <v>0</v>
      </c>
      <c r="I641" s="45">
        <v>0</v>
      </c>
      <c r="J641" s="45">
        <v>0</v>
      </c>
      <c r="K641" s="45">
        <v>1420</v>
      </c>
      <c r="L641">
        <f t="shared" si="37"/>
        <v>0</v>
      </c>
    </row>
    <row r="642" spans="5:12">
      <c r="E642" s="42">
        <v>46260.375</v>
      </c>
      <c r="F642" s="45">
        <v>0</v>
      </c>
      <c r="G642" s="45">
        <v>0</v>
      </c>
      <c r="H642" s="45">
        <v>0</v>
      </c>
      <c r="I642" s="45">
        <v>0</v>
      </c>
      <c r="J642" s="45">
        <v>0</v>
      </c>
      <c r="K642" s="45">
        <v>1420</v>
      </c>
      <c r="L642">
        <f t="shared" si="37"/>
        <v>0</v>
      </c>
    </row>
    <row r="643" spans="5:12">
      <c r="E643" s="42">
        <v>46260.416666666664</v>
      </c>
      <c r="F643" s="45">
        <v>0</v>
      </c>
      <c r="G643" s="45">
        <v>0</v>
      </c>
      <c r="H643" s="45">
        <v>0</v>
      </c>
      <c r="I643" s="45">
        <v>0</v>
      </c>
      <c r="J643" s="45">
        <v>0</v>
      </c>
      <c r="K643" s="45">
        <v>1420</v>
      </c>
      <c r="L643">
        <f t="shared" ref="L643" si="38">IF(K643&gt;10000,K643-10000,0)</f>
        <v>0</v>
      </c>
    </row>
  </sheetData>
  <phoneticPr fontId="3" type="noConversion"/>
  <conditionalFormatting sqref="K255:K1048576">
    <cfRule type="cellIs" dxfId="1" priority="1" operator="greaterThan">
      <formula>5000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43"/>
  <sheetViews>
    <sheetView workbookViewId="0">
      <selection activeCell="F30" sqref="F30"/>
    </sheetView>
  </sheetViews>
  <sheetFormatPr defaultRowHeight="13.5"/>
  <cols>
    <col min="1" max="1" width="16.625" style="14" customWidth="1"/>
  </cols>
  <sheetData>
    <row r="1" spans="1:8">
      <c r="A1" s="23" t="s">
        <v>30</v>
      </c>
      <c r="B1" s="22" t="s">
        <v>17</v>
      </c>
      <c r="C1" s="24" t="s">
        <v>32</v>
      </c>
      <c r="D1" s="24" t="s">
        <v>33</v>
      </c>
      <c r="E1" s="24" t="s">
        <v>19</v>
      </c>
      <c r="F1" s="17" t="s">
        <v>34</v>
      </c>
      <c r="G1" s="36" t="s">
        <v>39</v>
      </c>
      <c r="H1" s="36" t="s">
        <v>40</v>
      </c>
    </row>
    <row r="2" spans="1:8">
      <c r="A2" s="42">
        <v>46233.708333333336</v>
      </c>
      <c r="B2" s="45">
        <v>4496.7889999999998</v>
      </c>
      <c r="C2" s="46">
        <v>4496.7889999999998</v>
      </c>
      <c r="D2" s="46">
        <v>4496.7889999999998</v>
      </c>
      <c r="E2" s="46">
        <v>4496.7889999999998</v>
      </c>
      <c r="F2" s="46">
        <v>4496.7889999999998</v>
      </c>
      <c r="G2" s="46">
        <v>4496.7889999999998</v>
      </c>
      <c r="H2" s="46">
        <v>4496.7889999999998</v>
      </c>
    </row>
    <row r="3" spans="1:8">
      <c r="A3" s="42">
        <v>46233.75</v>
      </c>
      <c r="B3" s="45">
        <v>4493.5950000000003</v>
      </c>
      <c r="C3" s="46">
        <v>4493.5950000000003</v>
      </c>
      <c r="D3" s="46">
        <v>4493.5950000000003</v>
      </c>
      <c r="E3" s="46">
        <v>4493.5950000000003</v>
      </c>
      <c r="F3" s="46">
        <v>4493.5950000000003</v>
      </c>
      <c r="G3" s="46">
        <v>4493.5950000000003</v>
      </c>
      <c r="H3" s="46">
        <v>4493.5950000000003</v>
      </c>
    </row>
    <row r="4" spans="1:8">
      <c r="A4" s="42">
        <v>46233.791666666664</v>
      </c>
      <c r="B4" s="45">
        <v>4485.3440000000001</v>
      </c>
      <c r="C4" s="46">
        <v>4485.3440000000001</v>
      </c>
      <c r="D4" s="46">
        <v>4485.3440000000001</v>
      </c>
      <c r="E4" s="46">
        <v>4485.3440000000001</v>
      </c>
      <c r="F4" s="46">
        <v>4485.3440000000001</v>
      </c>
      <c r="G4" s="46">
        <v>4496.7889999999998</v>
      </c>
      <c r="H4" s="46">
        <v>4496.7889999999998</v>
      </c>
    </row>
    <row r="5" spans="1:8">
      <c r="A5" s="42">
        <v>46233.833333333336</v>
      </c>
      <c r="B5" s="45">
        <v>4477.0950000000003</v>
      </c>
      <c r="C5" s="46">
        <v>4477.0950000000003</v>
      </c>
      <c r="D5" s="46">
        <v>4477.0950000000003</v>
      </c>
      <c r="E5" s="46">
        <v>4477.0950000000003</v>
      </c>
      <c r="F5" s="46">
        <v>4477.0950000000003</v>
      </c>
      <c r="G5" s="46">
        <v>4493.5950000000003</v>
      </c>
      <c r="H5" s="46">
        <v>4493.5950000000003</v>
      </c>
    </row>
    <row r="6" spans="1:8">
      <c r="A6" s="42">
        <v>46233.875</v>
      </c>
      <c r="B6" s="45">
        <v>4496.7280000000001</v>
      </c>
      <c r="C6" s="46">
        <v>4496.7280000000001</v>
      </c>
      <c r="D6" s="46">
        <v>4496.7280000000001</v>
      </c>
      <c r="E6" s="46">
        <v>4496.7280000000001</v>
      </c>
      <c r="F6" s="46">
        <v>4496.7280000000001</v>
      </c>
      <c r="G6" s="46">
        <v>4496.7870000000003</v>
      </c>
      <c r="H6" s="46">
        <v>4496.7889999999998</v>
      </c>
    </row>
    <row r="7" spans="1:8">
      <c r="A7" s="42">
        <v>46233.916666666664</v>
      </c>
      <c r="B7" s="45">
        <v>4493.5150000000003</v>
      </c>
      <c r="C7" s="46">
        <v>4493.5150000000003</v>
      </c>
      <c r="D7" s="46">
        <v>4493.5150000000003</v>
      </c>
      <c r="E7" s="46">
        <v>4493.5150000000003</v>
      </c>
      <c r="F7" s="46">
        <v>4493.5150000000003</v>
      </c>
      <c r="G7" s="46">
        <v>4493.5929999999998</v>
      </c>
      <c r="H7" s="46">
        <v>4493.5950000000003</v>
      </c>
    </row>
    <row r="8" spans="1:8">
      <c r="A8" s="42">
        <v>46233.958333333336</v>
      </c>
      <c r="B8" s="45">
        <v>4485.2439999999997</v>
      </c>
      <c r="C8" s="46">
        <v>4485.2439999999997</v>
      </c>
      <c r="D8" s="46">
        <v>4485.2439999999997</v>
      </c>
      <c r="E8" s="46">
        <v>4485.2439999999997</v>
      </c>
      <c r="F8" s="46">
        <v>4485.2439999999997</v>
      </c>
      <c r="G8" s="46">
        <v>4496.768</v>
      </c>
      <c r="H8" s="46">
        <v>4496.7889999999998</v>
      </c>
    </row>
    <row r="9" spans="1:8">
      <c r="A9" s="42">
        <v>46234</v>
      </c>
      <c r="B9" s="45">
        <v>4476.9780000000001</v>
      </c>
      <c r="C9" s="46">
        <v>4476.9780000000001</v>
      </c>
      <c r="D9" s="46">
        <v>4476.9780000000001</v>
      </c>
      <c r="E9" s="46">
        <v>4476.9780000000001</v>
      </c>
      <c r="F9" s="46">
        <v>4476.9780000000001</v>
      </c>
      <c r="G9" s="46">
        <v>4493.5649999999996</v>
      </c>
      <c r="H9" s="46">
        <v>4493.5950000000003</v>
      </c>
    </row>
    <row r="10" spans="1:8">
      <c r="A10" s="42">
        <v>46234.041666666664</v>
      </c>
      <c r="B10" s="45">
        <v>4498.7079999999996</v>
      </c>
      <c r="C10" s="46">
        <v>4496.8599999999997</v>
      </c>
      <c r="D10" s="46">
        <v>4496.7950000000001</v>
      </c>
      <c r="E10" s="46">
        <v>4496.7889999999998</v>
      </c>
      <c r="F10" s="46">
        <v>4496.7889999999998</v>
      </c>
      <c r="G10" s="46">
        <v>4496.6499999999996</v>
      </c>
      <c r="H10" s="46">
        <v>4496.7889999999998</v>
      </c>
    </row>
    <row r="11" spans="1:8">
      <c r="A11" s="42">
        <v>46234.083333333336</v>
      </c>
      <c r="B11" s="45">
        <v>4498.2719999999999</v>
      </c>
      <c r="C11" s="46">
        <v>4493.7709999999997</v>
      </c>
      <c r="D11" s="46">
        <v>4493.6120000000001</v>
      </c>
      <c r="E11" s="46">
        <v>4493.5959999999995</v>
      </c>
      <c r="F11" s="46">
        <v>4493.5950000000003</v>
      </c>
      <c r="G11" s="46">
        <v>4493.3959999999997</v>
      </c>
      <c r="H11" s="46">
        <v>4493.5950000000003</v>
      </c>
    </row>
    <row r="12" spans="1:8">
      <c r="A12" s="42">
        <v>46234.125</v>
      </c>
      <c r="B12" s="45">
        <v>4497.848</v>
      </c>
      <c r="C12" s="46">
        <v>4485.8119999999999</v>
      </c>
      <c r="D12" s="46">
        <v>4485.3890000000001</v>
      </c>
      <c r="E12" s="46">
        <v>4485.3459999999995</v>
      </c>
      <c r="F12" s="46">
        <v>4485.3440000000001</v>
      </c>
      <c r="G12" s="46">
        <v>4496.2160000000003</v>
      </c>
      <c r="H12" s="46">
        <v>4496.7889999999998</v>
      </c>
    </row>
    <row r="13" spans="1:8">
      <c r="A13" s="42">
        <v>46234.166666666664</v>
      </c>
      <c r="B13" s="45">
        <v>4497.4269999999997</v>
      </c>
      <c r="C13" s="46">
        <v>4477.8559999999998</v>
      </c>
      <c r="D13" s="46">
        <v>4477.1679999999997</v>
      </c>
      <c r="E13" s="46">
        <v>4477.098</v>
      </c>
      <c r="F13" s="46">
        <v>4477.0959999999995</v>
      </c>
      <c r="G13" s="46">
        <v>4492.7709999999997</v>
      </c>
      <c r="H13" s="46">
        <v>4493.5950000000003</v>
      </c>
    </row>
    <row r="14" spans="1:8">
      <c r="A14" s="42">
        <v>46234.208333333336</v>
      </c>
      <c r="B14" s="45">
        <v>4526.1459999999997</v>
      </c>
      <c r="C14" s="46">
        <v>4497.83</v>
      </c>
      <c r="D14" s="46">
        <v>4496.8339999999998</v>
      </c>
      <c r="E14" s="46">
        <v>4496.732</v>
      </c>
      <c r="F14" s="46">
        <v>4496.7290000000003</v>
      </c>
      <c r="G14" s="46">
        <v>4495.2060000000001</v>
      </c>
      <c r="H14" s="46">
        <v>4496.7879999999996</v>
      </c>
    </row>
    <row r="15" spans="1:8">
      <c r="A15" s="42">
        <v>46234.25</v>
      </c>
      <c r="B15" s="45">
        <v>4536.643</v>
      </c>
      <c r="C15" s="46">
        <v>4495.1289999999999</v>
      </c>
      <c r="D15" s="46">
        <v>4493.67</v>
      </c>
      <c r="E15" s="46">
        <v>4493.5209999999997</v>
      </c>
      <c r="F15" s="46">
        <v>4493.5159999999996</v>
      </c>
      <c r="G15" s="46">
        <v>4491.3140000000003</v>
      </c>
      <c r="H15" s="46">
        <v>4493.5940000000001</v>
      </c>
    </row>
    <row r="16" spans="1:8">
      <c r="A16" s="42">
        <v>46234.291666666664</v>
      </c>
      <c r="B16" s="45">
        <v>4546.9880000000003</v>
      </c>
      <c r="C16" s="46">
        <v>4487.5559999999996</v>
      </c>
      <c r="D16" s="46">
        <v>4485.4660000000003</v>
      </c>
      <c r="E16" s="46">
        <v>4485.2539999999999</v>
      </c>
      <c r="F16" s="46">
        <v>4485.2470000000003</v>
      </c>
      <c r="G16" s="46">
        <v>4493.7479999999996</v>
      </c>
      <c r="H16" s="46">
        <v>4496.7849999999999</v>
      </c>
    </row>
    <row r="17" spans="1:8">
      <c r="A17" s="42">
        <v>46234.333333333336</v>
      </c>
      <c r="B17" s="45">
        <v>4557.2939999999999</v>
      </c>
      <c r="C17" s="46">
        <v>4479.9849999999997</v>
      </c>
      <c r="D17" s="46">
        <v>4477.2669999999998</v>
      </c>
      <c r="E17" s="46">
        <v>4476.991</v>
      </c>
      <c r="F17" s="46">
        <v>4476.9809999999998</v>
      </c>
      <c r="G17" s="46">
        <v>4489.2129999999997</v>
      </c>
      <c r="H17" s="46">
        <v>4493.5889999999999</v>
      </c>
    </row>
    <row r="18" spans="1:8">
      <c r="A18" s="42">
        <v>46234.375</v>
      </c>
      <c r="B18" s="45">
        <v>4577.5039999999999</v>
      </c>
      <c r="C18" s="46">
        <v>4500.2430000000004</v>
      </c>
      <c r="D18" s="46">
        <v>4497.1509999999998</v>
      </c>
      <c r="E18" s="46">
        <v>4496.8059999999996</v>
      </c>
      <c r="F18" s="46">
        <v>4496.7920000000004</v>
      </c>
      <c r="G18" s="46">
        <v>4492.4589999999998</v>
      </c>
      <c r="H18" s="46">
        <v>4496.7690000000002</v>
      </c>
    </row>
    <row r="19" spans="1:8">
      <c r="A19" s="42">
        <v>46234.416666666664</v>
      </c>
      <c r="B19" s="45">
        <v>4588.1769999999997</v>
      </c>
      <c r="C19" s="46">
        <v>4498.1880000000001</v>
      </c>
      <c r="D19" s="46">
        <v>4494.1099999999997</v>
      </c>
      <c r="E19" s="46">
        <v>4493.6210000000001</v>
      </c>
      <c r="F19" s="46">
        <v>4493.6019999999999</v>
      </c>
      <c r="G19" s="46">
        <v>4487.3580000000002</v>
      </c>
      <c r="H19" s="46">
        <v>4493.567</v>
      </c>
    </row>
    <row r="20" spans="1:8">
      <c r="A20" s="42">
        <v>46234.458333333336</v>
      </c>
      <c r="B20" s="45">
        <v>4596.8270000000002</v>
      </c>
      <c r="C20" s="46">
        <v>4492.3310000000001</v>
      </c>
      <c r="D20" s="46">
        <v>4486.2120000000004</v>
      </c>
      <c r="E20" s="46">
        <v>4485.3909999999996</v>
      </c>
      <c r="F20" s="46">
        <v>4485.3549999999996</v>
      </c>
      <c r="G20" s="46">
        <v>4491.6859999999997</v>
      </c>
      <c r="H20" s="46">
        <v>4496.7139999999999</v>
      </c>
    </row>
    <row r="21" spans="1:8">
      <c r="A21" s="42">
        <v>46234.5</v>
      </c>
      <c r="B21" s="45">
        <v>4605.009</v>
      </c>
      <c r="C21" s="46">
        <v>4486.4579999999996</v>
      </c>
      <c r="D21" s="46">
        <v>4478.3149999999996</v>
      </c>
      <c r="E21" s="46">
        <v>4477.1629999999996</v>
      </c>
      <c r="F21" s="46">
        <v>4477.1120000000001</v>
      </c>
      <c r="G21" s="46">
        <v>4486.2460000000001</v>
      </c>
      <c r="H21" s="46">
        <v>4493.4870000000001</v>
      </c>
    </row>
    <row r="22" spans="1:8">
      <c r="A22" s="42">
        <v>46234.541666666664</v>
      </c>
      <c r="B22" s="45">
        <v>4617.1850000000004</v>
      </c>
      <c r="C22" s="46">
        <v>4507.8559999999998</v>
      </c>
      <c r="D22" s="46">
        <v>4498.26</v>
      </c>
      <c r="E22" s="46">
        <v>4496.8159999999998</v>
      </c>
      <c r="F22" s="46">
        <v>4496.75</v>
      </c>
      <c r="G22" s="46">
        <v>4491.2820000000002</v>
      </c>
      <c r="H22" s="46">
        <v>4496.5609999999997</v>
      </c>
    </row>
    <row r="23" spans="1:8">
      <c r="A23" s="42">
        <v>46234.583333333336</v>
      </c>
      <c r="B23" s="45">
        <v>4624.8500000000004</v>
      </c>
      <c r="C23" s="46">
        <v>4508.1350000000002</v>
      </c>
      <c r="D23" s="46">
        <v>4495.598</v>
      </c>
      <c r="E23" s="46">
        <v>4493.6369999999997</v>
      </c>
      <c r="F23" s="46">
        <v>4493.5460000000003</v>
      </c>
      <c r="G23" s="46">
        <v>4485.6639999999998</v>
      </c>
      <c r="H23" s="46">
        <v>4493.2669999999998</v>
      </c>
    </row>
    <row r="24" spans="1:8">
      <c r="A24" s="42">
        <v>46234.625</v>
      </c>
      <c r="B24" s="45">
        <v>4634.5950000000003</v>
      </c>
      <c r="C24" s="46">
        <v>4504.7269999999999</v>
      </c>
      <c r="D24" s="46">
        <v>4488.0870000000004</v>
      </c>
      <c r="E24" s="46">
        <v>4485.4129999999996</v>
      </c>
      <c r="F24" s="46">
        <v>4485.2879999999996</v>
      </c>
      <c r="G24" s="46">
        <v>4491.134</v>
      </c>
      <c r="H24" s="46">
        <v>4496.2219999999998</v>
      </c>
    </row>
    <row r="25" spans="1:8">
      <c r="A25" s="42">
        <v>46234.666666666664</v>
      </c>
      <c r="B25" s="45">
        <v>4638.5969999999998</v>
      </c>
      <c r="C25" s="46">
        <v>4501.098</v>
      </c>
      <c r="D25" s="46">
        <v>4480.5590000000002</v>
      </c>
      <c r="E25" s="46">
        <v>4477.192</v>
      </c>
      <c r="F25" s="46">
        <v>4477.0339999999997</v>
      </c>
      <c r="G25" s="46">
        <v>4485.451</v>
      </c>
      <c r="H25" s="46">
        <v>4492.7780000000002</v>
      </c>
    </row>
    <row r="26" spans="1:8">
      <c r="A26" s="42">
        <v>46234.708333333336</v>
      </c>
      <c r="B26" s="45">
        <v>4658.8019999999997</v>
      </c>
      <c r="C26" s="46">
        <v>4521.7820000000002</v>
      </c>
      <c r="D26" s="46">
        <v>4500.674</v>
      </c>
      <c r="E26" s="46">
        <v>4497.0330000000004</v>
      </c>
      <c r="F26" s="46">
        <v>4496.8530000000001</v>
      </c>
      <c r="G26" s="46">
        <v>4491.0540000000001</v>
      </c>
      <c r="H26" s="46">
        <v>4495.6239999999998</v>
      </c>
    </row>
    <row r="27" spans="1:8">
      <c r="A27" s="42">
        <v>46234.75</v>
      </c>
      <c r="B27" s="45">
        <v>4675.8289999999997</v>
      </c>
      <c r="C27" s="46">
        <v>4523.5690000000004</v>
      </c>
      <c r="D27" s="46">
        <v>4498.4840000000004</v>
      </c>
      <c r="E27" s="46">
        <v>4493.9179999999997</v>
      </c>
      <c r="F27" s="46">
        <v>4493.6819999999998</v>
      </c>
      <c r="G27" s="46">
        <v>4485.3339999999998</v>
      </c>
      <c r="H27" s="46">
        <v>4491.9160000000002</v>
      </c>
    </row>
    <row r="28" spans="1:8">
      <c r="A28" s="42">
        <v>46234.791666666664</v>
      </c>
      <c r="B28" s="45">
        <v>4821.49</v>
      </c>
      <c r="C28" s="46">
        <v>4528.0169999999998</v>
      </c>
      <c r="D28" s="46">
        <v>4492.5919999999996</v>
      </c>
      <c r="E28" s="46">
        <v>4485.8500000000004</v>
      </c>
      <c r="F28" s="46">
        <v>4485.4830000000002</v>
      </c>
      <c r="G28" s="46">
        <v>4491.0439999999999</v>
      </c>
      <c r="H28" s="46">
        <v>4494.7749999999996</v>
      </c>
    </row>
    <row r="29" spans="1:8">
      <c r="A29" s="42">
        <v>46234.833333333336</v>
      </c>
      <c r="B29" s="45">
        <v>4876.768</v>
      </c>
      <c r="C29" s="46">
        <v>4528.9769999999999</v>
      </c>
      <c r="D29" s="46">
        <v>4486.3580000000002</v>
      </c>
      <c r="E29" s="46">
        <v>4477.7690000000002</v>
      </c>
      <c r="F29" s="46">
        <v>4477.2839999999997</v>
      </c>
      <c r="G29" s="46">
        <v>4485.3220000000001</v>
      </c>
      <c r="H29" s="46">
        <v>4490.6940000000004</v>
      </c>
    </row>
    <row r="30" spans="1:8">
      <c r="A30" s="42">
        <v>46234.875</v>
      </c>
      <c r="B30" s="45">
        <v>5253.5119999999997</v>
      </c>
      <c r="C30" s="46">
        <v>4563.9390000000003</v>
      </c>
      <c r="D30" s="46">
        <v>4508.3609999999999</v>
      </c>
      <c r="E30" s="46">
        <v>4497.58</v>
      </c>
      <c r="F30" s="46">
        <v>4496.9669999999996</v>
      </c>
      <c r="G30" s="46">
        <v>4491.0249999999996</v>
      </c>
      <c r="H30" s="46">
        <v>4493.8019999999997</v>
      </c>
    </row>
    <row r="31" spans="1:8">
      <c r="A31" s="42">
        <v>46234.916666666664</v>
      </c>
      <c r="B31" s="45">
        <v>5604.857</v>
      </c>
      <c r="C31" s="46">
        <v>4581.9369999999999</v>
      </c>
      <c r="D31" s="46">
        <v>4508.8860000000004</v>
      </c>
      <c r="E31" s="46">
        <v>4494.6570000000002</v>
      </c>
      <c r="F31" s="46">
        <v>4493.8370000000004</v>
      </c>
      <c r="G31" s="46">
        <v>4485.2950000000001</v>
      </c>
      <c r="H31" s="46">
        <v>4489.2929999999997</v>
      </c>
    </row>
    <row r="32" spans="1:8">
      <c r="A32" s="42">
        <v>46234.958333333336</v>
      </c>
      <c r="B32" s="45">
        <v>6727.14</v>
      </c>
      <c r="C32" s="46">
        <v>4627.5</v>
      </c>
      <c r="D32" s="46">
        <v>4508.1509999999998</v>
      </c>
      <c r="E32" s="46">
        <v>4486.8909999999996</v>
      </c>
      <c r="F32" s="46">
        <v>4485.7070000000003</v>
      </c>
      <c r="G32" s="46">
        <v>4491.0479999999998</v>
      </c>
      <c r="H32" s="46">
        <v>4492.8850000000002</v>
      </c>
    </row>
    <row r="33" spans="1:8">
      <c r="A33" s="42">
        <v>46235</v>
      </c>
      <c r="B33" s="45">
        <v>7262.8249999999998</v>
      </c>
      <c r="C33" s="46">
        <v>4649.7929999999997</v>
      </c>
      <c r="D33" s="46">
        <v>4505.0860000000002</v>
      </c>
      <c r="E33" s="46">
        <v>4479.0219999999999</v>
      </c>
      <c r="F33" s="46">
        <v>4477.5540000000001</v>
      </c>
      <c r="G33" s="46">
        <v>4485.326</v>
      </c>
      <c r="H33" s="46">
        <v>4487.9719999999998</v>
      </c>
    </row>
    <row r="34" spans="1:8">
      <c r="A34" s="42">
        <v>46235.041666666664</v>
      </c>
      <c r="B34" s="45">
        <v>8600.8389999999999</v>
      </c>
      <c r="C34" s="46">
        <v>4719.6009999999997</v>
      </c>
      <c r="D34" s="46">
        <v>4530.2790000000005</v>
      </c>
      <c r="E34" s="46">
        <v>4499.1559999999999</v>
      </c>
      <c r="F34" s="46">
        <v>4497.4539999999997</v>
      </c>
      <c r="G34" s="46">
        <v>4491.0389999999998</v>
      </c>
      <c r="H34" s="46">
        <v>4492.1549999999997</v>
      </c>
    </row>
    <row r="35" spans="1:8">
      <c r="A35" s="42">
        <v>46235.083333333336</v>
      </c>
      <c r="B35" s="45">
        <v>9837.0609999999997</v>
      </c>
      <c r="C35" s="46">
        <v>4773.4790000000003</v>
      </c>
      <c r="D35" s="46">
        <v>4535.1869999999999</v>
      </c>
      <c r="E35" s="46">
        <v>4496.5720000000001</v>
      </c>
      <c r="F35" s="46">
        <v>4494.4399999999996</v>
      </c>
      <c r="G35" s="46">
        <v>4485.3130000000001</v>
      </c>
      <c r="H35" s="46">
        <v>4486.9210000000003</v>
      </c>
    </row>
    <row r="36" spans="1:8">
      <c r="A36" s="42">
        <v>46235.125</v>
      </c>
      <c r="B36" s="45">
        <v>11537.89</v>
      </c>
      <c r="C36" s="46">
        <v>4909.1459999999997</v>
      </c>
      <c r="D36" s="46">
        <v>4547.2049999999999</v>
      </c>
      <c r="E36" s="46">
        <v>4489.8059999999996</v>
      </c>
      <c r="F36" s="46">
        <v>4486.6229999999996</v>
      </c>
      <c r="G36" s="46">
        <v>4491.067</v>
      </c>
      <c r="H36" s="46">
        <v>4491.6530000000002</v>
      </c>
    </row>
    <row r="37" spans="1:8">
      <c r="A37" s="42">
        <v>46235.166666666664</v>
      </c>
      <c r="B37" s="45">
        <v>11534.88</v>
      </c>
      <c r="C37" s="46">
        <v>4925.6750000000002</v>
      </c>
      <c r="D37" s="46">
        <v>4546.2910000000002</v>
      </c>
      <c r="E37" s="46">
        <v>4482.4089999999997</v>
      </c>
      <c r="F37" s="46">
        <v>4478.6540000000005</v>
      </c>
      <c r="G37" s="46">
        <v>4485.3519999999999</v>
      </c>
      <c r="H37" s="46">
        <v>4486.1989999999996</v>
      </c>
    </row>
    <row r="38" spans="1:8">
      <c r="A38" s="42">
        <v>46235.208333333336</v>
      </c>
      <c r="B38" s="45">
        <v>12176.67</v>
      </c>
      <c r="C38" s="46">
        <v>5065.3509999999997</v>
      </c>
      <c r="D38" s="46">
        <v>4584.7129999999997</v>
      </c>
      <c r="E38" s="46">
        <v>4503.4539999999997</v>
      </c>
      <c r="F38" s="46">
        <v>4498.701</v>
      </c>
      <c r="G38" s="46">
        <v>4491.0829999999996</v>
      </c>
      <c r="H38" s="46">
        <v>4491.348</v>
      </c>
    </row>
    <row r="39" spans="1:8">
      <c r="A39" s="42">
        <v>46235.25</v>
      </c>
      <c r="B39" s="45">
        <v>12803.54</v>
      </c>
      <c r="C39" s="46">
        <v>5189.4930000000004</v>
      </c>
      <c r="D39" s="46">
        <v>4604.2489999999998</v>
      </c>
      <c r="E39" s="46">
        <v>4502.1840000000002</v>
      </c>
      <c r="F39" s="46">
        <v>4496.0810000000001</v>
      </c>
      <c r="G39" s="46">
        <v>4485.3710000000001</v>
      </c>
      <c r="H39" s="46">
        <v>4485.759</v>
      </c>
    </row>
    <row r="40" spans="1:8">
      <c r="A40" s="42">
        <v>46235.291666666664</v>
      </c>
      <c r="B40" s="45">
        <v>13864.26</v>
      </c>
      <c r="C40" s="46">
        <v>5537.5259999999998</v>
      </c>
      <c r="D40" s="46">
        <v>4655.0600000000004</v>
      </c>
      <c r="E40" s="46">
        <v>4498.2809999999999</v>
      </c>
      <c r="F40" s="46">
        <v>4489.067</v>
      </c>
      <c r="G40" s="46">
        <v>4491.1559999999999</v>
      </c>
      <c r="H40" s="46">
        <v>4491.1809999999996</v>
      </c>
    </row>
    <row r="41" spans="1:8">
      <c r="A41" s="42">
        <v>46235.333333333336</v>
      </c>
      <c r="B41" s="45">
        <v>14110.27</v>
      </c>
      <c r="C41" s="46">
        <v>5693.192</v>
      </c>
      <c r="D41" s="46">
        <v>4677.509</v>
      </c>
      <c r="E41" s="46">
        <v>4492.6679999999997</v>
      </c>
      <c r="F41" s="46">
        <v>4481.6099999999997</v>
      </c>
      <c r="G41" s="46">
        <v>4485.4669999999996</v>
      </c>
      <c r="H41" s="46">
        <v>4485.5190000000002</v>
      </c>
    </row>
    <row r="42" spans="1:8">
      <c r="A42" s="42">
        <v>46235.375</v>
      </c>
      <c r="B42" s="45">
        <v>14259.55</v>
      </c>
      <c r="C42" s="46">
        <v>6070.8249999999998</v>
      </c>
      <c r="D42" s="46">
        <v>4753.1139999999996</v>
      </c>
      <c r="E42" s="46">
        <v>4516.1189999999997</v>
      </c>
      <c r="F42" s="46">
        <v>4502.4210000000003</v>
      </c>
      <c r="G42" s="46">
        <v>4491.2309999999998</v>
      </c>
      <c r="H42" s="46">
        <v>4491.0990000000002</v>
      </c>
    </row>
    <row r="43" spans="1:8">
      <c r="A43" s="42">
        <v>46235.416666666664</v>
      </c>
      <c r="B43" s="45">
        <v>14505.18</v>
      </c>
      <c r="C43" s="46">
        <v>6531.2470000000003</v>
      </c>
      <c r="D43" s="46">
        <v>4820.7510000000002</v>
      </c>
      <c r="E43" s="46">
        <v>4518.0259999999998</v>
      </c>
      <c r="F43" s="46">
        <v>4500.7089999999998</v>
      </c>
      <c r="G43" s="46">
        <v>4485.5600000000004</v>
      </c>
      <c r="H43" s="46">
        <v>4485.3999999999996</v>
      </c>
    </row>
    <row r="44" spans="1:8">
      <c r="A44" s="42">
        <v>46235.458333333336</v>
      </c>
      <c r="B44" s="45">
        <v>14498.97</v>
      </c>
      <c r="C44" s="46">
        <v>7227.7380000000003</v>
      </c>
      <c r="D44" s="46">
        <v>4946.4840000000004</v>
      </c>
      <c r="E44" s="46">
        <v>4520.5910000000003</v>
      </c>
      <c r="F44" s="46">
        <v>4495.6949999999997</v>
      </c>
      <c r="G44" s="46">
        <v>4491.3980000000001</v>
      </c>
      <c r="H44" s="46">
        <v>4491.0640000000003</v>
      </c>
    </row>
    <row r="45" spans="1:8">
      <c r="A45" s="42">
        <v>46235.5</v>
      </c>
      <c r="B45" s="45">
        <v>14263.86</v>
      </c>
      <c r="C45" s="46">
        <v>7250.9790000000003</v>
      </c>
      <c r="D45" s="46">
        <v>4955.9120000000003</v>
      </c>
      <c r="E45" s="46">
        <v>4515.3670000000002</v>
      </c>
      <c r="F45" s="46">
        <v>4488.5810000000001</v>
      </c>
      <c r="G45" s="46">
        <v>4485.7709999999997</v>
      </c>
      <c r="H45" s="46">
        <v>4485.3500000000004</v>
      </c>
    </row>
    <row r="46" spans="1:8">
      <c r="A46" s="42">
        <v>46235.541666666664</v>
      </c>
      <c r="B46" s="45">
        <v>13658.62</v>
      </c>
      <c r="C46" s="46">
        <v>7649.39</v>
      </c>
      <c r="D46" s="46">
        <v>5069.3389999999999</v>
      </c>
      <c r="E46" s="46">
        <v>4543.7579999999998</v>
      </c>
      <c r="F46" s="46">
        <v>4510.9390000000003</v>
      </c>
      <c r="G46" s="46">
        <v>4491.6450000000004</v>
      </c>
      <c r="H46" s="46">
        <v>4491.0559999999996</v>
      </c>
    </row>
    <row r="47" spans="1:8">
      <c r="A47" s="42">
        <v>46235.583333333336</v>
      </c>
      <c r="B47" s="45">
        <v>12999.26</v>
      </c>
      <c r="C47" s="46">
        <v>8025.3069999999998</v>
      </c>
      <c r="D47" s="46">
        <v>5165.7470000000003</v>
      </c>
      <c r="E47" s="46">
        <v>4550.8810000000003</v>
      </c>
      <c r="F47" s="46">
        <v>4511.0889999999999</v>
      </c>
      <c r="G47" s="46">
        <v>4486.0739999999996</v>
      </c>
      <c r="H47" s="46">
        <v>4485.3360000000002</v>
      </c>
    </row>
    <row r="48" spans="1:8">
      <c r="A48" s="42">
        <v>46235.625</v>
      </c>
      <c r="B48" s="45">
        <v>12228.84</v>
      </c>
      <c r="C48" s="46">
        <v>8991.3369999999995</v>
      </c>
      <c r="D48" s="46">
        <v>5425.2290000000003</v>
      </c>
      <c r="E48" s="46">
        <v>4568.93</v>
      </c>
      <c r="F48" s="46">
        <v>4511.0630000000001</v>
      </c>
      <c r="G48" s="46">
        <v>4492.1049999999996</v>
      </c>
      <c r="H48" s="46">
        <v>4491.0630000000001</v>
      </c>
    </row>
    <row r="49" spans="1:8">
      <c r="A49" s="42">
        <v>46235.666666666664</v>
      </c>
      <c r="B49" s="45">
        <v>11434.82</v>
      </c>
      <c r="C49" s="46">
        <v>9356.6129999999994</v>
      </c>
      <c r="D49" s="46">
        <v>5535.6689999999999</v>
      </c>
      <c r="E49" s="46">
        <v>4540.5259999999998</v>
      </c>
      <c r="F49" s="46">
        <v>4499.4769999999999</v>
      </c>
      <c r="G49" s="46">
        <v>4486.6469999999999</v>
      </c>
      <c r="H49" s="46">
        <v>4485.3450000000003</v>
      </c>
    </row>
    <row r="50" spans="1:8">
      <c r="A50" s="42">
        <v>46235.708333333336</v>
      </c>
      <c r="B50" s="45">
        <v>10542.93</v>
      </c>
      <c r="C50" s="46">
        <v>10170.950000000001</v>
      </c>
      <c r="D50" s="46">
        <v>5704.7160000000003</v>
      </c>
      <c r="E50" s="46">
        <v>4574.5619999999999</v>
      </c>
      <c r="F50" s="46">
        <v>4524.3590000000004</v>
      </c>
      <c r="G50" s="46">
        <v>4492.8329999999996</v>
      </c>
      <c r="H50" s="46">
        <v>4491.0860000000002</v>
      </c>
    </row>
    <row r="51" spans="1:8">
      <c r="A51" s="42">
        <v>46235.75</v>
      </c>
      <c r="B51" s="45">
        <v>9811.8029999999999</v>
      </c>
      <c r="C51" s="46">
        <v>10771.76</v>
      </c>
      <c r="D51" s="46">
        <v>5970.0879999999997</v>
      </c>
      <c r="E51" s="46">
        <v>4591.3599999999997</v>
      </c>
      <c r="F51" s="46">
        <v>4528.3159999999998</v>
      </c>
      <c r="G51" s="46">
        <v>4487.5349999999999</v>
      </c>
      <c r="H51" s="46">
        <v>4485.375</v>
      </c>
    </row>
    <row r="52" spans="1:8">
      <c r="A52" s="42">
        <v>46235.791666666664</v>
      </c>
      <c r="B52" s="45">
        <v>9113.723</v>
      </c>
      <c r="C52" s="46">
        <v>11854.78</v>
      </c>
      <c r="D52" s="46">
        <v>6410.799</v>
      </c>
      <c r="E52" s="46">
        <v>4621.9129999999996</v>
      </c>
      <c r="F52" s="46">
        <v>4534.4359999999997</v>
      </c>
      <c r="G52" s="46">
        <v>4494.0730000000003</v>
      </c>
      <c r="H52" s="46">
        <v>4491.1310000000003</v>
      </c>
    </row>
    <row r="53" spans="1:8">
      <c r="A53" s="42">
        <v>46235.833333333336</v>
      </c>
      <c r="B53" s="45">
        <v>8545.4509999999991</v>
      </c>
      <c r="C53" s="46">
        <v>11773.27</v>
      </c>
      <c r="D53" s="46">
        <v>6422.0460000000003</v>
      </c>
      <c r="E53" s="46">
        <v>4620.3620000000001</v>
      </c>
      <c r="F53" s="46">
        <v>4529.3339999999998</v>
      </c>
      <c r="G53" s="46">
        <v>4489.0119999999997</v>
      </c>
      <c r="H53" s="46">
        <v>4485.4319999999998</v>
      </c>
    </row>
    <row r="54" spans="1:8">
      <c r="A54" s="42">
        <v>46235.875</v>
      </c>
      <c r="B54" s="45">
        <v>7962.3159999999998</v>
      </c>
      <c r="C54" s="46">
        <v>12024.9</v>
      </c>
      <c r="D54" s="46">
        <v>6675.8469999999998</v>
      </c>
      <c r="E54" s="46">
        <v>4667.75</v>
      </c>
      <c r="F54" s="46">
        <v>4559.7979999999998</v>
      </c>
      <c r="G54" s="46">
        <v>4496.0140000000001</v>
      </c>
      <c r="H54" s="46">
        <v>4491.21</v>
      </c>
    </row>
    <row r="55" spans="1:8">
      <c r="A55" s="42">
        <v>46235.916666666664</v>
      </c>
      <c r="B55" s="45">
        <v>7691.53</v>
      </c>
      <c r="C55" s="46">
        <v>12262.36</v>
      </c>
      <c r="D55" s="46">
        <v>6911.2539999999999</v>
      </c>
      <c r="E55" s="46">
        <v>4695.2439999999997</v>
      </c>
      <c r="F55" s="46">
        <v>4568.9489999999996</v>
      </c>
      <c r="G55" s="46">
        <v>4491.2150000000001</v>
      </c>
      <c r="H55" s="46">
        <v>4485.5320000000002</v>
      </c>
    </row>
    <row r="56" spans="1:8">
      <c r="A56" s="42">
        <v>46235.958333333336</v>
      </c>
      <c r="B56" s="45">
        <v>7602.72</v>
      </c>
      <c r="C56" s="46">
        <v>12796.63</v>
      </c>
      <c r="D56" s="46">
        <v>7524.0159999999996</v>
      </c>
      <c r="E56" s="46">
        <v>4686.1570000000002</v>
      </c>
      <c r="F56" s="46">
        <v>4573.7889999999998</v>
      </c>
      <c r="G56" s="46">
        <v>4499.0190000000002</v>
      </c>
      <c r="H56" s="46">
        <v>4491.3440000000001</v>
      </c>
    </row>
    <row r="57" spans="1:8">
      <c r="A57" s="42">
        <v>46236</v>
      </c>
      <c r="B57" s="45">
        <v>7571.8620000000001</v>
      </c>
      <c r="C57" s="46">
        <v>12771.81</v>
      </c>
      <c r="D57" s="46">
        <v>7749.5950000000003</v>
      </c>
      <c r="E57" s="46">
        <v>4633.902</v>
      </c>
      <c r="F57" s="46">
        <v>4546.3329999999996</v>
      </c>
      <c r="G57" s="46">
        <v>4494.4690000000001</v>
      </c>
      <c r="H57" s="46">
        <v>4485.6989999999996</v>
      </c>
    </row>
    <row r="58" spans="1:8">
      <c r="A58" s="42">
        <v>46236.041666666664</v>
      </c>
      <c r="B58" s="45">
        <v>7588.4189999999999</v>
      </c>
      <c r="C58" s="46">
        <v>12703.03</v>
      </c>
      <c r="D58" s="46">
        <v>7180.2160000000003</v>
      </c>
      <c r="E58" s="46">
        <v>4677.2960000000003</v>
      </c>
      <c r="F58" s="46">
        <v>4579.0159999999996</v>
      </c>
      <c r="G58" s="46">
        <v>4503.3429999999998</v>
      </c>
      <c r="H58" s="46">
        <v>4491.57</v>
      </c>
    </row>
    <row r="59" spans="1:8">
      <c r="A59" s="42">
        <v>46236.083333333336</v>
      </c>
      <c r="B59" s="45">
        <v>7728.1540000000005</v>
      </c>
      <c r="C59" s="46">
        <v>11931.98</v>
      </c>
      <c r="D59" s="46">
        <v>7551.0389999999998</v>
      </c>
      <c r="E59" s="46">
        <v>4716.9120000000003</v>
      </c>
      <c r="F59" s="46">
        <v>4596.1540000000005</v>
      </c>
      <c r="G59" s="46">
        <v>4498.9669999999996</v>
      </c>
      <c r="H59" s="46">
        <v>4485.9790000000003</v>
      </c>
    </row>
    <row r="60" spans="1:8">
      <c r="A60" s="42">
        <v>46236.125</v>
      </c>
      <c r="B60" s="45">
        <v>8038.2539999999999</v>
      </c>
      <c r="C60" s="46">
        <v>12150.17</v>
      </c>
      <c r="D60" s="46">
        <v>8224.6280000000006</v>
      </c>
      <c r="E60" s="46">
        <v>4779.5690000000004</v>
      </c>
      <c r="F60" s="46">
        <v>4624.741</v>
      </c>
      <c r="G60" s="46">
        <v>4509.366</v>
      </c>
      <c r="H60" s="46">
        <v>4491.95</v>
      </c>
    </row>
    <row r="61" spans="1:8">
      <c r="A61" s="42">
        <v>46236.166666666664</v>
      </c>
      <c r="B61" s="45">
        <v>8285.9930000000004</v>
      </c>
      <c r="C61" s="46">
        <v>11734.03</v>
      </c>
      <c r="D61" s="46">
        <v>8200.5789999999997</v>
      </c>
      <c r="E61" s="46">
        <v>4780.6319999999996</v>
      </c>
      <c r="F61" s="46">
        <v>4622.43</v>
      </c>
      <c r="G61" s="46">
        <v>4505.3</v>
      </c>
      <c r="H61" s="46">
        <v>4486.4430000000002</v>
      </c>
    </row>
    <row r="62" spans="1:8">
      <c r="A62" s="42">
        <v>46236.208333333336</v>
      </c>
      <c r="B62" s="45">
        <v>8669.4369999999999</v>
      </c>
      <c r="C62" s="46">
        <v>11569.6</v>
      </c>
      <c r="D62" s="46">
        <v>8487.2510000000002</v>
      </c>
      <c r="E62" s="46">
        <v>4850.3670000000002</v>
      </c>
      <c r="F62" s="46">
        <v>4668.4799999999996</v>
      </c>
      <c r="G62" s="46">
        <v>4517.473</v>
      </c>
      <c r="H62" s="46">
        <v>4492.576</v>
      </c>
    </row>
    <row r="63" spans="1:8">
      <c r="A63" s="42">
        <v>46236.25</v>
      </c>
      <c r="B63" s="45">
        <v>8986.7209999999995</v>
      </c>
      <c r="C63" s="46">
        <v>11445.4</v>
      </c>
      <c r="D63" s="46">
        <v>8757.5020000000004</v>
      </c>
      <c r="E63" s="46">
        <v>4900.9539999999997</v>
      </c>
      <c r="F63" s="46">
        <v>4694.2659999999996</v>
      </c>
      <c r="G63" s="46">
        <v>4514.0919999999996</v>
      </c>
      <c r="H63" s="46">
        <v>4487.192</v>
      </c>
    </row>
    <row r="64" spans="1:8">
      <c r="A64" s="42">
        <v>46236.291666666664</v>
      </c>
      <c r="B64" s="45">
        <v>9556.66</v>
      </c>
      <c r="C64" s="46">
        <v>11472.36</v>
      </c>
      <c r="D64" s="46">
        <v>9450.9969999999994</v>
      </c>
      <c r="E64" s="46">
        <v>5000.3599999999997</v>
      </c>
      <c r="F64" s="46">
        <v>4715.5879999999997</v>
      </c>
      <c r="G64" s="46">
        <v>4528.2889999999998</v>
      </c>
      <c r="H64" s="46">
        <v>4493.585</v>
      </c>
    </row>
    <row r="65" spans="1:8">
      <c r="A65" s="42">
        <v>46236.333333333336</v>
      </c>
      <c r="B65" s="45">
        <v>9923.93</v>
      </c>
      <c r="C65" s="46">
        <v>11235.96</v>
      </c>
      <c r="D65" s="46">
        <v>9646.9419999999991</v>
      </c>
      <c r="E65" s="46">
        <v>4997.1080000000002</v>
      </c>
      <c r="F65" s="46">
        <v>4684.1760000000004</v>
      </c>
      <c r="G65" s="46">
        <v>4525.6750000000002</v>
      </c>
      <c r="H65" s="46">
        <v>4488.3670000000002</v>
      </c>
    </row>
    <row r="66" spans="1:8">
      <c r="A66" s="42">
        <v>46236.375</v>
      </c>
      <c r="B66" s="45">
        <v>10405.549999999999</v>
      </c>
      <c r="C66" s="46">
        <v>10786.53</v>
      </c>
      <c r="D66" s="46">
        <v>9734.7099999999991</v>
      </c>
      <c r="E66" s="46">
        <v>5030.6819999999998</v>
      </c>
      <c r="F66" s="46">
        <v>4721.1880000000001</v>
      </c>
      <c r="G66" s="46">
        <v>4541.84</v>
      </c>
      <c r="H66" s="46">
        <v>4495.1639999999998</v>
      </c>
    </row>
    <row r="67" spans="1:8">
      <c r="A67" s="42">
        <v>46236.416666666664</v>
      </c>
      <c r="B67" s="45">
        <v>10741.04</v>
      </c>
      <c r="C67" s="46">
        <v>10287.08</v>
      </c>
      <c r="D67" s="46">
        <v>9880.1460000000006</v>
      </c>
      <c r="E67" s="46">
        <v>5133.3530000000001</v>
      </c>
      <c r="F67" s="46">
        <v>4766.7389999999996</v>
      </c>
      <c r="G67" s="46">
        <v>4539.3270000000002</v>
      </c>
      <c r="H67" s="46">
        <v>4490.1459999999997</v>
      </c>
    </row>
    <row r="68" spans="1:8">
      <c r="A68" s="42">
        <v>46236.458333333336</v>
      </c>
      <c r="B68" s="45">
        <v>11162.15</v>
      </c>
      <c r="C68" s="46">
        <v>10289.49</v>
      </c>
      <c r="D68" s="46">
        <v>10566.85</v>
      </c>
      <c r="E68" s="46">
        <v>5243.53</v>
      </c>
      <c r="F68" s="46">
        <v>4827.29</v>
      </c>
      <c r="G68" s="46">
        <v>4557.7830000000004</v>
      </c>
      <c r="H68" s="46">
        <v>4497.5469999999996</v>
      </c>
    </row>
    <row r="69" spans="1:8">
      <c r="A69" s="42">
        <v>46236.5</v>
      </c>
      <c r="B69" s="45">
        <v>11509.3</v>
      </c>
      <c r="C69" s="46">
        <v>10064.24</v>
      </c>
      <c r="D69" s="46">
        <v>10419.74</v>
      </c>
      <c r="E69" s="46">
        <v>5246.5640000000003</v>
      </c>
      <c r="F69" s="46">
        <v>4827.5129999999999</v>
      </c>
      <c r="G69" s="46">
        <v>4555.2439999999997</v>
      </c>
      <c r="H69" s="46">
        <v>4492.7569999999996</v>
      </c>
    </row>
    <row r="70" spans="1:8">
      <c r="A70" s="42">
        <v>46236.541666666664</v>
      </c>
      <c r="B70" s="45">
        <v>11771.98</v>
      </c>
      <c r="C70" s="46">
        <v>9918.2980000000007</v>
      </c>
      <c r="D70" s="46">
        <v>10552.52</v>
      </c>
      <c r="E70" s="46">
        <v>5364.9880000000003</v>
      </c>
      <c r="F70" s="46">
        <v>4899.3999999999996</v>
      </c>
      <c r="G70" s="46">
        <v>4576.9750000000004</v>
      </c>
      <c r="H70" s="46">
        <v>4501.0129999999999</v>
      </c>
    </row>
    <row r="71" spans="1:8">
      <c r="A71" s="42">
        <v>46236.583333333336</v>
      </c>
      <c r="B71" s="45">
        <v>12030.79</v>
      </c>
      <c r="C71" s="46">
        <v>9856.9410000000007</v>
      </c>
      <c r="D71" s="46">
        <v>10701.01</v>
      </c>
      <c r="E71" s="46">
        <v>5465.0230000000001</v>
      </c>
      <c r="F71" s="46">
        <v>4951.8850000000002</v>
      </c>
      <c r="G71" s="46">
        <v>4575.8249999999998</v>
      </c>
      <c r="H71" s="46">
        <v>4496.4830000000002</v>
      </c>
    </row>
    <row r="72" spans="1:8">
      <c r="A72" s="42">
        <v>46236.625</v>
      </c>
      <c r="B72" s="45">
        <v>12254.31</v>
      </c>
      <c r="C72" s="46">
        <v>9502.8130000000001</v>
      </c>
      <c r="D72" s="46">
        <v>11129.26</v>
      </c>
      <c r="E72" s="46">
        <v>5713.4769999999999</v>
      </c>
      <c r="F72" s="46">
        <v>5055.7380000000003</v>
      </c>
      <c r="G72" s="46">
        <v>4601.942</v>
      </c>
      <c r="H72" s="46">
        <v>4505.88</v>
      </c>
    </row>
    <row r="73" spans="1:8">
      <c r="A73" s="42">
        <v>46236.666666666664</v>
      </c>
      <c r="B73" s="45">
        <v>12559.4</v>
      </c>
      <c r="C73" s="46">
        <v>9504.27</v>
      </c>
      <c r="D73" s="46">
        <v>11135.44</v>
      </c>
      <c r="E73" s="46">
        <v>5780.2669999999998</v>
      </c>
      <c r="F73" s="46">
        <v>5057.8519999999999</v>
      </c>
      <c r="G73" s="46">
        <v>4603.5950000000003</v>
      </c>
      <c r="H73" s="46">
        <v>4501.67</v>
      </c>
    </row>
    <row r="74" spans="1:8">
      <c r="A74" s="42">
        <v>46236.708333333336</v>
      </c>
      <c r="B74" s="45">
        <v>12730.53</v>
      </c>
      <c r="C74" s="46">
        <v>8887.5830000000005</v>
      </c>
      <c r="D74" s="46">
        <v>11021.19</v>
      </c>
      <c r="E74" s="46">
        <v>5729.9769999999999</v>
      </c>
      <c r="F74" s="46">
        <v>5073.3739999999998</v>
      </c>
      <c r="G74" s="46">
        <v>4633.7290000000003</v>
      </c>
      <c r="H74" s="46">
        <v>4512.4979999999996</v>
      </c>
    </row>
    <row r="75" spans="1:8">
      <c r="A75" s="42">
        <v>46236.75</v>
      </c>
      <c r="B75" s="45">
        <v>12995.35</v>
      </c>
      <c r="C75" s="46">
        <v>9038.7289999999994</v>
      </c>
      <c r="D75" s="46">
        <v>10856.39</v>
      </c>
      <c r="E75" s="46">
        <v>5911.9160000000002</v>
      </c>
      <c r="F75" s="46">
        <v>5172.4210000000003</v>
      </c>
      <c r="G75" s="46">
        <v>4637.6440000000002</v>
      </c>
      <c r="H75" s="46">
        <v>4508.6869999999999</v>
      </c>
    </row>
    <row r="76" spans="1:8">
      <c r="A76" s="42">
        <v>46236.791666666664</v>
      </c>
      <c r="B76" s="45">
        <v>12945.7</v>
      </c>
      <c r="C76" s="46">
        <v>9337.8469999999998</v>
      </c>
      <c r="D76" s="46">
        <v>11036.42</v>
      </c>
      <c r="E76" s="46">
        <v>6056.625</v>
      </c>
      <c r="F76" s="46">
        <v>4597.1009999999997</v>
      </c>
      <c r="G76" s="46">
        <v>4671.1750000000002</v>
      </c>
      <c r="H76" s="46">
        <v>4521.21</v>
      </c>
    </row>
    <row r="77" spans="1:8">
      <c r="A77" s="42">
        <v>46236.833333333336</v>
      </c>
      <c r="B77" s="45">
        <v>13030.96</v>
      </c>
      <c r="C77" s="46">
        <v>9570.2569999999996</v>
      </c>
      <c r="D77" s="46">
        <v>10803.74</v>
      </c>
      <c r="E77" s="46">
        <v>6052.317</v>
      </c>
      <c r="F77" s="46">
        <v>4601.2740000000003</v>
      </c>
      <c r="G77" s="46">
        <v>4677.1109999999999</v>
      </c>
      <c r="H77" s="46">
        <v>4517.8530000000001</v>
      </c>
    </row>
    <row r="78" spans="1:8">
      <c r="A78" s="42">
        <v>46236.875</v>
      </c>
      <c r="B78" s="45">
        <v>13197.62</v>
      </c>
      <c r="C78" s="46">
        <v>9862.7749999999996</v>
      </c>
      <c r="D78" s="46">
        <v>10665.38</v>
      </c>
      <c r="E78" s="46">
        <v>6220.0709999999999</v>
      </c>
      <c r="F78" s="46">
        <v>4665.2619999999997</v>
      </c>
      <c r="G78" s="46">
        <v>4715.4319999999998</v>
      </c>
      <c r="H78" s="46">
        <v>4532.3289999999997</v>
      </c>
    </row>
    <row r="79" spans="1:8">
      <c r="A79" s="42">
        <v>46236.916666666664</v>
      </c>
      <c r="B79" s="45">
        <v>13381.42</v>
      </c>
      <c r="C79" s="46">
        <v>10124.959999999999</v>
      </c>
      <c r="D79" s="46">
        <v>10727.95</v>
      </c>
      <c r="E79" s="46">
        <v>6371.741</v>
      </c>
      <c r="F79" s="46">
        <v>4709.1469999999999</v>
      </c>
      <c r="G79" s="46">
        <v>4725.1790000000001</v>
      </c>
      <c r="H79" s="46">
        <v>4529.4470000000001</v>
      </c>
    </row>
    <row r="80" spans="1:8">
      <c r="A80" s="42">
        <v>46236.958333333336</v>
      </c>
      <c r="B80" s="45">
        <v>13612.13</v>
      </c>
      <c r="C80" s="46">
        <v>10518.29</v>
      </c>
      <c r="D80" s="46">
        <v>10565.79</v>
      </c>
      <c r="E80" s="46">
        <v>6761.61</v>
      </c>
      <c r="F80" s="46">
        <v>4793.5439999999999</v>
      </c>
      <c r="G80" s="46">
        <v>4770.8149999999996</v>
      </c>
      <c r="H80" s="46">
        <v>4546.2049999999999</v>
      </c>
    </row>
    <row r="81" spans="1:8">
      <c r="A81" s="42">
        <v>46237</v>
      </c>
      <c r="B81" s="45">
        <v>13746.3</v>
      </c>
      <c r="C81" s="46">
        <v>10827.39</v>
      </c>
      <c r="D81" s="46">
        <v>10484.34</v>
      </c>
      <c r="E81" s="46">
        <v>6879.7849999999999</v>
      </c>
      <c r="F81" s="46">
        <v>4792.0469999999996</v>
      </c>
      <c r="G81" s="46">
        <v>4786.6840000000002</v>
      </c>
      <c r="H81" s="46">
        <v>4543.9089999999997</v>
      </c>
    </row>
    <row r="82" spans="1:8">
      <c r="A82" s="42">
        <v>46237.041666666664</v>
      </c>
      <c r="B82" s="45">
        <v>13806.6</v>
      </c>
      <c r="C82" s="46">
        <v>11106.44</v>
      </c>
      <c r="D82" s="46">
        <v>10042.06</v>
      </c>
      <c r="E82" s="46">
        <v>6752.8519999999999</v>
      </c>
      <c r="F82" s="46">
        <v>4821.692</v>
      </c>
      <c r="G82" s="46">
        <v>4835.49</v>
      </c>
      <c r="H82" s="46">
        <v>4563.3950000000004</v>
      </c>
    </row>
    <row r="83" spans="1:8">
      <c r="A83" s="42">
        <v>46237.083333333336</v>
      </c>
      <c r="B83" s="45">
        <v>13867.81</v>
      </c>
      <c r="C83" s="46">
        <v>11395.63</v>
      </c>
      <c r="D83" s="46">
        <v>9891.6579999999994</v>
      </c>
      <c r="E83" s="46">
        <v>6963.4470000000001</v>
      </c>
      <c r="F83" s="46">
        <v>4932.07</v>
      </c>
      <c r="G83" s="46">
        <v>4858.1440000000002</v>
      </c>
      <c r="H83" s="46">
        <v>4562.0219999999999</v>
      </c>
    </row>
    <row r="84" spans="1:8">
      <c r="A84" s="42">
        <v>46237.125</v>
      </c>
      <c r="B84" s="45">
        <v>13969.11</v>
      </c>
      <c r="C84" s="46">
        <v>11652.99</v>
      </c>
      <c r="D84" s="46">
        <v>10047.19</v>
      </c>
      <c r="E84" s="46">
        <v>7242.37</v>
      </c>
      <c r="F84" s="46">
        <v>4504.38</v>
      </c>
      <c r="G84" s="46">
        <v>4889.5810000000001</v>
      </c>
      <c r="H84" s="46">
        <v>4584.7259999999997</v>
      </c>
    </row>
    <row r="85" spans="1:8">
      <c r="A85" s="42">
        <v>46237.166666666664</v>
      </c>
      <c r="B85" s="45">
        <v>14045.62</v>
      </c>
      <c r="C85" s="46">
        <v>11902</v>
      </c>
      <c r="D85" s="46">
        <v>10241.040000000001</v>
      </c>
      <c r="E85" s="46">
        <v>7210.2979999999998</v>
      </c>
      <c r="F85" s="46">
        <v>4518.0479999999998</v>
      </c>
      <c r="G85" s="46">
        <v>4919.4179999999997</v>
      </c>
      <c r="H85" s="46">
        <v>4584.7839999999997</v>
      </c>
    </row>
    <row r="86" spans="1:8">
      <c r="A86" s="42">
        <v>46237.208333333336</v>
      </c>
      <c r="B86" s="45">
        <v>14128.15</v>
      </c>
      <c r="C86" s="46">
        <v>12132.08</v>
      </c>
      <c r="D86" s="46">
        <v>10231.31</v>
      </c>
      <c r="E86" s="46">
        <v>7391.3630000000003</v>
      </c>
      <c r="F86" s="46">
        <v>4605.8980000000001</v>
      </c>
      <c r="G86" s="46">
        <v>4900.7449999999999</v>
      </c>
      <c r="H86" s="46">
        <v>4611.1120000000001</v>
      </c>
    </row>
    <row r="87" spans="1:8">
      <c r="A87" s="42">
        <v>46237.25</v>
      </c>
      <c r="B87" s="45">
        <v>14207.26</v>
      </c>
      <c r="C87" s="46">
        <v>12362.18</v>
      </c>
      <c r="D87" s="46">
        <v>10345.36</v>
      </c>
      <c r="E87" s="46">
        <v>7568.326</v>
      </c>
      <c r="F87" s="46">
        <v>4669.6509999999998</v>
      </c>
      <c r="G87" s="46">
        <v>4936.4669999999996</v>
      </c>
      <c r="H87" s="46">
        <v>4613.1189999999997</v>
      </c>
    </row>
    <row r="88" spans="1:8">
      <c r="A88" s="42">
        <v>46237.291666666664</v>
      </c>
      <c r="B88" s="45">
        <v>14285.9</v>
      </c>
      <c r="C88" s="46">
        <v>12597.86</v>
      </c>
      <c r="D88" s="46">
        <v>10268.32</v>
      </c>
      <c r="E88" s="46">
        <v>8018.0860000000002</v>
      </c>
      <c r="F88" s="46">
        <v>4815.415</v>
      </c>
      <c r="G88" s="46">
        <v>4858.143</v>
      </c>
      <c r="H88" s="46">
        <v>4643.37</v>
      </c>
    </row>
    <row r="89" spans="1:8">
      <c r="A89" s="42">
        <v>46237.333333333336</v>
      </c>
      <c r="B89" s="45">
        <v>14356.89</v>
      </c>
      <c r="C89" s="46">
        <v>12843.31</v>
      </c>
      <c r="D89" s="46">
        <v>10321.219999999999</v>
      </c>
      <c r="E89" s="46">
        <v>8139.8130000000001</v>
      </c>
      <c r="F89" s="46">
        <v>4846.5</v>
      </c>
      <c r="G89" s="46">
        <v>4895.8940000000002</v>
      </c>
      <c r="H89" s="46">
        <v>4647.8670000000002</v>
      </c>
    </row>
    <row r="90" spans="1:8">
      <c r="A90" s="42">
        <v>46237.375</v>
      </c>
      <c r="B90" s="45">
        <v>14440.72</v>
      </c>
      <c r="C90" s="46">
        <v>12988.44</v>
      </c>
      <c r="D90" s="46">
        <v>10012.73</v>
      </c>
      <c r="E90" s="46">
        <v>8007.5690000000004</v>
      </c>
      <c r="F90" s="46">
        <v>4833.799</v>
      </c>
      <c r="G90" s="46">
        <v>4798.1930000000002</v>
      </c>
      <c r="H90" s="46">
        <v>4682.107</v>
      </c>
    </row>
    <row r="91" spans="1:8">
      <c r="A91" s="42">
        <v>46237.416666666664</v>
      </c>
      <c r="B91" s="45">
        <v>14519.35</v>
      </c>
      <c r="C91" s="46">
        <v>13187.07</v>
      </c>
      <c r="D91" s="46">
        <v>10085.08</v>
      </c>
      <c r="E91" s="46">
        <v>8161.8860000000004</v>
      </c>
      <c r="F91" s="46">
        <v>4996.8819999999996</v>
      </c>
      <c r="G91" s="46">
        <v>4834.683</v>
      </c>
      <c r="H91" s="46">
        <v>4689.8549999999996</v>
      </c>
    </row>
    <row r="92" spans="1:8">
      <c r="A92" s="42">
        <v>46237.458333333336</v>
      </c>
      <c r="B92" s="45">
        <v>14279.57</v>
      </c>
      <c r="C92" s="46">
        <v>13201.09</v>
      </c>
      <c r="D92" s="46">
        <v>10308.5</v>
      </c>
      <c r="E92" s="46">
        <v>8515.8639999999996</v>
      </c>
      <c r="F92" s="46">
        <v>4738.3779999999997</v>
      </c>
      <c r="G92" s="46">
        <v>4758.683</v>
      </c>
      <c r="H92" s="46">
        <v>4726.9780000000001</v>
      </c>
    </row>
    <row r="93" spans="1:8">
      <c r="A93" s="42">
        <v>46237.5</v>
      </c>
      <c r="B93" s="45">
        <v>14007.44</v>
      </c>
      <c r="C93" s="46">
        <v>13283.52</v>
      </c>
      <c r="D93" s="46">
        <v>10513.15</v>
      </c>
      <c r="E93" s="46">
        <v>8447.4089999999997</v>
      </c>
      <c r="F93" s="46">
        <v>4754.6180000000004</v>
      </c>
      <c r="G93" s="46">
        <v>4796.2780000000002</v>
      </c>
      <c r="H93" s="46">
        <v>4738.9750000000004</v>
      </c>
    </row>
    <row r="94" spans="1:8">
      <c r="A94" s="42">
        <v>46237.541666666664</v>
      </c>
      <c r="B94" s="45">
        <v>13749.18</v>
      </c>
      <c r="C94" s="46">
        <v>13413.45</v>
      </c>
      <c r="D94" s="46">
        <v>10675.74</v>
      </c>
      <c r="E94" s="46">
        <v>8582.8590000000004</v>
      </c>
      <c r="F94" s="46">
        <v>4888.6040000000003</v>
      </c>
      <c r="G94" s="46">
        <v>4731.1959999999999</v>
      </c>
      <c r="H94" s="46">
        <v>4774.6959999999999</v>
      </c>
    </row>
    <row r="95" spans="1:8">
      <c r="A95" s="42">
        <v>46237.583333333336</v>
      </c>
      <c r="B95" s="45">
        <v>13472.21</v>
      </c>
      <c r="C95" s="46">
        <v>13551.56</v>
      </c>
      <c r="D95" s="46">
        <v>10871.79</v>
      </c>
      <c r="E95" s="46">
        <v>8747.6419999999998</v>
      </c>
      <c r="F95" s="46">
        <v>4989.8469999999998</v>
      </c>
      <c r="G95" s="46">
        <v>4773.4790000000003</v>
      </c>
      <c r="H95" s="46">
        <v>4791.8760000000002</v>
      </c>
    </row>
    <row r="96" spans="1:8">
      <c r="A96" s="42">
        <v>46237.625</v>
      </c>
      <c r="B96" s="45">
        <v>13180.92</v>
      </c>
      <c r="C96" s="46">
        <v>13716.23</v>
      </c>
      <c r="D96" s="46">
        <v>11046.57</v>
      </c>
      <c r="E96" s="46">
        <v>9121.4509999999991</v>
      </c>
      <c r="F96" s="46">
        <v>5254.8329999999996</v>
      </c>
      <c r="G96" s="46">
        <v>4701.2960000000003</v>
      </c>
      <c r="H96" s="46">
        <v>4817.3389999999999</v>
      </c>
    </row>
    <row r="97" spans="1:8">
      <c r="A97" s="42">
        <v>46237.666666666664</v>
      </c>
      <c r="B97" s="45">
        <v>12856.19</v>
      </c>
      <c r="C97" s="46">
        <v>13822.67</v>
      </c>
      <c r="D97" s="46">
        <v>11240.96</v>
      </c>
      <c r="E97" s="46">
        <v>9203.6859999999997</v>
      </c>
      <c r="F97" s="46">
        <v>5328.692</v>
      </c>
      <c r="G97" s="46">
        <v>4748.5590000000002</v>
      </c>
      <c r="H97" s="46">
        <v>4840.1480000000001</v>
      </c>
    </row>
    <row r="98" spans="1:8">
      <c r="A98" s="42">
        <v>46237.708333333336</v>
      </c>
      <c r="B98" s="45">
        <v>12680.69</v>
      </c>
      <c r="C98" s="46">
        <v>13887.69</v>
      </c>
      <c r="D98" s="46">
        <v>11265.7</v>
      </c>
      <c r="E98" s="46">
        <v>9034.9159999999993</v>
      </c>
      <c r="F98" s="46">
        <v>5297.5910000000003</v>
      </c>
      <c r="G98" s="46">
        <v>4686.45</v>
      </c>
      <c r="H98" s="46">
        <v>4844.2079999999996</v>
      </c>
    </row>
    <row r="99" spans="1:8">
      <c r="A99" s="42">
        <v>46237.75</v>
      </c>
      <c r="B99" s="45">
        <v>12483.99</v>
      </c>
      <c r="C99" s="46">
        <v>13955.41</v>
      </c>
      <c r="D99" s="46">
        <v>11449.7</v>
      </c>
      <c r="E99" s="46">
        <v>9095.1919999999991</v>
      </c>
      <c r="F99" s="46">
        <v>5498.5190000000002</v>
      </c>
      <c r="G99" s="46">
        <v>4738.0330000000004</v>
      </c>
      <c r="H99" s="46">
        <v>4872.2889999999998</v>
      </c>
    </row>
    <row r="100" spans="1:8">
      <c r="A100" s="42">
        <v>46237.791666666664</v>
      </c>
      <c r="B100" s="45">
        <v>12411.14</v>
      </c>
      <c r="C100" s="46">
        <v>13939.58</v>
      </c>
      <c r="D100" s="46">
        <v>11626.86</v>
      </c>
      <c r="E100" s="46">
        <v>9419.9290000000001</v>
      </c>
      <c r="F100" s="46">
        <v>5427.1180000000004</v>
      </c>
      <c r="G100" s="46">
        <v>4706.3450000000003</v>
      </c>
      <c r="H100" s="46">
        <v>4848.0550000000003</v>
      </c>
    </row>
    <row r="101" spans="1:8">
      <c r="A101" s="42">
        <v>46237.833333333336</v>
      </c>
      <c r="B101" s="45">
        <v>12290.11</v>
      </c>
      <c r="C101" s="46">
        <v>13903.74</v>
      </c>
      <c r="D101" s="46">
        <v>11808.29</v>
      </c>
      <c r="E101" s="46">
        <v>9360.56</v>
      </c>
      <c r="F101" s="46">
        <v>5415.3220000000001</v>
      </c>
      <c r="G101" s="46">
        <v>4765.6549999999997</v>
      </c>
      <c r="H101" s="46">
        <v>4880.2979999999998</v>
      </c>
    </row>
    <row r="102" spans="1:8">
      <c r="A102" s="42">
        <v>46237.875</v>
      </c>
      <c r="B102" s="45">
        <v>12248.61</v>
      </c>
      <c r="C102" s="46">
        <v>13882.79</v>
      </c>
      <c r="D102" s="46">
        <v>11983.55</v>
      </c>
      <c r="E102" s="46">
        <v>9432.9320000000007</v>
      </c>
      <c r="F102" s="46">
        <v>5576.7849999999999</v>
      </c>
      <c r="G102" s="46">
        <v>4748.8900000000003</v>
      </c>
      <c r="H102" s="46">
        <v>4830.5550000000003</v>
      </c>
    </row>
    <row r="103" spans="1:8">
      <c r="A103" s="42">
        <v>46237.916666666664</v>
      </c>
      <c r="B103" s="45">
        <v>12163.57</v>
      </c>
      <c r="C103" s="46">
        <v>13853.23</v>
      </c>
      <c r="D103" s="46">
        <v>12170.53</v>
      </c>
      <c r="E103" s="46">
        <v>9576.0329999999994</v>
      </c>
      <c r="F103" s="46">
        <v>5705.4380000000001</v>
      </c>
      <c r="G103" s="46">
        <v>4817.9250000000002</v>
      </c>
      <c r="H103" s="46">
        <v>4865.7079999999996</v>
      </c>
    </row>
    <row r="104" spans="1:8">
      <c r="A104" s="42">
        <v>46237.958333333336</v>
      </c>
      <c r="B104" s="45">
        <v>12093.2</v>
      </c>
      <c r="C104" s="46">
        <v>13821.95</v>
      </c>
      <c r="D104" s="46">
        <v>12362.12</v>
      </c>
      <c r="E104" s="46">
        <v>9801.3520000000008</v>
      </c>
      <c r="F104" s="46">
        <v>6065.1419999999998</v>
      </c>
      <c r="G104" s="46">
        <v>4803.7120000000004</v>
      </c>
      <c r="H104" s="46">
        <v>4800.7960000000003</v>
      </c>
    </row>
    <row r="105" spans="1:8">
      <c r="A105" s="42">
        <v>46238</v>
      </c>
      <c r="B105" s="45">
        <v>11825.73</v>
      </c>
      <c r="C105" s="46">
        <v>13763.46</v>
      </c>
      <c r="D105" s="46">
        <v>12546.59</v>
      </c>
      <c r="E105" s="46">
        <v>9852.0390000000007</v>
      </c>
      <c r="F105" s="46">
        <v>6154.9210000000003</v>
      </c>
      <c r="G105" s="46">
        <v>4879.7349999999997</v>
      </c>
      <c r="H105" s="46">
        <v>4838.2849999999999</v>
      </c>
    </row>
    <row r="106" spans="1:8">
      <c r="A106" s="42">
        <v>46238.041666666664</v>
      </c>
      <c r="B106" s="45">
        <v>11502.14</v>
      </c>
      <c r="C106" s="46">
        <v>13751.64</v>
      </c>
      <c r="D106" s="46">
        <v>12630.01</v>
      </c>
      <c r="E106" s="46">
        <v>9630.7849999999999</v>
      </c>
      <c r="F106" s="46">
        <v>6107.1009999999997</v>
      </c>
      <c r="G106" s="46">
        <v>4886.9210000000003</v>
      </c>
      <c r="H106" s="46">
        <v>4768.6229999999996</v>
      </c>
    </row>
    <row r="107" spans="1:8">
      <c r="A107" s="42">
        <v>46238.083333333336</v>
      </c>
      <c r="B107" s="45">
        <v>11180.48</v>
      </c>
      <c r="C107" s="46">
        <v>13730.66</v>
      </c>
      <c r="D107" s="46">
        <v>12785.74</v>
      </c>
      <c r="E107" s="46">
        <v>9643.7819999999992</v>
      </c>
      <c r="F107" s="46">
        <v>6288.2259999999997</v>
      </c>
      <c r="G107" s="46">
        <v>4968.0119999999997</v>
      </c>
      <c r="H107" s="46">
        <v>4808.8069999999998</v>
      </c>
    </row>
    <row r="108" spans="1:8">
      <c r="A108" s="42">
        <v>46238.125</v>
      </c>
      <c r="B108" s="45">
        <v>10829.38</v>
      </c>
      <c r="C108" s="46">
        <v>13555.49</v>
      </c>
      <c r="D108" s="46">
        <v>12843.98</v>
      </c>
      <c r="E108" s="46">
        <v>9918.7630000000008</v>
      </c>
      <c r="F108" s="46">
        <v>6351.0690000000004</v>
      </c>
      <c r="G108" s="46">
        <v>5010.41</v>
      </c>
      <c r="H108" s="46">
        <v>4741.0320000000002</v>
      </c>
    </row>
    <row r="109" spans="1:8">
      <c r="A109" s="42">
        <v>46238.166666666664</v>
      </c>
      <c r="B109" s="45">
        <v>10447.709999999999</v>
      </c>
      <c r="C109" s="46">
        <v>13344.14</v>
      </c>
      <c r="D109" s="46">
        <v>12922.1</v>
      </c>
      <c r="E109" s="46">
        <v>9932.09</v>
      </c>
      <c r="F109" s="46">
        <v>6294.5280000000002</v>
      </c>
      <c r="G109" s="46">
        <v>5099.4859999999999</v>
      </c>
      <c r="H109" s="46">
        <v>4784.8069999999998</v>
      </c>
    </row>
    <row r="110" spans="1:8">
      <c r="A110" s="42">
        <v>46238.208333333336</v>
      </c>
      <c r="B110" s="45">
        <v>10065.92</v>
      </c>
      <c r="C110" s="46">
        <v>13165.88</v>
      </c>
      <c r="D110" s="46">
        <v>13020.41</v>
      </c>
      <c r="E110" s="46">
        <v>9989.8590000000004</v>
      </c>
      <c r="F110" s="46">
        <v>6436.8649999999998</v>
      </c>
      <c r="G110" s="46">
        <v>5158.317</v>
      </c>
      <c r="H110" s="46">
        <v>4723.7349999999997</v>
      </c>
    </row>
    <row r="111" spans="1:8">
      <c r="A111" s="42">
        <v>46238.25</v>
      </c>
      <c r="B111" s="45">
        <v>9633.6280000000006</v>
      </c>
      <c r="C111" s="46">
        <v>13027.21</v>
      </c>
      <c r="D111" s="46">
        <v>13124.93</v>
      </c>
      <c r="E111" s="46">
        <v>10130.280000000001</v>
      </c>
      <c r="F111" s="46">
        <v>6626.6760000000004</v>
      </c>
      <c r="G111" s="46">
        <v>5253.9110000000001</v>
      </c>
      <c r="H111" s="46">
        <v>4772.1540000000005</v>
      </c>
    </row>
    <row r="112" spans="1:8">
      <c r="A112" s="42">
        <v>46238.291666666664</v>
      </c>
      <c r="B112" s="45">
        <v>9298.0519999999997</v>
      </c>
      <c r="C112" s="46">
        <v>12814.3</v>
      </c>
      <c r="D112" s="46">
        <v>13237.68</v>
      </c>
      <c r="E112" s="46">
        <v>10267.709999999999</v>
      </c>
      <c r="F112" s="46">
        <v>7044.741</v>
      </c>
      <c r="G112" s="46">
        <v>5317.4269999999997</v>
      </c>
      <c r="H112" s="46">
        <v>4722.25</v>
      </c>
    </row>
    <row r="113" spans="1:8">
      <c r="A113" s="42">
        <v>46238.333333333336</v>
      </c>
      <c r="B113" s="45">
        <v>8941.09</v>
      </c>
      <c r="C113" s="46">
        <v>12526.22</v>
      </c>
      <c r="D113" s="46">
        <v>13317.13</v>
      </c>
      <c r="E113" s="46">
        <v>10330.77</v>
      </c>
      <c r="F113" s="46">
        <v>7145.125</v>
      </c>
      <c r="G113" s="46">
        <v>5413.268</v>
      </c>
      <c r="H113" s="46">
        <v>4776.424</v>
      </c>
    </row>
    <row r="114" spans="1:8">
      <c r="A114" s="42">
        <v>46238.375</v>
      </c>
      <c r="B114" s="45">
        <v>8677.7049999999999</v>
      </c>
      <c r="C114" s="46">
        <v>12322.98</v>
      </c>
      <c r="D114" s="46">
        <v>13361.08</v>
      </c>
      <c r="E114" s="46">
        <v>10122.299999999999</v>
      </c>
      <c r="F114" s="46">
        <v>6952.9579999999996</v>
      </c>
      <c r="G114" s="46">
        <v>5497.9579999999996</v>
      </c>
      <c r="H114" s="46">
        <v>4740.4539999999997</v>
      </c>
    </row>
    <row r="115" spans="1:8">
      <c r="A115" s="42">
        <v>46238.416666666664</v>
      </c>
      <c r="B115" s="45">
        <v>8605.8340000000007</v>
      </c>
      <c r="C115" s="46">
        <v>12113.2</v>
      </c>
      <c r="D115" s="46">
        <v>13428.05</v>
      </c>
      <c r="E115" s="46">
        <v>10155.06</v>
      </c>
      <c r="F115" s="46">
        <v>7091.7420000000002</v>
      </c>
      <c r="G115" s="46">
        <v>5592.3440000000001</v>
      </c>
      <c r="H115" s="46">
        <v>4801.3119999999999</v>
      </c>
    </row>
    <row r="116" spans="1:8">
      <c r="A116" s="42">
        <v>46238.458333333336</v>
      </c>
      <c r="B116" s="45">
        <v>8515.7049999999999</v>
      </c>
      <c r="C116" s="46">
        <v>11957.81</v>
      </c>
      <c r="D116" s="46">
        <v>13392.78</v>
      </c>
      <c r="E116" s="46">
        <v>10389.86</v>
      </c>
      <c r="F116" s="46">
        <v>7333.0110000000004</v>
      </c>
      <c r="G116" s="46">
        <v>5705.1710000000003</v>
      </c>
      <c r="H116" s="46">
        <v>4780.4030000000002</v>
      </c>
    </row>
    <row r="117" spans="1:8">
      <c r="A117" s="42">
        <v>46238.5</v>
      </c>
      <c r="B117" s="45">
        <v>8515.1540000000005</v>
      </c>
      <c r="C117" s="46">
        <v>11764.76</v>
      </c>
      <c r="D117" s="46">
        <v>13348.03</v>
      </c>
      <c r="E117" s="46">
        <v>10469.77</v>
      </c>
      <c r="F117" s="46">
        <v>7302.0990000000002</v>
      </c>
      <c r="G117" s="46">
        <v>5802.15</v>
      </c>
      <c r="H117" s="46">
        <v>4848.335</v>
      </c>
    </row>
    <row r="118" spans="1:8">
      <c r="A118" s="42">
        <v>46238.541666666664</v>
      </c>
      <c r="B118" s="45">
        <v>8389.1509999999998</v>
      </c>
      <c r="C118" s="46">
        <v>11619.13</v>
      </c>
      <c r="D118" s="46">
        <v>13326.46</v>
      </c>
      <c r="E118" s="46">
        <v>10552.13</v>
      </c>
      <c r="F118" s="46">
        <v>7445.1180000000004</v>
      </c>
      <c r="G118" s="46">
        <v>5922.5820000000003</v>
      </c>
      <c r="H118" s="46">
        <v>4844.1480000000001</v>
      </c>
    </row>
    <row r="119" spans="1:8">
      <c r="A119" s="42">
        <v>46238.583333333336</v>
      </c>
      <c r="B119" s="45">
        <v>8539.9279999999999</v>
      </c>
      <c r="C119" s="46">
        <v>11718.23</v>
      </c>
      <c r="D119" s="46">
        <v>13323.48</v>
      </c>
      <c r="E119" s="46">
        <v>10702.73</v>
      </c>
      <c r="F119" s="46">
        <v>7588.0730000000003</v>
      </c>
      <c r="G119" s="46">
        <v>6020.1260000000002</v>
      </c>
      <c r="H119" s="46">
        <v>4919.0159999999996</v>
      </c>
    </row>
    <row r="120" spans="1:8">
      <c r="A120" s="42">
        <v>46238.625</v>
      </c>
      <c r="B120" s="45">
        <v>8500.0949999999993</v>
      </c>
      <c r="C120" s="46">
        <v>11705.75</v>
      </c>
      <c r="D120" s="46">
        <v>13300.71</v>
      </c>
      <c r="E120" s="46">
        <v>10827.07</v>
      </c>
      <c r="F120" s="46">
        <v>7886.99</v>
      </c>
      <c r="G120" s="46">
        <v>6136.9639999999999</v>
      </c>
      <c r="H120" s="46">
        <v>4933.7070000000003</v>
      </c>
    </row>
    <row r="121" spans="1:8">
      <c r="A121" s="42">
        <v>46238.666666666664</v>
      </c>
      <c r="B121" s="45">
        <v>8630.1309999999994</v>
      </c>
      <c r="C121" s="46">
        <v>11422.65</v>
      </c>
      <c r="D121" s="46">
        <v>13226.42</v>
      </c>
      <c r="E121" s="46">
        <v>10924.71</v>
      </c>
      <c r="F121" s="46">
        <v>7958.7640000000001</v>
      </c>
      <c r="G121" s="46">
        <v>6231.6940000000004</v>
      </c>
      <c r="H121" s="46">
        <v>5015.0600000000004</v>
      </c>
    </row>
    <row r="122" spans="1:8">
      <c r="A122" s="42">
        <v>46238.708333333336</v>
      </c>
      <c r="B122" s="45">
        <v>8749.2279999999992</v>
      </c>
      <c r="C122" s="46">
        <v>11182.49</v>
      </c>
      <c r="D122" s="46">
        <v>13179.1</v>
      </c>
      <c r="E122" s="46">
        <v>10791.95</v>
      </c>
      <c r="F122" s="46">
        <v>7821.3639999999996</v>
      </c>
      <c r="G122" s="46">
        <v>6358.7359999999999</v>
      </c>
      <c r="H122" s="46">
        <v>5049.085</v>
      </c>
    </row>
    <row r="123" spans="1:8">
      <c r="A123" s="42">
        <v>46238.75</v>
      </c>
      <c r="B123" s="45">
        <v>8946.9599999999991</v>
      </c>
      <c r="C123" s="46">
        <v>10982.54</v>
      </c>
      <c r="D123" s="46">
        <v>13135.9</v>
      </c>
      <c r="E123" s="46">
        <v>10865.65</v>
      </c>
      <c r="F123" s="46">
        <v>7920.5950000000003</v>
      </c>
      <c r="G123" s="46">
        <v>6454.3959999999997</v>
      </c>
      <c r="H123" s="46">
        <v>5136.018</v>
      </c>
    </row>
    <row r="124" spans="1:8">
      <c r="A124" s="42">
        <v>46238.791666666664</v>
      </c>
      <c r="B124" s="45">
        <v>9148.1550000000007</v>
      </c>
      <c r="C124" s="46">
        <v>10797.98</v>
      </c>
      <c r="D124" s="46">
        <v>13014.39</v>
      </c>
      <c r="E124" s="46">
        <v>11052.68</v>
      </c>
      <c r="F124" s="46">
        <v>8093.1030000000001</v>
      </c>
      <c r="G124" s="46">
        <v>6594.2060000000001</v>
      </c>
      <c r="H124" s="46">
        <v>5188.1869999999999</v>
      </c>
    </row>
    <row r="125" spans="1:8">
      <c r="A125" s="42">
        <v>46238.833333333336</v>
      </c>
      <c r="B125" s="45">
        <v>9422.5720000000001</v>
      </c>
      <c r="C125" s="46">
        <v>10608.35</v>
      </c>
      <c r="D125" s="46">
        <v>12866.75</v>
      </c>
      <c r="E125" s="46">
        <v>11158.03</v>
      </c>
      <c r="F125" s="46">
        <v>8071</v>
      </c>
      <c r="G125" s="46">
        <v>6694.5770000000002</v>
      </c>
      <c r="H125" s="46">
        <v>5279.2110000000002</v>
      </c>
    </row>
    <row r="126" spans="1:8">
      <c r="A126" s="42">
        <v>46238.875</v>
      </c>
      <c r="B126" s="45">
        <v>9756.2810000000009</v>
      </c>
      <c r="C126" s="46">
        <v>10417.18</v>
      </c>
      <c r="D126" s="46">
        <v>12750.62</v>
      </c>
      <c r="E126" s="46">
        <v>11257.6</v>
      </c>
      <c r="F126" s="46">
        <v>8173.259</v>
      </c>
      <c r="G126" s="46">
        <v>6831.143</v>
      </c>
      <c r="H126" s="46">
        <v>5348.7190000000001</v>
      </c>
    </row>
    <row r="127" spans="1:8">
      <c r="A127" s="42">
        <v>46238.916666666664</v>
      </c>
      <c r="B127" s="45">
        <v>10080.57</v>
      </c>
      <c r="C127" s="46">
        <v>10298.59</v>
      </c>
      <c r="D127" s="46">
        <v>12717.07</v>
      </c>
      <c r="E127" s="46">
        <v>11405</v>
      </c>
      <c r="F127" s="46">
        <v>8275.4719999999998</v>
      </c>
      <c r="G127" s="46">
        <v>6928.5630000000001</v>
      </c>
      <c r="H127" s="46">
        <v>5442.268</v>
      </c>
    </row>
    <row r="128" spans="1:8">
      <c r="A128" s="42">
        <v>46238.958333333336</v>
      </c>
      <c r="B128" s="45">
        <v>10297.59</v>
      </c>
      <c r="C128" s="46">
        <v>10170.049999999999</v>
      </c>
      <c r="D128" s="46">
        <v>12622.37</v>
      </c>
      <c r="E128" s="46">
        <v>11529.72</v>
      </c>
      <c r="F128" s="46">
        <v>8489.1970000000001</v>
      </c>
      <c r="G128" s="46">
        <v>7059.7460000000001</v>
      </c>
      <c r="H128" s="46">
        <v>5528.5069999999996</v>
      </c>
    </row>
    <row r="129" spans="1:8">
      <c r="A129" s="42">
        <v>46239</v>
      </c>
      <c r="B129" s="45">
        <v>10520.44</v>
      </c>
      <c r="C129" s="46">
        <v>9991.67</v>
      </c>
      <c r="D129" s="46">
        <v>12388.93</v>
      </c>
      <c r="E129" s="46">
        <v>11639.44</v>
      </c>
      <c r="F129" s="46">
        <v>8540.5159999999996</v>
      </c>
      <c r="G129" s="46">
        <v>7147.8969999999999</v>
      </c>
      <c r="H129" s="46">
        <v>5623.5010000000002</v>
      </c>
    </row>
    <row r="130" spans="1:8">
      <c r="A130" s="42">
        <v>46239.041666666664</v>
      </c>
      <c r="B130" s="45">
        <v>10657.24</v>
      </c>
      <c r="C130" s="46">
        <v>9847.4599999999991</v>
      </c>
      <c r="D130" s="46">
        <v>12234.92</v>
      </c>
      <c r="E130" s="46">
        <v>11578.82</v>
      </c>
      <c r="F130" s="46">
        <v>8442.2749999999996</v>
      </c>
      <c r="G130" s="46">
        <v>7286.4889999999996</v>
      </c>
      <c r="H130" s="46">
        <v>5724.1869999999999</v>
      </c>
    </row>
    <row r="131" spans="1:8">
      <c r="A131" s="42">
        <v>46239.083333333336</v>
      </c>
      <c r="B131" s="45">
        <v>10746.2</v>
      </c>
      <c r="C131" s="46">
        <v>9790.7829999999994</v>
      </c>
      <c r="D131" s="46">
        <v>12093.79</v>
      </c>
      <c r="E131" s="46">
        <v>11669.28</v>
      </c>
      <c r="F131" s="46">
        <v>8513.2260000000006</v>
      </c>
      <c r="G131" s="46">
        <v>7368.2269999999999</v>
      </c>
      <c r="H131" s="46">
        <v>5819.9660000000003</v>
      </c>
    </row>
    <row r="132" spans="1:8">
      <c r="A132" s="42">
        <v>46239.125</v>
      </c>
      <c r="B132" s="45">
        <v>10590.13</v>
      </c>
      <c r="C132" s="46">
        <v>9724.6229999999996</v>
      </c>
      <c r="D132" s="46">
        <v>11946.27</v>
      </c>
      <c r="E132" s="46">
        <v>11790.88</v>
      </c>
      <c r="F132" s="46">
        <v>8636.5679999999993</v>
      </c>
      <c r="G132" s="46">
        <v>7506.1559999999999</v>
      </c>
      <c r="H132" s="46">
        <v>5931.59</v>
      </c>
    </row>
    <row r="133" spans="1:8">
      <c r="A133" s="42">
        <v>46239.166666666664</v>
      </c>
      <c r="B133" s="45">
        <v>10372.51</v>
      </c>
      <c r="C133" s="46">
        <v>9696.5830000000005</v>
      </c>
      <c r="D133" s="46">
        <v>11776.55</v>
      </c>
      <c r="E133" s="46">
        <v>11872.31</v>
      </c>
      <c r="F133" s="46">
        <v>8620.7649999999994</v>
      </c>
      <c r="G133" s="46">
        <v>7585.7709999999997</v>
      </c>
      <c r="H133" s="46">
        <v>6027.7290000000003</v>
      </c>
    </row>
    <row r="134" spans="1:8">
      <c r="A134" s="42">
        <v>46239.208333333336</v>
      </c>
      <c r="B134" s="45">
        <v>10113.780000000001</v>
      </c>
      <c r="C134" s="46">
        <v>9645.7379999999994</v>
      </c>
      <c r="D134" s="46">
        <v>11633.32</v>
      </c>
      <c r="E134" s="46">
        <v>11954.68</v>
      </c>
      <c r="F134" s="46">
        <v>8693.8799999999992</v>
      </c>
      <c r="G134" s="46">
        <v>7706.86</v>
      </c>
      <c r="H134" s="46">
        <v>6147.6570000000002</v>
      </c>
    </row>
    <row r="135" spans="1:8">
      <c r="A135" s="42">
        <v>46239.25</v>
      </c>
      <c r="B135" s="45">
        <v>9754.7639999999992</v>
      </c>
      <c r="C135" s="46">
        <v>9409.1090000000004</v>
      </c>
      <c r="D135" s="46">
        <v>11613.74</v>
      </c>
      <c r="E135" s="46">
        <v>12072.09</v>
      </c>
      <c r="F135" s="46">
        <v>8766.9619999999995</v>
      </c>
      <c r="G135" s="46">
        <v>7780.5990000000002</v>
      </c>
      <c r="H135" s="46">
        <v>6244.0290000000005</v>
      </c>
    </row>
    <row r="136" spans="1:8">
      <c r="A136" s="42">
        <v>46239.291666666664</v>
      </c>
      <c r="B136" s="45">
        <v>9565.8709999999992</v>
      </c>
      <c r="C136" s="46">
        <v>9395.2029999999995</v>
      </c>
      <c r="D136" s="46">
        <v>10993.34</v>
      </c>
      <c r="E136" s="46">
        <v>12169.71</v>
      </c>
      <c r="F136" s="46">
        <v>8919.7749999999996</v>
      </c>
      <c r="G136" s="46">
        <v>7886.2889999999998</v>
      </c>
      <c r="H136" s="46">
        <v>6370.5739999999996</v>
      </c>
    </row>
    <row r="137" spans="1:8">
      <c r="A137" s="42">
        <v>46239.333333333336</v>
      </c>
      <c r="B137" s="45">
        <v>9274.9809999999998</v>
      </c>
      <c r="C137" s="46">
        <v>9444.9840000000004</v>
      </c>
      <c r="D137" s="46">
        <v>10696.67</v>
      </c>
      <c r="E137" s="46">
        <v>12244.87</v>
      </c>
      <c r="F137" s="46">
        <v>8956.4689999999991</v>
      </c>
      <c r="G137" s="46">
        <v>7951.1959999999999</v>
      </c>
      <c r="H137" s="46">
        <v>6466.96</v>
      </c>
    </row>
    <row r="138" spans="1:8">
      <c r="A138" s="42">
        <v>46239.375</v>
      </c>
      <c r="B138" s="45">
        <v>9171.7060000000001</v>
      </c>
      <c r="C138" s="46">
        <v>9486.9290000000001</v>
      </c>
      <c r="D138" s="46">
        <v>10528.27</v>
      </c>
      <c r="E138" s="46">
        <v>12214.86</v>
      </c>
      <c r="F138" s="46">
        <v>8886.2270000000008</v>
      </c>
      <c r="G138" s="46">
        <v>8055.4970000000003</v>
      </c>
      <c r="H138" s="46">
        <v>6598.0630000000001</v>
      </c>
    </row>
    <row r="139" spans="1:8">
      <c r="A139" s="42">
        <v>46239.416666666664</v>
      </c>
      <c r="B139" s="45">
        <v>8978.3700000000008</v>
      </c>
      <c r="C139" s="46">
        <v>9575.8009999999995</v>
      </c>
      <c r="D139" s="46">
        <v>10418.69</v>
      </c>
      <c r="E139" s="46">
        <v>12282.87</v>
      </c>
      <c r="F139" s="46">
        <v>8936.9560000000001</v>
      </c>
      <c r="G139" s="46">
        <v>8114.7150000000001</v>
      </c>
      <c r="H139" s="46">
        <v>6693.3810000000003</v>
      </c>
    </row>
    <row r="140" spans="1:8">
      <c r="A140" s="42">
        <v>46239.458333333336</v>
      </c>
      <c r="B140" s="45">
        <v>8996.2489999999998</v>
      </c>
      <c r="C140" s="46">
        <v>9616.1129999999994</v>
      </c>
      <c r="D140" s="46">
        <v>10306.879999999999</v>
      </c>
      <c r="E140" s="46">
        <v>12329.67</v>
      </c>
      <c r="F140" s="46">
        <v>9025.1460000000006</v>
      </c>
      <c r="G140" s="46">
        <v>8215.3729999999996</v>
      </c>
      <c r="H140" s="46">
        <v>6826.7950000000001</v>
      </c>
    </row>
    <row r="141" spans="1:8">
      <c r="A141" s="42">
        <v>46239.5</v>
      </c>
      <c r="B141" s="45">
        <v>8949.6239999999998</v>
      </c>
      <c r="C141" s="46">
        <v>9684.83</v>
      </c>
      <c r="D141" s="46">
        <v>10210.07</v>
      </c>
      <c r="E141" s="46">
        <v>12352.71</v>
      </c>
      <c r="F141" s="46">
        <v>9013.8469999999998</v>
      </c>
      <c r="G141" s="46">
        <v>8272.5910000000003</v>
      </c>
      <c r="H141" s="46">
        <v>6919.2529999999997</v>
      </c>
    </row>
    <row r="142" spans="1:8">
      <c r="A142" s="42">
        <v>46239.541666666664</v>
      </c>
      <c r="B142" s="45">
        <v>9015.01</v>
      </c>
      <c r="C142" s="46">
        <v>9768.9410000000007</v>
      </c>
      <c r="D142" s="46">
        <v>10106.209999999999</v>
      </c>
      <c r="E142" s="46">
        <v>12386.08</v>
      </c>
      <c r="F142" s="46">
        <v>9066.1239999999998</v>
      </c>
      <c r="G142" s="46">
        <v>8359.9</v>
      </c>
      <c r="H142" s="46">
        <v>7053.1890000000003</v>
      </c>
    </row>
    <row r="143" spans="1:8">
      <c r="A143" s="42">
        <v>46239.583333333336</v>
      </c>
      <c r="B143" s="45">
        <v>9037.4689999999991</v>
      </c>
      <c r="C143" s="46">
        <v>9584.3439999999991</v>
      </c>
      <c r="D143" s="46">
        <v>9938.3549999999996</v>
      </c>
      <c r="E143" s="46">
        <v>12457.2</v>
      </c>
      <c r="F143" s="46">
        <v>9118.3780000000006</v>
      </c>
      <c r="G143" s="46">
        <v>8412.7260000000006</v>
      </c>
      <c r="H143" s="46">
        <v>7141.3509999999997</v>
      </c>
    </row>
    <row r="144" spans="1:8">
      <c r="A144" s="42">
        <v>46239.625</v>
      </c>
      <c r="B144" s="45">
        <v>9138.6890000000003</v>
      </c>
      <c r="C144" s="46">
        <v>9611.9580000000005</v>
      </c>
      <c r="D144" s="46">
        <v>9844.9140000000007</v>
      </c>
      <c r="E144" s="46">
        <v>12485.46</v>
      </c>
      <c r="F144" s="46">
        <v>9227.6389999999992</v>
      </c>
      <c r="G144" s="46">
        <v>8488.5380000000005</v>
      </c>
      <c r="H144" s="46">
        <v>7273.5789999999997</v>
      </c>
    </row>
    <row r="145" spans="1:8">
      <c r="A145" s="42">
        <v>46239.666666666664</v>
      </c>
      <c r="B145" s="45">
        <v>9212.7929999999997</v>
      </c>
      <c r="C145" s="46">
        <v>9658.6450000000004</v>
      </c>
      <c r="D145" s="46">
        <v>9775.4150000000009</v>
      </c>
      <c r="E145" s="46">
        <v>12483.74</v>
      </c>
      <c r="F145" s="46">
        <v>9253.875</v>
      </c>
      <c r="G145" s="46">
        <v>8534.98</v>
      </c>
      <c r="H145" s="46">
        <v>7356.799</v>
      </c>
    </row>
    <row r="146" spans="1:8">
      <c r="A146" s="42">
        <v>46239.708333333336</v>
      </c>
      <c r="B146" s="45">
        <v>9304.143</v>
      </c>
      <c r="C146" s="46">
        <v>9713.3829999999998</v>
      </c>
      <c r="D146" s="46">
        <v>9725.8459999999995</v>
      </c>
      <c r="E146" s="46">
        <v>12440.03</v>
      </c>
      <c r="F146" s="46">
        <v>9203.6509999999998</v>
      </c>
      <c r="G146" s="46">
        <v>8609.6329999999998</v>
      </c>
      <c r="H146" s="46">
        <v>7484.1319999999996</v>
      </c>
    </row>
    <row r="147" spans="1:8">
      <c r="A147" s="42">
        <v>46239.75</v>
      </c>
      <c r="B147" s="45">
        <v>9380.7459999999992</v>
      </c>
      <c r="C147" s="46">
        <v>9755.34</v>
      </c>
      <c r="D147" s="46">
        <v>9735.6679999999997</v>
      </c>
      <c r="E147" s="46">
        <v>12457.36</v>
      </c>
      <c r="F147" s="46">
        <v>9239.9230000000007</v>
      </c>
      <c r="G147" s="46">
        <v>8651.9840000000004</v>
      </c>
      <c r="H147" s="46">
        <v>7562.0349999999999</v>
      </c>
    </row>
    <row r="148" spans="1:8">
      <c r="A148" s="42">
        <v>46239.791666666664</v>
      </c>
      <c r="B148" s="45">
        <v>9462.1669999999995</v>
      </c>
      <c r="C148" s="46">
        <v>9746.1830000000009</v>
      </c>
      <c r="D148" s="46">
        <v>9716.2819999999992</v>
      </c>
      <c r="E148" s="46">
        <v>12435.41</v>
      </c>
      <c r="F148" s="46">
        <v>9302.9789999999994</v>
      </c>
      <c r="G148" s="46">
        <v>8723.9779999999992</v>
      </c>
      <c r="H148" s="46">
        <v>7681.9570000000003</v>
      </c>
    </row>
    <row r="149" spans="1:8">
      <c r="A149" s="42">
        <v>46239.833333333336</v>
      </c>
      <c r="B149" s="45">
        <v>9531.9150000000009</v>
      </c>
      <c r="C149" s="46">
        <v>9719.2240000000002</v>
      </c>
      <c r="D149" s="46">
        <v>9724.2459999999992</v>
      </c>
      <c r="E149" s="46">
        <v>12394.66</v>
      </c>
      <c r="F149" s="46">
        <v>9294.9</v>
      </c>
      <c r="G149" s="46">
        <v>8764.8919999999998</v>
      </c>
      <c r="H149" s="46">
        <v>7754.1869999999999</v>
      </c>
    </row>
    <row r="150" spans="1:8">
      <c r="A150" s="42">
        <v>46239.875</v>
      </c>
      <c r="B150" s="45">
        <v>9589.6290000000008</v>
      </c>
      <c r="C150" s="46">
        <v>9713.5720000000001</v>
      </c>
      <c r="D150" s="46">
        <v>9730.375</v>
      </c>
      <c r="E150" s="46">
        <v>12370.7</v>
      </c>
      <c r="F150" s="46">
        <v>9332.2780000000002</v>
      </c>
      <c r="G150" s="46">
        <v>8827.3240000000005</v>
      </c>
      <c r="H150" s="46">
        <v>7866.1059999999998</v>
      </c>
    </row>
    <row r="151" spans="1:8">
      <c r="A151" s="42">
        <v>46239.916666666664</v>
      </c>
      <c r="B151" s="45">
        <v>9642.4930000000004</v>
      </c>
      <c r="C151" s="46">
        <v>9535.6419999999998</v>
      </c>
      <c r="D151" s="46">
        <v>9524.9789999999994</v>
      </c>
      <c r="E151" s="46">
        <v>12396.58</v>
      </c>
      <c r="F151" s="46">
        <v>9369.64</v>
      </c>
      <c r="G151" s="46">
        <v>8865.0969999999998</v>
      </c>
      <c r="H151" s="46">
        <v>7932.6980000000003</v>
      </c>
    </row>
    <row r="152" spans="1:8">
      <c r="A152" s="42">
        <v>46239.958333333336</v>
      </c>
      <c r="B152" s="45">
        <v>9684.3430000000008</v>
      </c>
      <c r="C152" s="46">
        <v>9521.8250000000007</v>
      </c>
      <c r="D152" s="46">
        <v>9523.607</v>
      </c>
      <c r="E152" s="46">
        <v>12312.37</v>
      </c>
      <c r="F152" s="46">
        <v>9447.7620000000006</v>
      </c>
      <c r="G152" s="46">
        <v>8919.3040000000001</v>
      </c>
      <c r="H152" s="46">
        <v>8036.8770000000004</v>
      </c>
    </row>
    <row r="153" spans="1:8">
      <c r="A153" s="42">
        <v>46240</v>
      </c>
      <c r="B153" s="45">
        <v>9721.8850000000002</v>
      </c>
      <c r="C153" s="46">
        <v>9479.7260000000006</v>
      </c>
      <c r="D153" s="46">
        <v>9556.1890000000003</v>
      </c>
      <c r="E153" s="46">
        <v>12224.57</v>
      </c>
      <c r="F153" s="46">
        <v>9466.5210000000006</v>
      </c>
      <c r="G153" s="46">
        <v>8952.51</v>
      </c>
      <c r="H153" s="46">
        <v>8098.299</v>
      </c>
    </row>
    <row r="154" spans="1:8">
      <c r="A154" s="42">
        <v>46240.041666666664</v>
      </c>
      <c r="B154" s="45">
        <v>9747.6239999999998</v>
      </c>
      <c r="C154" s="46">
        <v>9497.9210000000003</v>
      </c>
      <c r="D154" s="46">
        <v>9595.6929999999993</v>
      </c>
      <c r="E154" s="46">
        <v>12148.21</v>
      </c>
      <c r="F154" s="46">
        <v>9430.61</v>
      </c>
      <c r="G154" s="46">
        <v>9005.8870000000006</v>
      </c>
      <c r="H154" s="46">
        <v>8194.5939999999991</v>
      </c>
    </row>
    <row r="155" spans="1:8">
      <c r="A155" s="42">
        <v>46240.083333333336</v>
      </c>
      <c r="B155" s="45">
        <v>9768.9320000000007</v>
      </c>
      <c r="C155" s="46">
        <v>9477.2080000000005</v>
      </c>
      <c r="D155" s="46">
        <v>9649.93</v>
      </c>
      <c r="E155" s="46">
        <v>12116.94</v>
      </c>
      <c r="F155" s="46">
        <v>9456.5450000000001</v>
      </c>
      <c r="G155" s="46">
        <v>9036.1679999999997</v>
      </c>
      <c r="H155" s="46">
        <v>8251.2610000000004</v>
      </c>
    </row>
    <row r="156" spans="1:8">
      <c r="A156" s="42">
        <v>46240.125</v>
      </c>
      <c r="B156" s="45">
        <v>9782.4590000000007</v>
      </c>
      <c r="C156" s="46">
        <v>9491.1209999999992</v>
      </c>
      <c r="D156" s="46">
        <v>9663.7060000000001</v>
      </c>
      <c r="E156" s="46">
        <v>12051.07</v>
      </c>
      <c r="F156" s="46">
        <v>9501.6299999999992</v>
      </c>
      <c r="G156" s="46">
        <v>9087.6440000000002</v>
      </c>
      <c r="H156" s="46">
        <v>8339.6460000000006</v>
      </c>
    </row>
    <row r="157" spans="1:8">
      <c r="A157" s="42">
        <v>46240.166666666664</v>
      </c>
      <c r="B157" s="45">
        <v>9797.1620000000003</v>
      </c>
      <c r="C157" s="46">
        <v>9472.6839999999993</v>
      </c>
      <c r="D157" s="46">
        <v>9680.8809999999994</v>
      </c>
      <c r="E157" s="46">
        <v>11972.35</v>
      </c>
      <c r="F157" s="46">
        <v>9495.8539999999994</v>
      </c>
      <c r="G157" s="46">
        <v>9116.8970000000008</v>
      </c>
      <c r="H157" s="46">
        <v>8391.7479999999996</v>
      </c>
    </row>
    <row r="158" spans="1:8">
      <c r="A158" s="42">
        <v>46240.208333333336</v>
      </c>
      <c r="B158" s="45">
        <v>9806.2860000000001</v>
      </c>
      <c r="C158" s="46">
        <v>9493.3970000000008</v>
      </c>
      <c r="D158" s="46">
        <v>9717.152</v>
      </c>
      <c r="E158" s="46">
        <v>11909.99</v>
      </c>
      <c r="F158" s="46">
        <v>9522.5789999999997</v>
      </c>
      <c r="G158" s="46">
        <v>9161.5370000000003</v>
      </c>
      <c r="H158" s="46">
        <v>8473.0079999999998</v>
      </c>
    </row>
    <row r="159" spans="1:8">
      <c r="A159" s="42">
        <v>46240.25</v>
      </c>
      <c r="B159" s="45">
        <v>9812.348</v>
      </c>
      <c r="C159" s="46">
        <v>9425.6589999999997</v>
      </c>
      <c r="D159" s="46">
        <v>9545.3029999999999</v>
      </c>
      <c r="E159" s="46">
        <v>11887.71</v>
      </c>
      <c r="F159" s="46">
        <v>9549.2919999999995</v>
      </c>
      <c r="G159" s="46">
        <v>9188.5429999999997</v>
      </c>
      <c r="H159" s="46">
        <v>8520.8240000000005</v>
      </c>
    </row>
    <row r="160" spans="1:8">
      <c r="A160" s="42">
        <v>46240.291666666664</v>
      </c>
      <c r="B160" s="45">
        <v>9814.2160000000003</v>
      </c>
      <c r="C160" s="46">
        <v>9452.5920000000006</v>
      </c>
      <c r="D160" s="46">
        <v>9554.0139999999992</v>
      </c>
      <c r="E160" s="46">
        <v>11708.11</v>
      </c>
      <c r="F160" s="46">
        <v>9605.1489999999994</v>
      </c>
      <c r="G160" s="46">
        <v>9227.3019999999997</v>
      </c>
      <c r="H160" s="46">
        <v>8595.8559999999998</v>
      </c>
    </row>
    <row r="161" spans="1:8">
      <c r="A161" s="42">
        <v>46240.333333333336</v>
      </c>
      <c r="B161" s="45">
        <v>9822.59</v>
      </c>
      <c r="C161" s="46">
        <v>9454.143</v>
      </c>
      <c r="D161" s="46">
        <v>9558.8369999999995</v>
      </c>
      <c r="E161" s="46">
        <v>11577.18</v>
      </c>
      <c r="F161" s="46">
        <v>9618.5619999999999</v>
      </c>
      <c r="G161" s="46">
        <v>9251.0439999999999</v>
      </c>
      <c r="H161" s="46">
        <v>8639.8580000000002</v>
      </c>
    </row>
    <row r="162" spans="1:8">
      <c r="A162" s="42">
        <v>46240.375</v>
      </c>
      <c r="B162" s="45">
        <v>9828.6679999999997</v>
      </c>
      <c r="C162" s="46">
        <v>9490.9580000000005</v>
      </c>
      <c r="D162" s="46">
        <v>9595.8539999999994</v>
      </c>
      <c r="E162" s="46">
        <v>11487.16</v>
      </c>
      <c r="F162" s="46">
        <v>9592.8860000000004</v>
      </c>
      <c r="G162" s="46">
        <v>9289.2090000000007</v>
      </c>
      <c r="H162" s="46">
        <v>8708.9359999999997</v>
      </c>
    </row>
    <row r="163" spans="1:8">
      <c r="A163" s="42">
        <v>46240.416666666664</v>
      </c>
      <c r="B163" s="45">
        <v>9835.0190000000002</v>
      </c>
      <c r="C163" s="46">
        <v>9502.0879999999997</v>
      </c>
      <c r="D163" s="46">
        <v>9609.6859999999997</v>
      </c>
      <c r="E163" s="46">
        <v>11440.57</v>
      </c>
      <c r="F163" s="46">
        <v>9611.43</v>
      </c>
      <c r="G163" s="46">
        <v>9310.8590000000004</v>
      </c>
      <c r="H163" s="46">
        <v>8749.4869999999992</v>
      </c>
    </row>
    <row r="164" spans="1:8">
      <c r="A164" s="42">
        <v>46240.458333333336</v>
      </c>
      <c r="B164" s="45">
        <v>9839.3539999999994</v>
      </c>
      <c r="C164" s="46">
        <v>9536.0859999999993</v>
      </c>
      <c r="D164" s="46">
        <v>9615.5949999999993</v>
      </c>
      <c r="E164" s="46">
        <v>11365.98</v>
      </c>
      <c r="F164" s="46">
        <v>9643.6650000000009</v>
      </c>
      <c r="G164" s="46">
        <v>9347.6650000000009</v>
      </c>
      <c r="H164" s="46">
        <v>8812.7720000000008</v>
      </c>
    </row>
    <row r="165" spans="1:8">
      <c r="A165" s="42">
        <v>46240.5</v>
      </c>
      <c r="B165" s="45">
        <v>9847.8829999999998</v>
      </c>
      <c r="C165" s="46">
        <v>9550.5779999999995</v>
      </c>
      <c r="D165" s="46">
        <v>9598.7870000000003</v>
      </c>
      <c r="E165" s="46">
        <v>11288.56</v>
      </c>
      <c r="F165" s="46">
        <v>9639.5349999999999</v>
      </c>
      <c r="G165" s="46">
        <v>9368.5810000000001</v>
      </c>
      <c r="H165" s="46">
        <v>8850.0390000000007</v>
      </c>
    </row>
    <row r="166" spans="1:8">
      <c r="A166" s="42">
        <v>46240.541666666664</v>
      </c>
      <c r="B166" s="45">
        <v>9854.6319999999996</v>
      </c>
      <c r="C166" s="46">
        <v>9580.7000000000007</v>
      </c>
      <c r="D166" s="46">
        <v>9609.9879999999994</v>
      </c>
      <c r="E166" s="46">
        <v>11222.42</v>
      </c>
      <c r="F166" s="46">
        <v>9658.6440000000002</v>
      </c>
      <c r="G166" s="46">
        <v>9400.4989999999998</v>
      </c>
      <c r="H166" s="46">
        <v>8908.1740000000009</v>
      </c>
    </row>
    <row r="167" spans="1:8">
      <c r="A167" s="42">
        <v>46240.583333333336</v>
      </c>
      <c r="B167" s="45">
        <v>9861.61</v>
      </c>
      <c r="C167" s="46">
        <v>9572.76</v>
      </c>
      <c r="D167" s="46">
        <v>9494.3330000000005</v>
      </c>
      <c r="E167" s="46">
        <v>11143.3</v>
      </c>
      <c r="F167" s="46">
        <v>9677.7430000000004</v>
      </c>
      <c r="G167" s="46">
        <v>9419.8089999999993</v>
      </c>
      <c r="H167" s="46">
        <v>8942.3670000000002</v>
      </c>
    </row>
    <row r="168" spans="1:8">
      <c r="A168" s="42">
        <v>46240.625</v>
      </c>
      <c r="B168" s="45">
        <v>9867.2309999999998</v>
      </c>
      <c r="C168" s="46">
        <v>9601.0380000000005</v>
      </c>
      <c r="D168" s="46">
        <v>9502.76</v>
      </c>
      <c r="E168" s="46">
        <v>10974.79</v>
      </c>
      <c r="F168" s="46">
        <v>9717.6820000000007</v>
      </c>
      <c r="G168" s="46">
        <v>9447.5210000000006</v>
      </c>
      <c r="H168" s="46">
        <v>8996.027</v>
      </c>
    </row>
    <row r="169" spans="1:8">
      <c r="A169" s="42">
        <v>46240.666666666664</v>
      </c>
      <c r="B169" s="45">
        <v>9874.4549999999999</v>
      </c>
      <c r="C169" s="46">
        <v>9617.5310000000009</v>
      </c>
      <c r="D169" s="46">
        <v>9487.14</v>
      </c>
      <c r="E169" s="46">
        <v>10864.02</v>
      </c>
      <c r="F169" s="46">
        <v>9727.2710000000006</v>
      </c>
      <c r="G169" s="46">
        <v>9464.4969999999994</v>
      </c>
      <c r="H169" s="46">
        <v>9027.491</v>
      </c>
    </row>
    <row r="170" spans="1:8">
      <c r="A170" s="42">
        <v>46240.708333333336</v>
      </c>
      <c r="B170" s="45">
        <v>9880.5040000000008</v>
      </c>
      <c r="C170" s="46">
        <v>9645.2669999999998</v>
      </c>
      <c r="D170" s="46">
        <v>9515.0740000000005</v>
      </c>
      <c r="E170" s="46">
        <v>10794.88</v>
      </c>
      <c r="F170" s="46">
        <v>9708.9130000000005</v>
      </c>
      <c r="G170" s="46">
        <v>9491.7839999999997</v>
      </c>
      <c r="H170" s="46">
        <v>9076.8860000000004</v>
      </c>
    </row>
    <row r="171" spans="1:8">
      <c r="A171" s="42">
        <v>46240.75</v>
      </c>
      <c r="B171" s="45">
        <v>9886.5</v>
      </c>
      <c r="C171" s="46">
        <v>9660.49</v>
      </c>
      <c r="D171" s="46">
        <v>9513.0370000000003</v>
      </c>
      <c r="E171" s="46">
        <v>10765.5</v>
      </c>
      <c r="F171" s="46">
        <v>9722.1720000000005</v>
      </c>
      <c r="G171" s="46">
        <v>9507.2649999999994</v>
      </c>
      <c r="H171" s="46">
        <v>9105.8809999999994</v>
      </c>
    </row>
    <row r="172" spans="1:8">
      <c r="A172" s="42">
        <v>46240.791666666664</v>
      </c>
      <c r="B172" s="45">
        <v>9890.8469999999998</v>
      </c>
      <c r="C172" s="46">
        <v>9683.1710000000003</v>
      </c>
      <c r="D172" s="46">
        <v>9535.616</v>
      </c>
      <c r="E172" s="46">
        <v>10709.36</v>
      </c>
      <c r="F172" s="46">
        <v>9745.2199999999993</v>
      </c>
      <c r="G172" s="46">
        <v>9533.58</v>
      </c>
      <c r="H172" s="46">
        <v>9151.1309999999994</v>
      </c>
    </row>
    <row r="173" spans="1:8">
      <c r="A173" s="42">
        <v>46240.833333333336</v>
      </c>
      <c r="B173" s="45">
        <v>9895.6669999999995</v>
      </c>
      <c r="C173" s="46">
        <v>9698.6589999999997</v>
      </c>
      <c r="D173" s="46">
        <v>9534.1450000000004</v>
      </c>
      <c r="E173" s="46">
        <v>10656.95</v>
      </c>
      <c r="F173" s="46">
        <v>9742.268</v>
      </c>
      <c r="G173" s="46">
        <v>9548.5360000000001</v>
      </c>
      <c r="H173" s="46">
        <v>9177.7759999999998</v>
      </c>
    </row>
    <row r="174" spans="1:8">
      <c r="A174" s="42">
        <v>46240.875</v>
      </c>
      <c r="B174" s="45">
        <v>9900.2360000000008</v>
      </c>
      <c r="C174" s="46">
        <v>9717.9380000000001</v>
      </c>
      <c r="D174" s="46">
        <v>9558.0349999999999</v>
      </c>
      <c r="E174" s="46">
        <v>10614.1</v>
      </c>
      <c r="F174" s="46">
        <v>9755.93</v>
      </c>
      <c r="G174" s="46">
        <v>9571.3549999999996</v>
      </c>
      <c r="H174" s="46">
        <v>9219.3430000000008</v>
      </c>
    </row>
    <row r="175" spans="1:8">
      <c r="A175" s="42">
        <v>46240.916666666664</v>
      </c>
      <c r="B175" s="45">
        <v>9904.723</v>
      </c>
      <c r="C175" s="46">
        <v>9721.9709999999995</v>
      </c>
      <c r="D175" s="46">
        <v>9519.0669999999991</v>
      </c>
      <c r="E175" s="46">
        <v>10492.13</v>
      </c>
      <c r="F175" s="46">
        <v>9769.5859999999993</v>
      </c>
      <c r="G175" s="46">
        <v>9585.1630000000005</v>
      </c>
      <c r="H175" s="46">
        <v>9243.7919999999995</v>
      </c>
    </row>
    <row r="176" spans="1:8">
      <c r="A176" s="42">
        <v>46240.958333333336</v>
      </c>
      <c r="B176" s="45">
        <v>9909.1820000000007</v>
      </c>
      <c r="C176" s="46">
        <v>9737.4959999999992</v>
      </c>
      <c r="D176" s="46">
        <v>9544.3529999999992</v>
      </c>
      <c r="E176" s="46">
        <v>10377.33</v>
      </c>
      <c r="F176" s="46">
        <v>9798.1419999999998</v>
      </c>
      <c r="G176" s="46">
        <v>9604.9770000000008</v>
      </c>
      <c r="H176" s="46">
        <v>9282.1579999999994</v>
      </c>
    </row>
    <row r="177" spans="1:8">
      <c r="A177" s="42">
        <v>46241</v>
      </c>
      <c r="B177" s="45">
        <v>9913.7610000000004</v>
      </c>
      <c r="C177" s="46">
        <v>9750.5370000000003</v>
      </c>
      <c r="D177" s="46">
        <v>9552.1540000000005</v>
      </c>
      <c r="E177" s="46">
        <v>10308.39</v>
      </c>
      <c r="F177" s="46">
        <v>9804.9989999999998</v>
      </c>
      <c r="G177" s="46">
        <v>9617.1149999999998</v>
      </c>
      <c r="H177" s="46">
        <v>9304.6550000000007</v>
      </c>
    </row>
    <row r="178" spans="1:8">
      <c r="A178" s="42">
        <v>46241.041666666664</v>
      </c>
      <c r="B178" s="45">
        <v>9918.4789999999994</v>
      </c>
      <c r="C178" s="46">
        <v>9766.2710000000006</v>
      </c>
      <c r="D178" s="46">
        <v>9582.6550000000007</v>
      </c>
      <c r="E178" s="46">
        <v>10274.94</v>
      </c>
      <c r="F178" s="46">
        <v>9791.8729999999996</v>
      </c>
      <c r="G178" s="46">
        <v>9636.625</v>
      </c>
      <c r="H178" s="46">
        <v>9339.973</v>
      </c>
    </row>
    <row r="179" spans="1:8">
      <c r="A179" s="42">
        <v>46241.083333333336</v>
      </c>
      <c r="B179" s="45">
        <v>9923.152</v>
      </c>
      <c r="C179" s="46">
        <v>9777.0640000000003</v>
      </c>
      <c r="D179" s="46">
        <v>9594.6550000000007</v>
      </c>
      <c r="E179" s="46">
        <v>10267.57</v>
      </c>
      <c r="F179" s="46">
        <v>9801.3529999999992</v>
      </c>
      <c r="G179" s="46">
        <v>9647.6939999999995</v>
      </c>
      <c r="H179" s="46">
        <v>9360.7039999999997</v>
      </c>
    </row>
    <row r="180" spans="1:8">
      <c r="A180" s="42">
        <v>46241.125</v>
      </c>
      <c r="B180" s="45">
        <v>9927.2389999999996</v>
      </c>
      <c r="C180" s="46">
        <v>9789.3430000000008</v>
      </c>
      <c r="D180" s="46">
        <v>9621.2060000000001</v>
      </c>
      <c r="E180" s="46">
        <v>10235.9</v>
      </c>
      <c r="F180" s="46">
        <v>9817.8320000000003</v>
      </c>
      <c r="G180" s="46">
        <v>9666.51</v>
      </c>
      <c r="H180" s="46">
        <v>9393.0589999999993</v>
      </c>
    </row>
    <row r="181" spans="1:8">
      <c r="A181" s="42">
        <v>46241.166666666664</v>
      </c>
      <c r="B181" s="45">
        <v>9931.3539999999994</v>
      </c>
      <c r="C181" s="46">
        <v>9800.3709999999992</v>
      </c>
      <c r="D181" s="46">
        <v>9634.8259999999991</v>
      </c>
      <c r="E181" s="46">
        <v>10205.68</v>
      </c>
      <c r="F181" s="46">
        <v>9815.7209999999995</v>
      </c>
      <c r="G181" s="46">
        <v>9677.2029999999995</v>
      </c>
      <c r="H181" s="46">
        <v>9412.11</v>
      </c>
    </row>
    <row r="182" spans="1:8">
      <c r="A182" s="42">
        <v>46241.208333333336</v>
      </c>
      <c r="B182" s="45">
        <v>9935.3539999999994</v>
      </c>
      <c r="C182" s="46">
        <v>9811.7649999999994</v>
      </c>
      <c r="D182" s="46">
        <v>9658.2939999999999</v>
      </c>
      <c r="E182" s="46">
        <v>10188.41</v>
      </c>
      <c r="F182" s="46">
        <v>9825.4889999999996</v>
      </c>
      <c r="G182" s="46">
        <v>9693.52</v>
      </c>
      <c r="H182" s="46">
        <v>9441.8289999999997</v>
      </c>
    </row>
    <row r="183" spans="1:8">
      <c r="A183" s="42">
        <v>46241.25</v>
      </c>
      <c r="B183" s="45">
        <v>9939.3340000000007</v>
      </c>
      <c r="C183" s="46">
        <v>9817.6209999999992</v>
      </c>
      <c r="D183" s="46">
        <v>9654.7929999999997</v>
      </c>
      <c r="E183" s="46">
        <v>10052.89</v>
      </c>
      <c r="F183" s="46">
        <v>9835.2540000000008</v>
      </c>
      <c r="G183" s="46">
        <v>9703.3909999999996</v>
      </c>
      <c r="H183" s="46">
        <v>9459.3119999999999</v>
      </c>
    </row>
    <row r="184" spans="1:8">
      <c r="A184" s="42">
        <v>46241.291666666664</v>
      </c>
      <c r="B184" s="45">
        <v>9943.2060000000001</v>
      </c>
      <c r="C184" s="46">
        <v>9826.7250000000004</v>
      </c>
      <c r="D184" s="46">
        <v>9675.7790000000005</v>
      </c>
      <c r="E184" s="46">
        <v>9988.5630000000001</v>
      </c>
      <c r="F184" s="46">
        <v>9860.5779999999995</v>
      </c>
      <c r="G184" s="46">
        <v>9717.5580000000009</v>
      </c>
      <c r="H184" s="46">
        <v>9486.7430000000004</v>
      </c>
    </row>
    <row r="185" spans="1:8">
      <c r="A185" s="42">
        <v>46241.333333333336</v>
      </c>
      <c r="B185" s="45">
        <v>9947.0849999999991</v>
      </c>
      <c r="C185" s="46">
        <v>9835.8140000000003</v>
      </c>
      <c r="D185" s="46">
        <v>9689.6190000000006</v>
      </c>
      <c r="E185" s="46">
        <v>9949.8549999999996</v>
      </c>
      <c r="F185" s="46">
        <v>9882.0859999999993</v>
      </c>
      <c r="G185" s="46">
        <v>9726.2369999999992</v>
      </c>
      <c r="H185" s="46">
        <v>9502.8289999999997</v>
      </c>
    </row>
    <row r="186" spans="1:8">
      <c r="A186" s="42">
        <v>46241.375</v>
      </c>
      <c r="B186" s="45">
        <v>9950.2160000000003</v>
      </c>
      <c r="C186" s="46">
        <v>9845.2199999999993</v>
      </c>
      <c r="D186" s="46">
        <v>9710.7960000000003</v>
      </c>
      <c r="E186" s="46">
        <v>9944.6200000000008</v>
      </c>
      <c r="F186" s="46">
        <v>9874.9470000000001</v>
      </c>
      <c r="G186" s="46">
        <v>9740.1880000000001</v>
      </c>
      <c r="H186" s="46">
        <v>9528.08</v>
      </c>
    </row>
    <row r="187" spans="1:8">
      <c r="A187" s="42">
        <v>46241.416666666664</v>
      </c>
      <c r="B187" s="45">
        <v>9953.34</v>
      </c>
      <c r="C187" s="46">
        <v>9852.8050000000003</v>
      </c>
      <c r="D187" s="46">
        <v>9723.2639999999992</v>
      </c>
      <c r="E187" s="46">
        <v>9947.4699999999993</v>
      </c>
      <c r="F187" s="46">
        <v>9880.5020000000004</v>
      </c>
      <c r="G187" s="46">
        <v>9748.1039999999994</v>
      </c>
      <c r="H187" s="46">
        <v>9542.9040000000005</v>
      </c>
    </row>
    <row r="188" spans="1:8">
      <c r="A188" s="42">
        <v>46241.458333333336</v>
      </c>
      <c r="B188" s="45">
        <v>9956.777</v>
      </c>
      <c r="C188" s="46">
        <v>9860.0810000000001</v>
      </c>
      <c r="D188" s="46">
        <v>9740.3950000000004</v>
      </c>
      <c r="E188" s="46">
        <v>9935.5830000000005</v>
      </c>
      <c r="F188" s="46">
        <v>9897.3850000000002</v>
      </c>
      <c r="G188" s="46">
        <v>9761.5669999999991</v>
      </c>
      <c r="H188" s="46">
        <v>9566.0360000000001</v>
      </c>
    </row>
    <row r="189" spans="1:8">
      <c r="A189" s="42">
        <v>46241.5</v>
      </c>
      <c r="B189" s="45">
        <v>9960.2160000000003</v>
      </c>
      <c r="C189" s="46">
        <v>9867.348</v>
      </c>
      <c r="D189" s="46">
        <v>9753.14</v>
      </c>
      <c r="E189" s="46">
        <v>9917.9069999999992</v>
      </c>
      <c r="F189" s="46">
        <v>9903.4580000000005</v>
      </c>
      <c r="G189" s="46">
        <v>9769.2420000000002</v>
      </c>
      <c r="H189" s="46">
        <v>9579.6589999999997</v>
      </c>
    </row>
    <row r="190" spans="1:8">
      <c r="A190" s="42">
        <v>46241.541666666664</v>
      </c>
      <c r="B190" s="45">
        <v>9962.3860000000004</v>
      </c>
      <c r="C190" s="46">
        <v>9874.3880000000008</v>
      </c>
      <c r="D190" s="46">
        <v>9768.232</v>
      </c>
      <c r="E190" s="46">
        <v>9917.3889999999992</v>
      </c>
      <c r="F190" s="46">
        <v>9910.6650000000009</v>
      </c>
      <c r="G190" s="46">
        <v>9780.973</v>
      </c>
      <c r="H190" s="46">
        <v>9600.9079999999994</v>
      </c>
    </row>
    <row r="191" spans="1:8">
      <c r="A191" s="42">
        <v>46241.583333333336</v>
      </c>
      <c r="B191" s="45">
        <v>9964.5519999999997</v>
      </c>
      <c r="C191" s="46">
        <v>9879.482</v>
      </c>
      <c r="D191" s="46">
        <v>9772.6790000000001</v>
      </c>
      <c r="E191" s="46">
        <v>9797.2880000000005</v>
      </c>
      <c r="F191" s="46">
        <v>9969.17</v>
      </c>
      <c r="G191" s="46">
        <v>9788.2270000000008</v>
      </c>
      <c r="H191" s="46">
        <v>9613.4079999999994</v>
      </c>
    </row>
    <row r="192" spans="1:8">
      <c r="A192" s="42">
        <v>46241.625</v>
      </c>
      <c r="B192" s="45">
        <v>9966.2070000000003</v>
      </c>
      <c r="C192" s="46">
        <v>9885.4570000000003</v>
      </c>
      <c r="D192" s="46">
        <v>9784.9549999999999</v>
      </c>
      <c r="E192" s="46">
        <v>9768.8289999999997</v>
      </c>
      <c r="F192" s="46">
        <v>9991.3189999999995</v>
      </c>
      <c r="G192" s="46">
        <v>9798.6290000000008</v>
      </c>
      <c r="H192" s="46">
        <v>9633.0210000000006</v>
      </c>
    </row>
    <row r="193" spans="1:8">
      <c r="A193" s="42">
        <v>46241.666666666664</v>
      </c>
      <c r="B193" s="45">
        <v>9967.8649999999998</v>
      </c>
      <c r="C193" s="46">
        <v>9891.6489999999994</v>
      </c>
      <c r="D193" s="46">
        <v>9795.7530000000006</v>
      </c>
      <c r="E193" s="46">
        <v>9748.0310000000009</v>
      </c>
      <c r="F193" s="46">
        <v>9987.982</v>
      </c>
      <c r="G193" s="46">
        <v>9805.64</v>
      </c>
      <c r="H193" s="46">
        <v>9644.5229999999992</v>
      </c>
    </row>
    <row r="194" spans="1:8">
      <c r="A194" s="42">
        <v>46241.708333333336</v>
      </c>
      <c r="B194" s="45">
        <v>9969.509</v>
      </c>
      <c r="C194" s="46">
        <v>9897.6970000000001</v>
      </c>
      <c r="D194" s="46">
        <v>9808.2630000000008</v>
      </c>
      <c r="E194" s="46">
        <v>9759.3250000000007</v>
      </c>
      <c r="F194" s="46">
        <v>9974.2950000000001</v>
      </c>
      <c r="G194" s="46">
        <v>9816.402</v>
      </c>
      <c r="H194" s="46">
        <v>9662.5769999999993</v>
      </c>
    </row>
    <row r="195" spans="1:8">
      <c r="A195" s="42">
        <v>46241.75</v>
      </c>
      <c r="B195" s="45">
        <v>9971.152</v>
      </c>
      <c r="C195" s="46">
        <v>9903.0959999999995</v>
      </c>
      <c r="D195" s="46">
        <v>9817.3119999999999</v>
      </c>
      <c r="E195" s="46">
        <v>9765.3539999999994</v>
      </c>
      <c r="F195" s="46">
        <v>9977.7150000000001</v>
      </c>
      <c r="G195" s="46">
        <v>9824.2759999999998</v>
      </c>
      <c r="H195" s="46">
        <v>9673.1779999999999</v>
      </c>
    </row>
    <row r="196" spans="1:8">
      <c r="A196" s="42">
        <v>46241.791666666664</v>
      </c>
      <c r="B196" s="45">
        <v>9972.5740000000005</v>
      </c>
      <c r="C196" s="46">
        <v>9908.1</v>
      </c>
      <c r="D196" s="46">
        <v>9827.11</v>
      </c>
      <c r="E196" s="46">
        <v>9768.2950000000001</v>
      </c>
      <c r="F196" s="46">
        <v>9980.0370000000003</v>
      </c>
      <c r="G196" s="46">
        <v>9835.4920000000002</v>
      </c>
      <c r="H196" s="46">
        <v>9689.7189999999991</v>
      </c>
    </row>
    <row r="197" spans="1:8">
      <c r="A197" s="42">
        <v>46241.833333333336</v>
      </c>
      <c r="B197" s="45">
        <v>9973.9969999999994</v>
      </c>
      <c r="C197" s="46">
        <v>9913.2029999999995</v>
      </c>
      <c r="D197" s="46">
        <v>9836.116</v>
      </c>
      <c r="E197" s="46">
        <v>9760.3019999999997</v>
      </c>
      <c r="F197" s="46">
        <v>9975.1880000000001</v>
      </c>
      <c r="G197" s="46">
        <v>9845.3330000000005</v>
      </c>
      <c r="H197" s="46">
        <v>9699.4650000000001</v>
      </c>
    </row>
    <row r="198" spans="1:8">
      <c r="A198" s="42">
        <v>46241.875</v>
      </c>
      <c r="B198" s="45">
        <v>9975.4040000000005</v>
      </c>
      <c r="C198" s="46">
        <v>9917.8610000000008</v>
      </c>
      <c r="D198" s="46">
        <v>9845.2800000000007</v>
      </c>
      <c r="E198" s="46">
        <v>9770.2890000000007</v>
      </c>
      <c r="F198" s="46">
        <v>9975.6869999999999</v>
      </c>
      <c r="G198" s="46">
        <v>9856.0540000000001</v>
      </c>
      <c r="H198" s="46">
        <v>9714.6679999999997</v>
      </c>
    </row>
    <row r="199" spans="1:8">
      <c r="A199" s="42">
        <v>46241.916666666664</v>
      </c>
      <c r="B199" s="45">
        <v>9976.8109999999997</v>
      </c>
      <c r="C199" s="46">
        <v>9921.8520000000008</v>
      </c>
      <c r="D199" s="46">
        <v>9850.5609999999997</v>
      </c>
      <c r="E199" s="46">
        <v>9682.9989999999998</v>
      </c>
      <c r="F199" s="46">
        <v>9969.2129999999997</v>
      </c>
      <c r="G199" s="46">
        <v>9868.1380000000008</v>
      </c>
      <c r="H199" s="46">
        <v>9723.634</v>
      </c>
    </row>
    <row r="200" spans="1:8">
      <c r="A200" s="42">
        <v>46241.958333333336</v>
      </c>
      <c r="B200" s="45">
        <v>9978.2049999999999</v>
      </c>
      <c r="C200" s="46">
        <v>9925.9490000000005</v>
      </c>
      <c r="D200" s="46">
        <v>9858.0759999999991</v>
      </c>
      <c r="E200" s="46">
        <v>9677.4670000000006</v>
      </c>
      <c r="F200" s="46">
        <v>9967.1039999999994</v>
      </c>
      <c r="G200" s="46">
        <v>9878.18</v>
      </c>
      <c r="H200" s="46">
        <v>9737.6929999999993</v>
      </c>
    </row>
    <row r="201" spans="1:8">
      <c r="A201" s="42">
        <v>46242</v>
      </c>
      <c r="B201" s="45">
        <v>9979.6</v>
      </c>
      <c r="C201" s="46">
        <v>9930.1730000000007</v>
      </c>
      <c r="D201" s="46">
        <v>9865.6020000000008</v>
      </c>
      <c r="E201" s="46">
        <v>9669.6509999999998</v>
      </c>
      <c r="F201" s="46">
        <v>9953.2209999999995</v>
      </c>
      <c r="G201" s="46">
        <v>9893.0409999999993</v>
      </c>
      <c r="H201" s="46">
        <v>9746.0220000000008</v>
      </c>
    </row>
    <row r="202" spans="1:8">
      <c r="A202" s="42">
        <v>46242.041666666664</v>
      </c>
      <c r="B202" s="45">
        <v>9980.7330000000002</v>
      </c>
      <c r="C202" s="46">
        <v>9934.0689999999995</v>
      </c>
      <c r="D202" s="46">
        <v>9873.2720000000008</v>
      </c>
      <c r="E202" s="46">
        <v>9688.5499999999993</v>
      </c>
      <c r="F202" s="46">
        <v>9943.3909999999996</v>
      </c>
      <c r="G202" s="46">
        <v>9902.866</v>
      </c>
      <c r="H202" s="46">
        <v>9759.0439999999999</v>
      </c>
    </row>
    <row r="203" spans="1:8">
      <c r="A203" s="42">
        <v>46242.083333333336</v>
      </c>
      <c r="B203" s="45">
        <v>9981.866</v>
      </c>
      <c r="C203" s="46">
        <v>9937.7430000000004</v>
      </c>
      <c r="D203" s="46">
        <v>9879.6640000000007</v>
      </c>
      <c r="E203" s="46">
        <v>9696.7279999999992</v>
      </c>
      <c r="F203" s="46">
        <v>9946.6319999999996</v>
      </c>
      <c r="G203" s="46">
        <v>9920.2510000000002</v>
      </c>
      <c r="H203" s="46">
        <v>9766.9449999999997</v>
      </c>
    </row>
    <row r="204" spans="1:8">
      <c r="A204" s="42">
        <v>46242.125</v>
      </c>
      <c r="B204" s="45">
        <v>9982.8809999999994</v>
      </c>
      <c r="C204" s="46">
        <v>9941.2579999999998</v>
      </c>
      <c r="D204" s="46">
        <v>9885.7880000000005</v>
      </c>
      <c r="E204" s="46">
        <v>9708.2839999999997</v>
      </c>
      <c r="F204" s="46">
        <v>9945.4349999999995</v>
      </c>
      <c r="G204" s="46">
        <v>9928.9279999999999</v>
      </c>
      <c r="H204" s="46">
        <v>9779.0580000000009</v>
      </c>
    </row>
    <row r="205" spans="1:8">
      <c r="A205" s="42">
        <v>46242.166666666664</v>
      </c>
      <c r="B205" s="45">
        <v>9983.8960000000006</v>
      </c>
      <c r="C205" s="46">
        <v>9944.8279999999995</v>
      </c>
      <c r="D205" s="46">
        <v>9891.9089999999997</v>
      </c>
      <c r="E205" s="46">
        <v>9708.4150000000009</v>
      </c>
      <c r="F205" s="46">
        <v>9936.2049999999999</v>
      </c>
      <c r="G205" s="46">
        <v>9945.1350000000002</v>
      </c>
      <c r="H205" s="46">
        <v>9786.8410000000003</v>
      </c>
    </row>
    <row r="206" spans="1:8">
      <c r="A206" s="42">
        <v>46242.208333333336</v>
      </c>
      <c r="B206" s="45">
        <v>9984.6290000000008</v>
      </c>
      <c r="C206" s="46">
        <v>9947.8029999999999</v>
      </c>
      <c r="D206" s="46">
        <v>9897.6980000000003</v>
      </c>
      <c r="E206" s="46">
        <v>9723.2440000000006</v>
      </c>
      <c r="F206" s="46">
        <v>9937.33</v>
      </c>
      <c r="G206" s="46">
        <v>9951.0210000000006</v>
      </c>
      <c r="H206" s="46">
        <v>9798.3040000000001</v>
      </c>
    </row>
    <row r="207" spans="1:8">
      <c r="A207" s="42">
        <v>46242.25</v>
      </c>
      <c r="B207" s="45">
        <v>9985.3629999999994</v>
      </c>
      <c r="C207" s="46">
        <v>9950.5519999999997</v>
      </c>
      <c r="D207" s="46">
        <v>9902.1219999999994</v>
      </c>
      <c r="E207" s="46">
        <v>9669.5390000000007</v>
      </c>
      <c r="F207" s="46">
        <v>9893.4159999999993</v>
      </c>
      <c r="G207" s="46">
        <v>9961.69</v>
      </c>
      <c r="H207" s="46">
        <v>9806.4390000000003</v>
      </c>
    </row>
    <row r="208" spans="1:8">
      <c r="A208" s="42">
        <v>46242.291666666664</v>
      </c>
      <c r="B208" s="45">
        <v>9985.9449999999997</v>
      </c>
      <c r="C208" s="46">
        <v>9953.1450000000004</v>
      </c>
      <c r="D208" s="46">
        <v>9907.0869999999995</v>
      </c>
      <c r="E208" s="46">
        <v>9675.5619999999999</v>
      </c>
      <c r="F208" s="46">
        <v>9885.3739999999998</v>
      </c>
      <c r="G208" s="46">
        <v>9964.3510000000006</v>
      </c>
      <c r="H208" s="46">
        <v>9817.5210000000006</v>
      </c>
    </row>
    <row r="209" spans="1:8">
      <c r="A209" s="42">
        <v>46242.333333333336</v>
      </c>
      <c r="B209" s="45">
        <v>9986.527</v>
      </c>
      <c r="C209" s="46">
        <v>9955.7909999999993</v>
      </c>
      <c r="D209" s="46">
        <v>9912.2029999999995</v>
      </c>
      <c r="E209" s="46">
        <v>9676.4230000000007</v>
      </c>
      <c r="F209" s="46">
        <v>9869.4979999999996</v>
      </c>
      <c r="G209" s="46">
        <v>9968.607</v>
      </c>
      <c r="H209" s="46">
        <v>9826.6029999999992</v>
      </c>
    </row>
    <row r="210" spans="1:8">
      <c r="A210" s="42">
        <v>46242.375</v>
      </c>
      <c r="B210" s="45">
        <v>9987.0589999999993</v>
      </c>
      <c r="C210" s="46">
        <v>9958.2070000000003</v>
      </c>
      <c r="D210" s="46">
        <v>9917.1080000000002</v>
      </c>
      <c r="E210" s="46">
        <v>9696.2360000000008</v>
      </c>
      <c r="F210" s="46">
        <v>9867.4629999999997</v>
      </c>
      <c r="G210" s="46">
        <v>9969.0429999999997</v>
      </c>
      <c r="H210" s="46">
        <v>9837.3970000000008</v>
      </c>
    </row>
    <row r="211" spans="1:8">
      <c r="A211" s="42">
        <v>46242.416666666664</v>
      </c>
      <c r="B211" s="45">
        <v>9987.5910000000003</v>
      </c>
      <c r="C211" s="46">
        <v>9960.5490000000009</v>
      </c>
      <c r="D211" s="46">
        <v>9921.5589999999993</v>
      </c>
      <c r="E211" s="46">
        <v>9705.5139999999992</v>
      </c>
      <c r="F211" s="46">
        <v>9871.64</v>
      </c>
      <c r="G211" s="46">
        <v>9968.0349999999999</v>
      </c>
      <c r="H211" s="46">
        <v>9847.9670000000006</v>
      </c>
    </row>
    <row r="212" spans="1:8">
      <c r="A212" s="42">
        <v>46242.458333333336</v>
      </c>
      <c r="B212" s="45">
        <v>9988.0499999999993</v>
      </c>
      <c r="C212" s="46">
        <v>9962.7430000000004</v>
      </c>
      <c r="D212" s="46">
        <v>9925.7420000000002</v>
      </c>
      <c r="E212" s="46">
        <v>9719.5049999999992</v>
      </c>
      <c r="F212" s="46">
        <v>9873.0329999999994</v>
      </c>
      <c r="G212" s="46">
        <v>9966.7710000000006</v>
      </c>
      <c r="H212" s="46">
        <v>9858.3889999999992</v>
      </c>
    </row>
    <row r="213" spans="1:8">
      <c r="A213" s="42">
        <v>46242.5</v>
      </c>
      <c r="B213" s="45">
        <v>9988.51</v>
      </c>
      <c r="C213" s="46">
        <v>9964.9609999999993</v>
      </c>
      <c r="D213" s="46">
        <v>9929.9950000000008</v>
      </c>
      <c r="E213" s="46">
        <v>9724.5689999999995</v>
      </c>
      <c r="F213" s="46">
        <v>9864.3539999999994</v>
      </c>
      <c r="G213" s="46">
        <v>9962.2379999999994</v>
      </c>
      <c r="H213" s="46">
        <v>9870.6839999999993</v>
      </c>
    </row>
    <row r="214" spans="1:8">
      <c r="A214" s="42">
        <v>46242.541666666664</v>
      </c>
      <c r="B214" s="45">
        <v>9989.2109999999993</v>
      </c>
      <c r="C214" s="46">
        <v>9966.8289999999997</v>
      </c>
      <c r="D214" s="46">
        <v>9933.7549999999992</v>
      </c>
      <c r="E214" s="46">
        <v>9739.5910000000003</v>
      </c>
      <c r="F214" s="46">
        <v>9869.3029999999999</v>
      </c>
      <c r="G214" s="46">
        <v>9959.6380000000008</v>
      </c>
      <c r="H214" s="46">
        <v>9880.509</v>
      </c>
    </row>
    <row r="215" spans="1:8">
      <c r="A215" s="42">
        <v>46242.583333333336</v>
      </c>
      <c r="B215" s="45">
        <v>9989.9120000000003</v>
      </c>
      <c r="C215" s="46">
        <v>9968.6219999999994</v>
      </c>
      <c r="D215" s="46">
        <v>9937.0470000000005</v>
      </c>
      <c r="E215" s="46">
        <v>9711.0290000000005</v>
      </c>
      <c r="F215" s="46">
        <v>9811.8119999999999</v>
      </c>
      <c r="G215" s="46">
        <v>9952.4889999999996</v>
      </c>
      <c r="H215" s="46">
        <v>9894.1380000000008</v>
      </c>
    </row>
    <row r="216" spans="1:8">
      <c r="A216" s="42">
        <v>46242.625</v>
      </c>
      <c r="B216" s="45">
        <v>9990.6689999999999</v>
      </c>
      <c r="C216" s="46">
        <v>9970.2870000000003</v>
      </c>
      <c r="D216" s="46">
        <v>9940.34</v>
      </c>
      <c r="E216" s="46">
        <v>9720.7129999999997</v>
      </c>
      <c r="F216" s="46">
        <v>9806.2070000000003</v>
      </c>
      <c r="G216" s="46">
        <v>9949.3389999999999</v>
      </c>
      <c r="H216" s="46">
        <v>9902.9719999999998</v>
      </c>
    </row>
    <row r="217" spans="1:8">
      <c r="A217" s="42">
        <v>46242.666666666664</v>
      </c>
      <c r="B217" s="45">
        <v>9991.4279999999999</v>
      </c>
      <c r="C217" s="46">
        <v>9971.9740000000002</v>
      </c>
      <c r="D217" s="46">
        <v>9943.7209999999995</v>
      </c>
      <c r="E217" s="46">
        <v>9725.9220000000005</v>
      </c>
      <c r="F217" s="46">
        <v>9793.2360000000008</v>
      </c>
      <c r="G217" s="46">
        <v>9938.7000000000007</v>
      </c>
      <c r="H217" s="46">
        <v>9916.7060000000001</v>
      </c>
    </row>
    <row r="218" spans="1:8">
      <c r="A218" s="42">
        <v>46242.708333333336</v>
      </c>
      <c r="B218" s="45">
        <v>9992.0769999999993</v>
      </c>
      <c r="C218" s="46">
        <v>9973.4699999999993</v>
      </c>
      <c r="D218" s="46">
        <v>9946.8330000000005</v>
      </c>
      <c r="E218" s="46">
        <v>9742.94</v>
      </c>
      <c r="F218" s="46">
        <v>9798.6270000000004</v>
      </c>
      <c r="G218" s="46">
        <v>9935.643</v>
      </c>
      <c r="H218" s="46">
        <v>9924.0059999999994</v>
      </c>
    </row>
    <row r="219" spans="1:8">
      <c r="A219" s="42">
        <v>46242.75</v>
      </c>
      <c r="B219" s="45">
        <v>9992.7270000000008</v>
      </c>
      <c r="C219" s="46">
        <v>9974.94</v>
      </c>
      <c r="D219" s="46">
        <v>9949.7900000000009</v>
      </c>
      <c r="E219" s="46">
        <v>9751.9519999999993</v>
      </c>
      <c r="F219" s="46">
        <v>9804.3709999999992</v>
      </c>
      <c r="G219" s="46">
        <v>9920.8320000000003</v>
      </c>
      <c r="H219" s="46">
        <v>9936.0490000000009</v>
      </c>
    </row>
    <row r="220" spans="1:8">
      <c r="A220" s="42">
        <v>46242.791666666664</v>
      </c>
      <c r="B220" s="45">
        <v>9993.3639999999996</v>
      </c>
      <c r="C220" s="46">
        <v>9976.2939999999999</v>
      </c>
      <c r="D220" s="46">
        <v>9952.5910000000003</v>
      </c>
      <c r="E220" s="46">
        <v>9764.6350000000002</v>
      </c>
      <c r="F220" s="46">
        <v>9809.9169999999995</v>
      </c>
      <c r="G220" s="46">
        <v>9917.9330000000009</v>
      </c>
      <c r="H220" s="46">
        <v>9941.3469999999998</v>
      </c>
    </row>
    <row r="221" spans="1:8">
      <c r="A221" s="42">
        <v>46242.833333333336</v>
      </c>
      <c r="B221" s="45">
        <v>9994.0020000000004</v>
      </c>
      <c r="C221" s="46">
        <v>9977.6550000000007</v>
      </c>
      <c r="D221" s="46">
        <v>9955.4310000000005</v>
      </c>
      <c r="E221" s="46">
        <v>9771.5120000000006</v>
      </c>
      <c r="F221" s="46">
        <v>9804.3770000000004</v>
      </c>
      <c r="G221" s="46">
        <v>9901.3430000000008</v>
      </c>
      <c r="H221" s="46">
        <v>9950.0669999999991</v>
      </c>
    </row>
    <row r="222" spans="1:8">
      <c r="A222" s="42">
        <v>46242.875</v>
      </c>
      <c r="B222" s="45">
        <v>9994.64</v>
      </c>
      <c r="C222" s="46">
        <v>9978.84</v>
      </c>
      <c r="D222" s="46">
        <v>9957.8209999999999</v>
      </c>
      <c r="E222" s="46">
        <v>9784.2489999999998</v>
      </c>
      <c r="F222" s="46">
        <v>9813.1759999999995</v>
      </c>
      <c r="G222" s="46">
        <v>9898.9159999999993</v>
      </c>
      <c r="H222" s="46">
        <v>9953.1939999999995</v>
      </c>
    </row>
    <row r="223" spans="1:8">
      <c r="A223" s="42">
        <v>46242.916666666664</v>
      </c>
      <c r="B223" s="45">
        <v>9995.2759999999998</v>
      </c>
      <c r="C223" s="46">
        <v>9979.9989999999998</v>
      </c>
      <c r="D223" s="46">
        <v>9960.0550000000003</v>
      </c>
      <c r="E223" s="46">
        <v>9771.3140000000003</v>
      </c>
      <c r="F223" s="46">
        <v>9757.2260000000006</v>
      </c>
      <c r="G223" s="46">
        <v>9883.0969999999998</v>
      </c>
      <c r="H223" s="46">
        <v>9957.732</v>
      </c>
    </row>
    <row r="224" spans="1:8">
      <c r="A224" s="42">
        <v>46242.958333333336</v>
      </c>
      <c r="B224" s="45">
        <v>9995.8369999999995</v>
      </c>
      <c r="C224" s="46">
        <v>9981.0650000000005</v>
      </c>
      <c r="D224" s="46">
        <v>9962.1579999999994</v>
      </c>
      <c r="E224" s="46">
        <v>9780.6859999999997</v>
      </c>
      <c r="F224" s="46">
        <v>9756.1119999999992</v>
      </c>
      <c r="G224" s="46">
        <v>9881.7549999999992</v>
      </c>
      <c r="H224" s="46">
        <v>9958.848</v>
      </c>
    </row>
    <row r="225" spans="1:8">
      <c r="A225" s="42">
        <v>46243</v>
      </c>
      <c r="B225" s="45">
        <v>9996.3970000000008</v>
      </c>
      <c r="C225" s="46">
        <v>9982.1409999999996</v>
      </c>
      <c r="D225" s="46">
        <v>9964.3009999999995</v>
      </c>
      <c r="E225" s="46">
        <v>9787.1380000000008</v>
      </c>
      <c r="F225" s="46">
        <v>9747.7900000000009</v>
      </c>
      <c r="G225" s="46">
        <v>9865.2739999999994</v>
      </c>
      <c r="H225" s="46">
        <v>9959.143</v>
      </c>
    </row>
    <row r="226" spans="1:8">
      <c r="A226" s="42">
        <v>46243.041666666664</v>
      </c>
      <c r="B226" s="45">
        <v>9996.8979999999992</v>
      </c>
      <c r="C226" s="46">
        <v>9983.0879999999997</v>
      </c>
      <c r="D226" s="46">
        <v>9966.2360000000008</v>
      </c>
      <c r="E226" s="46">
        <v>9800.2360000000008</v>
      </c>
      <c r="F226" s="46">
        <v>9758.1759999999995</v>
      </c>
      <c r="G226" s="46">
        <v>9865.0750000000007</v>
      </c>
      <c r="H226" s="46">
        <v>9958.6190000000006</v>
      </c>
    </row>
    <row r="227" spans="1:8">
      <c r="A227" s="42">
        <v>46243.083333333336</v>
      </c>
      <c r="B227" s="45">
        <v>9997.3989999999994</v>
      </c>
      <c r="C227" s="46">
        <v>9984.027</v>
      </c>
      <c r="D227" s="46">
        <v>9968.1200000000008</v>
      </c>
      <c r="E227" s="46">
        <v>9808.0689999999995</v>
      </c>
      <c r="F227" s="46">
        <v>9765.357</v>
      </c>
      <c r="G227" s="46">
        <v>9845.9470000000001</v>
      </c>
      <c r="H227" s="46">
        <v>9955.0010000000002</v>
      </c>
    </row>
    <row r="228" spans="1:8">
      <c r="A228" s="42">
        <v>46243.125</v>
      </c>
      <c r="B228" s="45">
        <v>9997.7819999999992</v>
      </c>
      <c r="C228" s="46">
        <v>9984.8860000000004</v>
      </c>
      <c r="D228" s="46">
        <v>9969.8739999999998</v>
      </c>
      <c r="E228" s="46">
        <v>9818.1329999999998</v>
      </c>
      <c r="F228" s="46">
        <v>9774.0609999999997</v>
      </c>
      <c r="G228" s="46">
        <v>9846.61</v>
      </c>
      <c r="H228" s="46">
        <v>9953.3179999999993</v>
      </c>
    </row>
    <row r="229" spans="1:8">
      <c r="A229" s="42">
        <v>46243.166666666664</v>
      </c>
      <c r="B229" s="45">
        <v>9998.1640000000007</v>
      </c>
      <c r="C229" s="46">
        <v>9985.7469999999994</v>
      </c>
      <c r="D229" s="46">
        <v>9971.6440000000002</v>
      </c>
      <c r="E229" s="46">
        <v>9824.8580000000002</v>
      </c>
      <c r="F229" s="46">
        <v>9772.1239999999998</v>
      </c>
      <c r="G229" s="46">
        <v>9827.0759999999991</v>
      </c>
      <c r="H229" s="46">
        <v>9946.1409999999996</v>
      </c>
    </row>
    <row r="230" spans="1:8">
      <c r="A230" s="42">
        <v>46243.208333333336</v>
      </c>
      <c r="B230" s="45">
        <v>9998.4639999999999</v>
      </c>
      <c r="C230" s="46">
        <v>9986.6</v>
      </c>
      <c r="D230" s="46">
        <v>9973.1620000000003</v>
      </c>
      <c r="E230" s="46">
        <v>9834.6380000000008</v>
      </c>
      <c r="F230" s="46">
        <v>9783.3140000000003</v>
      </c>
      <c r="G230" s="46">
        <v>9828.7870000000003</v>
      </c>
      <c r="H230" s="46">
        <v>9943.7980000000007</v>
      </c>
    </row>
    <row r="231" spans="1:8">
      <c r="A231" s="42">
        <v>46243.25</v>
      </c>
      <c r="B231" s="45">
        <v>9998.7659999999996</v>
      </c>
      <c r="C231" s="46">
        <v>9987.4439999999995</v>
      </c>
      <c r="D231" s="46">
        <v>9974.6280000000006</v>
      </c>
      <c r="E231" s="46">
        <v>9830.1569999999992</v>
      </c>
      <c r="F231" s="46">
        <v>9735.9969999999994</v>
      </c>
      <c r="G231" s="46">
        <v>9811.8690000000006</v>
      </c>
      <c r="H231" s="46">
        <v>9933.4459999999999</v>
      </c>
    </row>
    <row r="232" spans="1:8">
      <c r="A232" s="42">
        <v>46243.291666666664</v>
      </c>
      <c r="B232" s="45">
        <v>9998.973</v>
      </c>
      <c r="C232" s="46">
        <v>9988.2440000000006</v>
      </c>
      <c r="D232" s="46">
        <v>9975.9889999999996</v>
      </c>
      <c r="E232" s="46">
        <v>9837.8060000000005</v>
      </c>
      <c r="F232" s="46">
        <v>9738.6110000000008</v>
      </c>
      <c r="G232" s="46">
        <v>9815.009</v>
      </c>
      <c r="H232" s="46">
        <v>9930.8940000000002</v>
      </c>
    </row>
    <row r="233" spans="1:8">
      <c r="A233" s="42">
        <v>46243.333333333336</v>
      </c>
      <c r="B233" s="45">
        <v>9999.1810000000005</v>
      </c>
      <c r="C233" s="46">
        <v>9989.0470000000005</v>
      </c>
      <c r="D233" s="46">
        <v>9977.3639999999996</v>
      </c>
      <c r="E233" s="46">
        <v>9843.8179999999993</v>
      </c>
      <c r="F233" s="46">
        <v>9734.6880000000001</v>
      </c>
      <c r="G233" s="46">
        <v>9799.0820000000003</v>
      </c>
      <c r="H233" s="46">
        <v>9917.9750000000004</v>
      </c>
    </row>
    <row r="234" spans="1:8">
      <c r="A234" s="42">
        <v>46243.375</v>
      </c>
      <c r="B234" s="45">
        <v>9999.3289999999997</v>
      </c>
      <c r="C234" s="46">
        <v>9989.7489999999998</v>
      </c>
      <c r="D234" s="46">
        <v>9978.5830000000005</v>
      </c>
      <c r="E234" s="46">
        <v>9853.2620000000006</v>
      </c>
      <c r="F234" s="46">
        <v>9747.4150000000009</v>
      </c>
      <c r="G234" s="46">
        <v>9803.3940000000002</v>
      </c>
      <c r="H234" s="46">
        <v>9915.5990000000002</v>
      </c>
    </row>
    <row r="235" spans="1:8">
      <c r="A235" s="42">
        <v>46243.416666666664</v>
      </c>
      <c r="B235" s="45">
        <v>9999.52</v>
      </c>
      <c r="C235" s="46">
        <v>9990.4490000000005</v>
      </c>
      <c r="D235" s="46">
        <v>9979.7849999999999</v>
      </c>
      <c r="E235" s="46">
        <v>9859.5570000000007</v>
      </c>
      <c r="F235" s="46">
        <v>9755.4419999999991</v>
      </c>
      <c r="G235" s="46">
        <v>9785.9570000000003</v>
      </c>
      <c r="H235" s="46">
        <v>9900.8549999999996</v>
      </c>
    </row>
    <row r="236" spans="1:8">
      <c r="A236" s="42">
        <v>46243.458333333336</v>
      </c>
      <c r="B236" s="45">
        <v>10000.459999999999</v>
      </c>
      <c r="C236" s="46">
        <v>9991.4539999999997</v>
      </c>
      <c r="D236" s="46">
        <v>9980.9240000000009</v>
      </c>
      <c r="E236" s="46">
        <v>9867.01</v>
      </c>
      <c r="F236" s="46">
        <v>9765.652</v>
      </c>
      <c r="G236" s="46">
        <v>9791.0400000000009</v>
      </c>
      <c r="H236" s="46">
        <v>9898.9869999999992</v>
      </c>
    </row>
    <row r="237" spans="1:8">
      <c r="A237" s="42">
        <v>46243.5</v>
      </c>
      <c r="B237" s="45">
        <v>10000.549999999999</v>
      </c>
      <c r="C237" s="46">
        <v>9992.0740000000005</v>
      </c>
      <c r="D237" s="46">
        <v>9982.0310000000009</v>
      </c>
      <c r="E237" s="46">
        <v>9872.7000000000007</v>
      </c>
      <c r="F237" s="46">
        <v>9766.6290000000008</v>
      </c>
      <c r="G237" s="46">
        <v>9773.9189999999999</v>
      </c>
      <c r="H237" s="46">
        <v>9882.9570000000003</v>
      </c>
    </row>
    <row r="238" spans="1:8">
      <c r="A238" s="42">
        <v>46243.541666666664</v>
      </c>
      <c r="B238" s="45">
        <v>10000.58</v>
      </c>
      <c r="C238" s="46">
        <v>9992.6790000000001</v>
      </c>
      <c r="D238" s="46">
        <v>9983.0429999999997</v>
      </c>
      <c r="E238" s="46">
        <v>9879.7710000000006</v>
      </c>
      <c r="F238" s="46">
        <v>9778.5789999999997</v>
      </c>
      <c r="G238" s="46">
        <v>9779.8870000000006</v>
      </c>
      <c r="H238" s="46">
        <v>9881.848</v>
      </c>
    </row>
    <row r="239" spans="1:8">
      <c r="A239" s="42">
        <v>46243.583333333336</v>
      </c>
      <c r="B239" s="45">
        <v>10001.33</v>
      </c>
      <c r="C239" s="46">
        <v>9993.3109999999997</v>
      </c>
      <c r="D239" s="46">
        <v>9984.0390000000007</v>
      </c>
      <c r="E239" s="46">
        <v>9879.2749999999996</v>
      </c>
      <c r="F239" s="46">
        <v>9741.7610000000004</v>
      </c>
      <c r="G239" s="46">
        <v>9765.9320000000007</v>
      </c>
      <c r="H239" s="46">
        <v>9864.8250000000007</v>
      </c>
    </row>
    <row r="240" spans="1:8">
      <c r="A240" s="42">
        <v>46243.625</v>
      </c>
      <c r="B240" s="45">
        <v>10015.11</v>
      </c>
      <c r="C240" s="46">
        <v>9995.5689999999995</v>
      </c>
      <c r="D240" s="46">
        <v>9985.1270000000004</v>
      </c>
      <c r="E240" s="46">
        <v>9885.0110000000004</v>
      </c>
      <c r="F240" s="46">
        <v>9746.6309999999994</v>
      </c>
      <c r="G240" s="46">
        <v>9773.0220000000008</v>
      </c>
      <c r="H240" s="46">
        <v>9864.6290000000008</v>
      </c>
    </row>
    <row r="241" spans="1:8">
      <c r="A241" s="42">
        <v>46243.666666666664</v>
      </c>
      <c r="B241" s="45">
        <v>10015.02</v>
      </c>
      <c r="C241" s="46">
        <v>9996.0640000000003</v>
      </c>
      <c r="D241" s="46">
        <v>9986.0519999999997</v>
      </c>
      <c r="E241" s="46">
        <v>9889.9130000000005</v>
      </c>
      <c r="F241" s="46">
        <v>9746.0149999999994</v>
      </c>
      <c r="G241" s="46">
        <v>9760.6810000000005</v>
      </c>
      <c r="H241" s="46">
        <v>9847.0020000000004</v>
      </c>
    </row>
    <row r="242" spans="1:8">
      <c r="A242" s="42">
        <v>46243.708333333336</v>
      </c>
      <c r="B242" s="45">
        <v>10012.290000000001</v>
      </c>
      <c r="C242" s="46">
        <v>9996.3860000000004</v>
      </c>
      <c r="D242" s="46">
        <v>9986.8539999999994</v>
      </c>
      <c r="E242" s="46">
        <v>9896.44</v>
      </c>
      <c r="F242" s="46">
        <v>9759.0580000000009</v>
      </c>
      <c r="G242" s="46">
        <v>9768.5409999999993</v>
      </c>
      <c r="H242" s="46">
        <v>9847.8209999999999</v>
      </c>
    </row>
    <row r="243" spans="1:8">
      <c r="A243" s="42">
        <v>46243.75</v>
      </c>
      <c r="B243" s="45">
        <v>10015.719999999999</v>
      </c>
      <c r="C243" s="46">
        <v>9996.9619999999995</v>
      </c>
      <c r="D243" s="46">
        <v>9987.6749999999993</v>
      </c>
      <c r="E243" s="46">
        <v>9901.2080000000005</v>
      </c>
      <c r="F243" s="46">
        <v>9767.2459999999992</v>
      </c>
      <c r="G243" s="46">
        <v>9755.3379999999997</v>
      </c>
      <c r="H243" s="46">
        <v>9830.14</v>
      </c>
    </row>
    <row r="244" spans="1:8">
      <c r="A244" s="42">
        <v>46243.791666666664</v>
      </c>
      <c r="B244" s="45">
        <v>10085.049999999999</v>
      </c>
      <c r="C244" s="46">
        <v>10001.549999999999</v>
      </c>
      <c r="D244" s="46">
        <v>9988.6630000000005</v>
      </c>
      <c r="E244" s="46">
        <v>9906.5020000000004</v>
      </c>
      <c r="F244" s="46">
        <v>9777.5969999999998</v>
      </c>
      <c r="G244" s="46">
        <v>9763.59</v>
      </c>
      <c r="H244" s="46">
        <v>9832.0450000000001</v>
      </c>
    </row>
    <row r="245" spans="1:8">
      <c r="A245" s="42">
        <v>46243.833333333336</v>
      </c>
      <c r="B245" s="45">
        <v>10082.73</v>
      </c>
      <c r="C245" s="46">
        <v>10001.75</v>
      </c>
      <c r="D245" s="46">
        <v>9989.3889999999992</v>
      </c>
      <c r="E245" s="46">
        <v>9910.9169999999995</v>
      </c>
      <c r="F245" s="46">
        <v>9780.4639999999999</v>
      </c>
      <c r="G245" s="46">
        <v>9750.9140000000007</v>
      </c>
      <c r="H245" s="46">
        <v>9814.6779999999999</v>
      </c>
    </row>
    <row r="246" spans="1:8">
      <c r="A246" s="42">
        <v>46243.875</v>
      </c>
      <c r="B246" s="45">
        <v>10035.1</v>
      </c>
      <c r="C246" s="46">
        <v>10000.120000000001</v>
      </c>
      <c r="D246" s="46">
        <v>9989.9539999999997</v>
      </c>
      <c r="E246" s="46">
        <v>9915.8320000000003</v>
      </c>
      <c r="F246" s="46">
        <v>9791.9480000000003</v>
      </c>
      <c r="G246" s="46">
        <v>9759.652</v>
      </c>
      <c r="H246" s="46">
        <v>9817.6849999999995</v>
      </c>
    </row>
    <row r="247" spans="1:8">
      <c r="A247" s="42">
        <v>46243.916666666664</v>
      </c>
      <c r="B247" s="45">
        <v>10038.620000000001</v>
      </c>
      <c r="C247" s="46">
        <v>10000.700000000001</v>
      </c>
      <c r="D247" s="46">
        <v>9990.6990000000005</v>
      </c>
      <c r="E247" s="46">
        <v>9916.8780000000006</v>
      </c>
      <c r="F247" s="46">
        <v>9764.82</v>
      </c>
      <c r="G247" s="46">
        <v>9749.9240000000009</v>
      </c>
      <c r="H247" s="46">
        <v>9800.7199999999993</v>
      </c>
    </row>
    <row r="248" spans="1:8">
      <c r="A248" s="42">
        <v>46243.958333333336</v>
      </c>
      <c r="B248" s="45">
        <v>10111.76</v>
      </c>
      <c r="C248" s="46">
        <v>10007.969999999999</v>
      </c>
      <c r="D248" s="46">
        <v>9992.6229999999996</v>
      </c>
      <c r="E248" s="46">
        <v>9920.9770000000008</v>
      </c>
      <c r="F248" s="46">
        <v>9770.64</v>
      </c>
      <c r="G248" s="46">
        <v>9759.3130000000001</v>
      </c>
      <c r="H248" s="46">
        <v>9804.7800000000007</v>
      </c>
    </row>
    <row r="249" spans="1:8">
      <c r="A249" s="42">
        <v>46244</v>
      </c>
      <c r="B249" s="45">
        <v>10106.39</v>
      </c>
      <c r="C249" s="46">
        <v>10007.89</v>
      </c>
      <c r="D249" s="46">
        <v>9993.2369999999992</v>
      </c>
      <c r="E249" s="46">
        <v>9924.67</v>
      </c>
      <c r="F249" s="46">
        <v>9772.1139999999996</v>
      </c>
      <c r="G249" s="46">
        <v>9751.1910000000007</v>
      </c>
      <c r="H249" s="46">
        <v>9788.3549999999996</v>
      </c>
    </row>
    <row r="250" spans="1:8">
      <c r="A250" s="42">
        <v>46244.041666666664</v>
      </c>
      <c r="B250" s="45">
        <v>9998.0619999999999</v>
      </c>
      <c r="C250" s="46">
        <v>10002.43</v>
      </c>
      <c r="D250" s="46">
        <v>9993.3089999999993</v>
      </c>
      <c r="E250" s="46">
        <v>9929.0519999999997</v>
      </c>
      <c r="F250" s="46">
        <v>9784.2209999999995</v>
      </c>
      <c r="G250" s="46">
        <v>9760.902</v>
      </c>
      <c r="H250" s="46">
        <v>9793.4079999999994</v>
      </c>
    </row>
    <row r="251" spans="1:8">
      <c r="A251" s="42">
        <v>46244.083333333336</v>
      </c>
      <c r="B251" s="45">
        <v>9998.0709999999999</v>
      </c>
      <c r="C251" s="46">
        <v>10003.49</v>
      </c>
      <c r="D251" s="46">
        <v>9993.9920000000002</v>
      </c>
      <c r="E251" s="46">
        <v>9932.5010000000002</v>
      </c>
      <c r="F251" s="46">
        <v>9792</v>
      </c>
      <c r="G251" s="46">
        <v>9752.2240000000002</v>
      </c>
      <c r="H251" s="46">
        <v>9777.84</v>
      </c>
    </row>
    <row r="252" spans="1:8">
      <c r="A252" s="42">
        <v>46244.125</v>
      </c>
      <c r="B252" s="45">
        <v>10029.33</v>
      </c>
      <c r="C252" s="46">
        <v>10027.129999999999</v>
      </c>
      <c r="D252" s="46">
        <v>9994.2810000000009</v>
      </c>
      <c r="E252" s="46">
        <v>9936.1579999999994</v>
      </c>
      <c r="F252" s="46">
        <v>9801.6119999999992</v>
      </c>
      <c r="G252" s="46">
        <v>9761.9599999999991</v>
      </c>
      <c r="H252" s="46">
        <v>9783.8230000000003</v>
      </c>
    </row>
    <row r="253" spans="1:8">
      <c r="A253" s="42">
        <v>46244.166666666664</v>
      </c>
      <c r="B253" s="45">
        <v>10025.799999999999</v>
      </c>
      <c r="C253" s="46">
        <v>10026.36</v>
      </c>
      <c r="D253" s="46">
        <v>9994.7849999999999</v>
      </c>
      <c r="E253" s="46">
        <v>9939.3829999999998</v>
      </c>
      <c r="F253" s="46">
        <v>9805.4310000000005</v>
      </c>
      <c r="G253" s="46">
        <v>9753.7489999999998</v>
      </c>
      <c r="H253" s="46">
        <v>9769.3029999999999</v>
      </c>
    </row>
    <row r="254" spans="1:8">
      <c r="A254" s="42">
        <v>46244.208333333336</v>
      </c>
      <c r="B254" s="45">
        <v>9972.9770000000008</v>
      </c>
      <c r="C254" s="46">
        <v>10008.59</v>
      </c>
      <c r="D254" s="46">
        <v>9994.0930000000008</v>
      </c>
      <c r="E254" s="46">
        <v>9942.7080000000005</v>
      </c>
      <c r="F254" s="46">
        <v>9815.7250000000004</v>
      </c>
      <c r="G254" s="46">
        <v>9763.6049999999996</v>
      </c>
      <c r="H254" s="46">
        <v>9776.1329999999998</v>
      </c>
    </row>
    <row r="255" spans="1:8">
      <c r="A255" s="42">
        <v>46244.25</v>
      </c>
      <c r="B255" s="45">
        <v>9964.2150000000001</v>
      </c>
      <c r="C255" s="46">
        <v>10009.709999999999</v>
      </c>
      <c r="D255" s="46">
        <v>9994.7739999999994</v>
      </c>
      <c r="E255" s="46">
        <v>9944.1219999999994</v>
      </c>
      <c r="F255" s="46">
        <v>9796.4689999999991</v>
      </c>
      <c r="G255" s="46">
        <v>9757.7980000000007</v>
      </c>
      <c r="H255" s="46">
        <v>9762.5959999999995</v>
      </c>
    </row>
    <row r="256" spans="1:8">
      <c r="A256" s="42">
        <v>46244.291666666664</v>
      </c>
      <c r="B256" s="45">
        <v>9979.7710000000006</v>
      </c>
      <c r="C256" s="46">
        <v>10038.51</v>
      </c>
      <c r="D256" s="46">
        <v>9999.1830000000009</v>
      </c>
      <c r="E256" s="46">
        <v>9947.0370000000003</v>
      </c>
      <c r="F256" s="46">
        <v>9802.3060000000005</v>
      </c>
      <c r="G256" s="46">
        <v>9767.9040000000005</v>
      </c>
      <c r="H256" s="46">
        <v>9770.1550000000007</v>
      </c>
    </row>
    <row r="257" spans="1:8">
      <c r="A257" s="42">
        <v>46244.333333333336</v>
      </c>
      <c r="B257" s="45">
        <v>9960.3700000000008</v>
      </c>
      <c r="C257" s="46">
        <v>10036.35</v>
      </c>
      <c r="D257" s="46">
        <v>9999.4770000000008</v>
      </c>
      <c r="E257" s="46">
        <v>9949.6859999999997</v>
      </c>
      <c r="F257" s="46">
        <v>9804.86</v>
      </c>
      <c r="G257" s="46">
        <v>9763.4179999999997</v>
      </c>
      <c r="H257" s="46">
        <v>9757.5769999999993</v>
      </c>
    </row>
    <row r="258" spans="1:8">
      <c r="A258" s="42">
        <v>46244.375</v>
      </c>
      <c r="B258" s="45">
        <v>9937.49</v>
      </c>
      <c r="C258" s="46">
        <v>10001.99</v>
      </c>
      <c r="D258" s="46">
        <v>9996.9130000000005</v>
      </c>
      <c r="E258" s="46">
        <v>9952.5499999999993</v>
      </c>
      <c r="F258" s="46">
        <v>9815.4169999999995</v>
      </c>
      <c r="G258" s="46">
        <v>9773.5120000000006</v>
      </c>
      <c r="H258" s="46">
        <v>9765.7549999999992</v>
      </c>
    </row>
    <row r="259" spans="1:8">
      <c r="A259" s="42">
        <v>46244.416666666664</v>
      </c>
      <c r="B259" s="45">
        <v>9911.8780000000006</v>
      </c>
      <c r="C259" s="46">
        <v>10002.52</v>
      </c>
      <c r="D259" s="46">
        <v>9997.6440000000002</v>
      </c>
      <c r="E259" s="46">
        <v>9954.9740000000002</v>
      </c>
      <c r="F259" s="46">
        <v>9822.4009999999998</v>
      </c>
      <c r="G259" s="46">
        <v>9768.5869999999995</v>
      </c>
      <c r="H259" s="46">
        <v>9754.2829999999994</v>
      </c>
    </row>
    <row r="260" spans="1:8">
      <c r="A260" s="42">
        <v>46244.458333333336</v>
      </c>
      <c r="B260" s="45">
        <v>9905.8770000000004</v>
      </c>
      <c r="C260" s="46">
        <v>10059.120000000001</v>
      </c>
      <c r="D260" s="46">
        <v>10007.469999999999</v>
      </c>
      <c r="E260" s="46">
        <v>9957.5</v>
      </c>
      <c r="F260" s="46">
        <v>9830.8019999999997</v>
      </c>
      <c r="G260" s="46">
        <v>9778.4519999999993</v>
      </c>
      <c r="H260" s="46">
        <v>9762.99</v>
      </c>
    </row>
    <row r="261" spans="1:8">
      <c r="A261" s="42">
        <v>46244.5</v>
      </c>
      <c r="B261" s="45">
        <v>9682.3269999999993</v>
      </c>
      <c r="C261" s="46">
        <v>10039.280000000001</v>
      </c>
      <c r="D261" s="46">
        <v>10006.73</v>
      </c>
      <c r="E261" s="46">
        <v>9959.7569999999996</v>
      </c>
      <c r="F261" s="46">
        <v>9834.866</v>
      </c>
      <c r="G261" s="46">
        <v>9773.8389999999999</v>
      </c>
      <c r="H261" s="46">
        <v>9752.6970000000001</v>
      </c>
    </row>
    <row r="262" spans="1:8">
      <c r="A262" s="42">
        <v>46244.541666666664</v>
      </c>
      <c r="B262" s="45">
        <v>9641.1</v>
      </c>
      <c r="C262" s="46">
        <v>9995.1489999999994</v>
      </c>
      <c r="D262" s="46">
        <v>9999.7870000000003</v>
      </c>
      <c r="E262" s="46">
        <v>9961.9040000000005</v>
      </c>
      <c r="F262" s="46">
        <v>9843.68</v>
      </c>
      <c r="G262" s="46">
        <v>9783.5730000000003</v>
      </c>
      <c r="H262" s="46">
        <v>9761.8359999999993</v>
      </c>
    </row>
    <row r="263" spans="1:8">
      <c r="A263" s="42">
        <v>46244.583333333336</v>
      </c>
      <c r="B263" s="45">
        <v>9611.1769999999997</v>
      </c>
      <c r="C263" s="46">
        <v>9993.7479999999996</v>
      </c>
      <c r="D263" s="46">
        <v>10000.43</v>
      </c>
      <c r="E263" s="46">
        <v>9963.223</v>
      </c>
      <c r="F263" s="46">
        <v>9830.3549999999996</v>
      </c>
      <c r="G263" s="46">
        <v>9780.7659999999996</v>
      </c>
      <c r="H263" s="46">
        <v>9752.5869999999995</v>
      </c>
    </row>
    <row r="264" spans="1:8">
      <c r="A264" s="42">
        <v>46244.625</v>
      </c>
      <c r="B264" s="45">
        <v>9591.2720000000008</v>
      </c>
      <c r="C264" s="46">
        <v>10030.94</v>
      </c>
      <c r="D264" s="46">
        <v>10013.129999999999</v>
      </c>
      <c r="E264" s="46">
        <v>9965.5769999999993</v>
      </c>
      <c r="F264" s="46">
        <v>9835.6010000000006</v>
      </c>
      <c r="G264" s="46">
        <v>9790.4760000000006</v>
      </c>
      <c r="H264" s="46">
        <v>9762.0460000000003</v>
      </c>
    </row>
    <row r="265" spans="1:8">
      <c r="A265" s="42">
        <v>46244.666666666664</v>
      </c>
      <c r="B265" s="45">
        <v>8375.0669999999991</v>
      </c>
      <c r="C265" s="46">
        <v>9978.7999999999993</v>
      </c>
      <c r="D265" s="46">
        <v>10010.31</v>
      </c>
      <c r="E265" s="46">
        <v>9967.4079999999994</v>
      </c>
      <c r="F265" s="46">
        <v>9838.5319999999992</v>
      </c>
      <c r="G265" s="46">
        <v>9788.6409999999996</v>
      </c>
      <c r="H265" s="46">
        <v>9753.7420000000002</v>
      </c>
    </row>
    <row r="266" spans="1:8">
      <c r="A266" s="42">
        <v>46244.708333333336</v>
      </c>
      <c r="B266" s="45">
        <v>8238.4650000000001</v>
      </c>
      <c r="C266" s="46">
        <v>9921.67</v>
      </c>
      <c r="D266" s="46">
        <v>9993.9380000000001</v>
      </c>
      <c r="E266" s="46">
        <v>9969.0669999999991</v>
      </c>
      <c r="F266" s="46">
        <v>9847.4130000000005</v>
      </c>
      <c r="G266" s="46">
        <v>9798.1319999999996</v>
      </c>
      <c r="H266" s="46">
        <v>9763.4259999999995</v>
      </c>
    </row>
    <row r="267" spans="1:8">
      <c r="A267" s="42">
        <v>46244.75</v>
      </c>
      <c r="B267" s="45">
        <v>8212.2810000000009</v>
      </c>
      <c r="C267" s="46">
        <v>9915.68</v>
      </c>
      <c r="D267" s="46">
        <v>9994.0840000000007</v>
      </c>
      <c r="E267" s="46">
        <v>9970.7639999999992</v>
      </c>
      <c r="F267" s="46">
        <v>9853.41</v>
      </c>
      <c r="G267" s="46">
        <v>9795.9009999999998</v>
      </c>
      <c r="H267" s="46">
        <v>9756.1190000000006</v>
      </c>
    </row>
    <row r="268" spans="1:8">
      <c r="A268" s="42">
        <v>46244.791666666664</v>
      </c>
      <c r="B268" s="45">
        <v>8190.4780000000001</v>
      </c>
      <c r="C268" s="46">
        <v>9949.1139999999996</v>
      </c>
      <c r="D268" s="46">
        <v>10023.969999999999</v>
      </c>
      <c r="E268" s="46">
        <v>9972.8950000000004</v>
      </c>
      <c r="F268" s="46">
        <v>9860.3070000000007</v>
      </c>
      <c r="G268" s="46">
        <v>9805.0280000000002</v>
      </c>
      <c r="H268" s="46">
        <v>9765.9549999999999</v>
      </c>
    </row>
    <row r="269" spans="1:8">
      <c r="A269" s="42">
        <v>46244.833333333336</v>
      </c>
      <c r="B269" s="45">
        <v>5497.5060000000003</v>
      </c>
      <c r="C269" s="46">
        <v>9793.6129999999994</v>
      </c>
      <c r="D269" s="46">
        <v>10006.85</v>
      </c>
      <c r="E269" s="46">
        <v>9974.3449999999993</v>
      </c>
      <c r="F269" s="46">
        <v>9864.2009999999991</v>
      </c>
      <c r="G269" s="46">
        <v>9802.9459999999999</v>
      </c>
      <c r="H269" s="46">
        <v>9759.6540000000005</v>
      </c>
    </row>
    <row r="270" spans="1:8">
      <c r="A270" s="42">
        <v>46244.875</v>
      </c>
      <c r="B270" s="45">
        <v>5226.7529999999997</v>
      </c>
      <c r="C270" s="46">
        <v>9737.1620000000003</v>
      </c>
      <c r="D270" s="46">
        <v>9976.4040000000005</v>
      </c>
      <c r="E270" s="46">
        <v>9975.259</v>
      </c>
      <c r="F270" s="46">
        <v>9871.6450000000004</v>
      </c>
      <c r="G270" s="46">
        <v>9811.8019999999997</v>
      </c>
      <c r="H270" s="46">
        <v>9769.5689999999995</v>
      </c>
    </row>
    <row r="271" spans="1:8">
      <c r="A271" s="42">
        <v>46244.916666666664</v>
      </c>
      <c r="B271" s="45">
        <v>5205.6090000000004</v>
      </c>
      <c r="C271" s="46">
        <v>9726.9619999999995</v>
      </c>
      <c r="D271" s="46">
        <v>9975.3610000000008</v>
      </c>
      <c r="E271" s="46">
        <v>9976.3619999999992</v>
      </c>
      <c r="F271" s="46">
        <v>9862.5849999999991</v>
      </c>
      <c r="G271" s="46">
        <v>9811</v>
      </c>
      <c r="H271" s="46">
        <v>9764.1290000000008</v>
      </c>
    </row>
    <row r="272" spans="1:8">
      <c r="A272" s="42">
        <v>46244.958333333336</v>
      </c>
      <c r="B272" s="45">
        <v>5191.9359999999997</v>
      </c>
      <c r="C272" s="46">
        <v>9745.2219999999998</v>
      </c>
      <c r="D272" s="46">
        <v>10004.82</v>
      </c>
      <c r="E272" s="46">
        <v>9979.1990000000005</v>
      </c>
      <c r="F272" s="46">
        <v>9866.7999999999993</v>
      </c>
      <c r="G272" s="46">
        <v>9819.6769999999997</v>
      </c>
      <c r="H272" s="46">
        <v>9774.0429999999997</v>
      </c>
    </row>
    <row r="273" spans="1:8">
      <c r="A273" s="42">
        <v>46245</v>
      </c>
      <c r="B273" s="45">
        <v>3494.9430000000002</v>
      </c>
      <c r="C273" s="46">
        <v>9399.1640000000007</v>
      </c>
      <c r="D273" s="46">
        <v>9949.7150000000001</v>
      </c>
      <c r="E273" s="46">
        <v>9980.1479999999992</v>
      </c>
      <c r="F273" s="46">
        <v>9869.7960000000003</v>
      </c>
      <c r="G273" s="46">
        <v>9819.5329999999994</v>
      </c>
      <c r="H273" s="46">
        <v>9769.3469999999998</v>
      </c>
    </row>
    <row r="274" spans="1:8">
      <c r="A274" s="42">
        <v>46245.041666666664</v>
      </c>
      <c r="B274" s="45">
        <v>3323.6390000000001</v>
      </c>
      <c r="C274" s="46">
        <v>9329.3140000000003</v>
      </c>
      <c r="D274" s="46">
        <v>9903.58</v>
      </c>
      <c r="E274" s="46">
        <v>9980.0560000000005</v>
      </c>
      <c r="F274" s="46">
        <v>9877.3700000000008</v>
      </c>
      <c r="G274" s="46">
        <v>9827.8909999999996</v>
      </c>
      <c r="H274" s="46">
        <v>9779.1939999999995</v>
      </c>
    </row>
    <row r="275" spans="1:8">
      <c r="A275" s="42">
        <v>46245.083333333336</v>
      </c>
      <c r="B275" s="45">
        <v>3261.5210000000002</v>
      </c>
      <c r="C275" s="46">
        <v>9311.1489999999994</v>
      </c>
      <c r="D275" s="46">
        <v>9899.5939999999991</v>
      </c>
      <c r="E275" s="46">
        <v>9981.26</v>
      </c>
      <c r="F275" s="46">
        <v>9882.3529999999992</v>
      </c>
      <c r="G275" s="46">
        <v>9827.3770000000004</v>
      </c>
      <c r="H275" s="46">
        <v>9775.2520000000004</v>
      </c>
    </row>
    <row r="276" spans="1:8">
      <c r="A276" s="42">
        <v>46245.125</v>
      </c>
      <c r="B276" s="45">
        <v>3244.0949999999998</v>
      </c>
      <c r="C276" s="46">
        <v>9318.6759999999995</v>
      </c>
      <c r="D276" s="46">
        <v>9940.3279999999995</v>
      </c>
      <c r="E276" s="46">
        <v>9985.009</v>
      </c>
      <c r="F276" s="46">
        <v>9887.1970000000001</v>
      </c>
      <c r="G276" s="46">
        <v>9835.3179999999993</v>
      </c>
      <c r="H276" s="46">
        <v>9784.9869999999992</v>
      </c>
    </row>
    <row r="277" spans="1:8">
      <c r="A277" s="42">
        <v>46245.166666666664</v>
      </c>
      <c r="B277" s="45">
        <v>2409.1019999999999</v>
      </c>
      <c r="C277" s="46">
        <v>8590.4959999999992</v>
      </c>
      <c r="D277" s="46">
        <v>9796.3909999999996</v>
      </c>
      <c r="E277" s="46">
        <v>9984.777</v>
      </c>
      <c r="F277" s="46">
        <v>9891.116</v>
      </c>
      <c r="G277" s="46">
        <v>9834.8320000000003</v>
      </c>
      <c r="H277" s="46">
        <v>9781.7839999999997</v>
      </c>
    </row>
    <row r="278" spans="1:8">
      <c r="A278" s="42">
        <v>46245.208333333336</v>
      </c>
      <c r="B278" s="45">
        <v>2316.2559999999999</v>
      </c>
      <c r="C278" s="46">
        <v>8492.2270000000008</v>
      </c>
      <c r="D278" s="46">
        <v>9742.7720000000008</v>
      </c>
      <c r="E278" s="46">
        <v>9983.0380000000005</v>
      </c>
      <c r="F278" s="46">
        <v>9897.8369999999995</v>
      </c>
      <c r="G278" s="46">
        <v>9842.4429999999993</v>
      </c>
      <c r="H278" s="46">
        <v>9791.3649999999998</v>
      </c>
    </row>
    <row r="279" spans="1:8">
      <c r="A279" s="42">
        <v>46245.25</v>
      </c>
      <c r="B279" s="45">
        <v>2215.6689999999999</v>
      </c>
      <c r="C279" s="46">
        <v>8470.2559999999994</v>
      </c>
      <c r="D279" s="46">
        <v>9735.7749999999996</v>
      </c>
      <c r="E279" s="46">
        <v>9983.875</v>
      </c>
      <c r="F279" s="46">
        <v>9891.7880000000005</v>
      </c>
      <c r="G279" s="46">
        <v>9842.8279999999995</v>
      </c>
      <c r="H279" s="46">
        <v>9788.7729999999992</v>
      </c>
    </row>
    <row r="280" spans="1:8">
      <c r="A280" s="42">
        <v>46245.291666666664</v>
      </c>
      <c r="B280" s="45">
        <v>2194.221</v>
      </c>
      <c r="C280" s="46">
        <v>8468.4590000000007</v>
      </c>
      <c r="D280" s="46">
        <v>9760.9320000000007</v>
      </c>
      <c r="E280" s="46">
        <v>9989.1479999999992</v>
      </c>
      <c r="F280" s="46">
        <v>9894.5650000000005</v>
      </c>
      <c r="G280" s="46">
        <v>9850.1929999999993</v>
      </c>
      <c r="H280" s="46">
        <v>9798.15</v>
      </c>
    </row>
    <row r="281" spans="1:8">
      <c r="A281" s="42">
        <v>46245.333333333336</v>
      </c>
      <c r="B281" s="45">
        <v>1824.2059999999999</v>
      </c>
      <c r="C281" s="46">
        <v>7581.4849999999997</v>
      </c>
      <c r="D281" s="46">
        <v>9506.7839999999997</v>
      </c>
      <c r="E281" s="46">
        <v>9986.6190000000006</v>
      </c>
      <c r="F281" s="46">
        <v>9898.4699999999993</v>
      </c>
      <c r="G281" s="46">
        <v>9851.0020000000004</v>
      </c>
      <c r="H281" s="46">
        <v>9796.0650000000005</v>
      </c>
    </row>
    <row r="282" spans="1:8">
      <c r="A282" s="42">
        <v>46245.375</v>
      </c>
      <c r="B282" s="45">
        <v>1780.2850000000001</v>
      </c>
      <c r="C282" s="46">
        <v>7472.3760000000002</v>
      </c>
      <c r="D282" s="46">
        <v>9440.0460000000003</v>
      </c>
      <c r="E282" s="46">
        <v>9982.1309999999994</v>
      </c>
      <c r="F282" s="46">
        <v>9905.7450000000008</v>
      </c>
      <c r="G282" s="46">
        <v>9858.0220000000008</v>
      </c>
      <c r="H282" s="46">
        <v>9805.2019999999993</v>
      </c>
    </row>
    <row r="283" spans="1:8">
      <c r="A283" s="42">
        <v>46245.416666666664</v>
      </c>
      <c r="B283" s="45">
        <v>1712.454</v>
      </c>
      <c r="C283" s="46">
        <v>7440.2209999999995</v>
      </c>
      <c r="D283" s="46">
        <v>9426.6239999999998</v>
      </c>
      <c r="E283" s="46">
        <v>9982.8089999999993</v>
      </c>
      <c r="F283" s="46">
        <v>9909.8760000000002</v>
      </c>
      <c r="G283" s="46">
        <v>9858.5059999999994</v>
      </c>
      <c r="H283" s="46">
        <v>9803.6180000000004</v>
      </c>
    </row>
    <row r="284" spans="1:8">
      <c r="A284" s="42">
        <v>46245.458333333336</v>
      </c>
      <c r="B284" s="45">
        <v>1700.357</v>
      </c>
      <c r="C284" s="46">
        <v>7431.7889999999998</v>
      </c>
      <c r="D284" s="46">
        <v>9445.7610000000004</v>
      </c>
      <c r="E284" s="46">
        <v>9992.0319999999992</v>
      </c>
      <c r="F284" s="46">
        <v>9912.0609999999997</v>
      </c>
      <c r="G284" s="46">
        <v>9865.116</v>
      </c>
      <c r="H284" s="46">
        <v>9812.4950000000008</v>
      </c>
    </row>
    <row r="285" spans="1:8">
      <c r="A285" s="42">
        <v>46245.5</v>
      </c>
      <c r="B285" s="45">
        <v>1558.58</v>
      </c>
      <c r="C285" s="46">
        <v>6114.0159999999996</v>
      </c>
      <c r="D285" s="46">
        <v>8942.3700000000008</v>
      </c>
      <c r="E285" s="46">
        <v>9982.8520000000008</v>
      </c>
      <c r="F285" s="46">
        <v>9918.6360000000004</v>
      </c>
      <c r="G285" s="46">
        <v>9865.5779999999995</v>
      </c>
      <c r="H285" s="46">
        <v>9811.3960000000006</v>
      </c>
    </row>
    <row r="286" spans="1:8">
      <c r="A286" s="42">
        <v>46245.541666666664</v>
      </c>
      <c r="B286" s="45">
        <v>1541.752</v>
      </c>
      <c r="C286" s="46">
        <v>5968.777</v>
      </c>
      <c r="D286" s="46">
        <v>8860.2540000000008</v>
      </c>
      <c r="E286" s="46">
        <v>9974.473</v>
      </c>
      <c r="F286" s="46">
        <v>9925.7939999999999</v>
      </c>
      <c r="G286" s="46">
        <v>9871.8490000000002</v>
      </c>
      <c r="H286" s="46">
        <v>9819.991</v>
      </c>
    </row>
    <row r="287" spans="1:8">
      <c r="A287" s="42">
        <v>46245.583333333336</v>
      </c>
      <c r="B287" s="45">
        <v>1513.3679999999999</v>
      </c>
      <c r="C287" s="46">
        <v>5929.8490000000002</v>
      </c>
      <c r="D287" s="46">
        <v>8842.6139999999996</v>
      </c>
      <c r="E287" s="46">
        <v>9974.6759999999995</v>
      </c>
      <c r="F287" s="46">
        <v>9921.9789999999994</v>
      </c>
      <c r="G287" s="46">
        <v>9872.9359999999997</v>
      </c>
      <c r="H287" s="46">
        <v>9819.2759999999998</v>
      </c>
    </row>
    <row r="288" spans="1:8">
      <c r="A288" s="42">
        <v>46245.625</v>
      </c>
      <c r="B288" s="45">
        <v>1508.8050000000001</v>
      </c>
      <c r="C288" s="46">
        <v>5919.1040000000003</v>
      </c>
      <c r="D288" s="46">
        <v>8850.2039999999997</v>
      </c>
      <c r="E288" s="46">
        <v>9984.9760000000006</v>
      </c>
      <c r="F288" s="46">
        <v>9923.3119999999999</v>
      </c>
      <c r="G288" s="46">
        <v>9878.9410000000007</v>
      </c>
      <c r="H288" s="46">
        <v>9827.5660000000007</v>
      </c>
    </row>
    <row r="289" spans="1:8">
      <c r="A289" s="42">
        <v>46245.666666666664</v>
      </c>
      <c r="B289" s="45">
        <v>1461.578</v>
      </c>
      <c r="C289" s="46">
        <v>4902.6620000000003</v>
      </c>
      <c r="D289" s="46">
        <v>8221.5030000000006</v>
      </c>
      <c r="E289" s="46">
        <v>9964.9310000000005</v>
      </c>
      <c r="F289" s="46">
        <v>9932.8960000000006</v>
      </c>
      <c r="G289" s="46">
        <v>9880.3670000000002</v>
      </c>
      <c r="H289" s="46">
        <v>9827.1540000000005</v>
      </c>
    </row>
    <row r="290" spans="1:8">
      <c r="A290" s="42">
        <v>46245.708333333336</v>
      </c>
      <c r="B290" s="45">
        <v>1456.0940000000001</v>
      </c>
      <c r="C290" s="46">
        <v>4790.4549999999999</v>
      </c>
      <c r="D290" s="46">
        <v>8131.5309999999999</v>
      </c>
      <c r="E290" s="46">
        <v>9950.6550000000007</v>
      </c>
      <c r="F290" s="46">
        <v>9941.018</v>
      </c>
      <c r="G290" s="46">
        <v>9886.0679999999993</v>
      </c>
      <c r="H290" s="46">
        <v>9835.1239999999998</v>
      </c>
    </row>
    <row r="291" spans="1:8">
      <c r="A291" s="42">
        <v>46245.75</v>
      </c>
      <c r="B291" s="45">
        <v>1447.0139999999999</v>
      </c>
      <c r="C291" s="46">
        <v>4742.4859999999999</v>
      </c>
      <c r="D291" s="46">
        <v>8104.9970000000003</v>
      </c>
      <c r="E291" s="46">
        <v>9950.0349999999999</v>
      </c>
      <c r="F291" s="46">
        <v>9944.7219999999998</v>
      </c>
      <c r="G291" s="46">
        <v>9887.34</v>
      </c>
      <c r="H291" s="46">
        <v>9835.0120000000006</v>
      </c>
    </row>
    <row r="292" spans="1:8">
      <c r="A292" s="42">
        <v>46245.791666666664</v>
      </c>
      <c r="B292" s="45">
        <v>1445.64</v>
      </c>
      <c r="C292" s="46">
        <v>4729.8509999999997</v>
      </c>
      <c r="D292" s="46">
        <v>8104.6760000000004</v>
      </c>
      <c r="E292" s="46">
        <v>9967.241</v>
      </c>
      <c r="F292" s="46">
        <v>9945.4869999999992</v>
      </c>
      <c r="G292" s="46">
        <v>9892.7150000000001</v>
      </c>
      <c r="H292" s="46">
        <v>9842.6579999999994</v>
      </c>
    </row>
    <row r="293" spans="1:8">
      <c r="A293" s="42">
        <v>46245.833333333336</v>
      </c>
      <c r="B293" s="45">
        <v>1431.4169999999999</v>
      </c>
      <c r="C293" s="46">
        <v>3790.0169999999998</v>
      </c>
      <c r="D293" s="46">
        <v>7125.7780000000002</v>
      </c>
      <c r="E293" s="46">
        <v>9911.9359999999997</v>
      </c>
      <c r="F293" s="46">
        <v>9967.36</v>
      </c>
      <c r="G293" s="46">
        <v>9894.134</v>
      </c>
      <c r="H293" s="46">
        <v>9842.8379999999997</v>
      </c>
    </row>
    <row r="294" spans="1:8">
      <c r="A294" s="42">
        <v>46245.875</v>
      </c>
      <c r="B294" s="45">
        <v>1429.808</v>
      </c>
      <c r="C294" s="46">
        <v>3687.3359999999998</v>
      </c>
      <c r="D294" s="46">
        <v>7008.6279999999997</v>
      </c>
      <c r="E294" s="46">
        <v>9890.8169999999991</v>
      </c>
      <c r="F294" s="46">
        <v>9975.5560000000005</v>
      </c>
      <c r="G294" s="46">
        <v>9899.23</v>
      </c>
      <c r="H294" s="46">
        <v>9850.1560000000009</v>
      </c>
    </row>
    <row r="295" spans="1:8">
      <c r="A295" s="42">
        <v>46245.916666666664</v>
      </c>
      <c r="B295" s="45">
        <v>1427.3430000000001</v>
      </c>
      <c r="C295" s="46">
        <v>3633.4949999999999</v>
      </c>
      <c r="D295" s="46">
        <v>6976.8379999999997</v>
      </c>
      <c r="E295" s="46">
        <v>9889.098</v>
      </c>
      <c r="F295" s="46">
        <v>9973.7109999999993</v>
      </c>
      <c r="G295" s="46">
        <v>9901.3850000000002</v>
      </c>
      <c r="H295" s="46">
        <v>9850.5609999999997</v>
      </c>
    </row>
    <row r="296" spans="1:8">
      <c r="A296" s="42">
        <v>46245.958333333336</v>
      </c>
      <c r="B296" s="45">
        <v>1426.982</v>
      </c>
      <c r="C296" s="46">
        <v>3620.7429999999999</v>
      </c>
      <c r="D296" s="46">
        <v>6970.8459999999995</v>
      </c>
      <c r="E296" s="46">
        <v>9904.6380000000008</v>
      </c>
      <c r="F296" s="46">
        <v>9975.3510000000006</v>
      </c>
      <c r="G296" s="46">
        <v>9906.2729999999992</v>
      </c>
      <c r="H296" s="46">
        <v>9857.5429999999997</v>
      </c>
    </row>
    <row r="297" spans="1:8">
      <c r="A297" s="42">
        <v>46246</v>
      </c>
      <c r="B297" s="45">
        <v>1422.9680000000001</v>
      </c>
      <c r="C297" s="46">
        <v>3009.7759999999998</v>
      </c>
      <c r="D297" s="46">
        <v>6072.268</v>
      </c>
      <c r="E297" s="46">
        <v>9823.6110000000008</v>
      </c>
      <c r="F297" s="46">
        <v>10000</v>
      </c>
      <c r="G297" s="46">
        <v>9909.1049999999996</v>
      </c>
      <c r="H297" s="46">
        <v>9858.1239999999998</v>
      </c>
    </row>
    <row r="298" spans="1:8">
      <c r="A298" s="42">
        <v>46246.041666666664</v>
      </c>
      <c r="B298" s="45">
        <v>1422.5250000000001</v>
      </c>
      <c r="C298" s="46">
        <v>2942.277</v>
      </c>
      <c r="D298" s="46">
        <v>5967.0209999999997</v>
      </c>
      <c r="E298" s="46">
        <v>9793.7420000000002</v>
      </c>
      <c r="F298" s="46">
        <v>10000</v>
      </c>
      <c r="G298" s="46">
        <v>9913.82</v>
      </c>
      <c r="H298" s="46">
        <v>9864.77</v>
      </c>
    </row>
    <row r="299" spans="1:8">
      <c r="A299" s="42">
        <v>46246.083333333336</v>
      </c>
      <c r="B299" s="45">
        <v>1421.924</v>
      </c>
      <c r="C299" s="46">
        <v>2897.2919999999999</v>
      </c>
      <c r="D299" s="46">
        <v>5927.4279999999999</v>
      </c>
      <c r="E299" s="46">
        <v>9789.8189999999995</v>
      </c>
      <c r="F299" s="46">
        <v>10000</v>
      </c>
      <c r="G299" s="46">
        <v>9917.1710000000003</v>
      </c>
      <c r="H299" s="46">
        <v>9865.5470000000005</v>
      </c>
    </row>
    <row r="300" spans="1:8">
      <c r="A300" s="42">
        <v>46246.125</v>
      </c>
      <c r="B300" s="45">
        <v>1421.837</v>
      </c>
      <c r="C300" s="46">
        <v>2887.2530000000002</v>
      </c>
      <c r="D300" s="46">
        <v>5917.5839999999998</v>
      </c>
      <c r="E300" s="46">
        <v>9811.634</v>
      </c>
      <c r="F300" s="46">
        <v>10000</v>
      </c>
      <c r="G300" s="46">
        <v>9921.7810000000009</v>
      </c>
      <c r="H300" s="46">
        <v>9871.866</v>
      </c>
    </row>
    <row r="301" spans="1:8">
      <c r="A301" s="42">
        <v>46246.166666666664</v>
      </c>
      <c r="B301" s="45">
        <v>1420.748</v>
      </c>
      <c r="C301" s="46">
        <v>2422.1550000000002</v>
      </c>
      <c r="D301" s="46">
        <v>4858.2280000000001</v>
      </c>
      <c r="E301" s="46">
        <v>9588.3449999999993</v>
      </c>
      <c r="F301" s="46">
        <v>10000</v>
      </c>
      <c r="G301" s="46">
        <v>9926.1730000000007</v>
      </c>
      <c r="H301" s="46">
        <v>9872.8629999999994</v>
      </c>
    </row>
    <row r="302" spans="1:8">
      <c r="A302" s="42">
        <v>46246.208333333336</v>
      </c>
      <c r="B302" s="45">
        <v>1420.63</v>
      </c>
      <c r="C302" s="46">
        <v>2371.0549999999998</v>
      </c>
      <c r="D302" s="46">
        <v>4741.3090000000002</v>
      </c>
      <c r="E302" s="46">
        <v>9547.6380000000008</v>
      </c>
      <c r="F302" s="46">
        <v>10000</v>
      </c>
      <c r="G302" s="46">
        <v>9930.7180000000008</v>
      </c>
      <c r="H302" s="46">
        <v>9878.8700000000008</v>
      </c>
    </row>
    <row r="303" spans="1:8">
      <c r="A303" s="42">
        <v>46246.25</v>
      </c>
      <c r="B303" s="45">
        <v>1420.4939999999999</v>
      </c>
      <c r="C303" s="46">
        <v>2335.6460000000002</v>
      </c>
      <c r="D303" s="46">
        <v>4696.9790000000003</v>
      </c>
      <c r="E303" s="46">
        <v>9541.1540000000005</v>
      </c>
      <c r="F303" s="46">
        <v>10000</v>
      </c>
      <c r="G303" s="46">
        <v>9936.99</v>
      </c>
      <c r="H303" s="46">
        <v>9880.0859999999993</v>
      </c>
    </row>
    <row r="304" spans="1:8">
      <c r="A304" s="42">
        <v>46246.291666666664</v>
      </c>
      <c r="B304" s="45">
        <v>1420.4749999999999</v>
      </c>
      <c r="C304" s="46">
        <v>2328.0219999999999</v>
      </c>
      <c r="D304" s="46">
        <v>4685.9859999999999</v>
      </c>
      <c r="E304" s="46">
        <v>9556.9500000000007</v>
      </c>
      <c r="F304" s="46">
        <v>10000</v>
      </c>
      <c r="G304" s="46">
        <v>9941.4590000000007</v>
      </c>
      <c r="H304" s="46">
        <v>9885.7909999999993</v>
      </c>
    </row>
    <row r="305" spans="1:8">
      <c r="A305" s="42">
        <v>46246.333333333336</v>
      </c>
      <c r="B305" s="45">
        <v>1420.1859999999999</v>
      </c>
      <c r="C305" s="46">
        <v>2051.4569999999999</v>
      </c>
      <c r="D305" s="46">
        <v>3915.3229999999999</v>
      </c>
      <c r="E305" s="46">
        <v>9331.2839999999997</v>
      </c>
      <c r="F305" s="46">
        <v>10000</v>
      </c>
      <c r="G305" s="46">
        <v>9949.7279999999992</v>
      </c>
      <c r="H305" s="46">
        <v>9887.2569999999996</v>
      </c>
    </row>
    <row r="306" spans="1:8">
      <c r="A306" s="42">
        <v>46246.375</v>
      </c>
      <c r="B306" s="45">
        <v>1420.155</v>
      </c>
      <c r="C306" s="46">
        <v>2020.8219999999999</v>
      </c>
      <c r="D306" s="46">
        <v>3829.8580000000002</v>
      </c>
      <c r="E306" s="46">
        <v>9282.09</v>
      </c>
      <c r="F306" s="46">
        <v>10000</v>
      </c>
      <c r="G306" s="46">
        <v>9953.9140000000007</v>
      </c>
      <c r="H306" s="46">
        <v>9892.68</v>
      </c>
    </row>
    <row r="307" spans="1:8">
      <c r="A307" s="42">
        <v>46246.416666666664</v>
      </c>
      <c r="B307" s="45">
        <v>1420.126</v>
      </c>
      <c r="C307" s="46">
        <v>1996.7850000000001</v>
      </c>
      <c r="D307" s="46">
        <v>3785.9229999999998</v>
      </c>
      <c r="E307" s="46">
        <v>9271.5419999999995</v>
      </c>
      <c r="F307" s="46">
        <v>10000</v>
      </c>
      <c r="G307" s="46">
        <v>9963.4490000000005</v>
      </c>
      <c r="H307" s="46">
        <v>9894.5010000000002</v>
      </c>
    </row>
    <row r="308" spans="1:8">
      <c r="A308" s="42">
        <v>46246.458333333336</v>
      </c>
      <c r="B308" s="45">
        <v>1420.1220000000001</v>
      </c>
      <c r="C308" s="46">
        <v>1991.759</v>
      </c>
      <c r="D308" s="46">
        <v>3775.2579999999998</v>
      </c>
      <c r="E308" s="46">
        <v>9289.8770000000004</v>
      </c>
      <c r="F308" s="46">
        <v>10000</v>
      </c>
      <c r="G308" s="46">
        <v>9966.9619999999995</v>
      </c>
      <c r="H308" s="46">
        <v>9899.6720000000005</v>
      </c>
    </row>
    <row r="309" spans="1:8">
      <c r="A309" s="42">
        <v>46246.5</v>
      </c>
      <c r="B309" s="45">
        <v>1420.046</v>
      </c>
      <c r="C309" s="46">
        <v>1800.3630000000001</v>
      </c>
      <c r="D309" s="46">
        <v>3096.51</v>
      </c>
      <c r="E309" s="46">
        <v>8646.5300000000007</v>
      </c>
      <c r="F309" s="46">
        <v>10000</v>
      </c>
      <c r="G309" s="46">
        <v>9976.5339999999997</v>
      </c>
      <c r="H309" s="46">
        <v>9901.9950000000008</v>
      </c>
    </row>
    <row r="310" spans="1:8">
      <c r="A310" s="42">
        <v>46246.541666666664</v>
      </c>
      <c r="B310" s="45">
        <v>1420.038</v>
      </c>
      <c r="C310" s="46">
        <v>1779.278</v>
      </c>
      <c r="D310" s="46">
        <v>3022.15</v>
      </c>
      <c r="E310" s="46">
        <v>8580.2070000000003</v>
      </c>
      <c r="F310" s="46">
        <v>10000</v>
      </c>
      <c r="G310" s="46">
        <v>9978.9470000000001</v>
      </c>
      <c r="H310" s="46">
        <v>9906.9529999999995</v>
      </c>
    </row>
    <row r="311" spans="1:8">
      <c r="A311" s="42">
        <v>46246.583333333336</v>
      </c>
      <c r="B311" s="45">
        <v>1420.0319999999999</v>
      </c>
      <c r="C311" s="46">
        <v>1762.9580000000001</v>
      </c>
      <c r="D311" s="46">
        <v>2980.1039999999998</v>
      </c>
      <c r="E311" s="46">
        <v>8564.5460000000003</v>
      </c>
      <c r="F311" s="46">
        <v>10000</v>
      </c>
      <c r="G311" s="46">
        <v>9987.0769999999993</v>
      </c>
      <c r="H311" s="46">
        <v>9909.9459999999999</v>
      </c>
    </row>
    <row r="312" spans="1:8">
      <c r="A312" s="42">
        <v>46246.625</v>
      </c>
      <c r="B312" s="45">
        <v>1420.0309999999999</v>
      </c>
      <c r="C312" s="46">
        <v>1759.5820000000001</v>
      </c>
      <c r="D312" s="46">
        <v>2970.4769999999999</v>
      </c>
      <c r="E312" s="46">
        <v>8573.8289999999997</v>
      </c>
      <c r="F312" s="46">
        <v>10000</v>
      </c>
      <c r="G312" s="46">
        <v>9988.4359999999997</v>
      </c>
      <c r="H312" s="46">
        <v>9914.7340000000004</v>
      </c>
    </row>
    <row r="313" spans="1:8">
      <c r="A313" s="42">
        <v>46246.666666666664</v>
      </c>
      <c r="B313" s="45">
        <v>1420.011</v>
      </c>
      <c r="C313" s="46">
        <v>1651.0619999999999</v>
      </c>
      <c r="D313" s="46">
        <v>2536.5639999999999</v>
      </c>
      <c r="E313" s="46">
        <v>8133.1360000000004</v>
      </c>
      <c r="F313" s="46">
        <v>10000</v>
      </c>
      <c r="G313" s="46">
        <v>9993.8359999999993</v>
      </c>
      <c r="H313" s="46">
        <v>9918.6260000000002</v>
      </c>
    </row>
    <row r="314" spans="1:8">
      <c r="A314" s="42">
        <v>46246.708333333336</v>
      </c>
      <c r="B314" s="45">
        <v>1420.009</v>
      </c>
      <c r="C314" s="46">
        <v>1639.028</v>
      </c>
      <c r="D314" s="46">
        <v>2488.5700000000002</v>
      </c>
      <c r="E314" s="46">
        <v>7326.7359999999999</v>
      </c>
      <c r="F314" s="46">
        <v>10000</v>
      </c>
      <c r="G314" s="46">
        <v>9994.4850000000006</v>
      </c>
      <c r="H314" s="46">
        <v>9923.2669999999998</v>
      </c>
    </row>
    <row r="315" spans="1:8">
      <c r="A315" s="42">
        <v>46246.75</v>
      </c>
      <c r="B315" s="45">
        <v>1420.008</v>
      </c>
      <c r="C315" s="46">
        <v>1628.905</v>
      </c>
      <c r="D315" s="46">
        <v>2455.66</v>
      </c>
      <c r="E315" s="46">
        <v>7301.6549999999997</v>
      </c>
      <c r="F315" s="46">
        <v>10000</v>
      </c>
      <c r="G315" s="46">
        <v>9997.3940000000002</v>
      </c>
      <c r="H315" s="46">
        <v>9928.3179999999993</v>
      </c>
    </row>
    <row r="316" spans="1:8">
      <c r="A316" s="42">
        <v>46246.791666666664</v>
      </c>
      <c r="B316" s="45">
        <v>1420.008</v>
      </c>
      <c r="C316" s="46">
        <v>1626.8489999999999</v>
      </c>
      <c r="D316" s="46">
        <v>2448.424</v>
      </c>
      <c r="E316" s="46">
        <v>7306.3140000000003</v>
      </c>
      <c r="F316" s="46">
        <v>10000</v>
      </c>
      <c r="G316" s="46">
        <v>9997.6669999999995</v>
      </c>
      <c r="H316" s="46">
        <v>9932.7890000000007</v>
      </c>
    </row>
    <row r="317" spans="1:8">
      <c r="A317" s="42">
        <v>46246.833333333336</v>
      </c>
      <c r="B317" s="45">
        <v>1420.0029999999999</v>
      </c>
      <c r="C317" s="46">
        <v>1555.4749999999999</v>
      </c>
      <c r="D317" s="46">
        <v>2121.66</v>
      </c>
      <c r="E317" s="46">
        <v>6057.924</v>
      </c>
      <c r="F317" s="46">
        <v>10000</v>
      </c>
      <c r="G317" s="46">
        <v>9999.0010000000002</v>
      </c>
      <c r="H317" s="46">
        <v>9939.143</v>
      </c>
    </row>
    <row r="318" spans="1:8">
      <c r="A318" s="42">
        <v>46246.875</v>
      </c>
      <c r="B318" s="45">
        <v>1420.002</v>
      </c>
      <c r="C318" s="46">
        <v>1547.6020000000001</v>
      </c>
      <c r="D318" s="46">
        <v>2085.7449999999999</v>
      </c>
      <c r="E318" s="46">
        <v>5969.4579999999996</v>
      </c>
      <c r="F318" s="46">
        <v>8659.2690000000002</v>
      </c>
      <c r="G318" s="46">
        <v>9999.0969999999998</v>
      </c>
      <c r="H318" s="46">
        <v>9943.3439999999991</v>
      </c>
    </row>
    <row r="319" spans="1:8">
      <c r="A319" s="42">
        <v>46246.916666666664</v>
      </c>
      <c r="B319" s="45">
        <v>1420.002</v>
      </c>
      <c r="C319" s="46">
        <v>1541.1790000000001</v>
      </c>
      <c r="D319" s="46">
        <v>2060.6190000000001</v>
      </c>
      <c r="E319" s="46">
        <v>5938.0870000000004</v>
      </c>
      <c r="F319" s="46">
        <v>8646.8580000000002</v>
      </c>
      <c r="G319" s="46">
        <v>9999.6389999999992</v>
      </c>
      <c r="H319" s="46">
        <v>9950.8289999999997</v>
      </c>
    </row>
    <row r="320" spans="1:8">
      <c r="A320" s="42">
        <v>46246.958333333336</v>
      </c>
      <c r="B320" s="45">
        <v>1420.002</v>
      </c>
      <c r="C320" s="46">
        <v>1539.876</v>
      </c>
      <c r="D320" s="46">
        <v>2055.2399999999998</v>
      </c>
      <c r="E320" s="46">
        <v>5935.3590000000004</v>
      </c>
      <c r="F320" s="46">
        <v>8654.1119999999992</v>
      </c>
      <c r="G320" s="46">
        <v>9999.4580000000005</v>
      </c>
      <c r="H320" s="46">
        <v>9954.5889999999999</v>
      </c>
    </row>
    <row r="321" spans="1:8">
      <c r="A321" s="42">
        <v>46247</v>
      </c>
      <c r="B321" s="45">
        <v>1420.001</v>
      </c>
      <c r="C321" s="46">
        <v>1500.4870000000001</v>
      </c>
      <c r="D321" s="46">
        <v>1861.627</v>
      </c>
      <c r="E321" s="46">
        <v>5343.1120000000001</v>
      </c>
      <c r="F321" s="46">
        <v>8374.4179999999997</v>
      </c>
      <c r="G321" s="46">
        <v>9999.6530000000002</v>
      </c>
      <c r="H321" s="46">
        <v>9962.652</v>
      </c>
    </row>
    <row r="322" spans="1:8">
      <c r="A322" s="42">
        <v>46247.041666666664</v>
      </c>
      <c r="B322" s="45">
        <v>1420.001</v>
      </c>
      <c r="C322" s="46">
        <v>1496.117</v>
      </c>
      <c r="D322" s="46">
        <v>1840.1790000000001</v>
      </c>
      <c r="E322" s="46">
        <v>5069.78</v>
      </c>
      <c r="F322" s="46">
        <v>8121.7629999999999</v>
      </c>
      <c r="G322" s="46">
        <v>9997.2029999999995</v>
      </c>
      <c r="H322" s="46">
        <v>9965.7780000000002</v>
      </c>
    </row>
    <row r="323" spans="1:8">
      <c r="A323" s="42">
        <v>46247.083333333336</v>
      </c>
      <c r="B323" s="45">
        <v>1420</v>
      </c>
      <c r="C323" s="46">
        <v>1492.308</v>
      </c>
      <c r="D323" s="46">
        <v>1823.3119999999999</v>
      </c>
      <c r="E323" s="46">
        <v>5036.4080000000004</v>
      </c>
      <c r="F323" s="46">
        <v>8106.8739999999998</v>
      </c>
      <c r="G323" s="46">
        <v>9997.2029999999995</v>
      </c>
      <c r="H323" s="46">
        <v>9973.6039999999994</v>
      </c>
    </row>
    <row r="324" spans="1:8">
      <c r="A324" s="42">
        <v>46247.125</v>
      </c>
      <c r="B324" s="45">
        <v>1420</v>
      </c>
      <c r="C324" s="46">
        <v>1491.5450000000001</v>
      </c>
      <c r="D324" s="46">
        <v>1819.7919999999999</v>
      </c>
      <c r="E324" s="46">
        <v>5032.2430000000004</v>
      </c>
      <c r="F324" s="46">
        <v>8114.7640000000001</v>
      </c>
      <c r="G324" s="46">
        <v>9981.2489999999998</v>
      </c>
      <c r="H324" s="46">
        <v>9975.9770000000008</v>
      </c>
    </row>
    <row r="325" spans="1:8">
      <c r="A325" s="42">
        <v>46247.166666666664</v>
      </c>
      <c r="B325" s="45">
        <v>1420</v>
      </c>
      <c r="C325" s="46">
        <v>1466.3979999999999</v>
      </c>
      <c r="D325" s="46">
        <v>1685.991</v>
      </c>
      <c r="E325" s="46">
        <v>4141.402</v>
      </c>
      <c r="F325" s="46">
        <v>7503.7420000000002</v>
      </c>
      <c r="G325" s="46">
        <v>9980.6039999999994</v>
      </c>
      <c r="H325" s="46">
        <v>9982.7520000000004</v>
      </c>
    </row>
    <row r="326" spans="1:8">
      <c r="A326" s="42">
        <v>46247.208333333336</v>
      </c>
      <c r="B326" s="45">
        <v>1420</v>
      </c>
      <c r="C326" s="46">
        <v>1463.6220000000001</v>
      </c>
      <c r="D326" s="46">
        <v>1671.252</v>
      </c>
      <c r="E326" s="46">
        <v>4064.6509999999998</v>
      </c>
      <c r="F326" s="46">
        <v>6562.335</v>
      </c>
      <c r="G326" s="46">
        <v>9915.7749999999996</v>
      </c>
      <c r="H326" s="46">
        <v>9984.375</v>
      </c>
    </row>
    <row r="327" spans="1:8">
      <c r="A327" s="42">
        <v>46247.25</v>
      </c>
      <c r="B327" s="45">
        <v>1420</v>
      </c>
      <c r="C327" s="46">
        <v>1461.2909999999999</v>
      </c>
      <c r="D327" s="46">
        <v>1659.846</v>
      </c>
      <c r="E327" s="46">
        <v>4030.2739999999999</v>
      </c>
      <c r="F327" s="46">
        <v>6537.5510000000004</v>
      </c>
      <c r="G327" s="46">
        <v>9911.7360000000008</v>
      </c>
      <c r="H327" s="46">
        <v>9989.5910000000003</v>
      </c>
    </row>
    <row r="328" spans="1:8">
      <c r="A328" s="42">
        <v>46247.291666666664</v>
      </c>
      <c r="B328" s="45">
        <v>1420</v>
      </c>
      <c r="C328" s="46">
        <v>1460.8230000000001</v>
      </c>
      <c r="D328" s="46">
        <v>1657.4880000000001</v>
      </c>
      <c r="E328" s="46">
        <v>4023.7579999999998</v>
      </c>
      <c r="F328" s="46">
        <v>6537.7809999999999</v>
      </c>
      <c r="G328" s="46">
        <v>9740.17</v>
      </c>
      <c r="H328" s="46">
        <v>9990.5290000000005</v>
      </c>
    </row>
    <row r="329" spans="1:8">
      <c r="A329" s="42">
        <v>46247.333333333336</v>
      </c>
      <c r="B329" s="45">
        <v>1420</v>
      </c>
      <c r="C329" s="46">
        <v>1447.172</v>
      </c>
      <c r="D329" s="46">
        <v>1581.6389999999999</v>
      </c>
      <c r="E329" s="46">
        <v>3536.4259999999999</v>
      </c>
      <c r="F329" s="46">
        <v>6089.7889999999998</v>
      </c>
      <c r="G329" s="46">
        <v>9723.8580000000002</v>
      </c>
      <c r="H329" s="46">
        <v>9994.1080000000002</v>
      </c>
    </row>
    <row r="330" spans="1:8">
      <c r="A330" s="42">
        <v>46247.375</v>
      </c>
      <c r="B330" s="45">
        <v>1420</v>
      </c>
      <c r="C330" s="46">
        <v>1445.6569999999999</v>
      </c>
      <c r="D330" s="46">
        <v>1573.2280000000001</v>
      </c>
      <c r="E330" s="46">
        <v>3425.7159999999999</v>
      </c>
      <c r="F330" s="46">
        <v>5861.9629999999997</v>
      </c>
      <c r="G330" s="46">
        <v>9423.1880000000001</v>
      </c>
      <c r="H330" s="46">
        <v>9994.2039999999997</v>
      </c>
    </row>
    <row r="331" spans="1:8">
      <c r="A331" s="42">
        <v>46247.416666666664</v>
      </c>
      <c r="B331" s="45">
        <v>1420</v>
      </c>
      <c r="C331" s="46">
        <v>1444.309</v>
      </c>
      <c r="D331" s="46">
        <v>1566.16</v>
      </c>
      <c r="E331" s="46">
        <v>3394.9079999999999</v>
      </c>
      <c r="F331" s="46">
        <v>5836.28</v>
      </c>
      <c r="G331" s="46">
        <v>9377.223</v>
      </c>
      <c r="H331" s="46">
        <v>9996.3960000000006</v>
      </c>
    </row>
    <row r="332" spans="1:8">
      <c r="A332" s="42">
        <v>46247.458333333336</v>
      </c>
      <c r="B332" s="45">
        <v>1420</v>
      </c>
      <c r="C332" s="46">
        <v>1444.0409999999999</v>
      </c>
      <c r="D332" s="46">
        <v>1564.723</v>
      </c>
      <c r="E332" s="46">
        <v>3388.9760000000001</v>
      </c>
      <c r="F332" s="46">
        <v>5836.3360000000002</v>
      </c>
      <c r="G332" s="46">
        <v>9016.9030000000002</v>
      </c>
      <c r="H332" s="46">
        <v>9994.4380000000001</v>
      </c>
    </row>
    <row r="333" spans="1:8">
      <c r="A333" s="42">
        <v>46247.5</v>
      </c>
      <c r="B333" s="45">
        <v>1420</v>
      </c>
      <c r="C333" s="46">
        <v>1435.489</v>
      </c>
      <c r="D333" s="46">
        <v>1514.8140000000001</v>
      </c>
      <c r="E333" s="46">
        <v>2856.94</v>
      </c>
      <c r="F333" s="46">
        <v>5135.83</v>
      </c>
      <c r="G333" s="46">
        <v>8921.5380000000005</v>
      </c>
      <c r="H333" s="46">
        <v>9995.5560000000005</v>
      </c>
    </row>
    <row r="334" spans="1:8">
      <c r="A334" s="42">
        <v>46247.541666666664</v>
      </c>
      <c r="B334" s="45">
        <v>1420</v>
      </c>
      <c r="C334" s="46">
        <v>1434.5440000000001</v>
      </c>
      <c r="D334" s="46">
        <v>1509.309</v>
      </c>
      <c r="E334" s="46">
        <v>2805.5540000000001</v>
      </c>
      <c r="F334" s="46">
        <v>4732.91</v>
      </c>
      <c r="G334" s="46">
        <v>8585.6090000000004</v>
      </c>
      <c r="H334" s="46">
        <v>9987.3459999999995</v>
      </c>
    </row>
    <row r="335" spans="1:8">
      <c r="A335" s="42">
        <v>46247.583333333336</v>
      </c>
      <c r="B335" s="45">
        <v>1420</v>
      </c>
      <c r="C335" s="46">
        <v>1433.7370000000001</v>
      </c>
      <c r="D335" s="46">
        <v>1504.8230000000001</v>
      </c>
      <c r="E335" s="46">
        <v>2777.8789999999999</v>
      </c>
      <c r="F335" s="46">
        <v>4703.7650000000003</v>
      </c>
      <c r="G335" s="46">
        <v>8430.0159999999996</v>
      </c>
      <c r="H335" s="46">
        <v>9987.4</v>
      </c>
    </row>
    <row r="336" spans="1:8">
      <c r="A336" s="42">
        <v>46247.625</v>
      </c>
      <c r="B336" s="45">
        <v>1420</v>
      </c>
      <c r="C336" s="46">
        <v>1433.575</v>
      </c>
      <c r="D336" s="46">
        <v>1503.912</v>
      </c>
      <c r="E336" s="46">
        <v>2772.076</v>
      </c>
      <c r="F336" s="46">
        <v>4700.0039999999999</v>
      </c>
      <c r="G336" s="46">
        <v>8115.13</v>
      </c>
      <c r="H336" s="46">
        <v>9962.7180000000008</v>
      </c>
    </row>
    <row r="337" spans="1:8">
      <c r="A337" s="42">
        <v>46247.666666666664</v>
      </c>
      <c r="B337" s="45">
        <v>1420</v>
      </c>
      <c r="C337" s="46">
        <v>1428.9829999999999</v>
      </c>
      <c r="D337" s="46">
        <v>1476.357</v>
      </c>
      <c r="E337" s="46">
        <v>2463.9879999999998</v>
      </c>
      <c r="F337" s="46">
        <v>4269.1840000000002</v>
      </c>
      <c r="G337" s="46">
        <v>7903.1019999999999</v>
      </c>
      <c r="H337" s="46">
        <v>9960.8250000000007</v>
      </c>
    </row>
    <row r="338" spans="1:8">
      <c r="A338" s="42">
        <v>46247.708333333336</v>
      </c>
      <c r="B338" s="45">
        <v>1420</v>
      </c>
      <c r="C338" s="46">
        <v>1428.473</v>
      </c>
      <c r="D338" s="46">
        <v>1473.3</v>
      </c>
      <c r="E338" s="46">
        <v>2414.42</v>
      </c>
      <c r="F338" s="46">
        <v>4127.625</v>
      </c>
      <c r="G338" s="46">
        <v>7582.2560000000003</v>
      </c>
      <c r="H338" s="46">
        <v>9901.6759999999995</v>
      </c>
    </row>
    <row r="339" spans="1:8">
      <c r="A339" s="42">
        <v>46247.75</v>
      </c>
      <c r="B339" s="45">
        <v>1420</v>
      </c>
      <c r="C339" s="46">
        <v>1428.0129999999999</v>
      </c>
      <c r="D339" s="46">
        <v>1470.6379999999999</v>
      </c>
      <c r="E339" s="46">
        <v>2392.4850000000001</v>
      </c>
      <c r="F339" s="46">
        <v>4100.835</v>
      </c>
      <c r="G339" s="46">
        <v>7333.6610000000001</v>
      </c>
      <c r="H339" s="46">
        <v>9895.0570000000007</v>
      </c>
    </row>
    <row r="340" spans="1:8">
      <c r="A340" s="42">
        <v>46247.791666666664</v>
      </c>
      <c r="B340" s="45">
        <v>1420</v>
      </c>
      <c r="C340" s="46">
        <v>1427.922</v>
      </c>
      <c r="D340" s="46">
        <v>1470.105</v>
      </c>
      <c r="E340" s="46">
        <v>2387.9540000000002</v>
      </c>
      <c r="F340" s="46">
        <v>4097.5259999999998</v>
      </c>
      <c r="G340" s="46">
        <v>7025.2839999999997</v>
      </c>
      <c r="H340" s="46">
        <v>9779.9079999999994</v>
      </c>
    </row>
    <row r="341" spans="1:8">
      <c r="A341" s="42">
        <v>46247.833333333336</v>
      </c>
      <c r="B341" s="45">
        <v>1420</v>
      </c>
      <c r="C341" s="46">
        <v>1425.0809999999999</v>
      </c>
      <c r="D341" s="46">
        <v>1452.502</v>
      </c>
      <c r="E341" s="46">
        <v>2107.6909999999998</v>
      </c>
      <c r="F341" s="46">
        <v>3558.9569999999999</v>
      </c>
      <c r="G341" s="46">
        <v>6761.0950000000003</v>
      </c>
      <c r="H341" s="46">
        <v>9762.7260000000006</v>
      </c>
    </row>
    <row r="342" spans="1:8">
      <c r="A342" s="42">
        <v>46247.875</v>
      </c>
      <c r="B342" s="45">
        <v>1420</v>
      </c>
      <c r="C342" s="46">
        <v>1424.7670000000001</v>
      </c>
      <c r="D342" s="46">
        <v>1450.559</v>
      </c>
      <c r="E342" s="46">
        <v>2079.0239999999999</v>
      </c>
      <c r="F342" s="46">
        <v>3377.83</v>
      </c>
      <c r="G342" s="46">
        <v>6503.6540000000005</v>
      </c>
      <c r="H342" s="46">
        <v>9578.1579999999994</v>
      </c>
    </row>
    <row r="343" spans="1:8">
      <c r="A343" s="42">
        <v>46247.916666666664</v>
      </c>
      <c r="B343" s="45">
        <v>1420</v>
      </c>
      <c r="C343" s="46">
        <v>1424.4949999999999</v>
      </c>
      <c r="D343" s="46">
        <v>1448.9280000000001</v>
      </c>
      <c r="E343" s="46">
        <v>2061.373</v>
      </c>
      <c r="F343" s="46">
        <v>3351.9059999999999</v>
      </c>
      <c r="G343" s="46">
        <v>6223.6310000000003</v>
      </c>
      <c r="H343" s="46">
        <v>9541.1350000000002</v>
      </c>
    </row>
    <row r="344" spans="1:8">
      <c r="A344" s="42">
        <v>46247.958333333336</v>
      </c>
      <c r="B344" s="45">
        <v>1420</v>
      </c>
      <c r="C344" s="46">
        <v>1424.441</v>
      </c>
      <c r="D344" s="46">
        <v>1448.6</v>
      </c>
      <c r="E344" s="46">
        <v>2057.6370000000002</v>
      </c>
      <c r="F344" s="46">
        <v>3347.3649999999998</v>
      </c>
      <c r="G344" s="46">
        <v>6012.9250000000002</v>
      </c>
      <c r="H344" s="46">
        <v>9292.3850000000002</v>
      </c>
    </row>
    <row r="345" spans="1:8">
      <c r="A345" s="42">
        <v>46248</v>
      </c>
      <c r="B345" s="45">
        <v>1420</v>
      </c>
      <c r="C345" s="46">
        <v>1422.9259999999999</v>
      </c>
      <c r="D345" s="46">
        <v>1439.0419999999999</v>
      </c>
      <c r="E345" s="46">
        <v>1893.9659999999999</v>
      </c>
      <c r="F345" s="46">
        <v>3025.5079999999998</v>
      </c>
      <c r="G345" s="46">
        <v>5716.5280000000002</v>
      </c>
      <c r="H345" s="46">
        <v>9224.3629999999994</v>
      </c>
    </row>
    <row r="346" spans="1:8">
      <c r="A346" s="42">
        <v>46248.041666666664</v>
      </c>
      <c r="B346" s="45">
        <v>1420</v>
      </c>
      <c r="C346" s="46">
        <v>1422.758</v>
      </c>
      <c r="D346" s="46">
        <v>1437.981</v>
      </c>
      <c r="E346" s="46">
        <v>1871.6369999999999</v>
      </c>
      <c r="F346" s="46">
        <v>2946.9079999999999</v>
      </c>
      <c r="G346" s="46">
        <v>5533.5659999999998</v>
      </c>
      <c r="H346" s="46">
        <v>8932.76</v>
      </c>
    </row>
    <row r="347" spans="1:8">
      <c r="A347" s="42">
        <v>46248.083333333336</v>
      </c>
      <c r="B347" s="45">
        <v>1420</v>
      </c>
      <c r="C347" s="46">
        <v>1422.605</v>
      </c>
      <c r="D347" s="46">
        <v>1437.037</v>
      </c>
      <c r="E347" s="46">
        <v>1858.86</v>
      </c>
      <c r="F347" s="46">
        <v>2925.2240000000002</v>
      </c>
      <c r="G347" s="46">
        <v>5234.0659999999998</v>
      </c>
      <c r="H347" s="46">
        <v>8824.2579999999998</v>
      </c>
    </row>
    <row r="348" spans="1:8">
      <c r="A348" s="42">
        <v>46248.125</v>
      </c>
      <c r="B348" s="45">
        <v>1420</v>
      </c>
      <c r="C348" s="46">
        <v>1422.575</v>
      </c>
      <c r="D348" s="46">
        <v>1436.85</v>
      </c>
      <c r="E348" s="46">
        <v>1856.204</v>
      </c>
      <c r="F348" s="46">
        <v>2921.596</v>
      </c>
      <c r="G348" s="46">
        <v>5074.2370000000001</v>
      </c>
      <c r="H348" s="46">
        <v>8513.5249999999996</v>
      </c>
    </row>
    <row r="349" spans="1:8">
      <c r="A349" s="42">
        <v>46248.166666666664</v>
      </c>
      <c r="B349" s="45">
        <v>1420</v>
      </c>
      <c r="C349" s="46">
        <v>1421.646</v>
      </c>
      <c r="D349" s="46">
        <v>1430.8579999999999</v>
      </c>
      <c r="E349" s="46">
        <v>1723.183</v>
      </c>
      <c r="F349" s="46">
        <v>2576.1559999999999</v>
      </c>
      <c r="G349" s="46">
        <v>4790.3239999999996</v>
      </c>
      <c r="H349" s="46">
        <v>8360.5169999999998</v>
      </c>
    </row>
    <row r="350" spans="1:8">
      <c r="A350" s="42">
        <v>46248.208333333336</v>
      </c>
      <c r="B350" s="45">
        <v>1420</v>
      </c>
      <c r="C350" s="46">
        <v>1421.5429999999999</v>
      </c>
      <c r="D350" s="46">
        <v>1430.1959999999999</v>
      </c>
      <c r="E350" s="46">
        <v>1709.1669999999999</v>
      </c>
      <c r="F350" s="46">
        <v>2492.3290000000002</v>
      </c>
      <c r="G350" s="46">
        <v>4659.643</v>
      </c>
      <c r="H350" s="46">
        <v>8047.6440000000002</v>
      </c>
    </row>
    <row r="351" spans="1:8">
      <c r="A351" s="42">
        <v>46248.25</v>
      </c>
      <c r="B351" s="45">
        <v>1420</v>
      </c>
      <c r="C351" s="46">
        <v>1421.454</v>
      </c>
      <c r="D351" s="46">
        <v>1429.63</v>
      </c>
      <c r="E351" s="46">
        <v>1699.694</v>
      </c>
      <c r="F351" s="46">
        <v>2473.39</v>
      </c>
      <c r="G351" s="46">
        <v>4389.8149999999996</v>
      </c>
      <c r="H351" s="46">
        <v>7852.9709999999995</v>
      </c>
    </row>
    <row r="352" spans="1:8">
      <c r="A352" s="42">
        <v>46248.291666666664</v>
      </c>
      <c r="B352" s="45">
        <v>1420</v>
      </c>
      <c r="C352" s="46">
        <v>1421.4359999999999</v>
      </c>
      <c r="D352" s="46">
        <v>1429.5170000000001</v>
      </c>
      <c r="E352" s="46">
        <v>1697.7059999999999</v>
      </c>
      <c r="F352" s="46">
        <v>2469.7489999999998</v>
      </c>
      <c r="G352" s="46">
        <v>4282.6760000000004</v>
      </c>
      <c r="H352" s="46">
        <v>7550.2190000000001</v>
      </c>
    </row>
    <row r="353" spans="1:8">
      <c r="A353" s="42">
        <v>46248.333333333336</v>
      </c>
      <c r="B353" s="45">
        <v>1420</v>
      </c>
      <c r="C353" s="46">
        <v>1420.943</v>
      </c>
      <c r="D353" s="46">
        <v>1426.299</v>
      </c>
      <c r="E353" s="46">
        <v>1620.71</v>
      </c>
      <c r="F353" s="46">
        <v>2265.3560000000002</v>
      </c>
      <c r="G353" s="46">
        <v>4023.085</v>
      </c>
      <c r="H353" s="46">
        <v>7321.4480000000003</v>
      </c>
    </row>
    <row r="354" spans="1:8">
      <c r="A354" s="42">
        <v>46248.375</v>
      </c>
      <c r="B354" s="45">
        <v>1420</v>
      </c>
      <c r="C354" s="46">
        <v>1420.8889999999999</v>
      </c>
      <c r="D354" s="46">
        <v>1425.941</v>
      </c>
      <c r="E354" s="46">
        <v>1611.038</v>
      </c>
      <c r="F354" s="46">
        <v>2224.3429999999998</v>
      </c>
      <c r="G354" s="46">
        <v>3931.3090000000002</v>
      </c>
      <c r="H354" s="46">
        <v>7039.9250000000002</v>
      </c>
    </row>
    <row r="355" spans="1:8">
      <c r="A355" s="42">
        <v>46248.416666666664</v>
      </c>
      <c r="B355" s="45">
        <v>1420</v>
      </c>
      <c r="C355" s="46">
        <v>1420.8389999999999</v>
      </c>
      <c r="D355" s="46">
        <v>1425.6189999999999</v>
      </c>
      <c r="E355" s="46">
        <v>1604.614</v>
      </c>
      <c r="F355" s="46">
        <v>2209.6129999999998</v>
      </c>
      <c r="G355" s="46">
        <v>3686.2049999999999</v>
      </c>
      <c r="H355" s="46">
        <v>6785.6369999999997</v>
      </c>
    </row>
    <row r="356" spans="1:8">
      <c r="A356" s="42">
        <v>46248.458333333336</v>
      </c>
      <c r="B356" s="45">
        <v>1420</v>
      </c>
      <c r="C356" s="46">
        <v>1420.829</v>
      </c>
      <c r="D356" s="46">
        <v>1425.556</v>
      </c>
      <c r="E356" s="46">
        <v>1603.288</v>
      </c>
      <c r="F356" s="46">
        <v>2206.8910000000001</v>
      </c>
      <c r="G356" s="46">
        <v>3606.9479999999999</v>
      </c>
      <c r="H356" s="46">
        <v>6533.5039999999999</v>
      </c>
    </row>
    <row r="357" spans="1:8">
      <c r="A357" s="42">
        <v>46248.5</v>
      </c>
      <c r="B357" s="45">
        <v>1420</v>
      </c>
      <c r="C357" s="46">
        <v>1420.528</v>
      </c>
      <c r="D357" s="46">
        <v>1423.5630000000001</v>
      </c>
      <c r="E357" s="46">
        <v>1545.191</v>
      </c>
      <c r="F357" s="46">
        <v>2009.6079999999999</v>
      </c>
      <c r="G357" s="46">
        <v>3385.9940000000001</v>
      </c>
      <c r="H357" s="46">
        <v>6261.5929999999998</v>
      </c>
    </row>
    <row r="358" spans="1:8">
      <c r="A358" s="42">
        <v>46248.541666666664</v>
      </c>
      <c r="B358" s="45">
        <v>1420</v>
      </c>
      <c r="C358" s="46">
        <v>1420.4949999999999</v>
      </c>
      <c r="D358" s="46">
        <v>1423.3430000000001</v>
      </c>
      <c r="E358" s="46">
        <v>1538.9690000000001</v>
      </c>
      <c r="F358" s="46">
        <v>1970.586</v>
      </c>
      <c r="G358" s="46">
        <v>3320.6550000000002</v>
      </c>
      <c r="H358" s="46">
        <v>6041.5280000000002</v>
      </c>
    </row>
    <row r="359" spans="1:8">
      <c r="A359" s="42">
        <v>46248.583333333336</v>
      </c>
      <c r="B359" s="45">
        <v>1420</v>
      </c>
      <c r="C359" s="46">
        <v>1420.4659999999999</v>
      </c>
      <c r="D359" s="46">
        <v>1423.153</v>
      </c>
      <c r="E359" s="46">
        <v>1534.479</v>
      </c>
      <c r="F359" s="46">
        <v>1958.6289999999999</v>
      </c>
      <c r="G359" s="46">
        <v>3120.96</v>
      </c>
      <c r="H359" s="46">
        <v>5759.9350000000004</v>
      </c>
    </row>
    <row r="360" spans="1:8">
      <c r="A360" s="42">
        <v>46248.625</v>
      </c>
      <c r="B360" s="45">
        <v>1420</v>
      </c>
      <c r="C360" s="46">
        <v>1420.46</v>
      </c>
      <c r="D360" s="46">
        <v>1423.115</v>
      </c>
      <c r="E360" s="46">
        <v>1533.548</v>
      </c>
      <c r="F360" s="46">
        <v>1956.25</v>
      </c>
      <c r="G360" s="46">
        <v>3066.8560000000002</v>
      </c>
      <c r="H360" s="46">
        <v>5570.567</v>
      </c>
    </row>
    <row r="361" spans="1:8">
      <c r="A361" s="42">
        <v>46248.666666666664</v>
      </c>
      <c r="B361" s="45">
        <v>1420</v>
      </c>
      <c r="C361" s="46">
        <v>1420.3019999999999</v>
      </c>
      <c r="D361" s="46">
        <v>1422.0530000000001</v>
      </c>
      <c r="E361" s="46">
        <v>1500.365</v>
      </c>
      <c r="F361" s="46">
        <v>1840.4549999999999</v>
      </c>
      <c r="G361" s="46">
        <v>2884.3710000000001</v>
      </c>
      <c r="H361" s="46">
        <v>5287.4260000000004</v>
      </c>
    </row>
    <row r="362" spans="1:8">
      <c r="A362" s="42">
        <v>46248.708333333336</v>
      </c>
      <c r="B362" s="45">
        <v>1420</v>
      </c>
      <c r="C362" s="46">
        <v>1420.2840000000001</v>
      </c>
      <c r="D362" s="46">
        <v>1421.9349999999999</v>
      </c>
      <c r="E362" s="46">
        <v>1496.377</v>
      </c>
      <c r="F362" s="46">
        <v>1820.0609999999999</v>
      </c>
      <c r="G362" s="46">
        <v>2838.279</v>
      </c>
      <c r="H362" s="46">
        <v>5126.1080000000002</v>
      </c>
    </row>
    <row r="363" spans="1:8">
      <c r="A363" s="42">
        <v>46248.75</v>
      </c>
      <c r="B363" s="45">
        <v>1420</v>
      </c>
      <c r="C363" s="46">
        <v>1420.268</v>
      </c>
      <c r="D363" s="46">
        <v>1421.828</v>
      </c>
      <c r="E363" s="46">
        <v>1493.473</v>
      </c>
      <c r="F363" s="46">
        <v>1811.26</v>
      </c>
      <c r="G363" s="46">
        <v>2672.9650000000001</v>
      </c>
      <c r="H363" s="46">
        <v>4848.2349999999997</v>
      </c>
    </row>
    <row r="364" spans="1:8">
      <c r="A364" s="42">
        <v>46248.791666666664</v>
      </c>
      <c r="B364" s="45">
        <v>1420</v>
      </c>
      <c r="C364" s="46">
        <v>1420.2650000000001</v>
      </c>
      <c r="D364" s="46">
        <v>1421.807</v>
      </c>
      <c r="E364" s="46">
        <v>1492.8789999999999</v>
      </c>
      <c r="F364" s="46">
        <v>1809.567</v>
      </c>
      <c r="G364" s="46">
        <v>2633.4659999999999</v>
      </c>
      <c r="H364" s="46">
        <v>4711.9470000000001</v>
      </c>
    </row>
    <row r="365" spans="1:8">
      <c r="A365" s="42">
        <v>46248.833333333336</v>
      </c>
      <c r="B365" s="45">
        <v>1420</v>
      </c>
      <c r="C365" s="46">
        <v>1420.1690000000001</v>
      </c>
      <c r="D365" s="46">
        <v>1421.155</v>
      </c>
      <c r="E365" s="46">
        <v>1469.097</v>
      </c>
      <c r="F365" s="46">
        <v>1705.95</v>
      </c>
      <c r="G365" s="46">
        <v>2489.0839999999998</v>
      </c>
      <c r="H365" s="46">
        <v>4443.97</v>
      </c>
    </row>
    <row r="366" spans="1:8">
      <c r="A366" s="42">
        <v>46248.875</v>
      </c>
      <c r="B366" s="45">
        <v>1420</v>
      </c>
      <c r="C366" s="46">
        <v>1420.1579999999999</v>
      </c>
      <c r="D366" s="46">
        <v>1421.0830000000001</v>
      </c>
      <c r="E366" s="46">
        <v>1466.5260000000001</v>
      </c>
      <c r="F366" s="46">
        <v>1687.9749999999999</v>
      </c>
      <c r="G366" s="46">
        <v>2456.4299999999998</v>
      </c>
      <c r="H366" s="46">
        <v>4329.2120000000004</v>
      </c>
    </row>
    <row r="367" spans="1:8">
      <c r="A367" s="42">
        <v>46248.916666666664</v>
      </c>
      <c r="B367" s="45">
        <v>1420</v>
      </c>
      <c r="C367" s="46">
        <v>1420.1489999999999</v>
      </c>
      <c r="D367" s="46">
        <v>1421.02</v>
      </c>
      <c r="E367" s="46">
        <v>1464.5820000000001</v>
      </c>
      <c r="F367" s="46">
        <v>1681.2059999999999</v>
      </c>
      <c r="G367" s="46">
        <v>2330.0309999999999</v>
      </c>
      <c r="H367" s="46">
        <v>4074.49</v>
      </c>
    </row>
    <row r="368" spans="1:8">
      <c r="A368" s="42">
        <v>46248.958333333336</v>
      </c>
      <c r="B368" s="45">
        <v>1420</v>
      </c>
      <c r="C368" s="46">
        <v>1420.1469999999999</v>
      </c>
      <c r="D368" s="46">
        <v>1421.008</v>
      </c>
      <c r="E368" s="46">
        <v>1464.182</v>
      </c>
      <c r="F368" s="46">
        <v>1679.8420000000001</v>
      </c>
      <c r="G368" s="46">
        <v>2302.9270000000001</v>
      </c>
      <c r="H368" s="46">
        <v>3977.8009999999999</v>
      </c>
    </row>
    <row r="369" spans="1:8">
      <c r="A369" s="42">
        <v>46249</v>
      </c>
      <c r="B369" s="45">
        <v>1420</v>
      </c>
      <c r="C369" s="46">
        <v>1420.096</v>
      </c>
      <c r="D369" s="46">
        <v>1420.662</v>
      </c>
      <c r="E369" s="46">
        <v>1450.777</v>
      </c>
      <c r="F369" s="46">
        <v>1619.5050000000001</v>
      </c>
      <c r="G369" s="46">
        <v>2191.2959999999998</v>
      </c>
      <c r="H369" s="46">
        <v>3739.2170000000001</v>
      </c>
    </row>
    <row r="370" spans="1:8">
      <c r="A370" s="42">
        <v>46249.041666666664</v>
      </c>
      <c r="B370" s="45">
        <v>1420</v>
      </c>
      <c r="C370" s="46">
        <v>1420.09</v>
      </c>
      <c r="D370" s="46">
        <v>1420.624</v>
      </c>
      <c r="E370" s="46">
        <v>1449.2070000000001</v>
      </c>
      <c r="F370" s="46">
        <v>1609.7750000000001</v>
      </c>
      <c r="G370" s="46">
        <v>2168.3789999999999</v>
      </c>
      <c r="H370" s="46">
        <v>3657.7620000000002</v>
      </c>
    </row>
    <row r="371" spans="1:8">
      <c r="A371" s="42">
        <v>46249.083333333336</v>
      </c>
      <c r="B371" s="45">
        <v>1420</v>
      </c>
      <c r="C371" s="46">
        <v>1420.085</v>
      </c>
      <c r="D371" s="46">
        <v>1420.5889999999999</v>
      </c>
      <c r="E371" s="46">
        <v>1447.992</v>
      </c>
      <c r="F371" s="46">
        <v>1604.9970000000001</v>
      </c>
      <c r="G371" s="46">
        <v>2070.1680000000001</v>
      </c>
      <c r="H371" s="46">
        <v>3437.2939999999999</v>
      </c>
    </row>
    <row r="372" spans="1:8">
      <c r="A372" s="42">
        <v>46249.125</v>
      </c>
      <c r="B372" s="45">
        <v>1420</v>
      </c>
      <c r="C372" s="46">
        <v>1420.0840000000001</v>
      </c>
      <c r="D372" s="46">
        <v>1420.5820000000001</v>
      </c>
      <c r="E372" s="46">
        <v>1447.7460000000001</v>
      </c>
      <c r="F372" s="46">
        <v>1604.0609999999999</v>
      </c>
      <c r="G372" s="46">
        <v>2050.703</v>
      </c>
      <c r="H372" s="46">
        <v>3368.7939999999999</v>
      </c>
    </row>
    <row r="373" spans="1:8">
      <c r="A373" s="42">
        <v>46249.166666666664</v>
      </c>
      <c r="B373" s="45">
        <v>1420</v>
      </c>
      <c r="C373" s="46">
        <v>1420.0540000000001</v>
      </c>
      <c r="D373" s="46">
        <v>1420.3710000000001</v>
      </c>
      <c r="E373" s="46">
        <v>1438.489</v>
      </c>
      <c r="F373" s="46">
        <v>1552.9780000000001</v>
      </c>
      <c r="G373" s="46">
        <v>1966.8789999999999</v>
      </c>
      <c r="H373" s="46">
        <v>3167.1320000000001</v>
      </c>
    </row>
    <row r="374" spans="1:8">
      <c r="A374" s="42">
        <v>46249.208333333336</v>
      </c>
      <c r="B374" s="45">
        <v>1420</v>
      </c>
      <c r="C374" s="46">
        <v>1420.05</v>
      </c>
      <c r="D374" s="46">
        <v>1420.348</v>
      </c>
      <c r="E374" s="46">
        <v>1437.482</v>
      </c>
      <c r="F374" s="46">
        <v>1544.8530000000001</v>
      </c>
      <c r="G374" s="46">
        <v>1950.826</v>
      </c>
      <c r="H374" s="46">
        <v>3109.5419999999999</v>
      </c>
    </row>
    <row r="375" spans="1:8">
      <c r="A375" s="42">
        <v>46249.25</v>
      </c>
      <c r="B375" s="45">
        <v>1420</v>
      </c>
      <c r="C375" s="46">
        <v>1420.047</v>
      </c>
      <c r="D375" s="46">
        <v>1420.327</v>
      </c>
      <c r="E375" s="46">
        <v>1436.694</v>
      </c>
      <c r="F375" s="46">
        <v>1541.3240000000001</v>
      </c>
      <c r="G375" s="46">
        <v>1879.104</v>
      </c>
      <c r="H375" s="46">
        <v>2926.6509999999998</v>
      </c>
    </row>
    <row r="376" spans="1:8">
      <c r="A376" s="42">
        <v>46249.291666666664</v>
      </c>
      <c r="B376" s="45">
        <v>1420</v>
      </c>
      <c r="C376" s="46">
        <v>1420.047</v>
      </c>
      <c r="D376" s="46">
        <v>1420.3230000000001</v>
      </c>
      <c r="E376" s="46">
        <v>1436.5340000000001</v>
      </c>
      <c r="F376" s="46">
        <v>1540.6089999999999</v>
      </c>
      <c r="G376" s="46">
        <v>1865.819</v>
      </c>
      <c r="H376" s="46">
        <v>2878.181</v>
      </c>
    </row>
    <row r="377" spans="1:8">
      <c r="A377" s="42">
        <v>46249.333333333336</v>
      </c>
      <c r="B377" s="45">
        <v>1420</v>
      </c>
      <c r="C377" s="46">
        <v>1420.03</v>
      </c>
      <c r="D377" s="46">
        <v>1420.212</v>
      </c>
      <c r="E377" s="46">
        <v>1431.377</v>
      </c>
      <c r="F377" s="46">
        <v>1511.087</v>
      </c>
      <c r="G377" s="46">
        <v>1804.019</v>
      </c>
      <c r="H377" s="46">
        <v>2713.84</v>
      </c>
    </row>
    <row r="378" spans="1:8">
      <c r="A378" s="42">
        <v>46249.375</v>
      </c>
      <c r="B378" s="45">
        <v>1420</v>
      </c>
      <c r="C378" s="46">
        <v>1420.029</v>
      </c>
      <c r="D378" s="46">
        <v>1420.1990000000001</v>
      </c>
      <c r="E378" s="46">
        <v>1430.7819999999999</v>
      </c>
      <c r="F378" s="46">
        <v>1506.6089999999999</v>
      </c>
      <c r="G378" s="46">
        <v>1792.885</v>
      </c>
      <c r="H378" s="46">
        <v>2673.0590000000002</v>
      </c>
    </row>
    <row r="379" spans="1:8">
      <c r="A379" s="42">
        <v>46249.416666666664</v>
      </c>
      <c r="B379" s="45">
        <v>1420</v>
      </c>
      <c r="C379" s="46">
        <v>1420.027</v>
      </c>
      <c r="D379" s="46">
        <v>1420.1880000000001</v>
      </c>
      <c r="E379" s="46">
        <v>1430.3030000000001</v>
      </c>
      <c r="F379" s="46">
        <v>1504.1959999999999</v>
      </c>
      <c r="G379" s="46">
        <v>1739.6880000000001</v>
      </c>
      <c r="H379" s="46">
        <v>2526.7289999999998</v>
      </c>
    </row>
    <row r="380" spans="1:8">
      <c r="A380" s="42">
        <v>46249.458333333336</v>
      </c>
      <c r="B380" s="45">
        <v>1420</v>
      </c>
      <c r="C380" s="46">
        <v>1420.027</v>
      </c>
      <c r="D380" s="46">
        <v>1420.1859999999999</v>
      </c>
      <c r="E380" s="46">
        <v>1430.2059999999999</v>
      </c>
      <c r="F380" s="46">
        <v>1503.7190000000001</v>
      </c>
      <c r="G380" s="46">
        <v>1730.3209999999999</v>
      </c>
      <c r="H380" s="46">
        <v>2492.4830000000002</v>
      </c>
    </row>
    <row r="381" spans="1:8">
      <c r="A381" s="42">
        <v>46249.5</v>
      </c>
      <c r="B381" s="45">
        <v>1420</v>
      </c>
      <c r="C381" s="46">
        <v>1420.0170000000001</v>
      </c>
      <c r="D381" s="46">
        <v>1420.1179999999999</v>
      </c>
      <c r="E381" s="46">
        <v>1426.742</v>
      </c>
      <c r="F381" s="46">
        <v>1479.739</v>
      </c>
      <c r="G381" s="46">
        <v>1685.7070000000001</v>
      </c>
      <c r="H381" s="46">
        <v>2363.1120000000001</v>
      </c>
    </row>
    <row r="382" spans="1:8">
      <c r="A382" s="42">
        <v>46249.541666666664</v>
      </c>
      <c r="B382" s="45">
        <v>1420</v>
      </c>
      <c r="C382" s="46">
        <v>1420.0160000000001</v>
      </c>
      <c r="D382" s="46">
        <v>1420.1110000000001</v>
      </c>
      <c r="E382" s="46">
        <v>1426.364</v>
      </c>
      <c r="F382" s="46">
        <v>1476.144</v>
      </c>
      <c r="G382" s="46">
        <v>1678.021</v>
      </c>
      <c r="H382" s="46">
        <v>2334.3820000000001</v>
      </c>
    </row>
    <row r="383" spans="1:8">
      <c r="A383" s="42">
        <v>46249.583333333336</v>
      </c>
      <c r="B383" s="45">
        <v>1420</v>
      </c>
      <c r="C383" s="46">
        <v>1420.0150000000001</v>
      </c>
      <c r="D383" s="46">
        <v>1420.104</v>
      </c>
      <c r="E383" s="46">
        <v>1426.06</v>
      </c>
      <c r="F383" s="46">
        <v>1474.4159999999999</v>
      </c>
      <c r="G383" s="46">
        <v>1640.5029999999999</v>
      </c>
      <c r="H383" s="46">
        <v>2220.6790000000001</v>
      </c>
    </row>
    <row r="384" spans="1:8">
      <c r="A384" s="42">
        <v>46249.625</v>
      </c>
      <c r="B384" s="45">
        <v>1420</v>
      </c>
      <c r="C384" s="46">
        <v>1420.0150000000001</v>
      </c>
      <c r="D384" s="46">
        <v>1420.1030000000001</v>
      </c>
      <c r="E384" s="46">
        <v>1425.999</v>
      </c>
      <c r="F384" s="46">
        <v>1474.0650000000001</v>
      </c>
      <c r="G384" s="46">
        <v>1634.1780000000001</v>
      </c>
      <c r="H384" s="46">
        <v>2196.5790000000002</v>
      </c>
    </row>
    <row r="385" spans="1:8">
      <c r="A385" s="42">
        <v>46249.666666666664</v>
      </c>
      <c r="B385" s="45">
        <v>1420</v>
      </c>
      <c r="C385" s="46">
        <v>1420.01</v>
      </c>
      <c r="D385" s="46">
        <v>1420.067</v>
      </c>
      <c r="E385" s="46">
        <v>1424.088</v>
      </c>
      <c r="F385" s="46">
        <v>1460.3019999999999</v>
      </c>
      <c r="G385" s="46">
        <v>1602.442</v>
      </c>
      <c r="H385" s="46">
        <v>2097.3029999999999</v>
      </c>
    </row>
    <row r="386" spans="1:8">
      <c r="A386" s="42">
        <v>46249.708333333336</v>
      </c>
      <c r="B386" s="45">
        <v>1420</v>
      </c>
      <c r="C386" s="46">
        <v>1420.009</v>
      </c>
      <c r="D386" s="46">
        <v>1420.0630000000001</v>
      </c>
      <c r="E386" s="46">
        <v>1423.87</v>
      </c>
      <c r="F386" s="46">
        <v>1458.3030000000001</v>
      </c>
      <c r="G386" s="46">
        <v>1597.1880000000001</v>
      </c>
      <c r="H386" s="46">
        <v>2077.1109999999999</v>
      </c>
    </row>
    <row r="387" spans="1:8">
      <c r="A387" s="42">
        <v>46249.75</v>
      </c>
      <c r="B387" s="45">
        <v>1420</v>
      </c>
      <c r="C387" s="46">
        <v>1420.009</v>
      </c>
      <c r="D387" s="46">
        <v>1420.06</v>
      </c>
      <c r="E387" s="46">
        <v>1423.6890000000001</v>
      </c>
      <c r="F387" s="46">
        <v>1457.15</v>
      </c>
      <c r="G387" s="46">
        <v>1570.3209999999999</v>
      </c>
      <c r="H387" s="46">
        <v>1991.0150000000001</v>
      </c>
    </row>
    <row r="388" spans="1:8">
      <c r="A388" s="42">
        <v>46249.791666666664</v>
      </c>
      <c r="B388" s="45">
        <v>1420</v>
      </c>
      <c r="C388" s="46">
        <v>1420.009</v>
      </c>
      <c r="D388" s="46">
        <v>1420.059</v>
      </c>
      <c r="E388" s="46">
        <v>1423.652</v>
      </c>
      <c r="F388" s="46">
        <v>1456.921</v>
      </c>
      <c r="G388" s="46">
        <v>1565.942</v>
      </c>
      <c r="H388" s="46">
        <v>1974.1389999999999</v>
      </c>
    </row>
    <row r="389" spans="1:8">
      <c r="A389" s="42">
        <v>46249.833333333336</v>
      </c>
      <c r="B389" s="45">
        <v>1420</v>
      </c>
      <c r="C389" s="46">
        <v>1420.0050000000001</v>
      </c>
      <c r="D389" s="46">
        <v>1420.038</v>
      </c>
      <c r="E389" s="46">
        <v>1422.396</v>
      </c>
      <c r="F389" s="46">
        <v>1446.0889999999999</v>
      </c>
      <c r="G389" s="46">
        <v>1543.7149999999999</v>
      </c>
      <c r="H389" s="46">
        <v>1899.8689999999999</v>
      </c>
    </row>
    <row r="390" spans="1:8">
      <c r="A390" s="42">
        <v>46249.875</v>
      </c>
      <c r="B390" s="45">
        <v>1420</v>
      </c>
      <c r="C390" s="46">
        <v>1420.0050000000001</v>
      </c>
      <c r="D390" s="46">
        <v>1420.0350000000001</v>
      </c>
      <c r="E390" s="46">
        <v>1422.258</v>
      </c>
      <c r="F390" s="46">
        <v>1444.5309999999999</v>
      </c>
      <c r="G390" s="46">
        <v>1540.144</v>
      </c>
      <c r="H390" s="46">
        <v>1885.787</v>
      </c>
    </row>
    <row r="391" spans="1:8">
      <c r="A391" s="42">
        <v>46249.916666666664</v>
      </c>
      <c r="B391" s="45">
        <v>1420</v>
      </c>
      <c r="C391" s="46">
        <v>1420.0050000000001</v>
      </c>
      <c r="D391" s="46">
        <v>1420.0329999999999</v>
      </c>
      <c r="E391" s="46">
        <v>1422.146</v>
      </c>
      <c r="F391" s="46">
        <v>1443.7239999999999</v>
      </c>
      <c r="G391" s="46">
        <v>1521.701</v>
      </c>
      <c r="H391" s="46">
        <v>1821.999</v>
      </c>
    </row>
    <row r="392" spans="1:8">
      <c r="A392" s="42">
        <v>46249.958333333336</v>
      </c>
      <c r="B392" s="45">
        <v>1420</v>
      </c>
      <c r="C392" s="46">
        <v>1420.0050000000001</v>
      </c>
      <c r="D392" s="46">
        <v>1420.0329999999999</v>
      </c>
      <c r="E392" s="46">
        <v>1422.123</v>
      </c>
      <c r="F392" s="46">
        <v>1443.5609999999999</v>
      </c>
      <c r="G392" s="46">
        <v>1518.78</v>
      </c>
      <c r="H392" s="46">
        <v>1810.258</v>
      </c>
    </row>
    <row r="393" spans="1:8">
      <c r="A393" s="42">
        <v>46250</v>
      </c>
      <c r="B393" s="45">
        <v>1420</v>
      </c>
      <c r="C393" s="46">
        <v>1420.0029999999999</v>
      </c>
      <c r="D393" s="46">
        <v>1420.021</v>
      </c>
      <c r="E393" s="46">
        <v>1421.4359999999999</v>
      </c>
      <c r="F393" s="46">
        <v>1437.3820000000001</v>
      </c>
      <c r="G393" s="46">
        <v>1503.3979999999999</v>
      </c>
      <c r="H393" s="46">
        <v>1755.741</v>
      </c>
    </row>
    <row r="394" spans="1:8">
      <c r="A394" s="42">
        <v>46250.041666666664</v>
      </c>
      <c r="B394" s="45">
        <v>1420</v>
      </c>
      <c r="C394" s="46">
        <v>1420.0029999999999</v>
      </c>
      <c r="D394" s="46">
        <v>1420.02</v>
      </c>
      <c r="E394" s="46">
        <v>1421.3579999999999</v>
      </c>
      <c r="F394" s="46">
        <v>1436.5119999999999</v>
      </c>
      <c r="G394" s="46">
        <v>1500.9929999999999</v>
      </c>
      <c r="H394" s="46">
        <v>1745.97</v>
      </c>
    </row>
    <row r="395" spans="1:8">
      <c r="A395" s="42">
        <v>46250.083333333336</v>
      </c>
      <c r="B395" s="45">
        <v>1420</v>
      </c>
      <c r="C395" s="46">
        <v>1420.0029999999999</v>
      </c>
      <c r="D395" s="46">
        <v>1420.019</v>
      </c>
      <c r="E395" s="46">
        <v>1421.2919999999999</v>
      </c>
      <c r="F395" s="46">
        <v>1435.9839999999999</v>
      </c>
      <c r="G395" s="46">
        <v>1488.1379999999999</v>
      </c>
      <c r="H395" s="46">
        <v>1699.6189999999999</v>
      </c>
    </row>
    <row r="396" spans="1:8">
      <c r="A396" s="42">
        <v>46250.125</v>
      </c>
      <c r="B396" s="45">
        <v>1420</v>
      </c>
      <c r="C396" s="46">
        <v>1420.0029999999999</v>
      </c>
      <c r="D396" s="46">
        <v>1420.019</v>
      </c>
      <c r="E396" s="46">
        <v>1421.279</v>
      </c>
      <c r="F396" s="46">
        <v>1435.8789999999999</v>
      </c>
      <c r="G396" s="46">
        <v>1486.1489999999999</v>
      </c>
      <c r="H396" s="46">
        <v>1691.5070000000001</v>
      </c>
    </row>
    <row r="397" spans="1:8">
      <c r="A397" s="42">
        <v>46250.166666666664</v>
      </c>
      <c r="B397" s="45">
        <v>1420</v>
      </c>
      <c r="C397" s="46">
        <v>1420.002</v>
      </c>
      <c r="D397" s="46">
        <v>1420.0119999999999</v>
      </c>
      <c r="E397" s="46">
        <v>1420.8340000000001</v>
      </c>
      <c r="F397" s="46">
        <v>1431.133</v>
      </c>
      <c r="G397" s="46">
        <v>1475.6289999999999</v>
      </c>
      <c r="H397" s="46">
        <v>1652.26</v>
      </c>
    </row>
    <row r="398" spans="1:8">
      <c r="A398" s="42">
        <v>46250.208333333336</v>
      </c>
      <c r="B398" s="45">
        <v>1420</v>
      </c>
      <c r="C398" s="46">
        <v>1420.002</v>
      </c>
      <c r="D398" s="46">
        <v>1420.011</v>
      </c>
      <c r="E398" s="46">
        <v>1420.7850000000001</v>
      </c>
      <c r="F398" s="46">
        <v>1430.471</v>
      </c>
      <c r="G398" s="46">
        <v>1474.0160000000001</v>
      </c>
      <c r="H398" s="46">
        <v>1645.539</v>
      </c>
    </row>
    <row r="399" spans="1:8">
      <c r="A399" s="42">
        <v>46250.25</v>
      </c>
      <c r="B399" s="45">
        <v>1420</v>
      </c>
      <c r="C399" s="46">
        <v>1420.002</v>
      </c>
      <c r="D399" s="46">
        <v>1420.01</v>
      </c>
      <c r="E399" s="46">
        <v>1420.7449999999999</v>
      </c>
      <c r="F399" s="46">
        <v>1430.1079999999999</v>
      </c>
      <c r="G399" s="46">
        <v>1465.3779999999999</v>
      </c>
      <c r="H399" s="46">
        <v>1612.4169999999999</v>
      </c>
    </row>
    <row r="400" spans="1:8">
      <c r="A400" s="42">
        <v>46250.291666666664</v>
      </c>
      <c r="B400" s="45">
        <v>1420</v>
      </c>
      <c r="C400" s="46">
        <v>1420.001</v>
      </c>
      <c r="D400" s="46">
        <v>1420.01</v>
      </c>
      <c r="E400" s="46">
        <v>1420.7370000000001</v>
      </c>
      <c r="F400" s="46">
        <v>1430.0350000000001</v>
      </c>
      <c r="G400" s="46">
        <v>1464.067</v>
      </c>
      <c r="H400" s="46">
        <v>1606.854</v>
      </c>
    </row>
    <row r="401" spans="1:8">
      <c r="A401" s="42">
        <v>46250.333333333336</v>
      </c>
      <c r="B401" s="45">
        <v>1420</v>
      </c>
      <c r="C401" s="46">
        <v>1420.001</v>
      </c>
      <c r="D401" s="46">
        <v>1420.0070000000001</v>
      </c>
      <c r="E401" s="46">
        <v>1420.4949999999999</v>
      </c>
      <c r="F401" s="46">
        <v>1427.3420000000001</v>
      </c>
      <c r="G401" s="46">
        <v>1456.941</v>
      </c>
      <c r="H401" s="46">
        <v>1579.0070000000001</v>
      </c>
    </row>
    <row r="402" spans="1:8">
      <c r="A402" s="42">
        <v>46250.375</v>
      </c>
      <c r="B402" s="45">
        <v>1420</v>
      </c>
      <c r="C402" s="46">
        <v>1420.001</v>
      </c>
      <c r="D402" s="46">
        <v>1420.0060000000001</v>
      </c>
      <c r="E402" s="46">
        <v>1420.4680000000001</v>
      </c>
      <c r="F402" s="46">
        <v>1426.972</v>
      </c>
      <c r="G402" s="46">
        <v>1455.87</v>
      </c>
      <c r="H402" s="46">
        <v>1574.412</v>
      </c>
    </row>
    <row r="403" spans="1:8">
      <c r="A403" s="42">
        <v>46250.416666666664</v>
      </c>
      <c r="B403" s="45">
        <v>1420</v>
      </c>
      <c r="C403" s="46">
        <v>1420.001</v>
      </c>
      <c r="D403" s="46">
        <v>1420.0060000000001</v>
      </c>
      <c r="E403" s="46">
        <v>1420.444</v>
      </c>
      <c r="F403" s="46">
        <v>1426.7380000000001</v>
      </c>
      <c r="G403" s="46">
        <v>1449.9749999999999</v>
      </c>
      <c r="H403" s="46">
        <v>1551.095</v>
      </c>
    </row>
    <row r="404" spans="1:8">
      <c r="A404" s="42">
        <v>46250.458333333336</v>
      </c>
      <c r="B404" s="45">
        <v>1420</v>
      </c>
      <c r="C404" s="46">
        <v>1420.001</v>
      </c>
      <c r="D404" s="46">
        <v>1420.0060000000001</v>
      </c>
      <c r="E404" s="46">
        <v>1420.44</v>
      </c>
      <c r="F404" s="46">
        <v>1426.691</v>
      </c>
      <c r="G404" s="46">
        <v>1449.095</v>
      </c>
      <c r="H404" s="46">
        <v>1547.308</v>
      </c>
    </row>
    <row r="405" spans="1:8">
      <c r="A405" s="42">
        <v>46250.5</v>
      </c>
      <c r="B405" s="45">
        <v>1420</v>
      </c>
      <c r="C405" s="46">
        <v>1420.001</v>
      </c>
      <c r="D405" s="46">
        <v>1420.0039999999999</v>
      </c>
      <c r="E405" s="46">
        <v>1420.2850000000001</v>
      </c>
      <c r="F405" s="46">
        <v>1424.662</v>
      </c>
      <c r="G405" s="46">
        <v>1444.3109999999999</v>
      </c>
      <c r="H405" s="46">
        <v>1527.848</v>
      </c>
    </row>
    <row r="406" spans="1:8">
      <c r="A406" s="42">
        <v>46250.541666666664</v>
      </c>
      <c r="B406" s="45">
        <v>1420</v>
      </c>
      <c r="C406" s="46">
        <v>1420</v>
      </c>
      <c r="D406" s="46">
        <v>1420.0029999999999</v>
      </c>
      <c r="E406" s="46">
        <v>1420.268</v>
      </c>
      <c r="F406" s="46">
        <v>1424.385</v>
      </c>
      <c r="G406" s="46">
        <v>1443.6020000000001</v>
      </c>
      <c r="H406" s="46">
        <v>1524.732</v>
      </c>
    </row>
    <row r="407" spans="1:8">
      <c r="A407" s="42">
        <v>46250.583333333336</v>
      </c>
      <c r="B407" s="45">
        <v>1420</v>
      </c>
      <c r="C407" s="46">
        <v>1420</v>
      </c>
      <c r="D407" s="46">
        <v>1420.0029999999999</v>
      </c>
      <c r="E407" s="46">
        <v>1420.2539999999999</v>
      </c>
      <c r="F407" s="46">
        <v>1424.2270000000001</v>
      </c>
      <c r="G407" s="46">
        <v>1439.7070000000001</v>
      </c>
      <c r="H407" s="46">
        <v>1508.5309999999999</v>
      </c>
    </row>
    <row r="408" spans="1:8">
      <c r="A408" s="42">
        <v>46250.625</v>
      </c>
      <c r="B408" s="45">
        <v>1420</v>
      </c>
      <c r="C408" s="46">
        <v>1420</v>
      </c>
      <c r="D408" s="46">
        <v>1420.0029999999999</v>
      </c>
      <c r="E408" s="46">
        <v>1420.251</v>
      </c>
      <c r="F408" s="46">
        <v>1424.1949999999999</v>
      </c>
      <c r="G408" s="46">
        <v>1439.133</v>
      </c>
      <c r="H408" s="46">
        <v>1505.972</v>
      </c>
    </row>
    <row r="409" spans="1:8">
      <c r="A409" s="42">
        <v>46250.666666666664</v>
      </c>
      <c r="B409" s="45">
        <v>1420</v>
      </c>
      <c r="C409" s="46">
        <v>1420</v>
      </c>
      <c r="D409" s="46">
        <v>1420.002</v>
      </c>
      <c r="E409" s="46">
        <v>1420.1679999999999</v>
      </c>
      <c r="F409" s="46">
        <v>1423.049</v>
      </c>
      <c r="G409" s="46">
        <v>1435.9480000000001</v>
      </c>
      <c r="H409" s="46">
        <v>1492.5239999999999</v>
      </c>
    </row>
    <row r="410" spans="1:8">
      <c r="A410" s="42">
        <v>46250.708333333336</v>
      </c>
      <c r="B410" s="45">
        <v>1420</v>
      </c>
      <c r="C410" s="46">
        <v>1420</v>
      </c>
      <c r="D410" s="46">
        <v>1420.002</v>
      </c>
      <c r="E410" s="46">
        <v>1420.1590000000001</v>
      </c>
      <c r="F410" s="46">
        <v>1422.894</v>
      </c>
      <c r="G410" s="46">
        <v>1435.482</v>
      </c>
      <c r="H410" s="46">
        <v>1490.424</v>
      </c>
    </row>
    <row r="411" spans="1:8">
      <c r="A411" s="42">
        <v>46250.75</v>
      </c>
      <c r="B411" s="45">
        <v>1420</v>
      </c>
      <c r="C411" s="46">
        <v>1420</v>
      </c>
      <c r="D411" s="46">
        <v>1420.002</v>
      </c>
      <c r="E411" s="46">
        <v>1420.1510000000001</v>
      </c>
      <c r="F411" s="46">
        <v>1422.7929999999999</v>
      </c>
      <c r="G411" s="46">
        <v>1432.8679999999999</v>
      </c>
      <c r="H411" s="46">
        <v>1479.298</v>
      </c>
    </row>
    <row r="412" spans="1:8">
      <c r="A412" s="42">
        <v>46250.791666666664</v>
      </c>
      <c r="B412" s="45">
        <v>1420</v>
      </c>
      <c r="C412" s="46">
        <v>1420</v>
      </c>
      <c r="D412" s="46">
        <v>1420.002</v>
      </c>
      <c r="E412" s="46">
        <v>1420.1489999999999</v>
      </c>
      <c r="F412" s="46">
        <v>1422.7729999999999</v>
      </c>
      <c r="G412" s="46">
        <v>1432.4880000000001</v>
      </c>
      <c r="H412" s="46">
        <v>1477.58</v>
      </c>
    </row>
    <row r="413" spans="1:8">
      <c r="A413" s="42">
        <v>46250.833333333336</v>
      </c>
      <c r="B413" s="45">
        <v>1420</v>
      </c>
      <c r="C413" s="46">
        <v>1420</v>
      </c>
      <c r="D413" s="46">
        <v>1420.001</v>
      </c>
      <c r="E413" s="46">
        <v>1420.096</v>
      </c>
      <c r="F413" s="46">
        <v>1421.922</v>
      </c>
      <c r="G413" s="46">
        <v>1430.3810000000001</v>
      </c>
      <c r="H413" s="46">
        <v>1468.3989999999999</v>
      </c>
    </row>
    <row r="414" spans="1:8">
      <c r="A414" s="42">
        <v>46250.875</v>
      </c>
      <c r="B414" s="45">
        <v>1420</v>
      </c>
      <c r="C414" s="46">
        <v>1420</v>
      </c>
      <c r="D414" s="46">
        <v>1420.001</v>
      </c>
      <c r="E414" s="46">
        <v>1420.09</v>
      </c>
      <c r="F414" s="46">
        <v>1421.808</v>
      </c>
      <c r="G414" s="46">
        <v>1430.076</v>
      </c>
      <c r="H414" s="46">
        <v>1466.9949999999999</v>
      </c>
    </row>
    <row r="415" spans="1:8">
      <c r="A415" s="42">
        <v>46250.916666666664</v>
      </c>
      <c r="B415" s="45">
        <v>1420</v>
      </c>
      <c r="C415" s="46">
        <v>1420</v>
      </c>
      <c r="D415" s="46">
        <v>1420.001</v>
      </c>
      <c r="E415" s="46">
        <v>1420.086</v>
      </c>
      <c r="F415" s="46">
        <v>1421.741</v>
      </c>
      <c r="G415" s="46">
        <v>1428.3720000000001</v>
      </c>
      <c r="H415" s="46">
        <v>1459.432</v>
      </c>
    </row>
    <row r="416" spans="1:8">
      <c r="A416" s="42">
        <v>46250.958333333336</v>
      </c>
      <c r="B416" s="45">
        <v>1420</v>
      </c>
      <c r="C416" s="46">
        <v>1420</v>
      </c>
      <c r="D416" s="46">
        <v>1420.001</v>
      </c>
      <c r="E416" s="46">
        <v>1420.085</v>
      </c>
      <c r="F416" s="46">
        <v>1421.7270000000001</v>
      </c>
      <c r="G416" s="46">
        <v>1428.126</v>
      </c>
      <c r="H416" s="46">
        <v>1458.287</v>
      </c>
    </row>
    <row r="417" spans="1:8">
      <c r="A417" s="42">
        <v>46251</v>
      </c>
      <c r="B417" s="45">
        <v>1420</v>
      </c>
      <c r="C417" s="46">
        <v>1420</v>
      </c>
      <c r="D417" s="46">
        <v>1420.001</v>
      </c>
      <c r="E417" s="46">
        <v>1420.056</v>
      </c>
      <c r="F417" s="46">
        <v>1421.248</v>
      </c>
      <c r="G417" s="46">
        <v>1426.742</v>
      </c>
      <c r="H417" s="46">
        <v>1452.0730000000001</v>
      </c>
    </row>
    <row r="418" spans="1:8">
      <c r="A418" s="42">
        <v>46251.041666666664</v>
      </c>
      <c r="B418" s="45">
        <v>1420</v>
      </c>
      <c r="C418" s="46">
        <v>1420</v>
      </c>
      <c r="D418" s="46">
        <v>1420.001</v>
      </c>
      <c r="E418" s="46">
        <v>1420.0530000000001</v>
      </c>
      <c r="F418" s="46">
        <v>1421.1849999999999</v>
      </c>
      <c r="G418" s="46">
        <v>1426.5429999999999</v>
      </c>
      <c r="H418" s="46">
        <v>1451.1389999999999</v>
      </c>
    </row>
    <row r="419" spans="1:8">
      <c r="A419" s="42">
        <v>46251.083333333336</v>
      </c>
      <c r="B419" s="45">
        <v>1420</v>
      </c>
      <c r="C419" s="46">
        <v>1420</v>
      </c>
      <c r="D419" s="46">
        <v>1420.001</v>
      </c>
      <c r="E419" s="46">
        <v>1420.05</v>
      </c>
      <c r="F419" s="46">
        <v>1421.1420000000001</v>
      </c>
      <c r="G419" s="46">
        <v>1425.415</v>
      </c>
      <c r="H419" s="46">
        <v>1446.046</v>
      </c>
    </row>
    <row r="420" spans="1:8">
      <c r="A420" s="42">
        <v>46251.125</v>
      </c>
      <c r="B420" s="45">
        <v>1420</v>
      </c>
      <c r="C420" s="46">
        <v>1420</v>
      </c>
      <c r="D420" s="46">
        <v>1420.001</v>
      </c>
      <c r="E420" s="46">
        <v>1420.05</v>
      </c>
      <c r="F420" s="46">
        <v>1421.134</v>
      </c>
      <c r="G420" s="46">
        <v>1425.2539999999999</v>
      </c>
      <c r="H420" s="46">
        <v>1445.287</v>
      </c>
    </row>
    <row r="421" spans="1:8">
      <c r="A421" s="42">
        <v>46251.166666666664</v>
      </c>
      <c r="B421" s="45">
        <v>1420</v>
      </c>
      <c r="C421" s="46">
        <v>1420</v>
      </c>
      <c r="D421" s="46">
        <v>1420</v>
      </c>
      <c r="E421" s="46">
        <v>1420.0319999999999</v>
      </c>
      <c r="F421" s="46">
        <v>1420.7829999999999</v>
      </c>
      <c r="G421" s="46">
        <v>1424.3489999999999</v>
      </c>
      <c r="H421" s="46">
        <v>1441.1210000000001</v>
      </c>
    </row>
    <row r="422" spans="1:8">
      <c r="A422" s="42">
        <v>46251.208333333336</v>
      </c>
      <c r="B422" s="45">
        <v>1420</v>
      </c>
      <c r="C422" s="46">
        <v>1420</v>
      </c>
      <c r="D422" s="46">
        <v>1420</v>
      </c>
      <c r="E422" s="46">
        <v>1420.03</v>
      </c>
      <c r="F422" s="46">
        <v>1420.7360000000001</v>
      </c>
      <c r="G422" s="46">
        <v>1424.22</v>
      </c>
      <c r="H422" s="46">
        <v>1440.5050000000001</v>
      </c>
    </row>
    <row r="423" spans="1:8">
      <c r="A423" s="42">
        <v>46251.25</v>
      </c>
      <c r="B423" s="45">
        <v>1420</v>
      </c>
      <c r="C423" s="46">
        <v>1420</v>
      </c>
      <c r="D423" s="46">
        <v>1420</v>
      </c>
      <c r="E423" s="46">
        <v>1420.029</v>
      </c>
      <c r="F423" s="46">
        <v>1420.7080000000001</v>
      </c>
      <c r="G423" s="46">
        <v>1423.4929999999999</v>
      </c>
      <c r="H423" s="46">
        <v>1437.1030000000001</v>
      </c>
    </row>
    <row r="424" spans="1:8">
      <c r="A424" s="42">
        <v>46251.291666666664</v>
      </c>
      <c r="B424" s="45">
        <v>1420</v>
      </c>
      <c r="C424" s="46">
        <v>1420</v>
      </c>
      <c r="D424" s="46">
        <v>1420</v>
      </c>
      <c r="E424" s="46">
        <v>1420.028</v>
      </c>
      <c r="F424" s="46">
        <v>1420.702</v>
      </c>
      <c r="G424" s="46">
        <v>1423.3889999999999</v>
      </c>
      <c r="H424" s="46">
        <v>1436.6030000000001</v>
      </c>
    </row>
    <row r="425" spans="1:8">
      <c r="A425" s="42">
        <v>46251.333333333336</v>
      </c>
      <c r="B425" s="45">
        <v>1420</v>
      </c>
      <c r="C425" s="46">
        <v>1420</v>
      </c>
      <c r="D425" s="46">
        <v>1420</v>
      </c>
      <c r="E425" s="46">
        <v>1420.019</v>
      </c>
      <c r="F425" s="46">
        <v>1420.5050000000001</v>
      </c>
      <c r="G425" s="46">
        <v>1422.8019999999999</v>
      </c>
      <c r="H425" s="46">
        <v>1433.83</v>
      </c>
    </row>
    <row r="426" spans="1:8">
      <c r="A426" s="42">
        <v>46251.375</v>
      </c>
      <c r="B426" s="45">
        <v>1420</v>
      </c>
      <c r="C426" s="46">
        <v>1420</v>
      </c>
      <c r="D426" s="46">
        <v>1420</v>
      </c>
      <c r="E426" s="46">
        <v>1420.018</v>
      </c>
      <c r="F426" s="46">
        <v>1420.479</v>
      </c>
      <c r="G426" s="46">
        <v>1422.7180000000001</v>
      </c>
      <c r="H426" s="46">
        <v>1433.424</v>
      </c>
    </row>
    <row r="427" spans="1:8">
      <c r="A427" s="42">
        <v>46251.416666666664</v>
      </c>
      <c r="B427" s="45">
        <v>1420</v>
      </c>
      <c r="C427" s="46">
        <v>1420</v>
      </c>
      <c r="D427" s="46">
        <v>1420</v>
      </c>
      <c r="E427" s="46">
        <v>1420.0170000000001</v>
      </c>
      <c r="F427" s="46">
        <v>1420.462</v>
      </c>
      <c r="G427" s="46">
        <v>1422.242</v>
      </c>
      <c r="H427" s="46">
        <v>1431.1690000000001</v>
      </c>
    </row>
    <row r="428" spans="1:8">
      <c r="A428" s="42">
        <v>46251.458333333336</v>
      </c>
      <c r="B428" s="45">
        <v>1420</v>
      </c>
      <c r="C428" s="46">
        <v>1420</v>
      </c>
      <c r="D428" s="46">
        <v>1420</v>
      </c>
      <c r="E428" s="46">
        <v>1420.0170000000001</v>
      </c>
      <c r="F428" s="46">
        <v>1420.4580000000001</v>
      </c>
      <c r="G428" s="46">
        <v>1422.174</v>
      </c>
      <c r="H428" s="46">
        <v>1430.8409999999999</v>
      </c>
    </row>
    <row r="429" spans="1:8">
      <c r="A429" s="42">
        <v>46251.5</v>
      </c>
      <c r="B429" s="45">
        <v>1420</v>
      </c>
      <c r="C429" s="46">
        <v>1420</v>
      </c>
      <c r="D429" s="46">
        <v>1420</v>
      </c>
      <c r="E429" s="46">
        <v>1420.011</v>
      </c>
      <c r="F429" s="46">
        <v>1420.316</v>
      </c>
      <c r="G429" s="46">
        <v>1421.7940000000001</v>
      </c>
      <c r="H429" s="46">
        <v>1429.009</v>
      </c>
    </row>
    <row r="430" spans="1:8">
      <c r="A430" s="42">
        <v>46251.541666666664</v>
      </c>
      <c r="B430" s="45">
        <v>1420</v>
      </c>
      <c r="C430" s="46">
        <v>1420</v>
      </c>
      <c r="D430" s="46">
        <v>1420</v>
      </c>
      <c r="E430" s="46">
        <v>1420.01</v>
      </c>
      <c r="F430" s="46">
        <v>1420.297</v>
      </c>
      <c r="G430" s="46">
        <v>1421.741</v>
      </c>
      <c r="H430" s="46">
        <v>1428.7439999999999</v>
      </c>
    </row>
    <row r="431" spans="1:8">
      <c r="A431" s="42">
        <v>46251.583333333336</v>
      </c>
      <c r="B431" s="45">
        <v>1420</v>
      </c>
      <c r="C431" s="46">
        <v>1420</v>
      </c>
      <c r="D431" s="46">
        <v>1420</v>
      </c>
      <c r="E431" s="46">
        <v>1420.009</v>
      </c>
      <c r="F431" s="46">
        <v>1420.2850000000001</v>
      </c>
      <c r="G431" s="46">
        <v>1421.4359999999999</v>
      </c>
      <c r="H431" s="46">
        <v>1427.258</v>
      </c>
    </row>
    <row r="432" spans="1:8">
      <c r="A432" s="42">
        <v>46251.625</v>
      </c>
      <c r="B432" s="45">
        <v>1420</v>
      </c>
      <c r="C432" s="46">
        <v>1420</v>
      </c>
      <c r="D432" s="46">
        <v>1420</v>
      </c>
      <c r="E432" s="46">
        <v>1420.009</v>
      </c>
      <c r="F432" s="46">
        <v>1420.2829999999999</v>
      </c>
      <c r="G432" s="46">
        <v>1421.393</v>
      </c>
      <c r="H432" s="46">
        <v>1427.0450000000001</v>
      </c>
    </row>
    <row r="433" spans="1:8">
      <c r="A433" s="42">
        <v>46251.666666666664</v>
      </c>
      <c r="B433" s="45">
        <v>1420</v>
      </c>
      <c r="C433" s="46">
        <v>1420</v>
      </c>
      <c r="D433" s="46">
        <v>1420</v>
      </c>
      <c r="E433" s="46">
        <v>1420.0060000000001</v>
      </c>
      <c r="F433" s="46">
        <v>1420.203</v>
      </c>
      <c r="G433" s="46">
        <v>1421.1479999999999</v>
      </c>
      <c r="H433" s="46">
        <v>1425.8409999999999</v>
      </c>
    </row>
    <row r="434" spans="1:8">
      <c r="A434" s="42">
        <v>46251.708333333336</v>
      </c>
      <c r="B434" s="45">
        <v>1420</v>
      </c>
      <c r="C434" s="46">
        <v>1420</v>
      </c>
      <c r="D434" s="46">
        <v>1420</v>
      </c>
      <c r="E434" s="46">
        <v>1420.0060000000001</v>
      </c>
      <c r="F434" s="46">
        <v>1420.192</v>
      </c>
      <c r="G434" s="46">
        <v>1421.114</v>
      </c>
      <c r="H434" s="46">
        <v>1425.6690000000001</v>
      </c>
    </row>
    <row r="435" spans="1:8">
      <c r="A435" s="42">
        <v>46251.75</v>
      </c>
      <c r="B435" s="45">
        <v>1420</v>
      </c>
      <c r="C435" s="46">
        <v>1420</v>
      </c>
      <c r="D435" s="46">
        <v>1420</v>
      </c>
      <c r="E435" s="46">
        <v>1420.0050000000001</v>
      </c>
      <c r="F435" s="46">
        <v>1420.1849999999999</v>
      </c>
      <c r="G435" s="46">
        <v>1420.9159999999999</v>
      </c>
      <c r="H435" s="46">
        <v>1424.6959999999999</v>
      </c>
    </row>
    <row r="436" spans="1:8">
      <c r="A436" s="42">
        <v>46251.791666666664</v>
      </c>
      <c r="B436" s="45">
        <v>1420</v>
      </c>
      <c r="C436" s="46">
        <v>1420</v>
      </c>
      <c r="D436" s="46">
        <v>1420</v>
      </c>
      <c r="E436" s="46">
        <v>1420.0050000000001</v>
      </c>
      <c r="F436" s="46">
        <v>1420.184</v>
      </c>
      <c r="G436" s="46">
        <v>1420.8879999999999</v>
      </c>
      <c r="H436" s="46">
        <v>1424.557</v>
      </c>
    </row>
    <row r="437" spans="1:8">
      <c r="A437" s="42">
        <v>46251.833333333336</v>
      </c>
      <c r="B437" s="45">
        <v>1420</v>
      </c>
      <c r="C437" s="46">
        <v>1420</v>
      </c>
      <c r="D437" s="46">
        <v>1420</v>
      </c>
      <c r="E437" s="46">
        <v>1420.0039999999999</v>
      </c>
      <c r="F437" s="46">
        <v>1420.126</v>
      </c>
      <c r="G437" s="46">
        <v>1420.731</v>
      </c>
      <c r="H437" s="46">
        <v>1423.771</v>
      </c>
    </row>
    <row r="438" spans="1:8">
      <c r="A438" s="42">
        <v>46251.875</v>
      </c>
      <c r="B438" s="45">
        <v>1420</v>
      </c>
      <c r="C438" s="46">
        <v>1420</v>
      </c>
      <c r="D438" s="46">
        <v>1420</v>
      </c>
      <c r="E438" s="46">
        <v>1420.0029999999999</v>
      </c>
      <c r="F438" s="46">
        <v>1420.1179999999999</v>
      </c>
      <c r="G438" s="46">
        <v>1420.7090000000001</v>
      </c>
      <c r="H438" s="46">
        <v>1423.66</v>
      </c>
    </row>
    <row r="439" spans="1:8">
      <c r="A439" s="42">
        <v>46251.916666666664</v>
      </c>
      <c r="B439" s="45">
        <v>1420</v>
      </c>
      <c r="C439" s="46">
        <v>1420</v>
      </c>
      <c r="D439" s="46">
        <v>1420</v>
      </c>
      <c r="E439" s="46">
        <v>1420.0029999999999</v>
      </c>
      <c r="F439" s="46">
        <v>1420.114</v>
      </c>
      <c r="G439" s="46">
        <v>1420.5830000000001</v>
      </c>
      <c r="H439" s="46">
        <v>1423.0260000000001</v>
      </c>
    </row>
    <row r="440" spans="1:8">
      <c r="A440" s="42">
        <v>46251.958333333336</v>
      </c>
      <c r="B440" s="45">
        <v>1420</v>
      </c>
      <c r="C440" s="46">
        <v>1420</v>
      </c>
      <c r="D440" s="46">
        <v>1420</v>
      </c>
      <c r="E440" s="46">
        <v>1420.0029999999999</v>
      </c>
      <c r="F440" s="46">
        <v>1420.1130000000001</v>
      </c>
      <c r="G440" s="46">
        <v>1420.566</v>
      </c>
      <c r="H440" s="46">
        <v>1422.9359999999999</v>
      </c>
    </row>
    <row r="441" spans="1:8">
      <c r="A441" s="42">
        <v>46252</v>
      </c>
      <c r="B441" s="45">
        <v>1420</v>
      </c>
      <c r="C441" s="46">
        <v>1420</v>
      </c>
      <c r="D441" s="46">
        <v>1420</v>
      </c>
      <c r="E441" s="46">
        <v>1420.002</v>
      </c>
      <c r="F441" s="46">
        <v>1420.0809999999999</v>
      </c>
      <c r="G441" s="46">
        <v>1420.4649999999999</v>
      </c>
      <c r="H441" s="46">
        <v>1422.4259999999999</v>
      </c>
    </row>
    <row r="442" spans="1:8">
      <c r="A442" s="42">
        <v>46252.041666666664</v>
      </c>
      <c r="B442" s="45">
        <v>1420</v>
      </c>
      <c r="C442" s="46">
        <v>1420</v>
      </c>
      <c r="D442" s="46">
        <v>1420</v>
      </c>
      <c r="E442" s="46">
        <v>1420.002</v>
      </c>
      <c r="F442" s="46">
        <v>1420.077</v>
      </c>
      <c r="G442" s="46">
        <v>1420.451</v>
      </c>
      <c r="H442" s="46">
        <v>1422.354</v>
      </c>
    </row>
    <row r="443" spans="1:8">
      <c r="A443" s="42">
        <v>46252.083333333336</v>
      </c>
      <c r="B443" s="45">
        <v>1420</v>
      </c>
      <c r="C443" s="46">
        <v>1420</v>
      </c>
      <c r="D443" s="46">
        <v>1420</v>
      </c>
      <c r="E443" s="46">
        <v>1420.002</v>
      </c>
      <c r="F443" s="46">
        <v>1420.0740000000001</v>
      </c>
      <c r="G443" s="46">
        <v>1420.37</v>
      </c>
      <c r="H443" s="46">
        <v>1421.943</v>
      </c>
    </row>
    <row r="444" spans="1:8">
      <c r="A444" s="42">
        <v>46252.125</v>
      </c>
      <c r="B444" s="45">
        <v>1420</v>
      </c>
      <c r="C444" s="46">
        <v>1420</v>
      </c>
      <c r="D444" s="46">
        <v>1420</v>
      </c>
      <c r="E444" s="46">
        <v>1420.002</v>
      </c>
      <c r="F444" s="46">
        <v>1420.0730000000001</v>
      </c>
      <c r="G444" s="46">
        <v>1420.3589999999999</v>
      </c>
      <c r="H444" s="46">
        <v>1421.885</v>
      </c>
    </row>
    <row r="445" spans="1:8">
      <c r="A445" s="42">
        <v>46252.166666666664</v>
      </c>
      <c r="B445" s="45">
        <v>1420</v>
      </c>
      <c r="C445" s="46">
        <v>1420</v>
      </c>
      <c r="D445" s="46">
        <v>1420</v>
      </c>
      <c r="E445" s="46">
        <v>1420.001</v>
      </c>
      <c r="F445" s="46">
        <v>1420.05</v>
      </c>
      <c r="G445" s="46">
        <v>1420.2950000000001</v>
      </c>
      <c r="H445" s="46">
        <v>1421.5550000000001</v>
      </c>
    </row>
    <row r="446" spans="1:8">
      <c r="A446" s="42">
        <v>46252.208333333336</v>
      </c>
      <c r="B446" s="45">
        <v>1420</v>
      </c>
      <c r="C446" s="46">
        <v>1420</v>
      </c>
      <c r="D446" s="46">
        <v>1420</v>
      </c>
      <c r="E446" s="46">
        <v>1420.001</v>
      </c>
      <c r="F446" s="46">
        <v>1420.047</v>
      </c>
      <c r="G446" s="46">
        <v>1420.2860000000001</v>
      </c>
      <c r="H446" s="46">
        <v>1421.509</v>
      </c>
    </row>
    <row r="447" spans="1:8">
      <c r="A447" s="42">
        <v>46252.25</v>
      </c>
      <c r="B447" s="45">
        <v>1420</v>
      </c>
      <c r="C447" s="46">
        <v>1420</v>
      </c>
      <c r="D447" s="46">
        <v>1420</v>
      </c>
      <c r="E447" s="46">
        <v>1420.001</v>
      </c>
      <c r="F447" s="46">
        <v>1420.0450000000001</v>
      </c>
      <c r="G447" s="46">
        <v>1420.2349999999999</v>
      </c>
      <c r="H447" s="46">
        <v>1421.2429999999999</v>
      </c>
    </row>
    <row r="448" spans="1:8">
      <c r="A448" s="42">
        <v>46252.291666666664</v>
      </c>
      <c r="B448" s="45">
        <v>1420</v>
      </c>
      <c r="C448" s="46">
        <v>1420</v>
      </c>
      <c r="D448" s="46">
        <v>1420</v>
      </c>
      <c r="E448" s="46">
        <v>1420.001</v>
      </c>
      <c r="F448" s="46">
        <v>1420.0450000000001</v>
      </c>
      <c r="G448" s="46">
        <v>1420.2270000000001</v>
      </c>
      <c r="H448" s="46">
        <v>1421.2059999999999</v>
      </c>
    </row>
    <row r="449" spans="1:8">
      <c r="A449" s="42">
        <v>46252.333333333336</v>
      </c>
      <c r="B449" s="45">
        <v>1420</v>
      </c>
      <c r="C449" s="46">
        <v>1420</v>
      </c>
      <c r="D449" s="46">
        <v>1420</v>
      </c>
      <c r="E449" s="46">
        <v>1420.001</v>
      </c>
      <c r="F449" s="46">
        <v>1420.0319999999999</v>
      </c>
      <c r="G449" s="46">
        <v>1420.1869999999999</v>
      </c>
      <c r="H449" s="46">
        <v>1420.9939999999999</v>
      </c>
    </row>
    <row r="450" spans="1:8">
      <c r="A450" s="42">
        <v>46252.375</v>
      </c>
      <c r="B450" s="45">
        <v>1420</v>
      </c>
      <c r="C450" s="46">
        <v>1420</v>
      </c>
      <c r="D450" s="46">
        <v>1420</v>
      </c>
      <c r="E450" s="46">
        <v>1420.001</v>
      </c>
      <c r="F450" s="46">
        <v>1420.03</v>
      </c>
      <c r="G450" s="46">
        <v>1420.181</v>
      </c>
      <c r="H450" s="46">
        <v>1420.9639999999999</v>
      </c>
    </row>
    <row r="451" spans="1:8">
      <c r="A451" s="42">
        <v>46252.416666666664</v>
      </c>
      <c r="B451" s="45">
        <v>1420</v>
      </c>
      <c r="C451" s="46">
        <v>1420</v>
      </c>
      <c r="D451" s="46">
        <v>1420</v>
      </c>
      <c r="E451" s="46">
        <v>1420.001</v>
      </c>
      <c r="F451" s="46">
        <v>1420.029</v>
      </c>
      <c r="G451" s="46">
        <v>1420.1479999999999</v>
      </c>
      <c r="H451" s="46">
        <v>1420.7929999999999</v>
      </c>
    </row>
    <row r="452" spans="1:8">
      <c r="A452" s="42">
        <v>46252.458333333336</v>
      </c>
      <c r="B452" s="45">
        <v>1420</v>
      </c>
      <c r="C452" s="46">
        <v>1420</v>
      </c>
      <c r="D452" s="46">
        <v>1420</v>
      </c>
      <c r="E452" s="46">
        <v>1420.001</v>
      </c>
      <c r="F452" s="46">
        <v>1420.029</v>
      </c>
      <c r="G452" s="46">
        <v>1420.144</v>
      </c>
      <c r="H452" s="46">
        <v>1420.769</v>
      </c>
    </row>
    <row r="453" spans="1:8">
      <c r="A453" s="42">
        <v>46252.5</v>
      </c>
      <c r="B453" s="45">
        <v>1420</v>
      </c>
      <c r="C453" s="46">
        <v>1420</v>
      </c>
      <c r="D453" s="46">
        <v>1420</v>
      </c>
      <c r="E453" s="46">
        <v>1420</v>
      </c>
      <c r="F453" s="46">
        <v>1420.02</v>
      </c>
      <c r="G453" s="46">
        <v>1420.1179999999999</v>
      </c>
      <c r="H453" s="46">
        <v>1420.633</v>
      </c>
    </row>
    <row r="454" spans="1:8">
      <c r="A454" s="42">
        <v>46252.541666666664</v>
      </c>
      <c r="B454" s="45">
        <v>1420</v>
      </c>
      <c r="C454" s="46">
        <v>1420</v>
      </c>
      <c r="D454" s="46">
        <v>1420</v>
      </c>
      <c r="E454" s="46">
        <v>1420</v>
      </c>
      <c r="F454" s="46">
        <v>1420.019</v>
      </c>
      <c r="G454" s="46">
        <v>1420.114</v>
      </c>
      <c r="H454" s="46">
        <v>1420.614</v>
      </c>
    </row>
    <row r="455" spans="1:8">
      <c r="A455" s="42">
        <v>46252.583333333336</v>
      </c>
      <c r="B455" s="45">
        <v>1420</v>
      </c>
      <c r="C455" s="46">
        <v>1420</v>
      </c>
      <c r="D455" s="46">
        <v>1420</v>
      </c>
      <c r="E455" s="46">
        <v>1420</v>
      </c>
      <c r="F455" s="46">
        <v>1420.018</v>
      </c>
      <c r="G455" s="46">
        <v>1420.0940000000001</v>
      </c>
      <c r="H455" s="46">
        <v>1420.5050000000001</v>
      </c>
    </row>
    <row r="456" spans="1:8">
      <c r="A456" s="42">
        <v>46252.625</v>
      </c>
      <c r="B456" s="45">
        <v>1420</v>
      </c>
      <c r="C456" s="46">
        <v>1420</v>
      </c>
      <c r="D456" s="46">
        <v>1420</v>
      </c>
      <c r="E456" s="46">
        <v>1420</v>
      </c>
      <c r="F456" s="46">
        <v>1420.018</v>
      </c>
      <c r="G456" s="46">
        <v>1420.0909999999999</v>
      </c>
      <c r="H456" s="46">
        <v>1420.49</v>
      </c>
    </row>
    <row r="457" spans="1:8">
      <c r="A457" s="42">
        <v>46252.666666666664</v>
      </c>
      <c r="B457" s="45">
        <v>1420</v>
      </c>
      <c r="C457" s="46">
        <v>1420</v>
      </c>
      <c r="D457" s="46">
        <v>1420</v>
      </c>
      <c r="E457" s="46">
        <v>1420</v>
      </c>
      <c r="F457" s="46">
        <v>1420.0129999999999</v>
      </c>
      <c r="G457" s="46">
        <v>1420.0740000000001</v>
      </c>
      <c r="H457" s="46">
        <v>1420.402</v>
      </c>
    </row>
    <row r="458" spans="1:8">
      <c r="A458" s="42">
        <v>46252.708333333336</v>
      </c>
      <c r="B458" s="45">
        <v>1420</v>
      </c>
      <c r="C458" s="46">
        <v>1420</v>
      </c>
      <c r="D458" s="46">
        <v>1420</v>
      </c>
      <c r="E458" s="46">
        <v>1420</v>
      </c>
      <c r="F458" s="46">
        <v>1420.0119999999999</v>
      </c>
      <c r="G458" s="46">
        <v>1420.0719999999999</v>
      </c>
      <c r="H458" s="46">
        <v>1420.39</v>
      </c>
    </row>
    <row r="459" spans="1:8">
      <c r="A459" s="42">
        <v>46252.75</v>
      </c>
      <c r="B459" s="45">
        <v>1420</v>
      </c>
      <c r="C459" s="46">
        <v>1420</v>
      </c>
      <c r="D459" s="46">
        <v>1420</v>
      </c>
      <c r="E459" s="46">
        <v>1420</v>
      </c>
      <c r="F459" s="46">
        <v>1420.011</v>
      </c>
      <c r="G459" s="46">
        <v>1420.059</v>
      </c>
      <c r="H459" s="46">
        <v>1420.32</v>
      </c>
    </row>
    <row r="460" spans="1:8">
      <c r="A460" s="42">
        <v>46252.791666666664</v>
      </c>
      <c r="B460" s="45">
        <v>1420</v>
      </c>
      <c r="C460" s="46">
        <v>1420</v>
      </c>
      <c r="D460" s="46">
        <v>1420</v>
      </c>
      <c r="E460" s="46">
        <v>1420</v>
      </c>
      <c r="F460" s="46">
        <v>1420.011</v>
      </c>
      <c r="G460" s="46">
        <v>1420.057</v>
      </c>
      <c r="H460" s="46">
        <v>1420.3109999999999</v>
      </c>
    </row>
    <row r="461" spans="1:8">
      <c r="A461" s="42">
        <v>46252.833333333336</v>
      </c>
      <c r="B461" s="45">
        <v>1420</v>
      </c>
      <c r="C461" s="46">
        <v>1420</v>
      </c>
      <c r="D461" s="46">
        <v>1420</v>
      </c>
      <c r="E461" s="46">
        <v>1420</v>
      </c>
      <c r="F461" s="46">
        <v>1420.008</v>
      </c>
      <c r="G461" s="46">
        <v>1420.047</v>
      </c>
      <c r="H461" s="46">
        <v>1420.2550000000001</v>
      </c>
    </row>
    <row r="462" spans="1:8">
      <c r="A462" s="42">
        <v>46252.875</v>
      </c>
      <c r="B462" s="45">
        <v>1420</v>
      </c>
      <c r="C462" s="46">
        <v>1420</v>
      </c>
      <c r="D462" s="46">
        <v>1420</v>
      </c>
      <c r="E462" s="46">
        <v>1420</v>
      </c>
      <c r="F462" s="46">
        <v>1420.0070000000001</v>
      </c>
      <c r="G462" s="46">
        <v>1420.0450000000001</v>
      </c>
      <c r="H462" s="46">
        <v>1420.2470000000001</v>
      </c>
    </row>
    <row r="463" spans="1:8">
      <c r="A463" s="42">
        <v>46252.916666666664</v>
      </c>
      <c r="B463" s="45">
        <v>1420</v>
      </c>
      <c r="C463" s="46">
        <v>1420</v>
      </c>
      <c r="D463" s="46">
        <v>1420</v>
      </c>
      <c r="E463" s="46">
        <v>1420</v>
      </c>
      <c r="F463" s="46">
        <v>1420.0070000000001</v>
      </c>
      <c r="G463" s="46">
        <v>1420.037</v>
      </c>
      <c r="H463" s="46">
        <v>1420.203</v>
      </c>
    </row>
    <row r="464" spans="1:8">
      <c r="A464" s="42">
        <v>46252.958333333336</v>
      </c>
      <c r="B464" s="45">
        <v>1420</v>
      </c>
      <c r="C464" s="46">
        <v>1420</v>
      </c>
      <c r="D464" s="46">
        <v>1420</v>
      </c>
      <c r="E464" s="46">
        <v>1420</v>
      </c>
      <c r="F464" s="46">
        <v>1420.0070000000001</v>
      </c>
      <c r="G464" s="46">
        <v>1420.0360000000001</v>
      </c>
      <c r="H464" s="46">
        <v>1420.1969999999999</v>
      </c>
    </row>
    <row r="465" spans="1:8">
      <c r="A465" s="42">
        <v>46253</v>
      </c>
      <c r="B465" s="45">
        <v>1420</v>
      </c>
      <c r="C465" s="46">
        <v>1420</v>
      </c>
      <c r="D465" s="46">
        <v>1420</v>
      </c>
      <c r="E465" s="46">
        <v>1420</v>
      </c>
      <c r="F465" s="46">
        <v>1420.0050000000001</v>
      </c>
      <c r="G465" s="46">
        <v>1420.03</v>
      </c>
      <c r="H465" s="46">
        <v>1420.1610000000001</v>
      </c>
    </row>
    <row r="466" spans="1:8">
      <c r="A466" s="42">
        <v>46253.041666666664</v>
      </c>
      <c r="B466" s="45">
        <v>1420</v>
      </c>
      <c r="C466" s="46">
        <v>1420</v>
      </c>
      <c r="D466" s="46">
        <v>1420</v>
      </c>
      <c r="E466" s="46">
        <v>1420</v>
      </c>
      <c r="F466" s="46">
        <v>1420.0050000000001</v>
      </c>
      <c r="G466" s="46">
        <v>1420.029</v>
      </c>
      <c r="H466" s="46">
        <v>1420.1559999999999</v>
      </c>
    </row>
    <row r="467" spans="1:8">
      <c r="A467" s="42">
        <v>46253.083333333336</v>
      </c>
      <c r="B467" s="45">
        <v>1420</v>
      </c>
      <c r="C467" s="46">
        <v>1420</v>
      </c>
      <c r="D467" s="46">
        <v>1420</v>
      </c>
      <c r="E467" s="46">
        <v>1420</v>
      </c>
      <c r="F467" s="46">
        <v>1420.0050000000001</v>
      </c>
      <c r="G467" s="46">
        <v>1420.0229999999999</v>
      </c>
      <c r="H467" s="46">
        <v>1420.1279999999999</v>
      </c>
    </row>
    <row r="468" spans="1:8">
      <c r="A468" s="42">
        <v>46253.125</v>
      </c>
      <c r="B468" s="45">
        <v>1420</v>
      </c>
      <c r="C468" s="46">
        <v>1420</v>
      </c>
      <c r="D468" s="46">
        <v>1420</v>
      </c>
      <c r="E468" s="46">
        <v>1420</v>
      </c>
      <c r="F468" s="46">
        <v>1420.0050000000001</v>
      </c>
      <c r="G468" s="46">
        <v>1420.0229999999999</v>
      </c>
      <c r="H468" s="46">
        <v>1420.124</v>
      </c>
    </row>
    <row r="469" spans="1:8">
      <c r="A469" s="42">
        <v>46253.166666666664</v>
      </c>
      <c r="B469" s="45">
        <v>1420</v>
      </c>
      <c r="C469" s="46">
        <v>1420</v>
      </c>
      <c r="D469" s="46">
        <v>1420</v>
      </c>
      <c r="E469" s="46">
        <v>1420</v>
      </c>
      <c r="F469" s="46">
        <v>1420.0029999999999</v>
      </c>
      <c r="G469" s="46">
        <v>1420.019</v>
      </c>
      <c r="H469" s="46">
        <v>1420.1020000000001</v>
      </c>
    </row>
    <row r="470" spans="1:8">
      <c r="A470" s="42">
        <v>46253.208333333336</v>
      </c>
      <c r="B470" s="45">
        <v>1420</v>
      </c>
      <c r="C470" s="46">
        <v>1420</v>
      </c>
      <c r="D470" s="46">
        <v>1420</v>
      </c>
      <c r="E470" s="46">
        <v>1420</v>
      </c>
      <c r="F470" s="46">
        <v>1420.0029999999999</v>
      </c>
      <c r="G470" s="46">
        <v>1420.018</v>
      </c>
      <c r="H470" s="46">
        <v>1420.0989999999999</v>
      </c>
    </row>
    <row r="471" spans="1:8">
      <c r="A471" s="42">
        <v>46253.25</v>
      </c>
      <c r="B471" s="45">
        <v>1420</v>
      </c>
      <c r="C471" s="46">
        <v>1420</v>
      </c>
      <c r="D471" s="46">
        <v>1420</v>
      </c>
      <c r="E471" s="46">
        <v>1420</v>
      </c>
      <c r="F471" s="46">
        <v>1420.0029999999999</v>
      </c>
      <c r="G471" s="46">
        <v>1420.0150000000001</v>
      </c>
      <c r="H471" s="46">
        <v>1420.0809999999999</v>
      </c>
    </row>
    <row r="472" spans="1:8">
      <c r="A472" s="42">
        <v>46253.291666666664</v>
      </c>
      <c r="B472" s="45">
        <v>1420</v>
      </c>
      <c r="C472" s="46">
        <v>1420</v>
      </c>
      <c r="D472" s="46">
        <v>1420</v>
      </c>
      <c r="E472" s="46">
        <v>1420</v>
      </c>
      <c r="F472" s="46">
        <v>1420.0029999999999</v>
      </c>
      <c r="G472" s="46">
        <v>1420.0139999999999</v>
      </c>
      <c r="H472" s="46">
        <v>1420.079</v>
      </c>
    </row>
    <row r="473" spans="1:8">
      <c r="A473" s="42">
        <v>46253.333333333336</v>
      </c>
      <c r="B473" s="45">
        <v>1420</v>
      </c>
      <c r="C473" s="46">
        <v>1420</v>
      </c>
      <c r="D473" s="46">
        <v>1420</v>
      </c>
      <c r="E473" s="46">
        <v>1420</v>
      </c>
      <c r="F473" s="46">
        <v>1420.002</v>
      </c>
      <c r="G473" s="46">
        <v>1420.0119999999999</v>
      </c>
      <c r="H473" s="46">
        <v>1420.0640000000001</v>
      </c>
    </row>
    <row r="474" spans="1:8">
      <c r="A474" s="42">
        <v>46253.375</v>
      </c>
      <c r="B474" s="45">
        <v>1420</v>
      </c>
      <c r="C474" s="46">
        <v>1420</v>
      </c>
      <c r="D474" s="46">
        <v>1420</v>
      </c>
      <c r="E474" s="46">
        <v>1420</v>
      </c>
      <c r="F474" s="46">
        <v>1420.002</v>
      </c>
      <c r="G474" s="46">
        <v>1420.011</v>
      </c>
      <c r="H474" s="46">
        <v>1420.0619999999999</v>
      </c>
    </row>
    <row r="475" spans="1:8">
      <c r="A475" s="42">
        <v>46253.416666666664</v>
      </c>
      <c r="B475" s="45">
        <v>1420</v>
      </c>
      <c r="C475" s="46">
        <v>1420</v>
      </c>
      <c r="D475" s="46">
        <v>1420</v>
      </c>
      <c r="E475" s="46">
        <v>1420</v>
      </c>
      <c r="F475" s="46">
        <v>1420.002</v>
      </c>
      <c r="G475" s="46">
        <v>1420.009</v>
      </c>
      <c r="H475" s="46">
        <v>1420.0509999999999</v>
      </c>
    </row>
    <row r="476" spans="1:8">
      <c r="A476" s="42">
        <v>46253.458333333336</v>
      </c>
      <c r="B476" s="45">
        <v>1420</v>
      </c>
      <c r="C476" s="46">
        <v>1420</v>
      </c>
      <c r="D476" s="46">
        <v>1420</v>
      </c>
      <c r="E476" s="46">
        <v>1420</v>
      </c>
      <c r="F476" s="46">
        <v>1420.002</v>
      </c>
      <c r="G476" s="46">
        <v>1420.009</v>
      </c>
      <c r="H476" s="46">
        <v>1420.05</v>
      </c>
    </row>
    <row r="477" spans="1:8">
      <c r="A477" s="42">
        <v>46253.5</v>
      </c>
      <c r="B477" s="45">
        <v>1420</v>
      </c>
      <c r="C477" s="46">
        <v>1420</v>
      </c>
      <c r="D477" s="46">
        <v>1420</v>
      </c>
      <c r="E477" s="46">
        <v>1420</v>
      </c>
      <c r="F477" s="46">
        <v>1420.001</v>
      </c>
      <c r="G477" s="46">
        <v>1420.0070000000001</v>
      </c>
      <c r="H477" s="46">
        <v>1420.0409999999999</v>
      </c>
    </row>
    <row r="478" spans="1:8">
      <c r="A478" s="42">
        <v>46253.541666666664</v>
      </c>
      <c r="B478" s="45">
        <v>1420</v>
      </c>
      <c r="C478" s="46">
        <v>1420</v>
      </c>
      <c r="D478" s="46">
        <v>1420</v>
      </c>
      <c r="E478" s="46">
        <v>1420</v>
      </c>
      <c r="F478" s="46">
        <v>1420.001</v>
      </c>
      <c r="G478" s="46">
        <v>1420.0070000000001</v>
      </c>
      <c r="H478" s="46">
        <v>1420.039</v>
      </c>
    </row>
    <row r="479" spans="1:8">
      <c r="A479" s="42">
        <v>46253.583333333336</v>
      </c>
      <c r="B479" s="45">
        <v>1420</v>
      </c>
      <c r="C479" s="46">
        <v>1420</v>
      </c>
      <c r="D479" s="46">
        <v>1420</v>
      </c>
      <c r="E479" s="46">
        <v>1420</v>
      </c>
      <c r="F479" s="46">
        <v>1420.001</v>
      </c>
      <c r="G479" s="46">
        <v>1420.0060000000001</v>
      </c>
      <c r="H479" s="46">
        <v>1420.0319999999999</v>
      </c>
    </row>
    <row r="480" spans="1:8">
      <c r="A480" s="42">
        <v>46253.625</v>
      </c>
      <c r="B480" s="45">
        <v>1420</v>
      </c>
      <c r="C480" s="46">
        <v>1420</v>
      </c>
      <c r="D480" s="46">
        <v>1420</v>
      </c>
      <c r="E480" s="46">
        <v>1420</v>
      </c>
      <c r="F480" s="46">
        <v>1420.001</v>
      </c>
      <c r="G480" s="46">
        <v>1420.0060000000001</v>
      </c>
      <c r="H480" s="46">
        <v>1420.0309999999999</v>
      </c>
    </row>
    <row r="481" spans="1:8">
      <c r="A481" s="42">
        <v>46253.666666666664</v>
      </c>
      <c r="B481" s="45">
        <v>1420</v>
      </c>
      <c r="C481" s="46">
        <v>1420</v>
      </c>
      <c r="D481" s="46">
        <v>1420</v>
      </c>
      <c r="E481" s="46">
        <v>1420</v>
      </c>
      <c r="F481" s="46">
        <v>1420.001</v>
      </c>
      <c r="G481" s="46">
        <v>1420.0050000000001</v>
      </c>
      <c r="H481" s="46">
        <v>1420.0260000000001</v>
      </c>
    </row>
    <row r="482" spans="1:8">
      <c r="A482" s="42">
        <v>46253.708333333336</v>
      </c>
      <c r="B482" s="45">
        <v>1420</v>
      </c>
      <c r="C482" s="46">
        <v>1420</v>
      </c>
      <c r="D482" s="46">
        <v>1420</v>
      </c>
      <c r="E482" s="46">
        <v>1420</v>
      </c>
      <c r="F482" s="46">
        <v>1420.001</v>
      </c>
      <c r="G482" s="46">
        <v>1420.0050000000001</v>
      </c>
      <c r="H482" s="46">
        <v>1420.0250000000001</v>
      </c>
    </row>
    <row r="483" spans="1:8">
      <c r="A483" s="42">
        <v>46253.75</v>
      </c>
      <c r="B483" s="45">
        <v>1420</v>
      </c>
      <c r="C483" s="46">
        <v>1420</v>
      </c>
      <c r="D483" s="46">
        <v>1420</v>
      </c>
      <c r="E483" s="46">
        <v>1420</v>
      </c>
      <c r="F483" s="46">
        <v>1420.001</v>
      </c>
      <c r="G483" s="46">
        <v>1420.0039999999999</v>
      </c>
      <c r="H483" s="46">
        <v>1420.02</v>
      </c>
    </row>
    <row r="484" spans="1:8">
      <c r="A484" s="42">
        <v>46253.791666666664</v>
      </c>
      <c r="B484" s="45">
        <v>1420</v>
      </c>
      <c r="C484" s="46">
        <v>1420</v>
      </c>
      <c r="D484" s="46">
        <v>1420</v>
      </c>
      <c r="E484" s="46">
        <v>1420</v>
      </c>
      <c r="F484" s="46">
        <v>1420.001</v>
      </c>
      <c r="G484" s="46">
        <v>1420.0039999999999</v>
      </c>
      <c r="H484" s="46">
        <v>1420.02</v>
      </c>
    </row>
    <row r="485" spans="1:8">
      <c r="A485" s="42">
        <v>46253.833333333336</v>
      </c>
      <c r="B485" s="45">
        <v>1420</v>
      </c>
      <c r="C485" s="46">
        <v>1420</v>
      </c>
      <c r="D485" s="46">
        <v>1420</v>
      </c>
      <c r="E485" s="46">
        <v>1420</v>
      </c>
      <c r="F485" s="46">
        <v>1420.001</v>
      </c>
      <c r="G485" s="46">
        <v>1420.0029999999999</v>
      </c>
      <c r="H485" s="46">
        <v>1420.0160000000001</v>
      </c>
    </row>
    <row r="486" spans="1:8">
      <c r="A486" s="42">
        <v>46253.875</v>
      </c>
      <c r="B486" s="45">
        <v>1420</v>
      </c>
      <c r="C486" s="46">
        <v>1420</v>
      </c>
      <c r="D486" s="46">
        <v>1420</v>
      </c>
      <c r="E486" s="46">
        <v>1420</v>
      </c>
      <c r="F486" s="46">
        <v>1420</v>
      </c>
      <c r="G486" s="46">
        <v>1420.0029999999999</v>
      </c>
      <c r="H486" s="46">
        <v>1420.0160000000001</v>
      </c>
    </row>
    <row r="487" spans="1:8">
      <c r="A487" s="42">
        <v>46253.916666666664</v>
      </c>
      <c r="B487" s="45">
        <v>1420</v>
      </c>
      <c r="C487" s="46">
        <v>1420</v>
      </c>
      <c r="D487" s="46">
        <v>1420</v>
      </c>
      <c r="E487" s="46">
        <v>1420</v>
      </c>
      <c r="F487" s="46">
        <v>1420</v>
      </c>
      <c r="G487" s="46">
        <v>1420.002</v>
      </c>
      <c r="H487" s="46">
        <v>1420.0129999999999</v>
      </c>
    </row>
    <row r="488" spans="1:8">
      <c r="A488" s="42">
        <v>46253.958333333336</v>
      </c>
      <c r="B488" s="45">
        <v>1420</v>
      </c>
      <c r="C488" s="46">
        <v>1420</v>
      </c>
      <c r="D488" s="46">
        <v>1420</v>
      </c>
      <c r="E488" s="46">
        <v>1420</v>
      </c>
      <c r="F488" s="46">
        <v>1420</v>
      </c>
      <c r="G488" s="46">
        <v>1420.002</v>
      </c>
      <c r="H488" s="46">
        <v>1420.0119999999999</v>
      </c>
    </row>
    <row r="489" spans="1:8">
      <c r="A489" s="42">
        <v>46254</v>
      </c>
      <c r="B489" s="45">
        <v>1420</v>
      </c>
      <c r="C489" s="46">
        <v>1420</v>
      </c>
      <c r="D489" s="46">
        <v>1420</v>
      </c>
      <c r="E489" s="46">
        <v>1420</v>
      </c>
      <c r="F489" s="46">
        <v>1420</v>
      </c>
      <c r="G489" s="46">
        <v>1420.002</v>
      </c>
      <c r="H489" s="46">
        <v>1420.01</v>
      </c>
    </row>
    <row r="490" spans="1:8">
      <c r="A490" s="42">
        <v>46254.041666666664</v>
      </c>
      <c r="B490" s="45">
        <v>1420</v>
      </c>
      <c r="C490" s="46">
        <v>1420</v>
      </c>
      <c r="D490" s="46">
        <v>1420</v>
      </c>
      <c r="E490" s="46">
        <v>1420</v>
      </c>
      <c r="F490" s="46">
        <v>1420</v>
      </c>
      <c r="G490" s="46">
        <v>1420.002</v>
      </c>
      <c r="H490" s="46">
        <v>1420.01</v>
      </c>
    </row>
    <row r="491" spans="1:8">
      <c r="A491" s="42">
        <v>46254.083333333336</v>
      </c>
      <c r="B491" s="45">
        <v>1420</v>
      </c>
      <c r="C491" s="46">
        <v>1420</v>
      </c>
      <c r="D491" s="46">
        <v>1420</v>
      </c>
      <c r="E491" s="46">
        <v>1420</v>
      </c>
      <c r="F491" s="46">
        <v>1420</v>
      </c>
      <c r="G491" s="46">
        <v>1420.001</v>
      </c>
      <c r="H491" s="46">
        <v>1420.008</v>
      </c>
    </row>
    <row r="492" spans="1:8">
      <c r="A492" s="42">
        <v>46254.125</v>
      </c>
      <c r="B492" s="45">
        <v>1420</v>
      </c>
      <c r="C492" s="46">
        <v>1420</v>
      </c>
      <c r="D492" s="46">
        <v>1420</v>
      </c>
      <c r="E492" s="46">
        <v>1420</v>
      </c>
      <c r="F492" s="46">
        <v>1420</v>
      </c>
      <c r="G492" s="46">
        <v>1420.001</v>
      </c>
      <c r="H492" s="46">
        <v>1420.008</v>
      </c>
    </row>
    <row r="493" spans="1:8">
      <c r="A493" s="42">
        <v>46254.166666666664</v>
      </c>
      <c r="B493" s="45">
        <v>1420</v>
      </c>
      <c r="C493" s="46">
        <v>1420</v>
      </c>
      <c r="D493" s="46">
        <v>1420</v>
      </c>
      <c r="E493" s="46">
        <v>1420</v>
      </c>
      <c r="F493" s="46">
        <v>1420</v>
      </c>
      <c r="G493" s="46">
        <v>1420.001</v>
      </c>
      <c r="H493" s="46">
        <v>1420.0070000000001</v>
      </c>
    </row>
    <row r="494" spans="1:8">
      <c r="A494" s="42">
        <v>46254.208333333336</v>
      </c>
      <c r="B494" s="45">
        <v>1420</v>
      </c>
      <c r="C494" s="46">
        <v>1420</v>
      </c>
      <c r="D494" s="46">
        <v>1420</v>
      </c>
      <c r="E494" s="46">
        <v>1420</v>
      </c>
      <c r="F494" s="46">
        <v>1420</v>
      </c>
      <c r="G494" s="46">
        <v>1420.001</v>
      </c>
      <c r="H494" s="46">
        <v>1420.0060000000001</v>
      </c>
    </row>
    <row r="495" spans="1:8">
      <c r="A495" s="42">
        <v>46254.25</v>
      </c>
      <c r="B495" s="45">
        <v>1420</v>
      </c>
      <c r="C495" s="46">
        <v>1420</v>
      </c>
      <c r="D495" s="46">
        <v>1420</v>
      </c>
      <c r="E495" s="46">
        <v>1420</v>
      </c>
      <c r="F495" s="46">
        <v>1420</v>
      </c>
      <c r="G495" s="46">
        <v>1420.001</v>
      </c>
      <c r="H495" s="46">
        <v>1420.0050000000001</v>
      </c>
    </row>
    <row r="496" spans="1:8">
      <c r="A496" s="42">
        <v>46254.291666666664</v>
      </c>
      <c r="B496" s="45">
        <v>1420</v>
      </c>
      <c r="C496" s="46">
        <v>1420</v>
      </c>
      <c r="D496" s="46">
        <v>1420</v>
      </c>
      <c r="E496" s="46">
        <v>1420</v>
      </c>
      <c r="F496" s="46">
        <v>1420</v>
      </c>
      <c r="G496" s="46">
        <v>1420.001</v>
      </c>
      <c r="H496" s="46">
        <v>1420.0050000000001</v>
      </c>
    </row>
    <row r="497" spans="1:8">
      <c r="A497" s="42">
        <v>46254.333333333336</v>
      </c>
      <c r="B497" s="45">
        <v>1420</v>
      </c>
      <c r="C497" s="46">
        <v>1420</v>
      </c>
      <c r="D497" s="46">
        <v>1420</v>
      </c>
      <c r="E497" s="46">
        <v>1420</v>
      </c>
      <c r="F497" s="46">
        <v>1420</v>
      </c>
      <c r="G497" s="46">
        <v>1420.001</v>
      </c>
      <c r="H497" s="46">
        <v>1420.0039999999999</v>
      </c>
    </row>
    <row r="498" spans="1:8">
      <c r="A498" s="42">
        <v>46254.375</v>
      </c>
      <c r="B498" s="45">
        <v>1420</v>
      </c>
      <c r="C498" s="46">
        <v>1420</v>
      </c>
      <c r="D498" s="46">
        <v>1420</v>
      </c>
      <c r="E498" s="46">
        <v>1420</v>
      </c>
      <c r="F498" s="46">
        <v>1420</v>
      </c>
      <c r="G498" s="46">
        <v>1420.001</v>
      </c>
      <c r="H498" s="46">
        <v>1420.0039999999999</v>
      </c>
    </row>
    <row r="499" spans="1:8">
      <c r="A499" s="42">
        <v>46254.416666666664</v>
      </c>
      <c r="B499" s="45">
        <v>1420</v>
      </c>
      <c r="C499" s="46">
        <v>1420</v>
      </c>
      <c r="D499" s="46">
        <v>1420</v>
      </c>
      <c r="E499" s="46">
        <v>1420</v>
      </c>
      <c r="F499" s="46">
        <v>1420</v>
      </c>
      <c r="G499" s="46">
        <v>1420.001</v>
      </c>
      <c r="H499" s="46">
        <v>1420.0029999999999</v>
      </c>
    </row>
    <row r="500" spans="1:8">
      <c r="A500" s="42">
        <v>46254.458333333336</v>
      </c>
      <c r="B500" s="45">
        <v>1420</v>
      </c>
      <c r="C500" s="46">
        <v>1420</v>
      </c>
      <c r="D500" s="46">
        <v>1420</v>
      </c>
      <c r="E500" s="46">
        <v>1420</v>
      </c>
      <c r="F500" s="46">
        <v>1420</v>
      </c>
      <c r="G500" s="46">
        <v>1420</v>
      </c>
      <c r="H500" s="46">
        <v>1420.0029999999999</v>
      </c>
    </row>
    <row r="501" spans="1:8">
      <c r="A501" s="42">
        <v>46254.5</v>
      </c>
      <c r="B501" s="45">
        <v>1420</v>
      </c>
      <c r="C501" s="46">
        <v>1420</v>
      </c>
      <c r="D501" s="46">
        <v>1420</v>
      </c>
      <c r="E501" s="46">
        <v>1420</v>
      </c>
      <c r="F501" s="46">
        <v>1420</v>
      </c>
      <c r="G501" s="46">
        <v>1420</v>
      </c>
      <c r="H501" s="46">
        <v>1420.002</v>
      </c>
    </row>
    <row r="502" spans="1:8">
      <c r="A502" s="42">
        <v>46254.541666666664</v>
      </c>
      <c r="B502" s="45">
        <v>1420</v>
      </c>
      <c r="C502" s="46">
        <v>1420</v>
      </c>
      <c r="D502" s="46">
        <v>1420</v>
      </c>
      <c r="E502" s="46">
        <v>1420</v>
      </c>
      <c r="F502" s="46">
        <v>1420</v>
      </c>
      <c r="G502" s="46">
        <v>1420</v>
      </c>
      <c r="H502" s="46">
        <v>1420.002</v>
      </c>
    </row>
    <row r="503" spans="1:8">
      <c r="A503" s="42">
        <v>46254.583333333336</v>
      </c>
      <c r="B503" s="45">
        <v>1420</v>
      </c>
      <c r="C503" s="46">
        <v>1420</v>
      </c>
      <c r="D503" s="46">
        <v>1420</v>
      </c>
      <c r="E503" s="46">
        <v>1420</v>
      </c>
      <c r="F503" s="46">
        <v>1420</v>
      </c>
      <c r="G503" s="46">
        <v>1420</v>
      </c>
      <c r="H503" s="46">
        <v>1420.002</v>
      </c>
    </row>
    <row r="504" spans="1:8">
      <c r="A504" s="42">
        <v>46254.625</v>
      </c>
      <c r="B504" s="45">
        <v>1420</v>
      </c>
      <c r="C504" s="46">
        <v>1420</v>
      </c>
      <c r="D504" s="46">
        <v>1420</v>
      </c>
      <c r="E504" s="46">
        <v>1420</v>
      </c>
      <c r="F504" s="46">
        <v>1420</v>
      </c>
      <c r="G504" s="46">
        <v>1420</v>
      </c>
      <c r="H504" s="46">
        <v>1420.002</v>
      </c>
    </row>
    <row r="505" spans="1:8">
      <c r="A505" s="42">
        <v>46254.666666666664</v>
      </c>
      <c r="B505" s="45">
        <v>1420</v>
      </c>
      <c r="C505" s="46">
        <v>1420</v>
      </c>
      <c r="D505" s="46">
        <v>1420</v>
      </c>
      <c r="E505" s="46">
        <v>1420</v>
      </c>
      <c r="F505" s="46">
        <v>1420</v>
      </c>
      <c r="G505" s="46">
        <v>1420</v>
      </c>
      <c r="H505" s="46">
        <v>1420.001</v>
      </c>
    </row>
    <row r="506" spans="1:8">
      <c r="A506" s="42">
        <v>46254.708333333336</v>
      </c>
      <c r="B506" s="45">
        <v>1420</v>
      </c>
      <c r="C506" s="46">
        <v>1420</v>
      </c>
      <c r="D506" s="46">
        <v>1420</v>
      </c>
      <c r="E506" s="46">
        <v>1420</v>
      </c>
      <c r="F506" s="46">
        <v>1420</v>
      </c>
      <c r="G506" s="46">
        <v>1420</v>
      </c>
      <c r="H506" s="46">
        <v>1420.001</v>
      </c>
    </row>
    <row r="507" spans="1:8">
      <c r="A507" s="42">
        <v>46254.75</v>
      </c>
      <c r="B507" s="45">
        <v>1420</v>
      </c>
      <c r="C507" s="46">
        <v>1420</v>
      </c>
      <c r="D507" s="46">
        <v>1420</v>
      </c>
      <c r="E507" s="46">
        <v>1420</v>
      </c>
      <c r="F507" s="46">
        <v>1420</v>
      </c>
      <c r="G507" s="46">
        <v>1420</v>
      </c>
      <c r="H507" s="46">
        <v>1420.001</v>
      </c>
    </row>
    <row r="508" spans="1:8">
      <c r="A508" s="42">
        <v>46254.791666666664</v>
      </c>
      <c r="B508" s="45">
        <v>1420</v>
      </c>
      <c r="C508" s="46">
        <v>1420</v>
      </c>
      <c r="D508" s="46">
        <v>1420</v>
      </c>
      <c r="E508" s="46">
        <v>1420</v>
      </c>
      <c r="F508" s="46">
        <v>1420</v>
      </c>
      <c r="G508" s="46">
        <v>1420</v>
      </c>
      <c r="H508" s="46">
        <v>1420.001</v>
      </c>
    </row>
    <row r="509" spans="1:8">
      <c r="A509" s="42">
        <v>46254.833333333336</v>
      </c>
      <c r="B509" s="45">
        <v>1420</v>
      </c>
      <c r="C509" s="46">
        <v>1420</v>
      </c>
      <c r="D509" s="46">
        <v>1420</v>
      </c>
      <c r="E509" s="46">
        <v>1420</v>
      </c>
      <c r="F509" s="46">
        <v>1420</v>
      </c>
      <c r="G509" s="46">
        <v>1420</v>
      </c>
      <c r="H509" s="46">
        <v>1420.001</v>
      </c>
    </row>
    <row r="510" spans="1:8">
      <c r="A510" s="42">
        <v>46254.875</v>
      </c>
      <c r="B510" s="45">
        <v>1420</v>
      </c>
      <c r="C510" s="46">
        <v>1420</v>
      </c>
      <c r="D510" s="46">
        <v>1420</v>
      </c>
      <c r="E510" s="46">
        <v>1420</v>
      </c>
      <c r="F510" s="46">
        <v>1420</v>
      </c>
      <c r="G510" s="46">
        <v>1420</v>
      </c>
      <c r="H510" s="46">
        <v>1420.001</v>
      </c>
    </row>
    <row r="511" spans="1:8">
      <c r="A511" s="42">
        <v>46254.916666666664</v>
      </c>
      <c r="B511" s="45">
        <v>1420</v>
      </c>
      <c r="C511" s="46">
        <v>1420</v>
      </c>
      <c r="D511" s="46">
        <v>1420</v>
      </c>
      <c r="E511" s="46">
        <v>1420</v>
      </c>
      <c r="F511" s="46">
        <v>1420</v>
      </c>
      <c r="G511" s="46">
        <v>1420</v>
      </c>
      <c r="H511" s="46">
        <v>1420.001</v>
      </c>
    </row>
    <row r="512" spans="1:8">
      <c r="A512" s="42">
        <v>46254.958333333336</v>
      </c>
      <c r="B512" s="45">
        <v>1420</v>
      </c>
      <c r="C512" s="46">
        <v>1420</v>
      </c>
      <c r="D512" s="46">
        <v>1420</v>
      </c>
      <c r="E512" s="46">
        <v>1420</v>
      </c>
      <c r="F512" s="46">
        <v>1420</v>
      </c>
      <c r="G512" s="46">
        <v>1420</v>
      </c>
      <c r="H512" s="46">
        <v>1420.001</v>
      </c>
    </row>
    <row r="513" spans="1:8">
      <c r="A513" s="42">
        <v>46255</v>
      </c>
      <c r="B513" s="45">
        <v>1420</v>
      </c>
      <c r="C513" s="46">
        <v>1420</v>
      </c>
      <c r="D513" s="46">
        <v>1420</v>
      </c>
      <c r="E513" s="46">
        <v>1420</v>
      </c>
      <c r="F513" s="46">
        <v>1420</v>
      </c>
      <c r="G513" s="46">
        <v>1420</v>
      </c>
      <c r="H513" s="46">
        <v>1420.001</v>
      </c>
    </row>
    <row r="514" spans="1:8">
      <c r="A514" s="42">
        <v>46255.041666666664</v>
      </c>
      <c r="B514" s="45">
        <v>1420</v>
      </c>
      <c r="C514" s="46">
        <v>1420</v>
      </c>
      <c r="D514" s="46">
        <v>1420</v>
      </c>
      <c r="E514" s="46">
        <v>1420</v>
      </c>
      <c r="F514" s="46">
        <v>1420</v>
      </c>
      <c r="G514" s="46">
        <v>1420</v>
      </c>
      <c r="H514" s="46">
        <v>1420</v>
      </c>
    </row>
    <row r="515" spans="1:8">
      <c r="A515" s="42">
        <v>46255.083333333336</v>
      </c>
      <c r="B515" s="45">
        <v>1420</v>
      </c>
      <c r="C515" s="46">
        <v>1420</v>
      </c>
      <c r="D515" s="46">
        <v>1420</v>
      </c>
      <c r="E515" s="46">
        <v>1420</v>
      </c>
      <c r="F515" s="46">
        <v>1420</v>
      </c>
      <c r="G515" s="46">
        <v>1420</v>
      </c>
      <c r="H515" s="46">
        <v>1420</v>
      </c>
    </row>
    <row r="516" spans="1:8">
      <c r="A516" s="42">
        <v>46255.125</v>
      </c>
      <c r="B516" s="45">
        <v>1420</v>
      </c>
      <c r="C516" s="46">
        <v>1420</v>
      </c>
      <c r="D516" s="46">
        <v>1420</v>
      </c>
      <c r="E516" s="46">
        <v>1420</v>
      </c>
      <c r="F516" s="46">
        <v>1420</v>
      </c>
      <c r="G516" s="46">
        <v>1420</v>
      </c>
      <c r="H516" s="46">
        <v>1420</v>
      </c>
    </row>
    <row r="517" spans="1:8">
      <c r="A517" s="42">
        <v>46255.166666666664</v>
      </c>
      <c r="B517" s="45">
        <v>1420</v>
      </c>
      <c r="C517" s="46">
        <v>1420</v>
      </c>
      <c r="D517" s="46">
        <v>1420</v>
      </c>
      <c r="E517" s="46">
        <v>1420</v>
      </c>
      <c r="F517" s="46">
        <v>1420</v>
      </c>
      <c r="G517" s="46">
        <v>1420</v>
      </c>
      <c r="H517" s="46">
        <v>1420</v>
      </c>
    </row>
    <row r="518" spans="1:8">
      <c r="A518" s="42">
        <v>46255.208333333336</v>
      </c>
      <c r="B518" s="45">
        <v>1420</v>
      </c>
      <c r="C518" s="46">
        <v>1420</v>
      </c>
      <c r="D518" s="46">
        <v>1420</v>
      </c>
      <c r="E518" s="46">
        <v>1420</v>
      </c>
      <c r="F518" s="46">
        <v>1420</v>
      </c>
      <c r="G518" s="46">
        <v>1420</v>
      </c>
      <c r="H518" s="46">
        <v>1420</v>
      </c>
    </row>
    <row r="519" spans="1:8">
      <c r="A519" s="42">
        <v>46255.25</v>
      </c>
      <c r="B519" s="45">
        <v>1420</v>
      </c>
      <c r="C519" s="46">
        <v>1420</v>
      </c>
      <c r="D519" s="46">
        <v>1420</v>
      </c>
      <c r="E519" s="46">
        <v>1420</v>
      </c>
      <c r="F519" s="46">
        <v>1420</v>
      </c>
      <c r="G519" s="46">
        <v>1420</v>
      </c>
      <c r="H519" s="46">
        <v>1420</v>
      </c>
    </row>
    <row r="520" spans="1:8">
      <c r="A520" s="42">
        <v>46255.291666666664</v>
      </c>
      <c r="B520" s="45">
        <v>1420</v>
      </c>
      <c r="C520" s="46">
        <v>1420</v>
      </c>
      <c r="D520" s="46">
        <v>1420</v>
      </c>
      <c r="E520" s="46">
        <v>1420</v>
      </c>
      <c r="F520" s="46">
        <v>1420</v>
      </c>
      <c r="G520" s="46">
        <v>1420</v>
      </c>
      <c r="H520" s="46">
        <v>1420</v>
      </c>
    </row>
    <row r="521" spans="1:8">
      <c r="A521" s="42">
        <v>46255.333333333336</v>
      </c>
      <c r="B521" s="45">
        <v>1420</v>
      </c>
      <c r="C521" s="46">
        <v>1420</v>
      </c>
      <c r="D521" s="46">
        <v>1420</v>
      </c>
      <c r="E521" s="46">
        <v>1420</v>
      </c>
      <c r="F521" s="46">
        <v>1420</v>
      </c>
      <c r="G521" s="46">
        <v>1420</v>
      </c>
      <c r="H521" s="46">
        <v>1420</v>
      </c>
    </row>
    <row r="522" spans="1:8">
      <c r="A522" s="42">
        <v>46255.375</v>
      </c>
      <c r="B522" s="45">
        <v>1420</v>
      </c>
      <c r="C522" s="46">
        <v>1420</v>
      </c>
      <c r="D522" s="46">
        <v>1420</v>
      </c>
      <c r="E522" s="46">
        <v>1420</v>
      </c>
      <c r="F522" s="46">
        <v>1420</v>
      </c>
      <c r="G522" s="46">
        <v>1420</v>
      </c>
      <c r="H522" s="46">
        <v>1420</v>
      </c>
    </row>
    <row r="523" spans="1:8">
      <c r="A523" s="42">
        <v>46255.416666666664</v>
      </c>
      <c r="B523" s="45">
        <v>1420</v>
      </c>
      <c r="C523" s="46">
        <v>1420</v>
      </c>
      <c r="D523" s="46">
        <v>1420</v>
      </c>
      <c r="E523" s="46">
        <v>1420</v>
      </c>
      <c r="F523" s="46">
        <v>1420</v>
      </c>
      <c r="G523" s="46">
        <v>1420</v>
      </c>
      <c r="H523" s="46">
        <v>1420</v>
      </c>
    </row>
    <row r="524" spans="1:8">
      <c r="A524" s="42">
        <v>46255.458333333336</v>
      </c>
      <c r="B524" s="45">
        <v>1420</v>
      </c>
      <c r="C524" s="46">
        <v>1420</v>
      </c>
      <c r="D524" s="46">
        <v>1420</v>
      </c>
      <c r="E524" s="46">
        <v>1420</v>
      </c>
      <c r="F524" s="46">
        <v>1420</v>
      </c>
      <c r="G524" s="46">
        <v>1420</v>
      </c>
      <c r="H524" s="46">
        <v>1420</v>
      </c>
    </row>
    <row r="525" spans="1:8">
      <c r="A525" s="42">
        <v>46255.5</v>
      </c>
      <c r="B525" s="45">
        <v>1420</v>
      </c>
      <c r="C525" s="46">
        <v>1420</v>
      </c>
      <c r="D525" s="46">
        <v>1420</v>
      </c>
      <c r="E525" s="46">
        <v>1420</v>
      </c>
      <c r="F525" s="46">
        <v>1420</v>
      </c>
      <c r="G525" s="46">
        <v>1420</v>
      </c>
      <c r="H525" s="46">
        <v>1420</v>
      </c>
    </row>
    <row r="526" spans="1:8">
      <c r="A526" s="42">
        <v>46255.541666666664</v>
      </c>
      <c r="B526" s="45">
        <v>1420</v>
      </c>
      <c r="C526" s="46">
        <v>1420</v>
      </c>
      <c r="D526" s="46">
        <v>1420</v>
      </c>
      <c r="E526" s="46">
        <v>1420</v>
      </c>
      <c r="F526" s="46">
        <v>1420</v>
      </c>
      <c r="G526" s="46">
        <v>1420</v>
      </c>
      <c r="H526" s="46">
        <v>1420</v>
      </c>
    </row>
    <row r="527" spans="1:8">
      <c r="A527" s="42">
        <v>46255.583333333336</v>
      </c>
      <c r="B527" s="45">
        <v>1420</v>
      </c>
      <c r="C527" s="46">
        <v>1420</v>
      </c>
      <c r="D527" s="46">
        <v>1420</v>
      </c>
      <c r="E527" s="46">
        <v>1420</v>
      </c>
      <c r="F527" s="46">
        <v>1420</v>
      </c>
      <c r="G527" s="46">
        <v>1420</v>
      </c>
      <c r="H527" s="46">
        <v>1420</v>
      </c>
    </row>
    <row r="528" spans="1:8">
      <c r="A528" s="42">
        <v>46255.625</v>
      </c>
      <c r="B528" s="45">
        <v>1420</v>
      </c>
      <c r="C528" s="46">
        <v>1420</v>
      </c>
      <c r="D528" s="46">
        <v>1420</v>
      </c>
      <c r="E528" s="46">
        <v>1420</v>
      </c>
      <c r="F528" s="46">
        <v>1420</v>
      </c>
      <c r="G528" s="46">
        <v>1420</v>
      </c>
      <c r="H528" s="46">
        <v>1420</v>
      </c>
    </row>
    <row r="529" spans="1:8">
      <c r="A529" s="42">
        <v>46255.666666666664</v>
      </c>
      <c r="B529" s="45">
        <v>1420</v>
      </c>
      <c r="C529" s="46">
        <v>1420</v>
      </c>
      <c r="D529" s="46">
        <v>1420</v>
      </c>
      <c r="E529" s="46">
        <v>1420</v>
      </c>
      <c r="F529" s="46">
        <v>1420</v>
      </c>
      <c r="G529" s="46">
        <v>1420</v>
      </c>
      <c r="H529" s="46">
        <v>1420</v>
      </c>
    </row>
    <row r="530" spans="1:8">
      <c r="A530" s="42">
        <v>46255.708333333336</v>
      </c>
      <c r="B530" s="45">
        <v>1420</v>
      </c>
      <c r="C530" s="46">
        <v>1420</v>
      </c>
      <c r="D530" s="46">
        <v>1420</v>
      </c>
      <c r="E530" s="46">
        <v>1420</v>
      </c>
      <c r="F530" s="46">
        <v>1420</v>
      </c>
      <c r="G530" s="46">
        <v>1420</v>
      </c>
      <c r="H530" s="46">
        <v>1420</v>
      </c>
    </row>
    <row r="531" spans="1:8">
      <c r="A531" s="42">
        <v>46255.75</v>
      </c>
      <c r="B531" s="45">
        <v>1420</v>
      </c>
      <c r="C531" s="46">
        <v>1420</v>
      </c>
      <c r="D531" s="46">
        <v>1420</v>
      </c>
      <c r="E531" s="46">
        <v>1420</v>
      </c>
      <c r="F531" s="46">
        <v>1420</v>
      </c>
      <c r="G531" s="46">
        <v>1420</v>
      </c>
      <c r="H531" s="46">
        <v>1420</v>
      </c>
    </row>
    <row r="532" spans="1:8">
      <c r="A532" s="42">
        <v>46255.791666666664</v>
      </c>
      <c r="B532" s="45">
        <v>1420</v>
      </c>
      <c r="C532" s="46">
        <v>1420</v>
      </c>
      <c r="D532" s="46">
        <v>1420</v>
      </c>
      <c r="E532" s="46">
        <v>1420</v>
      </c>
      <c r="F532" s="46">
        <v>1420</v>
      </c>
      <c r="G532" s="46">
        <v>1420</v>
      </c>
      <c r="H532" s="46">
        <v>1420</v>
      </c>
    </row>
    <row r="533" spans="1:8">
      <c r="A533" s="42">
        <v>46255.833333333336</v>
      </c>
      <c r="B533" s="45">
        <v>1420</v>
      </c>
      <c r="C533" s="46">
        <v>1420</v>
      </c>
      <c r="D533" s="46">
        <v>1420</v>
      </c>
      <c r="E533" s="46">
        <v>1420</v>
      </c>
      <c r="F533" s="46">
        <v>1420</v>
      </c>
      <c r="G533" s="46">
        <v>1420</v>
      </c>
      <c r="H533" s="46">
        <v>1420</v>
      </c>
    </row>
    <row r="534" spans="1:8">
      <c r="A534" s="42">
        <v>46255.875</v>
      </c>
      <c r="B534" s="45">
        <v>1420</v>
      </c>
      <c r="C534" s="46">
        <v>1420</v>
      </c>
      <c r="D534" s="46">
        <v>1420</v>
      </c>
      <c r="E534" s="46">
        <v>1420</v>
      </c>
      <c r="F534" s="46">
        <v>1420</v>
      </c>
      <c r="G534" s="46">
        <v>1420</v>
      </c>
      <c r="H534" s="46">
        <v>1420</v>
      </c>
    </row>
    <row r="535" spans="1:8">
      <c r="A535" s="42">
        <v>46255.916666666664</v>
      </c>
      <c r="B535" s="45">
        <v>1420</v>
      </c>
      <c r="C535" s="46">
        <v>1420</v>
      </c>
      <c r="D535" s="46">
        <v>1420</v>
      </c>
      <c r="E535" s="46">
        <v>1420</v>
      </c>
      <c r="F535" s="46">
        <v>1420</v>
      </c>
      <c r="G535" s="46">
        <v>1420</v>
      </c>
      <c r="H535" s="46">
        <v>1420</v>
      </c>
    </row>
    <row r="536" spans="1:8">
      <c r="A536" s="42">
        <v>46255.958333333336</v>
      </c>
      <c r="B536" s="45">
        <v>1420</v>
      </c>
      <c r="C536" s="46">
        <v>1420</v>
      </c>
      <c r="D536" s="46">
        <v>1420</v>
      </c>
      <c r="E536" s="46">
        <v>1420</v>
      </c>
      <c r="F536" s="46">
        <v>1420</v>
      </c>
      <c r="G536" s="46">
        <v>1420</v>
      </c>
      <c r="H536" s="46">
        <v>1420</v>
      </c>
    </row>
    <row r="537" spans="1:8">
      <c r="A537" s="42">
        <v>46256</v>
      </c>
      <c r="B537" s="45">
        <v>1420</v>
      </c>
      <c r="C537" s="46">
        <v>1420</v>
      </c>
      <c r="D537" s="46">
        <v>1420</v>
      </c>
      <c r="E537" s="46">
        <v>1420</v>
      </c>
      <c r="F537" s="46">
        <v>1420</v>
      </c>
      <c r="G537" s="46">
        <v>1420</v>
      </c>
      <c r="H537" s="46">
        <v>1420</v>
      </c>
    </row>
    <row r="538" spans="1:8">
      <c r="A538" s="42">
        <v>46256.041666666664</v>
      </c>
      <c r="B538" s="45">
        <v>1420</v>
      </c>
      <c r="C538" s="46">
        <v>1420</v>
      </c>
      <c r="D538" s="46">
        <v>1420</v>
      </c>
      <c r="E538" s="46">
        <v>1420</v>
      </c>
      <c r="F538" s="46">
        <v>1420</v>
      </c>
      <c r="G538" s="46">
        <v>1420</v>
      </c>
      <c r="H538" s="46">
        <v>1420</v>
      </c>
    </row>
    <row r="539" spans="1:8">
      <c r="A539" s="42">
        <v>46256.083333333336</v>
      </c>
      <c r="B539" s="45">
        <v>1420</v>
      </c>
      <c r="C539" s="46">
        <v>1420</v>
      </c>
      <c r="D539" s="46">
        <v>1420</v>
      </c>
      <c r="E539" s="46">
        <v>1420</v>
      </c>
      <c r="F539" s="46">
        <v>1420</v>
      </c>
      <c r="G539" s="46">
        <v>1420</v>
      </c>
      <c r="H539" s="46">
        <v>1420</v>
      </c>
    </row>
    <row r="540" spans="1:8">
      <c r="A540" s="42">
        <v>46256.125</v>
      </c>
      <c r="B540" s="45">
        <v>1420</v>
      </c>
      <c r="C540" s="46">
        <v>1420</v>
      </c>
      <c r="D540" s="46">
        <v>1420</v>
      </c>
      <c r="E540" s="46">
        <v>1420</v>
      </c>
      <c r="F540" s="46">
        <v>1420</v>
      </c>
      <c r="G540" s="46">
        <v>1420</v>
      </c>
      <c r="H540" s="46">
        <v>1420</v>
      </c>
    </row>
    <row r="541" spans="1:8">
      <c r="A541" s="42">
        <v>46256.166666666664</v>
      </c>
      <c r="B541" s="45">
        <v>1420</v>
      </c>
      <c r="C541" s="46">
        <v>1420</v>
      </c>
      <c r="D541" s="46">
        <v>1420</v>
      </c>
      <c r="E541" s="46">
        <v>1420</v>
      </c>
      <c r="F541" s="46">
        <v>1420</v>
      </c>
      <c r="G541" s="46">
        <v>1420</v>
      </c>
      <c r="H541" s="46">
        <v>1420</v>
      </c>
    </row>
    <row r="542" spans="1:8">
      <c r="A542" s="42">
        <v>46256.208333333336</v>
      </c>
      <c r="B542" s="45">
        <v>1420</v>
      </c>
      <c r="C542" s="46">
        <v>1420</v>
      </c>
      <c r="D542" s="46">
        <v>1420</v>
      </c>
      <c r="E542" s="46">
        <v>1420</v>
      </c>
      <c r="F542" s="46">
        <v>1420</v>
      </c>
      <c r="G542" s="46">
        <v>1420</v>
      </c>
      <c r="H542" s="46">
        <v>1420</v>
      </c>
    </row>
    <row r="543" spans="1:8">
      <c r="A543" s="42">
        <v>46256.25</v>
      </c>
      <c r="B543" s="45">
        <v>1420</v>
      </c>
      <c r="C543" s="46">
        <v>1420</v>
      </c>
      <c r="D543" s="46">
        <v>1420</v>
      </c>
      <c r="E543" s="46">
        <v>1420</v>
      </c>
      <c r="F543" s="46">
        <v>1420</v>
      </c>
      <c r="G543" s="46">
        <v>1420</v>
      </c>
      <c r="H543" s="46">
        <v>1420</v>
      </c>
    </row>
    <row r="544" spans="1:8">
      <c r="A544" s="42">
        <v>46256.291666666664</v>
      </c>
      <c r="B544" s="45">
        <v>1420</v>
      </c>
      <c r="C544" s="46">
        <v>1420</v>
      </c>
      <c r="D544" s="46">
        <v>1420</v>
      </c>
      <c r="E544" s="46">
        <v>1420</v>
      </c>
      <c r="F544" s="46">
        <v>1420</v>
      </c>
      <c r="G544" s="46">
        <v>1420</v>
      </c>
      <c r="H544" s="46">
        <v>1420</v>
      </c>
    </row>
    <row r="545" spans="1:8">
      <c r="A545" s="42">
        <v>46256.333333333336</v>
      </c>
      <c r="B545" s="45">
        <v>1420</v>
      </c>
      <c r="C545" s="46">
        <v>1420</v>
      </c>
      <c r="D545" s="46">
        <v>1420</v>
      </c>
      <c r="E545" s="46">
        <v>1420</v>
      </c>
      <c r="F545" s="46">
        <v>1420</v>
      </c>
      <c r="G545" s="46">
        <v>1420</v>
      </c>
      <c r="H545" s="46">
        <v>1420</v>
      </c>
    </row>
    <row r="546" spans="1:8">
      <c r="A546" s="42">
        <v>46256.375</v>
      </c>
      <c r="B546" s="45">
        <v>1420</v>
      </c>
      <c r="C546" s="46">
        <v>1420</v>
      </c>
      <c r="D546" s="46">
        <v>1420</v>
      </c>
      <c r="E546" s="46">
        <v>1420</v>
      </c>
      <c r="F546" s="46">
        <v>1420</v>
      </c>
      <c r="G546" s="46">
        <v>1420</v>
      </c>
      <c r="H546" s="46">
        <v>1420</v>
      </c>
    </row>
    <row r="547" spans="1:8">
      <c r="A547" s="42">
        <v>46256.416666666664</v>
      </c>
      <c r="B547" s="45">
        <v>1420</v>
      </c>
      <c r="C547" s="46">
        <v>1420</v>
      </c>
      <c r="D547" s="46">
        <v>1420</v>
      </c>
      <c r="E547" s="46">
        <v>1420</v>
      </c>
      <c r="F547" s="46">
        <v>1420</v>
      </c>
      <c r="G547" s="46">
        <v>1420</v>
      </c>
      <c r="H547" s="46">
        <v>1420</v>
      </c>
    </row>
    <row r="548" spans="1:8">
      <c r="A548" s="42">
        <v>46256.458333333336</v>
      </c>
      <c r="B548" s="45">
        <v>1420</v>
      </c>
      <c r="C548" s="46">
        <v>1420</v>
      </c>
      <c r="D548" s="46">
        <v>1420</v>
      </c>
      <c r="E548" s="46">
        <v>1420</v>
      </c>
      <c r="F548" s="46">
        <v>1420</v>
      </c>
      <c r="G548" s="46">
        <v>1420</v>
      </c>
      <c r="H548" s="46">
        <v>1420</v>
      </c>
    </row>
    <row r="549" spans="1:8">
      <c r="A549" s="42">
        <v>46256.5</v>
      </c>
      <c r="B549" s="45">
        <v>1420</v>
      </c>
      <c r="C549" s="46">
        <v>1420</v>
      </c>
      <c r="D549" s="46">
        <v>1420</v>
      </c>
      <c r="E549" s="46">
        <v>1420</v>
      </c>
      <c r="F549" s="46">
        <v>1420</v>
      </c>
      <c r="G549" s="46">
        <v>1420</v>
      </c>
      <c r="H549" s="46">
        <v>1420</v>
      </c>
    </row>
    <row r="550" spans="1:8">
      <c r="A550" s="42">
        <v>46256.541666666664</v>
      </c>
      <c r="B550" s="45">
        <v>1420</v>
      </c>
      <c r="C550" s="46">
        <v>1420</v>
      </c>
      <c r="D550" s="46">
        <v>1420</v>
      </c>
      <c r="E550" s="46">
        <v>1420</v>
      </c>
      <c r="F550" s="46">
        <v>1420</v>
      </c>
      <c r="G550" s="46">
        <v>1420</v>
      </c>
      <c r="H550" s="46">
        <v>1420</v>
      </c>
    </row>
    <row r="551" spans="1:8">
      <c r="A551" s="42">
        <v>46256.583333333336</v>
      </c>
      <c r="B551" s="45">
        <v>1420</v>
      </c>
      <c r="C551" s="46">
        <v>1420</v>
      </c>
      <c r="D551" s="46">
        <v>1420</v>
      </c>
      <c r="E551" s="46">
        <v>1420</v>
      </c>
      <c r="F551" s="46">
        <v>1420</v>
      </c>
      <c r="G551" s="46">
        <v>1420</v>
      </c>
      <c r="H551" s="46">
        <v>1420</v>
      </c>
    </row>
    <row r="552" spans="1:8">
      <c r="A552" s="42">
        <v>46256.625</v>
      </c>
      <c r="B552" s="45">
        <v>1420</v>
      </c>
      <c r="C552" s="46">
        <v>1420</v>
      </c>
      <c r="D552" s="46">
        <v>1420</v>
      </c>
      <c r="E552" s="46">
        <v>1420</v>
      </c>
      <c r="F552" s="46">
        <v>1420</v>
      </c>
      <c r="G552" s="46">
        <v>1420</v>
      </c>
      <c r="H552" s="46">
        <v>1420</v>
      </c>
    </row>
    <row r="553" spans="1:8">
      <c r="A553" s="42">
        <v>46256.666666666664</v>
      </c>
      <c r="B553" s="45">
        <v>1420</v>
      </c>
      <c r="C553" s="46">
        <v>1420</v>
      </c>
      <c r="D553" s="46">
        <v>1420</v>
      </c>
      <c r="E553" s="46">
        <v>1420</v>
      </c>
      <c r="F553" s="46">
        <v>1420</v>
      </c>
      <c r="G553" s="46">
        <v>1420</v>
      </c>
      <c r="H553" s="46">
        <v>1420</v>
      </c>
    </row>
    <row r="554" spans="1:8">
      <c r="A554" s="42">
        <v>46256.708333333336</v>
      </c>
      <c r="B554" s="45">
        <v>1420</v>
      </c>
      <c r="C554" s="46">
        <v>1420</v>
      </c>
      <c r="D554" s="46">
        <v>1420</v>
      </c>
      <c r="E554" s="46">
        <v>1420</v>
      </c>
      <c r="F554" s="46">
        <v>1420</v>
      </c>
      <c r="G554" s="46">
        <v>1420</v>
      </c>
      <c r="H554" s="46">
        <v>1420</v>
      </c>
    </row>
    <row r="555" spans="1:8">
      <c r="A555" s="42">
        <v>46256.75</v>
      </c>
      <c r="B555" s="45">
        <v>1420</v>
      </c>
      <c r="C555" s="46">
        <v>1420</v>
      </c>
      <c r="D555" s="46">
        <v>1420</v>
      </c>
      <c r="E555" s="46">
        <v>1420</v>
      </c>
      <c r="F555" s="46">
        <v>1420</v>
      </c>
      <c r="G555" s="46">
        <v>1420</v>
      </c>
      <c r="H555" s="46">
        <v>1420</v>
      </c>
    </row>
    <row r="556" spans="1:8">
      <c r="A556" s="42">
        <v>46256.791666666664</v>
      </c>
      <c r="B556" s="45">
        <v>1420</v>
      </c>
      <c r="C556" s="46">
        <v>1420</v>
      </c>
      <c r="D556" s="46">
        <v>1420</v>
      </c>
      <c r="E556" s="46">
        <v>1420</v>
      </c>
      <c r="F556" s="46">
        <v>1420</v>
      </c>
      <c r="G556" s="46">
        <v>1420</v>
      </c>
      <c r="H556" s="46">
        <v>1420</v>
      </c>
    </row>
    <row r="557" spans="1:8">
      <c r="A557" s="42">
        <v>46256.833333333336</v>
      </c>
      <c r="B557" s="45">
        <v>1420</v>
      </c>
      <c r="C557" s="46">
        <v>1420</v>
      </c>
      <c r="D557" s="46">
        <v>1420</v>
      </c>
      <c r="E557" s="46">
        <v>1420</v>
      </c>
      <c r="F557" s="46">
        <v>1420</v>
      </c>
      <c r="G557" s="46">
        <v>1420</v>
      </c>
      <c r="H557" s="46">
        <v>1420</v>
      </c>
    </row>
    <row r="558" spans="1:8">
      <c r="A558" s="42">
        <v>46256.875</v>
      </c>
      <c r="B558" s="45">
        <v>1420</v>
      </c>
      <c r="C558" s="46">
        <v>1420</v>
      </c>
      <c r="D558" s="46">
        <v>1420</v>
      </c>
      <c r="E558" s="46">
        <v>1420</v>
      </c>
      <c r="F558" s="46">
        <v>1420</v>
      </c>
      <c r="G558" s="46">
        <v>1420</v>
      </c>
      <c r="H558" s="46">
        <v>1420</v>
      </c>
    </row>
    <row r="559" spans="1:8">
      <c r="A559" s="42">
        <v>46256.916666666664</v>
      </c>
      <c r="B559" s="45">
        <v>1420</v>
      </c>
      <c r="C559" s="46">
        <v>1420</v>
      </c>
      <c r="D559" s="46">
        <v>1420</v>
      </c>
      <c r="E559" s="46">
        <v>1420</v>
      </c>
      <c r="F559" s="46">
        <v>1420</v>
      </c>
      <c r="G559" s="46">
        <v>1420</v>
      </c>
      <c r="H559" s="46">
        <v>1420</v>
      </c>
    </row>
    <row r="560" spans="1:8">
      <c r="A560" s="42">
        <v>46256.958333333336</v>
      </c>
      <c r="B560" s="45">
        <v>1420</v>
      </c>
      <c r="C560" s="46">
        <v>1420</v>
      </c>
      <c r="D560" s="46">
        <v>1420</v>
      </c>
      <c r="E560" s="46">
        <v>1420</v>
      </c>
      <c r="F560" s="46">
        <v>1420</v>
      </c>
      <c r="G560" s="46">
        <v>1420</v>
      </c>
      <c r="H560" s="46">
        <v>1420</v>
      </c>
    </row>
    <row r="561" spans="1:8">
      <c r="A561" s="42">
        <v>46257</v>
      </c>
      <c r="B561" s="45">
        <v>1420</v>
      </c>
      <c r="C561" s="46">
        <v>1420</v>
      </c>
      <c r="D561" s="46">
        <v>1420</v>
      </c>
      <c r="E561" s="46">
        <v>1420</v>
      </c>
      <c r="F561" s="46">
        <v>1420</v>
      </c>
      <c r="G561" s="46">
        <v>1420</v>
      </c>
      <c r="H561" s="46">
        <v>1420</v>
      </c>
    </row>
    <row r="562" spans="1:8">
      <c r="A562" s="42">
        <v>46257.041666666664</v>
      </c>
      <c r="B562" s="45">
        <v>1420</v>
      </c>
      <c r="C562" s="46">
        <v>1420</v>
      </c>
      <c r="D562" s="46">
        <v>1420</v>
      </c>
      <c r="E562" s="46">
        <v>1420</v>
      </c>
      <c r="F562" s="46">
        <v>1420</v>
      </c>
      <c r="G562" s="46">
        <v>1420</v>
      </c>
      <c r="H562" s="46">
        <v>1420</v>
      </c>
    </row>
    <row r="563" spans="1:8">
      <c r="A563" s="42">
        <v>46257.083333333336</v>
      </c>
      <c r="B563" s="45">
        <v>1420</v>
      </c>
      <c r="C563" s="46">
        <v>1420</v>
      </c>
      <c r="D563" s="46">
        <v>1420</v>
      </c>
      <c r="E563" s="46">
        <v>1420</v>
      </c>
      <c r="F563" s="46">
        <v>1420</v>
      </c>
      <c r="G563" s="46">
        <v>1420</v>
      </c>
      <c r="H563" s="46">
        <v>1420</v>
      </c>
    </row>
    <row r="564" spans="1:8">
      <c r="A564" s="42">
        <v>46257.125</v>
      </c>
      <c r="B564" s="45">
        <v>1420</v>
      </c>
      <c r="C564" s="46">
        <v>1420</v>
      </c>
      <c r="D564" s="46">
        <v>1420</v>
      </c>
      <c r="E564" s="46">
        <v>1420</v>
      </c>
      <c r="F564" s="46">
        <v>1420</v>
      </c>
      <c r="G564" s="46">
        <v>1420</v>
      </c>
      <c r="H564" s="46">
        <v>1420</v>
      </c>
    </row>
    <row r="565" spans="1:8">
      <c r="A565" s="42">
        <v>46257.166666666664</v>
      </c>
      <c r="B565" s="45">
        <v>1420</v>
      </c>
      <c r="C565" s="46">
        <v>1420</v>
      </c>
      <c r="D565" s="46">
        <v>1420</v>
      </c>
      <c r="E565" s="46">
        <v>1420</v>
      </c>
      <c r="F565" s="46">
        <v>1420</v>
      </c>
      <c r="G565" s="46">
        <v>1420</v>
      </c>
      <c r="H565" s="46">
        <v>1420</v>
      </c>
    </row>
    <row r="566" spans="1:8">
      <c r="A566" s="42">
        <v>46257.208333333336</v>
      </c>
      <c r="B566" s="45">
        <v>1420</v>
      </c>
      <c r="C566" s="46">
        <v>1420</v>
      </c>
      <c r="D566" s="46">
        <v>1420</v>
      </c>
      <c r="E566" s="46">
        <v>1420</v>
      </c>
      <c r="F566" s="46">
        <v>1420</v>
      </c>
      <c r="G566" s="46">
        <v>1420</v>
      </c>
      <c r="H566" s="46">
        <v>1420</v>
      </c>
    </row>
    <row r="567" spans="1:8">
      <c r="A567" s="42">
        <v>46257.25</v>
      </c>
      <c r="B567" s="45">
        <v>1420</v>
      </c>
      <c r="C567" s="46">
        <v>1420</v>
      </c>
      <c r="D567" s="46">
        <v>1420</v>
      </c>
      <c r="E567" s="46">
        <v>1420</v>
      </c>
      <c r="F567" s="46">
        <v>1420</v>
      </c>
      <c r="G567" s="46">
        <v>1420</v>
      </c>
      <c r="H567" s="46">
        <v>1420</v>
      </c>
    </row>
    <row r="568" spans="1:8">
      <c r="A568" s="42">
        <v>46257.291666666664</v>
      </c>
      <c r="B568" s="45">
        <v>1420</v>
      </c>
      <c r="C568" s="46">
        <v>1420</v>
      </c>
      <c r="D568" s="46">
        <v>1420</v>
      </c>
      <c r="E568" s="46">
        <v>1420</v>
      </c>
      <c r="F568" s="46">
        <v>1420</v>
      </c>
      <c r="G568" s="46">
        <v>1420</v>
      </c>
      <c r="H568" s="46">
        <v>1420</v>
      </c>
    </row>
    <row r="569" spans="1:8">
      <c r="A569" s="42">
        <v>46257.333333333336</v>
      </c>
      <c r="B569" s="45">
        <v>1420</v>
      </c>
      <c r="C569" s="46">
        <v>1420</v>
      </c>
      <c r="D569" s="46">
        <v>1420</v>
      </c>
      <c r="E569" s="46">
        <v>1420</v>
      </c>
      <c r="F569" s="46">
        <v>1420</v>
      </c>
      <c r="G569" s="46">
        <v>1420</v>
      </c>
      <c r="H569" s="46">
        <v>1420</v>
      </c>
    </row>
    <row r="570" spans="1:8">
      <c r="A570" s="42">
        <v>46257.375</v>
      </c>
      <c r="B570" s="45">
        <v>1420</v>
      </c>
      <c r="C570" s="46">
        <v>1420</v>
      </c>
      <c r="D570" s="46">
        <v>1420</v>
      </c>
      <c r="E570" s="46">
        <v>1420</v>
      </c>
      <c r="F570" s="46">
        <v>1420</v>
      </c>
      <c r="G570" s="46">
        <v>1420</v>
      </c>
      <c r="H570" s="46">
        <v>1420</v>
      </c>
    </row>
    <row r="571" spans="1:8">
      <c r="A571" s="42">
        <v>46257.416666666664</v>
      </c>
      <c r="B571" s="45">
        <v>1420</v>
      </c>
      <c r="C571" s="46">
        <v>1420</v>
      </c>
      <c r="D571" s="46">
        <v>1420</v>
      </c>
      <c r="E571" s="46">
        <v>1420</v>
      </c>
      <c r="F571" s="46">
        <v>1420</v>
      </c>
      <c r="G571" s="46">
        <v>1420</v>
      </c>
      <c r="H571" s="46">
        <v>1420</v>
      </c>
    </row>
    <row r="572" spans="1:8">
      <c r="A572" s="42">
        <v>46257.458333333336</v>
      </c>
      <c r="B572" s="45">
        <v>1420</v>
      </c>
      <c r="C572" s="46">
        <v>1420</v>
      </c>
      <c r="D572" s="46">
        <v>1420</v>
      </c>
      <c r="E572" s="46">
        <v>1420</v>
      </c>
      <c r="F572" s="46">
        <v>1420</v>
      </c>
      <c r="G572" s="46">
        <v>1420</v>
      </c>
      <c r="H572" s="46">
        <v>1420</v>
      </c>
    </row>
    <row r="573" spans="1:8">
      <c r="A573" s="42">
        <v>46257.5</v>
      </c>
      <c r="B573" s="45">
        <v>1420</v>
      </c>
      <c r="C573" s="46">
        <v>1420</v>
      </c>
      <c r="D573" s="46">
        <v>1420</v>
      </c>
      <c r="E573" s="46">
        <v>1420</v>
      </c>
      <c r="F573" s="46">
        <v>1420</v>
      </c>
      <c r="G573" s="46">
        <v>1420</v>
      </c>
      <c r="H573" s="46">
        <v>1420</v>
      </c>
    </row>
    <row r="574" spans="1:8">
      <c r="A574" s="42">
        <v>46257.541666666664</v>
      </c>
      <c r="B574" s="45">
        <v>1420</v>
      </c>
      <c r="C574" s="46">
        <v>1420</v>
      </c>
      <c r="D574" s="46">
        <v>1420</v>
      </c>
      <c r="E574" s="46">
        <v>1420</v>
      </c>
      <c r="F574" s="46">
        <v>1420</v>
      </c>
      <c r="G574" s="46">
        <v>1420</v>
      </c>
      <c r="H574" s="46">
        <v>1420</v>
      </c>
    </row>
    <row r="575" spans="1:8">
      <c r="A575" s="42">
        <v>46257.583333333336</v>
      </c>
      <c r="B575" s="45">
        <v>1420</v>
      </c>
      <c r="C575" s="46">
        <v>1420</v>
      </c>
      <c r="D575" s="46">
        <v>1420</v>
      </c>
      <c r="E575" s="46">
        <v>1420</v>
      </c>
      <c r="F575" s="46">
        <v>1420</v>
      </c>
      <c r="G575" s="46">
        <v>1420</v>
      </c>
      <c r="H575" s="46">
        <v>1420</v>
      </c>
    </row>
    <row r="576" spans="1:8">
      <c r="A576" s="42">
        <v>46257.625</v>
      </c>
      <c r="B576" s="45">
        <v>1420</v>
      </c>
      <c r="C576" s="46">
        <v>1420</v>
      </c>
      <c r="D576" s="46">
        <v>1420</v>
      </c>
      <c r="E576" s="46">
        <v>1420</v>
      </c>
      <c r="F576" s="46">
        <v>1420</v>
      </c>
      <c r="G576" s="46">
        <v>1420</v>
      </c>
      <c r="H576" s="46">
        <v>1420</v>
      </c>
    </row>
    <row r="577" spans="1:8">
      <c r="A577" s="42">
        <v>46257.666666666664</v>
      </c>
      <c r="B577" s="45">
        <v>1420</v>
      </c>
      <c r="C577" s="46">
        <v>1420</v>
      </c>
      <c r="D577" s="46">
        <v>1420</v>
      </c>
      <c r="E577" s="46">
        <v>1420</v>
      </c>
      <c r="F577" s="46">
        <v>1420</v>
      </c>
      <c r="G577" s="46">
        <v>1420</v>
      </c>
      <c r="H577" s="46">
        <v>1420</v>
      </c>
    </row>
    <row r="578" spans="1:8">
      <c r="A578" s="42">
        <v>46257.708333333336</v>
      </c>
      <c r="B578" s="45">
        <v>1420</v>
      </c>
      <c r="C578" s="46">
        <v>1420</v>
      </c>
      <c r="D578" s="46">
        <v>1420</v>
      </c>
      <c r="E578" s="46">
        <v>1420</v>
      </c>
      <c r="F578" s="46">
        <v>1420</v>
      </c>
      <c r="G578" s="46">
        <v>1420</v>
      </c>
      <c r="H578" s="46">
        <v>1420</v>
      </c>
    </row>
    <row r="579" spans="1:8">
      <c r="A579" s="42">
        <v>46257.75</v>
      </c>
      <c r="B579" s="45">
        <v>1420</v>
      </c>
      <c r="C579" s="46">
        <v>1420</v>
      </c>
      <c r="D579" s="46">
        <v>1420</v>
      </c>
      <c r="E579" s="46">
        <v>1420</v>
      </c>
      <c r="F579" s="46">
        <v>1420</v>
      </c>
      <c r="G579" s="46">
        <v>1420</v>
      </c>
      <c r="H579" s="46">
        <v>1420</v>
      </c>
    </row>
    <row r="580" spans="1:8">
      <c r="A580" s="42">
        <v>46257.791666666664</v>
      </c>
      <c r="B580" s="45">
        <v>1420</v>
      </c>
      <c r="C580" s="46">
        <v>1420</v>
      </c>
      <c r="D580" s="46">
        <v>1420</v>
      </c>
      <c r="E580" s="46">
        <v>1420</v>
      </c>
      <c r="F580" s="46">
        <v>1420</v>
      </c>
      <c r="G580" s="46">
        <v>1420</v>
      </c>
      <c r="H580" s="46">
        <v>1420</v>
      </c>
    </row>
    <row r="581" spans="1:8">
      <c r="A581" s="42">
        <v>46257.833333333336</v>
      </c>
      <c r="B581" s="45">
        <v>1420</v>
      </c>
      <c r="C581" s="46">
        <v>1420</v>
      </c>
      <c r="D581" s="46">
        <v>1420</v>
      </c>
      <c r="E581" s="46">
        <v>1420</v>
      </c>
      <c r="F581" s="46">
        <v>1420</v>
      </c>
      <c r="G581" s="46">
        <v>1420</v>
      </c>
      <c r="H581" s="46">
        <v>1420</v>
      </c>
    </row>
    <row r="582" spans="1:8">
      <c r="A582" s="42">
        <v>46257.875</v>
      </c>
      <c r="B582" s="45">
        <v>1420</v>
      </c>
      <c r="C582" s="46">
        <v>1420</v>
      </c>
      <c r="D582" s="46">
        <v>1420</v>
      </c>
      <c r="E582" s="46">
        <v>1420</v>
      </c>
      <c r="F582" s="46">
        <v>1420</v>
      </c>
      <c r="G582" s="46">
        <v>1420</v>
      </c>
      <c r="H582" s="46">
        <v>1420</v>
      </c>
    </row>
    <row r="583" spans="1:8">
      <c r="A583" s="42">
        <v>46257.916666666664</v>
      </c>
      <c r="B583" s="45">
        <v>1420</v>
      </c>
      <c r="C583" s="46">
        <v>1420</v>
      </c>
      <c r="D583" s="46">
        <v>1420</v>
      </c>
      <c r="E583" s="46">
        <v>1420</v>
      </c>
      <c r="F583" s="46">
        <v>1420</v>
      </c>
      <c r="G583" s="46">
        <v>1420</v>
      </c>
      <c r="H583" s="46">
        <v>1420</v>
      </c>
    </row>
    <row r="584" spans="1:8">
      <c r="A584" s="42">
        <v>46257.958333333336</v>
      </c>
      <c r="B584" s="45">
        <v>1420</v>
      </c>
      <c r="C584" s="46">
        <v>1420</v>
      </c>
      <c r="D584" s="46">
        <v>1420</v>
      </c>
      <c r="E584" s="46">
        <v>1420</v>
      </c>
      <c r="F584" s="46">
        <v>1420</v>
      </c>
      <c r="G584" s="46">
        <v>1420</v>
      </c>
      <c r="H584" s="46">
        <v>1420</v>
      </c>
    </row>
    <row r="585" spans="1:8">
      <c r="A585" s="42">
        <v>46258</v>
      </c>
      <c r="B585" s="45">
        <v>1420</v>
      </c>
      <c r="C585" s="46">
        <v>1420</v>
      </c>
      <c r="D585" s="46">
        <v>1420</v>
      </c>
      <c r="E585" s="46">
        <v>1420</v>
      </c>
      <c r="F585" s="46">
        <v>1420</v>
      </c>
      <c r="G585" s="46">
        <v>1420</v>
      </c>
      <c r="H585" s="46">
        <v>1420</v>
      </c>
    </row>
    <row r="586" spans="1:8">
      <c r="A586" s="42">
        <v>46258.041666666664</v>
      </c>
      <c r="B586" s="45">
        <v>1420</v>
      </c>
      <c r="C586" s="46">
        <v>1420</v>
      </c>
      <c r="D586" s="46">
        <v>1420</v>
      </c>
      <c r="E586" s="46">
        <v>1420</v>
      </c>
      <c r="F586" s="46">
        <v>1420</v>
      </c>
      <c r="G586" s="46">
        <v>1420</v>
      </c>
      <c r="H586" s="46">
        <v>1420</v>
      </c>
    </row>
    <row r="587" spans="1:8">
      <c r="A587" s="42">
        <v>46258.083333333336</v>
      </c>
      <c r="B587" s="45">
        <v>1420</v>
      </c>
      <c r="C587" s="46">
        <v>1420</v>
      </c>
      <c r="D587" s="46">
        <v>1420</v>
      </c>
      <c r="E587" s="46">
        <v>1420</v>
      </c>
      <c r="F587" s="46">
        <v>1420</v>
      </c>
      <c r="G587" s="46">
        <v>1420</v>
      </c>
      <c r="H587" s="46">
        <v>1420</v>
      </c>
    </row>
    <row r="588" spans="1:8">
      <c r="A588" s="42">
        <v>46258.125</v>
      </c>
      <c r="B588" s="45">
        <v>1420</v>
      </c>
      <c r="C588" s="46">
        <v>1420</v>
      </c>
      <c r="D588" s="46">
        <v>1420</v>
      </c>
      <c r="E588" s="46">
        <v>1420</v>
      </c>
      <c r="F588" s="46">
        <v>1420</v>
      </c>
      <c r="G588" s="46">
        <v>1420</v>
      </c>
      <c r="H588" s="46">
        <v>1420</v>
      </c>
    </row>
    <row r="589" spans="1:8">
      <c r="A589" s="42">
        <v>46258.166666666664</v>
      </c>
      <c r="B589" s="45">
        <v>1420</v>
      </c>
      <c r="C589" s="46">
        <v>1420</v>
      </c>
      <c r="D589" s="46">
        <v>1420</v>
      </c>
      <c r="E589" s="46">
        <v>1420</v>
      </c>
      <c r="F589" s="46">
        <v>1420</v>
      </c>
      <c r="G589" s="46">
        <v>1420</v>
      </c>
      <c r="H589" s="46">
        <v>1420</v>
      </c>
    </row>
    <row r="590" spans="1:8">
      <c r="A590" s="42">
        <v>46258.208333333336</v>
      </c>
      <c r="B590" s="45">
        <v>1420</v>
      </c>
      <c r="C590" s="46">
        <v>1420</v>
      </c>
      <c r="D590" s="46">
        <v>1420</v>
      </c>
      <c r="E590" s="46">
        <v>1420</v>
      </c>
      <c r="F590" s="46">
        <v>1420</v>
      </c>
      <c r="G590" s="46">
        <v>1420</v>
      </c>
      <c r="H590" s="46">
        <v>1420</v>
      </c>
    </row>
    <row r="591" spans="1:8">
      <c r="A591" s="42">
        <v>46258.25</v>
      </c>
      <c r="B591" s="45">
        <v>1420</v>
      </c>
      <c r="C591" s="46">
        <v>1420</v>
      </c>
      <c r="D591" s="46">
        <v>1420</v>
      </c>
      <c r="E591" s="46">
        <v>1420</v>
      </c>
      <c r="F591" s="46">
        <v>1420</v>
      </c>
      <c r="G591" s="46">
        <v>1420</v>
      </c>
      <c r="H591" s="46">
        <v>1420</v>
      </c>
    </row>
    <row r="592" spans="1:8">
      <c r="A592" s="42">
        <v>46258.291666666664</v>
      </c>
      <c r="B592" s="45">
        <v>1420</v>
      </c>
      <c r="C592" s="46">
        <v>1420</v>
      </c>
      <c r="D592" s="46">
        <v>1420</v>
      </c>
      <c r="E592" s="46">
        <v>1420</v>
      </c>
      <c r="F592" s="46">
        <v>1420</v>
      </c>
      <c r="G592" s="46">
        <v>1420</v>
      </c>
      <c r="H592" s="46">
        <v>1420</v>
      </c>
    </row>
    <row r="593" spans="1:8">
      <c r="A593" s="42">
        <v>46258.333333333336</v>
      </c>
      <c r="B593" s="45">
        <v>1420</v>
      </c>
      <c r="C593" s="46">
        <v>1420</v>
      </c>
      <c r="D593" s="46">
        <v>1420</v>
      </c>
      <c r="E593" s="46">
        <v>1420</v>
      </c>
      <c r="F593" s="46">
        <v>1420</v>
      </c>
      <c r="G593" s="46">
        <v>1420</v>
      </c>
      <c r="H593" s="46">
        <v>1420</v>
      </c>
    </row>
    <row r="594" spans="1:8">
      <c r="A594" s="42">
        <v>46258.375</v>
      </c>
      <c r="B594" s="45">
        <v>1420</v>
      </c>
      <c r="C594" s="46">
        <v>1420</v>
      </c>
      <c r="D594" s="46">
        <v>1420</v>
      </c>
      <c r="E594" s="46">
        <v>1420</v>
      </c>
      <c r="F594" s="46">
        <v>1420</v>
      </c>
      <c r="G594" s="46">
        <v>1420</v>
      </c>
      <c r="H594" s="46">
        <v>1420</v>
      </c>
    </row>
    <row r="595" spans="1:8">
      <c r="A595" s="42">
        <v>46258.416666666664</v>
      </c>
      <c r="B595" s="45">
        <v>1420</v>
      </c>
      <c r="C595" s="46">
        <v>1420</v>
      </c>
      <c r="D595" s="46">
        <v>1420</v>
      </c>
      <c r="E595" s="46">
        <v>1420</v>
      </c>
      <c r="F595" s="46">
        <v>1420</v>
      </c>
      <c r="G595" s="46">
        <v>1420</v>
      </c>
      <c r="H595" s="46">
        <v>1420</v>
      </c>
    </row>
    <row r="596" spans="1:8">
      <c r="A596" s="42">
        <v>46258.458333333336</v>
      </c>
      <c r="B596" s="45">
        <v>1420</v>
      </c>
      <c r="C596" s="46">
        <v>1420</v>
      </c>
      <c r="D596" s="46">
        <v>1420</v>
      </c>
      <c r="E596" s="46">
        <v>1420</v>
      </c>
      <c r="F596" s="46">
        <v>1420</v>
      </c>
      <c r="G596" s="46">
        <v>1420</v>
      </c>
      <c r="H596" s="46">
        <v>1420</v>
      </c>
    </row>
    <row r="597" spans="1:8">
      <c r="A597" s="42">
        <v>46258.5</v>
      </c>
      <c r="B597" s="45">
        <v>1420</v>
      </c>
      <c r="C597" s="46">
        <v>1420</v>
      </c>
      <c r="D597" s="46">
        <v>1420</v>
      </c>
      <c r="E597" s="46">
        <v>1420</v>
      </c>
      <c r="F597" s="46">
        <v>1420</v>
      </c>
      <c r="G597" s="46">
        <v>1420</v>
      </c>
      <c r="H597" s="46">
        <v>1420</v>
      </c>
    </row>
    <row r="598" spans="1:8">
      <c r="A598" s="42">
        <v>46258.541666666664</v>
      </c>
      <c r="B598" s="45">
        <v>1420</v>
      </c>
      <c r="C598" s="46">
        <v>1420</v>
      </c>
      <c r="D598" s="46">
        <v>1420</v>
      </c>
      <c r="E598" s="46">
        <v>1420</v>
      </c>
      <c r="F598" s="46">
        <v>1420</v>
      </c>
      <c r="G598" s="46">
        <v>1420</v>
      </c>
      <c r="H598" s="46">
        <v>1420</v>
      </c>
    </row>
    <row r="599" spans="1:8">
      <c r="A599" s="42">
        <v>46258.583333333336</v>
      </c>
      <c r="B599" s="45">
        <v>1420</v>
      </c>
      <c r="C599" s="46">
        <v>1420</v>
      </c>
      <c r="D599" s="46">
        <v>1420</v>
      </c>
      <c r="E599" s="46">
        <v>1420</v>
      </c>
      <c r="F599" s="46">
        <v>1420</v>
      </c>
      <c r="G599" s="46">
        <v>1420</v>
      </c>
      <c r="H599" s="46">
        <v>1420</v>
      </c>
    </row>
    <row r="600" spans="1:8">
      <c r="A600" s="42">
        <v>46258.625</v>
      </c>
      <c r="B600" s="45">
        <v>1420</v>
      </c>
      <c r="C600" s="46">
        <v>1420</v>
      </c>
      <c r="D600" s="46">
        <v>1420</v>
      </c>
      <c r="E600" s="46">
        <v>1420</v>
      </c>
      <c r="F600" s="46">
        <v>1420</v>
      </c>
      <c r="G600" s="46">
        <v>1420</v>
      </c>
      <c r="H600" s="46">
        <v>1420</v>
      </c>
    </row>
    <row r="601" spans="1:8">
      <c r="A601" s="42">
        <v>46258.666666666664</v>
      </c>
      <c r="B601" s="45">
        <v>1420</v>
      </c>
      <c r="C601" s="46">
        <v>1420</v>
      </c>
      <c r="D601" s="46">
        <v>1420</v>
      </c>
      <c r="E601" s="46">
        <v>1420</v>
      </c>
      <c r="F601" s="46">
        <v>1420</v>
      </c>
      <c r="G601" s="46">
        <v>1420</v>
      </c>
      <c r="H601" s="46">
        <v>1420</v>
      </c>
    </row>
    <row r="602" spans="1:8">
      <c r="A602" s="42">
        <v>46258.708333333336</v>
      </c>
      <c r="B602" s="45">
        <v>1420</v>
      </c>
      <c r="C602" s="46">
        <v>1420</v>
      </c>
      <c r="D602" s="46">
        <v>1420</v>
      </c>
      <c r="E602" s="46">
        <v>1420</v>
      </c>
      <c r="F602" s="46">
        <v>1420</v>
      </c>
      <c r="G602" s="46">
        <v>1420</v>
      </c>
      <c r="H602" s="46">
        <v>1420</v>
      </c>
    </row>
    <row r="603" spans="1:8">
      <c r="A603" s="42">
        <v>46258.75</v>
      </c>
      <c r="B603" s="45">
        <v>1420</v>
      </c>
      <c r="C603" s="46">
        <v>1420</v>
      </c>
      <c r="D603" s="46">
        <v>1420</v>
      </c>
      <c r="E603" s="46">
        <v>1420</v>
      </c>
      <c r="F603" s="46">
        <v>1420</v>
      </c>
      <c r="G603" s="46">
        <v>1420</v>
      </c>
      <c r="H603" s="46">
        <v>1420</v>
      </c>
    </row>
    <row r="604" spans="1:8">
      <c r="A604" s="42">
        <v>46258.791666666664</v>
      </c>
      <c r="B604" s="45">
        <v>1420</v>
      </c>
      <c r="C604" s="46">
        <v>1420</v>
      </c>
      <c r="D604" s="46">
        <v>1420</v>
      </c>
      <c r="E604" s="46">
        <v>1420</v>
      </c>
      <c r="F604" s="46">
        <v>1420</v>
      </c>
      <c r="G604" s="46">
        <v>1420</v>
      </c>
      <c r="H604" s="46">
        <v>1420</v>
      </c>
    </row>
    <row r="605" spans="1:8">
      <c r="A605" s="42">
        <v>46258.833333333336</v>
      </c>
      <c r="B605" s="45">
        <v>1420</v>
      </c>
      <c r="C605" s="46">
        <v>1420</v>
      </c>
      <c r="D605" s="46">
        <v>1420</v>
      </c>
      <c r="E605" s="46">
        <v>1420</v>
      </c>
      <c r="F605" s="46">
        <v>1420</v>
      </c>
      <c r="G605" s="46">
        <v>1420</v>
      </c>
      <c r="H605" s="46">
        <v>1420</v>
      </c>
    </row>
    <row r="606" spans="1:8">
      <c r="A606" s="42">
        <v>46258.875</v>
      </c>
      <c r="B606" s="45">
        <v>1420</v>
      </c>
      <c r="C606" s="46">
        <v>1420</v>
      </c>
      <c r="D606" s="46">
        <v>1420</v>
      </c>
      <c r="E606" s="46">
        <v>1420</v>
      </c>
      <c r="F606" s="46">
        <v>1420</v>
      </c>
      <c r="G606" s="46">
        <v>1420</v>
      </c>
      <c r="H606" s="46">
        <v>1420</v>
      </c>
    </row>
    <row r="607" spans="1:8">
      <c r="A607" s="42">
        <v>46258.916666666664</v>
      </c>
      <c r="B607" s="45">
        <v>1420</v>
      </c>
      <c r="C607" s="46">
        <v>1420</v>
      </c>
      <c r="D607" s="46">
        <v>1420</v>
      </c>
      <c r="E607" s="46">
        <v>1420</v>
      </c>
      <c r="F607" s="46">
        <v>1420</v>
      </c>
      <c r="G607" s="46">
        <v>1420</v>
      </c>
      <c r="H607" s="46">
        <v>1420</v>
      </c>
    </row>
    <row r="608" spans="1:8">
      <c r="A608" s="42">
        <v>46258.958333333336</v>
      </c>
      <c r="B608" s="45">
        <v>1420</v>
      </c>
      <c r="C608" s="46">
        <v>1420</v>
      </c>
      <c r="D608" s="46">
        <v>1420</v>
      </c>
      <c r="E608" s="46">
        <v>1420</v>
      </c>
      <c r="F608" s="46">
        <v>1420</v>
      </c>
      <c r="G608" s="46">
        <v>1420</v>
      </c>
      <c r="H608" s="46">
        <v>1420</v>
      </c>
    </row>
    <row r="609" spans="1:8">
      <c r="A609" s="42">
        <v>46259</v>
      </c>
      <c r="B609" s="45">
        <v>1420</v>
      </c>
      <c r="C609" s="46">
        <v>1420</v>
      </c>
      <c r="D609" s="46">
        <v>1420</v>
      </c>
      <c r="E609" s="46">
        <v>1420</v>
      </c>
      <c r="F609" s="46">
        <v>1420</v>
      </c>
      <c r="G609" s="46">
        <v>1420</v>
      </c>
      <c r="H609" s="46">
        <v>1420</v>
      </c>
    </row>
    <row r="610" spans="1:8">
      <c r="A610" s="42">
        <v>46259.041666666664</v>
      </c>
      <c r="B610" s="45">
        <v>1420</v>
      </c>
      <c r="C610" s="46">
        <v>1420</v>
      </c>
      <c r="D610" s="46">
        <v>1420</v>
      </c>
      <c r="E610" s="46">
        <v>1420</v>
      </c>
      <c r="F610" s="46">
        <v>1420</v>
      </c>
      <c r="G610" s="46">
        <v>1420</v>
      </c>
      <c r="H610" s="46">
        <v>1420</v>
      </c>
    </row>
    <row r="611" spans="1:8">
      <c r="A611" s="42">
        <v>46259.083333333336</v>
      </c>
      <c r="B611" s="45">
        <v>1420</v>
      </c>
      <c r="C611" s="46">
        <v>1420</v>
      </c>
      <c r="D611" s="46">
        <v>1420</v>
      </c>
      <c r="E611" s="46">
        <v>1420</v>
      </c>
      <c r="F611" s="46">
        <v>1420</v>
      </c>
      <c r="G611" s="46">
        <v>1420</v>
      </c>
      <c r="H611" s="46">
        <v>1420</v>
      </c>
    </row>
    <row r="612" spans="1:8">
      <c r="A612" s="42">
        <v>46259.125</v>
      </c>
      <c r="B612" s="45">
        <v>1420</v>
      </c>
      <c r="C612" s="46">
        <v>1420</v>
      </c>
      <c r="D612" s="46">
        <v>1420</v>
      </c>
      <c r="E612" s="46">
        <v>1420</v>
      </c>
      <c r="F612" s="46">
        <v>1420</v>
      </c>
      <c r="G612" s="46">
        <v>1420</v>
      </c>
      <c r="H612" s="46">
        <v>1420</v>
      </c>
    </row>
    <row r="613" spans="1:8">
      <c r="A613" s="42">
        <v>46259.166666666664</v>
      </c>
      <c r="B613" s="45">
        <v>1420</v>
      </c>
      <c r="C613" s="46">
        <v>1420</v>
      </c>
      <c r="D613" s="46">
        <v>1420</v>
      </c>
      <c r="E613" s="46">
        <v>1420</v>
      </c>
      <c r="F613" s="46">
        <v>1420</v>
      </c>
      <c r="G613" s="46">
        <v>1420</v>
      </c>
      <c r="H613" s="46">
        <v>1420</v>
      </c>
    </row>
    <row r="614" spans="1:8">
      <c r="A614" s="42">
        <v>46259.208333333336</v>
      </c>
      <c r="B614" s="45">
        <v>1420</v>
      </c>
      <c r="C614" s="46">
        <v>1420</v>
      </c>
      <c r="D614" s="46">
        <v>1420</v>
      </c>
      <c r="E614" s="46">
        <v>1420</v>
      </c>
      <c r="F614" s="46">
        <v>1420</v>
      </c>
      <c r="G614" s="46">
        <v>1420</v>
      </c>
      <c r="H614" s="46">
        <v>1420</v>
      </c>
    </row>
    <row r="615" spans="1:8">
      <c r="A615" s="42">
        <v>46259.25</v>
      </c>
      <c r="B615" s="45">
        <v>1420</v>
      </c>
      <c r="C615" s="46">
        <v>1420</v>
      </c>
      <c r="D615" s="46">
        <v>1420</v>
      </c>
      <c r="E615" s="46">
        <v>1420</v>
      </c>
      <c r="F615" s="46">
        <v>1420</v>
      </c>
      <c r="G615" s="46">
        <v>1420</v>
      </c>
      <c r="H615" s="46">
        <v>1420</v>
      </c>
    </row>
    <row r="616" spans="1:8">
      <c r="A616" s="42">
        <v>46259.291666666664</v>
      </c>
      <c r="B616" s="45">
        <v>1420</v>
      </c>
      <c r="C616" s="46">
        <v>1420</v>
      </c>
      <c r="D616" s="46">
        <v>1420</v>
      </c>
      <c r="E616" s="46">
        <v>1420</v>
      </c>
      <c r="F616" s="46">
        <v>1420</v>
      </c>
      <c r="G616" s="46">
        <v>1420</v>
      </c>
      <c r="H616" s="46">
        <v>1420</v>
      </c>
    </row>
    <row r="617" spans="1:8">
      <c r="A617" s="42">
        <v>46259.333333333336</v>
      </c>
      <c r="B617" s="45">
        <v>1420</v>
      </c>
      <c r="C617" s="46">
        <v>1420</v>
      </c>
      <c r="D617" s="46">
        <v>1420</v>
      </c>
      <c r="E617" s="46">
        <v>1420</v>
      </c>
      <c r="F617" s="46">
        <v>1420</v>
      </c>
      <c r="G617" s="46">
        <v>1420</v>
      </c>
      <c r="H617" s="46">
        <v>1420</v>
      </c>
    </row>
    <row r="618" spans="1:8">
      <c r="A618" s="42">
        <v>46259.375</v>
      </c>
      <c r="B618" s="45">
        <v>1420</v>
      </c>
      <c r="C618" s="46">
        <v>1420</v>
      </c>
      <c r="D618" s="46">
        <v>1420</v>
      </c>
      <c r="E618" s="46">
        <v>1420</v>
      </c>
      <c r="F618" s="46">
        <v>1420</v>
      </c>
      <c r="G618" s="46">
        <v>1420</v>
      </c>
      <c r="H618" s="46">
        <v>1420</v>
      </c>
    </row>
    <row r="619" spans="1:8">
      <c r="A619" s="42">
        <v>46259.416666666664</v>
      </c>
      <c r="B619" s="45">
        <v>1420</v>
      </c>
      <c r="C619" s="46">
        <v>1420</v>
      </c>
      <c r="D619" s="46">
        <v>1420</v>
      </c>
      <c r="E619" s="46">
        <v>1420</v>
      </c>
      <c r="F619" s="46">
        <v>1420</v>
      </c>
      <c r="G619" s="46">
        <v>1420</v>
      </c>
      <c r="H619" s="46">
        <v>1420</v>
      </c>
    </row>
    <row r="620" spans="1:8">
      <c r="A620" s="42">
        <v>46259.458333333336</v>
      </c>
      <c r="B620" s="45">
        <v>1420</v>
      </c>
      <c r="C620" s="46">
        <v>1420</v>
      </c>
      <c r="D620" s="46">
        <v>1420</v>
      </c>
      <c r="E620" s="46">
        <v>1420</v>
      </c>
      <c r="F620" s="46">
        <v>1420</v>
      </c>
      <c r="G620" s="46">
        <v>1420</v>
      </c>
      <c r="H620" s="46">
        <v>1420</v>
      </c>
    </row>
    <row r="621" spans="1:8">
      <c r="A621" s="42">
        <v>46259.5</v>
      </c>
      <c r="B621" s="45">
        <v>1420</v>
      </c>
      <c r="C621" s="46">
        <v>1420</v>
      </c>
      <c r="D621" s="46">
        <v>1420</v>
      </c>
      <c r="E621" s="46">
        <v>1420</v>
      </c>
      <c r="F621" s="46">
        <v>1420</v>
      </c>
      <c r="G621" s="46">
        <v>1420</v>
      </c>
      <c r="H621" s="46">
        <v>1420</v>
      </c>
    </row>
    <row r="622" spans="1:8">
      <c r="A622" s="42">
        <v>46259.541666666664</v>
      </c>
      <c r="B622" s="45">
        <v>1420</v>
      </c>
      <c r="C622" s="46">
        <v>1420</v>
      </c>
      <c r="D622" s="46">
        <v>1420</v>
      </c>
      <c r="E622" s="46">
        <v>1420</v>
      </c>
      <c r="F622" s="46">
        <v>1420</v>
      </c>
      <c r="G622" s="46">
        <v>1420</v>
      </c>
      <c r="H622" s="46">
        <v>1420</v>
      </c>
    </row>
    <row r="623" spans="1:8">
      <c r="A623" s="42">
        <v>46259.583333333336</v>
      </c>
      <c r="B623" s="45">
        <v>1420</v>
      </c>
      <c r="C623" s="46">
        <v>1420</v>
      </c>
      <c r="D623" s="46">
        <v>1420</v>
      </c>
      <c r="E623" s="46">
        <v>1420</v>
      </c>
      <c r="F623" s="46">
        <v>1420</v>
      </c>
      <c r="G623" s="46">
        <v>1420</v>
      </c>
      <c r="H623" s="46">
        <v>1420</v>
      </c>
    </row>
    <row r="624" spans="1:8">
      <c r="A624" s="42">
        <v>46259.625</v>
      </c>
      <c r="B624" s="45">
        <v>1420</v>
      </c>
      <c r="C624" s="46">
        <v>1420</v>
      </c>
      <c r="D624" s="46">
        <v>1420</v>
      </c>
      <c r="E624" s="46">
        <v>1420</v>
      </c>
      <c r="F624" s="46">
        <v>1420</v>
      </c>
      <c r="G624" s="46">
        <v>1420</v>
      </c>
      <c r="H624" s="46">
        <v>1420</v>
      </c>
    </row>
    <row r="625" spans="1:8">
      <c r="A625" s="42">
        <v>46259.666666666664</v>
      </c>
      <c r="B625" s="45">
        <v>1420</v>
      </c>
      <c r="C625" s="46">
        <v>1420</v>
      </c>
      <c r="D625" s="46">
        <v>1420</v>
      </c>
      <c r="E625" s="46">
        <v>1420</v>
      </c>
      <c r="F625" s="46">
        <v>1420</v>
      </c>
      <c r="G625" s="46">
        <v>1420</v>
      </c>
      <c r="H625" s="46">
        <v>1420</v>
      </c>
    </row>
    <row r="626" spans="1:8">
      <c r="A626" s="42">
        <v>46259.708333333336</v>
      </c>
      <c r="B626" s="45">
        <v>1420</v>
      </c>
      <c r="C626" s="46">
        <v>1420</v>
      </c>
      <c r="D626" s="46">
        <v>1420</v>
      </c>
      <c r="E626" s="46">
        <v>1420</v>
      </c>
      <c r="F626" s="46">
        <v>1420</v>
      </c>
      <c r="G626" s="46">
        <v>1420</v>
      </c>
      <c r="H626" s="46">
        <v>1420</v>
      </c>
    </row>
    <row r="627" spans="1:8">
      <c r="A627" s="42">
        <v>46259.75</v>
      </c>
      <c r="B627" s="45">
        <v>1420</v>
      </c>
      <c r="C627" s="46">
        <v>1420</v>
      </c>
      <c r="D627" s="46">
        <v>1420</v>
      </c>
      <c r="E627" s="46">
        <v>1420</v>
      </c>
      <c r="F627" s="46">
        <v>1420</v>
      </c>
      <c r="G627" s="46">
        <v>1420</v>
      </c>
      <c r="H627" s="46">
        <v>1420</v>
      </c>
    </row>
    <row r="628" spans="1:8">
      <c r="A628" s="42">
        <v>46259.791666666664</v>
      </c>
      <c r="B628" s="45">
        <v>1420</v>
      </c>
      <c r="C628" s="46">
        <v>1420</v>
      </c>
      <c r="D628" s="46">
        <v>1420</v>
      </c>
      <c r="E628" s="46">
        <v>1420</v>
      </c>
      <c r="F628" s="46">
        <v>1420</v>
      </c>
      <c r="G628" s="46">
        <v>1420</v>
      </c>
      <c r="H628" s="46">
        <v>1420</v>
      </c>
    </row>
    <row r="629" spans="1:8">
      <c r="A629" s="42">
        <v>46259.833333333336</v>
      </c>
      <c r="B629" s="45">
        <v>1420</v>
      </c>
      <c r="C629" s="46">
        <v>1420</v>
      </c>
      <c r="D629" s="46">
        <v>1420</v>
      </c>
      <c r="E629" s="46">
        <v>1420</v>
      </c>
      <c r="F629" s="46">
        <v>1420</v>
      </c>
      <c r="G629" s="46">
        <v>1420</v>
      </c>
      <c r="H629" s="46">
        <v>1420</v>
      </c>
    </row>
    <row r="630" spans="1:8">
      <c r="A630" s="42">
        <v>46259.875</v>
      </c>
      <c r="B630" s="45">
        <v>1420</v>
      </c>
      <c r="C630" s="46">
        <v>1420</v>
      </c>
      <c r="D630" s="46">
        <v>1420</v>
      </c>
      <c r="E630" s="46">
        <v>1420</v>
      </c>
      <c r="F630" s="46">
        <v>1420</v>
      </c>
      <c r="G630" s="46">
        <v>1420</v>
      </c>
      <c r="H630" s="46">
        <v>1420</v>
      </c>
    </row>
    <row r="631" spans="1:8">
      <c r="A631" s="42">
        <v>46259.916666666664</v>
      </c>
      <c r="B631" s="45">
        <v>1420</v>
      </c>
      <c r="C631" s="46">
        <v>1420</v>
      </c>
      <c r="D631" s="46">
        <v>1420</v>
      </c>
      <c r="E631" s="46">
        <v>1420</v>
      </c>
      <c r="F631" s="46">
        <v>1420</v>
      </c>
      <c r="G631" s="46">
        <v>1420</v>
      </c>
      <c r="H631" s="46">
        <v>1420</v>
      </c>
    </row>
    <row r="632" spans="1:8">
      <c r="A632" s="42">
        <v>46259.958333333336</v>
      </c>
      <c r="B632" s="45">
        <v>1420</v>
      </c>
      <c r="C632" s="46">
        <v>1420</v>
      </c>
      <c r="D632" s="46">
        <v>1420</v>
      </c>
      <c r="E632" s="46">
        <v>1420</v>
      </c>
      <c r="F632" s="46">
        <v>1420</v>
      </c>
      <c r="G632" s="46">
        <v>1420</v>
      </c>
      <c r="H632" s="46">
        <v>1420</v>
      </c>
    </row>
    <row r="633" spans="1:8">
      <c r="A633" s="42">
        <v>46260</v>
      </c>
      <c r="B633" s="45">
        <v>1420</v>
      </c>
      <c r="C633" s="46">
        <v>1420</v>
      </c>
      <c r="D633" s="46">
        <v>1420</v>
      </c>
      <c r="E633" s="46">
        <v>1420</v>
      </c>
      <c r="F633" s="46">
        <v>1420</v>
      </c>
      <c r="G633" s="46">
        <v>1420</v>
      </c>
      <c r="H633" s="46">
        <v>1420</v>
      </c>
    </row>
    <row r="634" spans="1:8">
      <c r="A634" s="42">
        <v>46260.041666666664</v>
      </c>
      <c r="B634" s="45">
        <v>1420</v>
      </c>
      <c r="C634" s="46">
        <v>1420</v>
      </c>
      <c r="D634" s="46">
        <v>1420</v>
      </c>
      <c r="E634" s="46">
        <v>1420</v>
      </c>
      <c r="F634" s="46">
        <v>1420</v>
      </c>
      <c r="G634" s="46">
        <v>1420</v>
      </c>
      <c r="H634" s="46">
        <v>1420</v>
      </c>
    </row>
    <row r="635" spans="1:8">
      <c r="A635" s="42">
        <v>46260.083333333336</v>
      </c>
      <c r="B635" s="45">
        <v>1420</v>
      </c>
      <c r="C635" s="46">
        <v>1420</v>
      </c>
      <c r="D635" s="46">
        <v>1420</v>
      </c>
      <c r="E635" s="46">
        <v>1420</v>
      </c>
      <c r="F635" s="46">
        <v>1420</v>
      </c>
      <c r="G635" s="46">
        <v>1420</v>
      </c>
      <c r="H635" s="46">
        <v>1420</v>
      </c>
    </row>
    <row r="636" spans="1:8">
      <c r="A636" s="42">
        <v>46260.125</v>
      </c>
      <c r="B636" s="45">
        <v>1420</v>
      </c>
      <c r="C636" s="46">
        <v>1420</v>
      </c>
      <c r="D636" s="46">
        <v>1420</v>
      </c>
      <c r="E636" s="46">
        <v>1420</v>
      </c>
      <c r="F636" s="46">
        <v>1420</v>
      </c>
      <c r="G636" s="46">
        <v>1420</v>
      </c>
      <c r="H636" s="46">
        <v>1420</v>
      </c>
    </row>
    <row r="637" spans="1:8">
      <c r="A637" s="42">
        <v>46260.166666666664</v>
      </c>
      <c r="B637" s="45">
        <v>1420</v>
      </c>
      <c r="C637" s="46">
        <v>1420</v>
      </c>
      <c r="D637" s="46">
        <v>1420</v>
      </c>
      <c r="E637" s="46">
        <v>1420</v>
      </c>
      <c r="F637" s="46">
        <v>1420</v>
      </c>
      <c r="G637" s="46">
        <v>1420</v>
      </c>
      <c r="H637" s="46">
        <v>1420</v>
      </c>
    </row>
    <row r="638" spans="1:8">
      <c r="A638" s="42">
        <v>46260.208333333336</v>
      </c>
      <c r="B638" s="45">
        <v>1420</v>
      </c>
      <c r="C638" s="46">
        <v>1420</v>
      </c>
      <c r="D638" s="46">
        <v>1420</v>
      </c>
      <c r="E638" s="46">
        <v>1420</v>
      </c>
      <c r="F638" s="46">
        <v>1420</v>
      </c>
      <c r="G638" s="46">
        <v>1420</v>
      </c>
      <c r="H638" s="46">
        <v>1420</v>
      </c>
    </row>
    <row r="639" spans="1:8">
      <c r="A639" s="42">
        <v>46260.25</v>
      </c>
      <c r="B639" s="45">
        <v>1420</v>
      </c>
      <c r="C639" s="46">
        <v>1420</v>
      </c>
      <c r="D639" s="46">
        <v>1420</v>
      </c>
      <c r="E639" s="46">
        <v>1420</v>
      </c>
      <c r="F639" s="46">
        <v>1420</v>
      </c>
      <c r="G639" s="46">
        <v>1420</v>
      </c>
      <c r="H639" s="46">
        <v>1420</v>
      </c>
    </row>
    <row r="640" spans="1:8">
      <c r="A640" s="42">
        <v>46260.291666666664</v>
      </c>
      <c r="B640" s="45">
        <v>1420</v>
      </c>
      <c r="C640" s="46">
        <v>1420</v>
      </c>
      <c r="D640" s="46">
        <v>1420</v>
      </c>
      <c r="E640" s="46">
        <v>1420</v>
      </c>
      <c r="F640" s="46">
        <v>1420</v>
      </c>
      <c r="G640" s="46">
        <v>1420</v>
      </c>
      <c r="H640" s="46">
        <v>1420</v>
      </c>
    </row>
    <row r="641" spans="1:8">
      <c r="A641" s="42">
        <v>46260.333333333336</v>
      </c>
      <c r="B641" s="45">
        <v>1420</v>
      </c>
      <c r="C641" s="46">
        <v>1420</v>
      </c>
      <c r="D641" s="46">
        <v>1420</v>
      </c>
      <c r="E641" s="46">
        <v>1420</v>
      </c>
      <c r="F641" s="46">
        <v>1420</v>
      </c>
      <c r="G641" s="46">
        <v>1420</v>
      </c>
      <c r="H641" s="46">
        <v>1420</v>
      </c>
    </row>
    <row r="642" spans="1:8">
      <c r="A642" s="42">
        <v>46260.375</v>
      </c>
      <c r="B642" s="45">
        <v>1420</v>
      </c>
      <c r="C642" s="46">
        <v>1420</v>
      </c>
      <c r="D642" s="46">
        <v>1420</v>
      </c>
      <c r="E642" s="46">
        <v>1420</v>
      </c>
      <c r="F642" s="46">
        <v>1420</v>
      </c>
      <c r="G642" s="46">
        <v>1420</v>
      </c>
      <c r="H642" s="46">
        <v>1420</v>
      </c>
    </row>
    <row r="643" spans="1:8">
      <c r="A643" s="42">
        <v>46260.416666666664</v>
      </c>
      <c r="B643" s="45">
        <v>1420</v>
      </c>
      <c r="C643" s="46">
        <v>1420</v>
      </c>
      <c r="D643" s="46">
        <v>1420</v>
      </c>
      <c r="E643" s="46">
        <v>1420</v>
      </c>
      <c r="F643" s="46">
        <v>1420</v>
      </c>
      <c r="G643" s="46">
        <v>1420</v>
      </c>
      <c r="H643" s="46">
        <v>1420</v>
      </c>
    </row>
  </sheetData>
  <phoneticPr fontId="3" type="noConversion"/>
  <conditionalFormatting sqref="E1:H1048576">
    <cfRule type="cellIs" dxfId="0" priority="1" operator="greaterThan">
      <formula>10000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7"/>
  <sheetViews>
    <sheetView workbookViewId="0">
      <selection activeCell="A2" sqref="A2:D47"/>
    </sheetView>
  </sheetViews>
  <sheetFormatPr defaultRowHeight="13.5"/>
  <cols>
    <col min="1" max="4" width="8.875"/>
  </cols>
  <sheetData>
    <row r="1" spans="1:4">
      <c r="A1" s="37" t="s">
        <v>41</v>
      </c>
      <c r="B1" s="37" t="s">
        <v>42</v>
      </c>
      <c r="C1" s="37" t="s">
        <v>43</v>
      </c>
      <c r="D1" s="37" t="s">
        <v>44</v>
      </c>
    </row>
    <row r="2" spans="1:4" ht="40.5">
      <c r="A2" s="38">
        <v>1</v>
      </c>
      <c r="B2" s="39" t="s">
        <v>45</v>
      </c>
      <c r="C2" s="38">
        <v>1</v>
      </c>
      <c r="D2" s="39" t="s">
        <v>46</v>
      </c>
    </row>
    <row r="3" spans="1:4" ht="40.5">
      <c r="A3" s="38">
        <v>2</v>
      </c>
      <c r="B3" s="39" t="s">
        <v>47</v>
      </c>
      <c r="C3" s="38">
        <v>1</v>
      </c>
      <c r="D3" s="39" t="s">
        <v>46</v>
      </c>
    </row>
    <row r="4" spans="1:4">
      <c r="A4" s="38">
        <v>3</v>
      </c>
      <c r="B4" s="39" t="s">
        <v>25</v>
      </c>
      <c r="C4" s="38">
        <v>295</v>
      </c>
      <c r="D4" s="39" t="s">
        <v>48</v>
      </c>
    </row>
    <row r="5" spans="1:4">
      <c r="A5" s="38">
        <v>4</v>
      </c>
      <c r="B5" s="39" t="s">
        <v>26</v>
      </c>
      <c r="C5" s="40">
        <v>250.86</v>
      </c>
      <c r="D5" s="39" t="s">
        <v>48</v>
      </c>
    </row>
    <row r="6" spans="1:4">
      <c r="A6" s="38">
        <v>5</v>
      </c>
      <c r="B6" s="39" t="s">
        <v>27</v>
      </c>
      <c r="C6" s="38">
        <v>316.20999999999998</v>
      </c>
      <c r="D6" s="39" t="s">
        <v>48</v>
      </c>
    </row>
    <row r="7" spans="1:4">
      <c r="A7" s="38">
        <v>6</v>
      </c>
      <c r="B7" s="39" t="s">
        <v>28</v>
      </c>
      <c r="C7" s="38">
        <v>524.19000000000005</v>
      </c>
      <c r="D7" s="39" t="s">
        <v>48</v>
      </c>
    </row>
    <row r="8" spans="1:4">
      <c r="A8" s="38">
        <v>7</v>
      </c>
      <c r="B8" s="39" t="s">
        <v>29</v>
      </c>
      <c r="C8" s="38">
        <v>234.34</v>
      </c>
      <c r="D8" s="39" t="s">
        <v>48</v>
      </c>
    </row>
    <row r="9" spans="1:4" ht="40.5">
      <c r="A9" s="38">
        <v>8</v>
      </c>
      <c r="B9" s="39" t="s">
        <v>25</v>
      </c>
      <c r="C9" s="38">
        <v>0</v>
      </c>
      <c r="D9" s="39" t="s">
        <v>49</v>
      </c>
    </row>
    <row r="10" spans="1:4" ht="40.5">
      <c r="A10" s="38">
        <v>9</v>
      </c>
      <c r="B10" s="39" t="s">
        <v>26</v>
      </c>
      <c r="C10" s="38">
        <v>1</v>
      </c>
      <c r="D10" s="39" t="s">
        <v>49</v>
      </c>
    </row>
    <row r="11" spans="1:4" ht="40.5">
      <c r="A11" s="38">
        <v>10</v>
      </c>
      <c r="B11" s="39" t="s">
        <v>27</v>
      </c>
      <c r="C11" s="38">
        <v>1</v>
      </c>
      <c r="D11" s="39" t="s">
        <v>49</v>
      </c>
    </row>
    <row r="12" spans="1:4" ht="40.5">
      <c r="A12" s="38">
        <v>11</v>
      </c>
      <c r="B12" s="39" t="s">
        <v>28</v>
      </c>
      <c r="C12" s="38">
        <v>1</v>
      </c>
      <c r="D12" s="39" t="s">
        <v>49</v>
      </c>
    </row>
    <row r="13" spans="1:4" ht="40.5">
      <c r="A13" s="38">
        <v>12</v>
      </c>
      <c r="B13" s="39" t="s">
        <v>29</v>
      </c>
      <c r="C13" s="38">
        <v>1</v>
      </c>
      <c r="D13" s="39" t="s">
        <v>49</v>
      </c>
    </row>
    <row r="14" spans="1:4" ht="27">
      <c r="A14" s="38">
        <v>13</v>
      </c>
      <c r="B14" s="39" t="s">
        <v>25</v>
      </c>
      <c r="C14" s="38">
        <v>335</v>
      </c>
      <c r="D14" s="39" t="s">
        <v>50</v>
      </c>
    </row>
    <row r="15" spans="1:4" ht="27">
      <c r="A15" s="38">
        <v>14</v>
      </c>
      <c r="B15" s="39" t="s">
        <v>26</v>
      </c>
      <c r="C15" s="38">
        <v>275</v>
      </c>
      <c r="D15" s="39" t="s">
        <v>50</v>
      </c>
    </row>
    <row r="16" spans="1:4" ht="27">
      <c r="A16" s="38">
        <v>15</v>
      </c>
      <c r="B16" s="39" t="s">
        <v>27</v>
      </c>
      <c r="C16" s="38">
        <v>323</v>
      </c>
      <c r="D16" s="39" t="s">
        <v>51</v>
      </c>
    </row>
    <row r="17" spans="1:4" ht="27">
      <c r="A17" s="38">
        <v>16</v>
      </c>
      <c r="B17" s="39" t="s">
        <v>28</v>
      </c>
      <c r="C17" s="38">
        <v>546.84</v>
      </c>
      <c r="D17" s="39" t="s">
        <v>51</v>
      </c>
    </row>
    <row r="18" spans="1:4" ht="27">
      <c r="A18" s="38">
        <v>17</v>
      </c>
      <c r="B18" s="39" t="s">
        <v>29</v>
      </c>
      <c r="C18" s="38">
        <v>285.43</v>
      </c>
      <c r="D18" s="39" t="s">
        <v>51</v>
      </c>
    </row>
    <row r="19" spans="1:4" ht="67.5">
      <c r="A19" s="38">
        <v>18</v>
      </c>
      <c r="B19" s="39" t="s">
        <v>25</v>
      </c>
      <c r="C19" s="38">
        <v>1</v>
      </c>
      <c r="D19" s="39" t="s">
        <v>52</v>
      </c>
    </row>
    <row r="20" spans="1:4" ht="54">
      <c r="A20" s="38">
        <v>19</v>
      </c>
      <c r="B20" s="39" t="s">
        <v>26</v>
      </c>
      <c r="C20" s="38">
        <v>1</v>
      </c>
      <c r="D20" s="39" t="s">
        <v>53</v>
      </c>
    </row>
    <row r="21" spans="1:4" ht="54">
      <c r="A21" s="38">
        <v>20</v>
      </c>
      <c r="B21" s="39" t="s">
        <v>27</v>
      </c>
      <c r="C21" s="38">
        <v>1</v>
      </c>
      <c r="D21" s="39" t="s">
        <v>53</v>
      </c>
    </row>
    <row r="22" spans="1:4" ht="54">
      <c r="A22" s="38">
        <v>21</v>
      </c>
      <c r="B22" s="39" t="s">
        <v>28</v>
      </c>
      <c r="C22" s="38">
        <v>1</v>
      </c>
      <c r="D22" s="39" t="s">
        <v>53</v>
      </c>
    </row>
    <row r="23" spans="1:4" ht="54">
      <c r="A23" s="38">
        <v>22</v>
      </c>
      <c r="B23" s="39" t="s">
        <v>29</v>
      </c>
      <c r="C23" s="38">
        <v>1</v>
      </c>
      <c r="D23" s="39" t="s">
        <v>53</v>
      </c>
    </row>
    <row r="24" spans="1:4" ht="40.5">
      <c r="A24" s="38">
        <v>23</v>
      </c>
      <c r="B24" s="39" t="s">
        <v>26</v>
      </c>
      <c r="C24" s="38">
        <v>4500</v>
      </c>
      <c r="D24" s="39" t="s">
        <v>54</v>
      </c>
    </row>
    <row r="25" spans="1:4">
      <c r="A25" s="38">
        <v>24</v>
      </c>
      <c r="B25" s="39" t="s">
        <v>27</v>
      </c>
      <c r="C25" s="38">
        <v>300</v>
      </c>
      <c r="D25" s="39" t="s">
        <v>55</v>
      </c>
    </row>
    <row r="26" spans="1:4">
      <c r="A26" s="38">
        <v>25</v>
      </c>
      <c r="B26" s="39" t="s">
        <v>28</v>
      </c>
      <c r="C26" s="38">
        <v>300</v>
      </c>
      <c r="D26" s="39" t="s">
        <v>55</v>
      </c>
    </row>
    <row r="27" spans="1:4">
      <c r="A27" s="38">
        <v>26</v>
      </c>
      <c r="B27" s="39" t="s">
        <v>29</v>
      </c>
      <c r="C27" s="38">
        <v>100</v>
      </c>
      <c r="D27" s="39" t="s">
        <v>55</v>
      </c>
    </row>
    <row r="28" spans="1:4" ht="54">
      <c r="A28" s="38">
        <v>27</v>
      </c>
      <c r="B28" s="39" t="s">
        <v>29</v>
      </c>
      <c r="C28" s="38">
        <v>254.5</v>
      </c>
      <c r="D28" s="39" t="s">
        <v>56</v>
      </c>
    </row>
    <row r="29" spans="1:4" ht="81">
      <c r="A29" s="38">
        <v>28</v>
      </c>
      <c r="B29" s="39" t="s">
        <v>25</v>
      </c>
      <c r="C29" s="38">
        <v>26</v>
      </c>
      <c r="D29" s="39" t="s">
        <v>57</v>
      </c>
    </row>
    <row r="30" spans="1:4" ht="40.5">
      <c r="A30" s="38">
        <v>29</v>
      </c>
      <c r="B30" s="39" t="s">
        <v>26</v>
      </c>
      <c r="C30" s="38">
        <v>254</v>
      </c>
      <c r="D30" s="39" t="s">
        <v>58</v>
      </c>
    </row>
    <row r="31" spans="1:4">
      <c r="A31" s="38">
        <v>30</v>
      </c>
      <c r="B31" s="39" t="s">
        <v>26</v>
      </c>
      <c r="C31" s="38">
        <v>4500</v>
      </c>
      <c r="D31" s="39" t="s">
        <v>59</v>
      </c>
    </row>
    <row r="32" spans="1:4">
      <c r="A32" s="38">
        <v>31</v>
      </c>
      <c r="B32" s="39" t="s">
        <v>26</v>
      </c>
      <c r="C32" s="38">
        <v>1000</v>
      </c>
      <c r="D32" s="39" t="s">
        <v>60</v>
      </c>
    </row>
    <row r="33" spans="1:4" ht="40.5">
      <c r="A33" s="38">
        <v>32</v>
      </c>
      <c r="B33" s="39" t="s">
        <v>27</v>
      </c>
      <c r="C33" s="38">
        <v>1000</v>
      </c>
      <c r="D33" s="39" t="s">
        <v>61</v>
      </c>
    </row>
    <row r="34" spans="1:4">
      <c r="A34" s="38">
        <v>33</v>
      </c>
      <c r="B34" s="39" t="s">
        <v>27</v>
      </c>
      <c r="C34" s="38">
        <v>77</v>
      </c>
      <c r="D34" s="39" t="s">
        <v>60</v>
      </c>
    </row>
    <row r="35" spans="1:4" ht="40.5">
      <c r="A35" s="38">
        <v>34</v>
      </c>
      <c r="B35" s="39" t="s">
        <v>28</v>
      </c>
      <c r="C35" s="38">
        <v>1000</v>
      </c>
      <c r="D35" s="39" t="s">
        <v>61</v>
      </c>
    </row>
    <row r="36" spans="1:4">
      <c r="A36" s="38">
        <v>35</v>
      </c>
      <c r="B36" s="39" t="s">
        <v>28</v>
      </c>
      <c r="C36" s="38">
        <v>90</v>
      </c>
      <c r="D36" s="39" t="s">
        <v>60</v>
      </c>
    </row>
    <row r="37" spans="1:4" ht="40.5">
      <c r="A37" s="38">
        <v>36</v>
      </c>
      <c r="B37" s="39" t="s">
        <v>29</v>
      </c>
      <c r="C37" s="38">
        <v>2000</v>
      </c>
      <c r="D37" s="39" t="s">
        <v>62</v>
      </c>
    </row>
    <row r="38" spans="1:4">
      <c r="A38" s="38">
        <v>37</v>
      </c>
      <c r="B38" s="39" t="s">
        <v>29</v>
      </c>
      <c r="C38" s="38">
        <v>20</v>
      </c>
      <c r="D38" s="39" t="s">
        <v>60</v>
      </c>
    </row>
    <row r="39" spans="1:4" ht="67.5">
      <c r="A39" s="38">
        <v>38</v>
      </c>
      <c r="B39" s="39" t="s">
        <v>17</v>
      </c>
      <c r="C39" s="38">
        <v>10000</v>
      </c>
      <c r="D39" s="39" t="s">
        <v>63</v>
      </c>
    </row>
    <row r="40" spans="1:4" ht="67.5">
      <c r="A40" s="38">
        <v>39</v>
      </c>
      <c r="B40" s="39" t="s">
        <v>17</v>
      </c>
      <c r="C40" s="38">
        <v>10000</v>
      </c>
      <c r="D40" s="39" t="s">
        <v>64</v>
      </c>
    </row>
    <row r="41" spans="1:4" ht="67.5">
      <c r="A41" s="38">
        <v>40</v>
      </c>
      <c r="B41" s="39" t="s">
        <v>26</v>
      </c>
      <c r="C41" s="38">
        <v>200</v>
      </c>
      <c r="D41" s="39" t="s">
        <v>65</v>
      </c>
    </row>
    <row r="42" spans="1:4" ht="40.5">
      <c r="A42" s="38">
        <v>41</v>
      </c>
      <c r="B42" s="39" t="s">
        <v>27</v>
      </c>
      <c r="C42" s="38">
        <v>321.5</v>
      </c>
      <c r="D42" s="39" t="s">
        <v>66</v>
      </c>
    </row>
    <row r="43" spans="1:4" ht="40.5">
      <c r="A43" s="38">
        <v>42</v>
      </c>
      <c r="B43" s="39" t="s">
        <v>28</v>
      </c>
      <c r="C43" s="38">
        <v>542.04</v>
      </c>
      <c r="D43" s="39" t="s">
        <v>67</v>
      </c>
    </row>
    <row r="44" spans="1:4" ht="54">
      <c r="A44" s="38">
        <v>43</v>
      </c>
      <c r="B44" s="39" t="s">
        <v>17</v>
      </c>
      <c r="C44" s="38">
        <v>12000</v>
      </c>
      <c r="D44" s="39" t="s">
        <v>68</v>
      </c>
    </row>
    <row r="45" spans="1:4" ht="67.5">
      <c r="A45" s="38">
        <v>44</v>
      </c>
      <c r="B45" s="39" t="s">
        <v>26</v>
      </c>
      <c r="C45" s="38">
        <v>10000</v>
      </c>
      <c r="D45" s="39" t="s">
        <v>69</v>
      </c>
    </row>
    <row r="46" spans="1:4" ht="135">
      <c r="A46" s="38">
        <v>45</v>
      </c>
      <c r="B46" s="39" t="s">
        <v>17</v>
      </c>
      <c r="C46" s="38">
        <v>200</v>
      </c>
      <c r="D46" s="39" t="s">
        <v>70</v>
      </c>
    </row>
    <row r="47" spans="1:4" ht="54">
      <c r="A47" s="38">
        <v>46</v>
      </c>
      <c r="B47" s="39" t="s">
        <v>71</v>
      </c>
      <c r="C47" s="38">
        <v>1</v>
      </c>
      <c r="D47" s="39" t="s">
        <v>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特征值</vt:lpstr>
      <vt:lpstr>三门峡</vt:lpstr>
      <vt:lpstr>小浪底</vt:lpstr>
      <vt:lpstr>陆浑</vt:lpstr>
      <vt:lpstr>故县</vt:lpstr>
      <vt:lpstr>河口村</vt:lpstr>
      <vt:lpstr>花园口以上洪水</vt:lpstr>
      <vt:lpstr>下游</vt:lpstr>
      <vt:lpstr>参数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遥遥领先</cp:lastModifiedBy>
  <dcterms:created xsi:type="dcterms:W3CDTF">2020-06-10T09:24:22Z</dcterms:created>
  <dcterms:modified xsi:type="dcterms:W3CDTF">2026-06-25T07:29:22Z</dcterms:modified>
</cp:coreProperties>
</file>