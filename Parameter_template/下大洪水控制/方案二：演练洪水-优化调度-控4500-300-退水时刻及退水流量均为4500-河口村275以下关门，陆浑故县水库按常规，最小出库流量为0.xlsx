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11835" windowHeight="6480" tabRatio="661" activeTab="7"/>
  </bookViews>
  <sheets>
    <sheet name="特征值" sheetId="1" r:id="rId1"/>
    <sheet name="三门峡" sheetId="2" r:id="rId2"/>
    <sheet name="小浪底" sheetId="3" r:id="rId3"/>
    <sheet name="陆浑" sheetId="4" r:id="rId4"/>
    <sheet name="故县" sheetId="5" r:id="rId5"/>
    <sheet name="河口村" sheetId="6" r:id="rId6"/>
    <sheet name="花园口以上洪水" sheetId="8" r:id="rId7"/>
    <sheet name="下游" sheetId="10" r:id="rId8"/>
    <sheet name="参数" sheetId="11" r:id="rId9"/>
  </sheets>
  <calcPr calcId="144525"/>
</workbook>
</file>

<file path=xl/calcChain.xml><?xml version="1.0" encoding="utf-8"?>
<calcChain xmlns="http://schemas.openxmlformats.org/spreadsheetml/2006/main"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2" i="6"/>
  <c r="H3" i="6" l="1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2" i="6"/>
  <c r="E29" i="1"/>
  <c r="E30" i="1"/>
  <c r="E35" i="1"/>
  <c r="C34" i="1" l="1"/>
  <c r="E34" i="1" s="1"/>
  <c r="C33" i="1"/>
  <c r="E33" i="1" s="1"/>
  <c r="J6" i="6"/>
  <c r="J4" i="6" s="1"/>
  <c r="C24" i="1" s="1"/>
  <c r="E24" i="1" s="1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68" i="8"/>
  <c r="L269" i="8"/>
  <c r="L270" i="8"/>
  <c r="L271" i="8"/>
  <c r="L272" i="8"/>
  <c r="L273" i="8"/>
  <c r="L274" i="8"/>
  <c r="L275" i="8"/>
  <c r="L276" i="8"/>
  <c r="L277" i="8"/>
  <c r="L278" i="8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99" i="8"/>
  <c r="L300" i="8"/>
  <c r="L301" i="8"/>
  <c r="L302" i="8"/>
  <c r="L303" i="8"/>
  <c r="L304" i="8"/>
  <c r="L305" i="8"/>
  <c r="L306" i="8"/>
  <c r="L307" i="8"/>
  <c r="L308" i="8"/>
  <c r="L309" i="8"/>
  <c r="L310" i="8"/>
  <c r="L311" i="8"/>
  <c r="L312" i="8"/>
  <c r="L313" i="8"/>
  <c r="L314" i="8"/>
  <c r="L315" i="8"/>
  <c r="L316" i="8"/>
  <c r="L317" i="8"/>
  <c r="L318" i="8"/>
  <c r="L319" i="8"/>
  <c r="L320" i="8"/>
  <c r="L321" i="8"/>
  <c r="L322" i="8"/>
  <c r="L323" i="8"/>
  <c r="L324" i="8"/>
  <c r="L325" i="8"/>
  <c r="L326" i="8"/>
  <c r="L327" i="8"/>
  <c r="L328" i="8"/>
  <c r="L329" i="8"/>
  <c r="L330" i="8"/>
  <c r="L331" i="8"/>
  <c r="L332" i="8"/>
  <c r="L333" i="8"/>
  <c r="L334" i="8"/>
  <c r="L335" i="8"/>
  <c r="L336" i="8"/>
  <c r="L337" i="8"/>
  <c r="L338" i="8"/>
  <c r="L339" i="8"/>
  <c r="L340" i="8"/>
  <c r="L341" i="8"/>
  <c r="L342" i="8"/>
  <c r="L343" i="8"/>
  <c r="L344" i="8"/>
  <c r="L345" i="8"/>
  <c r="L346" i="8"/>
  <c r="L347" i="8"/>
  <c r="L348" i="8"/>
  <c r="L349" i="8"/>
  <c r="L350" i="8"/>
  <c r="L351" i="8"/>
  <c r="L352" i="8"/>
  <c r="L353" i="8"/>
  <c r="L354" i="8"/>
  <c r="L355" i="8"/>
  <c r="L356" i="8"/>
  <c r="L357" i="8"/>
  <c r="L358" i="8"/>
  <c r="L359" i="8"/>
  <c r="L360" i="8"/>
  <c r="L361" i="8"/>
  <c r="L362" i="8"/>
  <c r="L363" i="8"/>
  <c r="L364" i="8"/>
  <c r="L365" i="8"/>
  <c r="L366" i="8"/>
  <c r="L367" i="8"/>
  <c r="L368" i="8"/>
  <c r="L369" i="8"/>
  <c r="L370" i="8"/>
  <c r="L371" i="8"/>
  <c r="L372" i="8"/>
  <c r="L373" i="8"/>
  <c r="L374" i="8"/>
  <c r="L375" i="8"/>
  <c r="L376" i="8"/>
  <c r="L377" i="8"/>
  <c r="L378" i="8"/>
  <c r="L379" i="8"/>
  <c r="L380" i="8"/>
  <c r="L381" i="8"/>
  <c r="L382" i="8"/>
  <c r="L383" i="8"/>
  <c r="L384" i="8"/>
  <c r="L385" i="8"/>
  <c r="L386" i="8"/>
  <c r="L387" i="8"/>
  <c r="L388" i="8"/>
  <c r="L389" i="8"/>
  <c r="L390" i="8"/>
  <c r="L391" i="8"/>
  <c r="L392" i="8"/>
  <c r="L393" i="8"/>
  <c r="L394" i="8"/>
  <c r="L395" i="8"/>
  <c r="L396" i="8"/>
  <c r="L397" i="8"/>
  <c r="L398" i="8"/>
  <c r="L399" i="8"/>
  <c r="L400" i="8"/>
  <c r="L401" i="8"/>
  <c r="L402" i="8"/>
  <c r="L403" i="8"/>
  <c r="L404" i="8"/>
  <c r="L405" i="8"/>
  <c r="L406" i="8"/>
  <c r="L407" i="8"/>
  <c r="L408" i="8"/>
  <c r="L409" i="8"/>
  <c r="L410" i="8"/>
  <c r="L411" i="8"/>
  <c r="L412" i="8"/>
  <c r="L413" i="8"/>
  <c r="L414" i="8"/>
  <c r="L415" i="8"/>
  <c r="L416" i="8"/>
  <c r="L417" i="8"/>
  <c r="L418" i="8"/>
  <c r="L419" i="8"/>
  <c r="L420" i="8"/>
  <c r="L421" i="8"/>
  <c r="L422" i="8"/>
  <c r="L423" i="8"/>
  <c r="L424" i="8"/>
  <c r="L425" i="8"/>
  <c r="L426" i="8"/>
  <c r="L427" i="8"/>
  <c r="L428" i="8"/>
  <c r="L429" i="8"/>
  <c r="L430" i="8"/>
  <c r="L431" i="8"/>
  <c r="L432" i="8"/>
  <c r="L433" i="8"/>
  <c r="L434" i="8"/>
  <c r="L435" i="8"/>
  <c r="L436" i="8"/>
  <c r="L437" i="8"/>
  <c r="L438" i="8"/>
  <c r="L439" i="8"/>
  <c r="L440" i="8"/>
  <c r="L441" i="8"/>
  <c r="L442" i="8"/>
  <c r="L443" i="8"/>
  <c r="L444" i="8"/>
  <c r="L445" i="8"/>
  <c r="L446" i="8"/>
  <c r="L447" i="8"/>
  <c r="L448" i="8"/>
  <c r="L449" i="8"/>
  <c r="L450" i="8"/>
  <c r="L451" i="8"/>
  <c r="L452" i="8"/>
  <c r="L453" i="8"/>
  <c r="L454" i="8"/>
  <c r="L455" i="8"/>
  <c r="L456" i="8"/>
  <c r="L457" i="8"/>
  <c r="L458" i="8"/>
  <c r="L459" i="8"/>
  <c r="L460" i="8"/>
  <c r="L461" i="8"/>
  <c r="L462" i="8"/>
  <c r="L463" i="8"/>
  <c r="L464" i="8"/>
  <c r="L465" i="8"/>
  <c r="L466" i="8"/>
  <c r="L467" i="8"/>
  <c r="L468" i="8"/>
  <c r="L469" i="8"/>
  <c r="L470" i="8"/>
  <c r="L471" i="8"/>
  <c r="L472" i="8"/>
  <c r="L473" i="8"/>
  <c r="L474" i="8"/>
  <c r="L475" i="8"/>
  <c r="L476" i="8"/>
  <c r="L477" i="8"/>
  <c r="L478" i="8"/>
  <c r="L479" i="8"/>
  <c r="L480" i="8"/>
  <c r="L481" i="8"/>
  <c r="L482" i="8"/>
  <c r="L483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1" i="8"/>
  <c r="L602" i="8"/>
  <c r="L603" i="8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L639" i="8"/>
  <c r="L640" i="8"/>
  <c r="L641" i="8"/>
  <c r="L642" i="8"/>
  <c r="L643" i="8"/>
  <c r="I6" i="5"/>
  <c r="I4" i="5" s="1"/>
  <c r="I6" i="4"/>
  <c r="I4" i="4" s="1"/>
  <c r="I6" i="2"/>
  <c r="I4" i="2" s="1"/>
  <c r="C26" i="1" l="1"/>
  <c r="E26" i="1" s="1"/>
  <c r="N2" i="8" l="1"/>
  <c r="N3" i="8" l="1"/>
  <c r="L242" i="8" l="1"/>
  <c r="L243" i="8"/>
  <c r="L244" i="8"/>
  <c r="L245" i="8"/>
  <c r="L246" i="8"/>
  <c r="L247" i="8"/>
  <c r="L248" i="8"/>
  <c r="L249" i="8"/>
  <c r="L250" i="8"/>
  <c r="L251" i="8"/>
  <c r="L252" i="8"/>
  <c r="L253" i="8"/>
  <c r="L254" i="8"/>
  <c r="A368" i="8" l="1"/>
  <c r="B368" i="8"/>
  <c r="C368" i="8"/>
  <c r="D368" i="8"/>
  <c r="A369" i="8"/>
  <c r="B369" i="8"/>
  <c r="C369" i="8"/>
  <c r="D369" i="8"/>
  <c r="A370" i="8"/>
  <c r="B370" i="8"/>
  <c r="C370" i="8"/>
  <c r="D370" i="8"/>
  <c r="A371" i="8"/>
  <c r="B371" i="8"/>
  <c r="C371" i="8"/>
  <c r="D371" i="8"/>
  <c r="A372" i="8"/>
  <c r="B372" i="8"/>
  <c r="C372" i="8"/>
  <c r="D372" i="8"/>
  <c r="A373" i="8"/>
  <c r="B373" i="8"/>
  <c r="C373" i="8"/>
  <c r="D373" i="8"/>
  <c r="A374" i="8"/>
  <c r="B374" i="8"/>
  <c r="C374" i="8"/>
  <c r="D374" i="8"/>
  <c r="A359" i="8"/>
  <c r="B359" i="8"/>
  <c r="C359" i="8"/>
  <c r="D359" i="8"/>
  <c r="A360" i="8"/>
  <c r="B360" i="8"/>
  <c r="C360" i="8"/>
  <c r="D360" i="8"/>
  <c r="A361" i="8"/>
  <c r="B361" i="8"/>
  <c r="C361" i="8"/>
  <c r="D361" i="8"/>
  <c r="A362" i="8"/>
  <c r="B362" i="8"/>
  <c r="C362" i="8"/>
  <c r="D362" i="8"/>
  <c r="A363" i="8"/>
  <c r="B363" i="8"/>
  <c r="C363" i="8"/>
  <c r="D363" i="8"/>
  <c r="A364" i="8"/>
  <c r="B364" i="8"/>
  <c r="C364" i="8"/>
  <c r="D364" i="8"/>
  <c r="A365" i="8"/>
  <c r="B365" i="8"/>
  <c r="C365" i="8"/>
  <c r="D365" i="8"/>
  <c r="A366" i="8"/>
  <c r="B366" i="8"/>
  <c r="C366" i="8"/>
  <c r="D366" i="8"/>
  <c r="A367" i="8"/>
  <c r="B367" i="8"/>
  <c r="C367" i="8"/>
  <c r="D367" i="8"/>
  <c r="A242" i="8"/>
  <c r="B242" i="8"/>
  <c r="C242" i="8"/>
  <c r="D242" i="8"/>
  <c r="A243" i="8"/>
  <c r="B243" i="8"/>
  <c r="C243" i="8"/>
  <c r="D243" i="8"/>
  <c r="A244" i="8"/>
  <c r="B244" i="8"/>
  <c r="C244" i="8"/>
  <c r="D244" i="8"/>
  <c r="A245" i="8"/>
  <c r="B245" i="8"/>
  <c r="C245" i="8"/>
  <c r="D245" i="8"/>
  <c r="A246" i="8"/>
  <c r="B246" i="8"/>
  <c r="C246" i="8"/>
  <c r="D246" i="8"/>
  <c r="A247" i="8"/>
  <c r="B247" i="8"/>
  <c r="C247" i="8"/>
  <c r="D247" i="8"/>
  <c r="A248" i="8"/>
  <c r="B248" i="8"/>
  <c r="C248" i="8"/>
  <c r="D248" i="8"/>
  <c r="A249" i="8"/>
  <c r="B249" i="8"/>
  <c r="C249" i="8"/>
  <c r="D249" i="8"/>
  <c r="A250" i="8"/>
  <c r="B250" i="8"/>
  <c r="C250" i="8"/>
  <c r="D250" i="8"/>
  <c r="A251" i="8"/>
  <c r="B251" i="8"/>
  <c r="C251" i="8"/>
  <c r="D251" i="8"/>
  <c r="A252" i="8"/>
  <c r="B252" i="8"/>
  <c r="C252" i="8"/>
  <c r="D252" i="8"/>
  <c r="A253" i="8"/>
  <c r="B253" i="8"/>
  <c r="C253" i="8"/>
  <c r="D253" i="8"/>
  <c r="A254" i="8"/>
  <c r="B254" i="8"/>
  <c r="C254" i="8"/>
  <c r="D254" i="8"/>
  <c r="A255" i="8"/>
  <c r="B255" i="8"/>
  <c r="C255" i="8"/>
  <c r="D255" i="8"/>
  <c r="A256" i="8"/>
  <c r="B256" i="8"/>
  <c r="C256" i="8"/>
  <c r="D256" i="8"/>
  <c r="A257" i="8"/>
  <c r="B257" i="8"/>
  <c r="C257" i="8"/>
  <c r="D257" i="8"/>
  <c r="A258" i="8"/>
  <c r="B258" i="8"/>
  <c r="C258" i="8"/>
  <c r="D258" i="8"/>
  <c r="A259" i="8"/>
  <c r="B259" i="8"/>
  <c r="C259" i="8"/>
  <c r="D259" i="8"/>
  <c r="A260" i="8"/>
  <c r="B260" i="8"/>
  <c r="C260" i="8"/>
  <c r="D260" i="8"/>
  <c r="A261" i="8"/>
  <c r="B261" i="8"/>
  <c r="C261" i="8"/>
  <c r="D261" i="8"/>
  <c r="A262" i="8"/>
  <c r="B262" i="8"/>
  <c r="C262" i="8"/>
  <c r="D262" i="8"/>
  <c r="A263" i="8"/>
  <c r="B263" i="8"/>
  <c r="C263" i="8"/>
  <c r="D263" i="8"/>
  <c r="A264" i="8"/>
  <c r="B264" i="8"/>
  <c r="C264" i="8"/>
  <c r="D264" i="8"/>
  <c r="A265" i="8"/>
  <c r="B265" i="8"/>
  <c r="C265" i="8"/>
  <c r="D265" i="8"/>
  <c r="A266" i="8"/>
  <c r="B266" i="8"/>
  <c r="C266" i="8"/>
  <c r="D266" i="8"/>
  <c r="A267" i="8"/>
  <c r="B267" i="8"/>
  <c r="C267" i="8"/>
  <c r="D267" i="8"/>
  <c r="A268" i="8"/>
  <c r="B268" i="8"/>
  <c r="C268" i="8"/>
  <c r="D268" i="8"/>
  <c r="A269" i="8"/>
  <c r="B269" i="8"/>
  <c r="C269" i="8"/>
  <c r="D269" i="8"/>
  <c r="A270" i="8"/>
  <c r="B270" i="8"/>
  <c r="C270" i="8"/>
  <c r="D270" i="8"/>
  <c r="A271" i="8"/>
  <c r="B271" i="8"/>
  <c r="C271" i="8"/>
  <c r="D271" i="8"/>
  <c r="A272" i="8"/>
  <c r="B272" i="8"/>
  <c r="C272" i="8"/>
  <c r="D272" i="8"/>
  <c r="A273" i="8"/>
  <c r="B273" i="8"/>
  <c r="C273" i="8"/>
  <c r="D273" i="8"/>
  <c r="A274" i="8"/>
  <c r="B274" i="8"/>
  <c r="C274" i="8"/>
  <c r="D274" i="8"/>
  <c r="A275" i="8"/>
  <c r="B275" i="8"/>
  <c r="C275" i="8"/>
  <c r="D275" i="8"/>
  <c r="A276" i="8"/>
  <c r="B276" i="8"/>
  <c r="C276" i="8"/>
  <c r="D276" i="8"/>
  <c r="A277" i="8"/>
  <c r="B277" i="8"/>
  <c r="C277" i="8"/>
  <c r="D277" i="8"/>
  <c r="A278" i="8"/>
  <c r="B278" i="8"/>
  <c r="C278" i="8"/>
  <c r="D278" i="8"/>
  <c r="A279" i="8"/>
  <c r="B279" i="8"/>
  <c r="C279" i="8"/>
  <c r="D279" i="8"/>
  <c r="A280" i="8"/>
  <c r="B280" i="8"/>
  <c r="C280" i="8"/>
  <c r="D280" i="8"/>
  <c r="A281" i="8"/>
  <c r="B281" i="8"/>
  <c r="C281" i="8"/>
  <c r="D281" i="8"/>
  <c r="A282" i="8"/>
  <c r="B282" i="8"/>
  <c r="C282" i="8"/>
  <c r="D282" i="8"/>
  <c r="A283" i="8"/>
  <c r="B283" i="8"/>
  <c r="C283" i="8"/>
  <c r="D283" i="8"/>
  <c r="A284" i="8"/>
  <c r="B284" i="8"/>
  <c r="C284" i="8"/>
  <c r="D284" i="8"/>
  <c r="A285" i="8"/>
  <c r="B285" i="8"/>
  <c r="C285" i="8"/>
  <c r="D285" i="8"/>
  <c r="A286" i="8"/>
  <c r="B286" i="8"/>
  <c r="C286" i="8"/>
  <c r="D286" i="8"/>
  <c r="A287" i="8"/>
  <c r="B287" i="8"/>
  <c r="C287" i="8"/>
  <c r="D287" i="8"/>
  <c r="A288" i="8"/>
  <c r="B288" i="8"/>
  <c r="C288" i="8"/>
  <c r="D288" i="8"/>
  <c r="A289" i="8"/>
  <c r="B289" i="8"/>
  <c r="C289" i="8"/>
  <c r="D289" i="8"/>
  <c r="A290" i="8"/>
  <c r="B290" i="8"/>
  <c r="C290" i="8"/>
  <c r="D290" i="8"/>
  <c r="A291" i="8"/>
  <c r="B291" i="8"/>
  <c r="C291" i="8"/>
  <c r="D291" i="8"/>
  <c r="A292" i="8"/>
  <c r="B292" i="8"/>
  <c r="C292" i="8"/>
  <c r="D292" i="8"/>
  <c r="A293" i="8"/>
  <c r="B293" i="8"/>
  <c r="C293" i="8"/>
  <c r="D293" i="8"/>
  <c r="A294" i="8"/>
  <c r="B294" i="8"/>
  <c r="C294" i="8"/>
  <c r="D294" i="8"/>
  <c r="A295" i="8"/>
  <c r="B295" i="8"/>
  <c r="C295" i="8"/>
  <c r="D295" i="8"/>
  <c r="A296" i="8"/>
  <c r="B296" i="8"/>
  <c r="C296" i="8"/>
  <c r="D296" i="8"/>
  <c r="A297" i="8"/>
  <c r="B297" i="8"/>
  <c r="C297" i="8"/>
  <c r="D297" i="8"/>
  <c r="A298" i="8"/>
  <c r="B298" i="8"/>
  <c r="C298" i="8"/>
  <c r="D298" i="8"/>
  <c r="A299" i="8"/>
  <c r="B299" i="8"/>
  <c r="C299" i="8"/>
  <c r="D299" i="8"/>
  <c r="A300" i="8"/>
  <c r="B300" i="8"/>
  <c r="C300" i="8"/>
  <c r="D300" i="8"/>
  <c r="A301" i="8"/>
  <c r="B301" i="8"/>
  <c r="C301" i="8"/>
  <c r="D301" i="8"/>
  <c r="A302" i="8"/>
  <c r="B302" i="8"/>
  <c r="C302" i="8"/>
  <c r="D302" i="8"/>
  <c r="A303" i="8"/>
  <c r="B303" i="8"/>
  <c r="C303" i="8"/>
  <c r="D303" i="8"/>
  <c r="A304" i="8"/>
  <c r="B304" i="8"/>
  <c r="C304" i="8"/>
  <c r="D304" i="8"/>
  <c r="A305" i="8"/>
  <c r="B305" i="8"/>
  <c r="C305" i="8"/>
  <c r="D305" i="8"/>
  <c r="A306" i="8"/>
  <c r="B306" i="8"/>
  <c r="C306" i="8"/>
  <c r="D306" i="8"/>
  <c r="A307" i="8"/>
  <c r="B307" i="8"/>
  <c r="C307" i="8"/>
  <c r="D307" i="8"/>
  <c r="A308" i="8"/>
  <c r="B308" i="8"/>
  <c r="C308" i="8"/>
  <c r="D308" i="8"/>
  <c r="A309" i="8"/>
  <c r="B309" i="8"/>
  <c r="C309" i="8"/>
  <c r="D309" i="8"/>
  <c r="A310" i="8"/>
  <c r="B310" i="8"/>
  <c r="C310" i="8"/>
  <c r="D310" i="8"/>
  <c r="A311" i="8"/>
  <c r="B311" i="8"/>
  <c r="C311" i="8"/>
  <c r="D311" i="8"/>
  <c r="A312" i="8"/>
  <c r="B312" i="8"/>
  <c r="C312" i="8"/>
  <c r="D312" i="8"/>
  <c r="A313" i="8"/>
  <c r="B313" i="8"/>
  <c r="C313" i="8"/>
  <c r="D313" i="8"/>
  <c r="A314" i="8"/>
  <c r="B314" i="8"/>
  <c r="C314" i="8"/>
  <c r="D314" i="8"/>
  <c r="A315" i="8"/>
  <c r="B315" i="8"/>
  <c r="C315" i="8"/>
  <c r="D315" i="8"/>
  <c r="A316" i="8"/>
  <c r="B316" i="8"/>
  <c r="C316" i="8"/>
  <c r="D316" i="8"/>
  <c r="A317" i="8"/>
  <c r="B317" i="8"/>
  <c r="C317" i="8"/>
  <c r="D317" i="8"/>
  <c r="A318" i="8"/>
  <c r="B318" i="8"/>
  <c r="C318" i="8"/>
  <c r="D318" i="8"/>
  <c r="A319" i="8"/>
  <c r="B319" i="8"/>
  <c r="C319" i="8"/>
  <c r="D319" i="8"/>
  <c r="A320" i="8"/>
  <c r="B320" i="8"/>
  <c r="C320" i="8"/>
  <c r="D320" i="8"/>
  <c r="A321" i="8"/>
  <c r="B321" i="8"/>
  <c r="C321" i="8"/>
  <c r="D321" i="8"/>
  <c r="A322" i="8"/>
  <c r="B322" i="8"/>
  <c r="C322" i="8"/>
  <c r="D322" i="8"/>
  <c r="A323" i="8"/>
  <c r="B323" i="8"/>
  <c r="C323" i="8"/>
  <c r="D323" i="8"/>
  <c r="A324" i="8"/>
  <c r="B324" i="8"/>
  <c r="C324" i="8"/>
  <c r="D324" i="8"/>
  <c r="A325" i="8"/>
  <c r="B325" i="8"/>
  <c r="C325" i="8"/>
  <c r="D325" i="8"/>
  <c r="A326" i="8"/>
  <c r="B326" i="8"/>
  <c r="C326" i="8"/>
  <c r="D326" i="8"/>
  <c r="A327" i="8"/>
  <c r="B327" i="8"/>
  <c r="C327" i="8"/>
  <c r="D327" i="8"/>
  <c r="A328" i="8"/>
  <c r="B328" i="8"/>
  <c r="C328" i="8"/>
  <c r="D328" i="8"/>
  <c r="A329" i="8"/>
  <c r="B329" i="8"/>
  <c r="C329" i="8"/>
  <c r="D329" i="8"/>
  <c r="A330" i="8"/>
  <c r="B330" i="8"/>
  <c r="C330" i="8"/>
  <c r="D330" i="8"/>
  <c r="A331" i="8"/>
  <c r="B331" i="8"/>
  <c r="C331" i="8"/>
  <c r="D331" i="8"/>
  <c r="A332" i="8"/>
  <c r="B332" i="8"/>
  <c r="C332" i="8"/>
  <c r="D332" i="8"/>
  <c r="A333" i="8"/>
  <c r="B333" i="8"/>
  <c r="C333" i="8"/>
  <c r="D333" i="8"/>
  <c r="A334" i="8"/>
  <c r="B334" i="8"/>
  <c r="C334" i="8"/>
  <c r="D334" i="8"/>
  <c r="A335" i="8"/>
  <c r="B335" i="8"/>
  <c r="C335" i="8"/>
  <c r="D335" i="8"/>
  <c r="A336" i="8"/>
  <c r="B336" i="8"/>
  <c r="C336" i="8"/>
  <c r="D336" i="8"/>
  <c r="A337" i="8"/>
  <c r="B337" i="8"/>
  <c r="C337" i="8"/>
  <c r="D337" i="8"/>
  <c r="A338" i="8"/>
  <c r="B338" i="8"/>
  <c r="C338" i="8"/>
  <c r="D338" i="8"/>
  <c r="A339" i="8"/>
  <c r="B339" i="8"/>
  <c r="C339" i="8"/>
  <c r="D339" i="8"/>
  <c r="A340" i="8"/>
  <c r="B340" i="8"/>
  <c r="C340" i="8"/>
  <c r="D340" i="8"/>
  <c r="A341" i="8"/>
  <c r="B341" i="8"/>
  <c r="C341" i="8"/>
  <c r="D341" i="8"/>
  <c r="A342" i="8"/>
  <c r="B342" i="8"/>
  <c r="C342" i="8"/>
  <c r="D342" i="8"/>
  <c r="A343" i="8"/>
  <c r="B343" i="8"/>
  <c r="C343" i="8"/>
  <c r="D343" i="8"/>
  <c r="A344" i="8"/>
  <c r="B344" i="8"/>
  <c r="C344" i="8"/>
  <c r="D344" i="8"/>
  <c r="A345" i="8"/>
  <c r="B345" i="8"/>
  <c r="C345" i="8"/>
  <c r="D345" i="8"/>
  <c r="A346" i="8"/>
  <c r="B346" i="8"/>
  <c r="C346" i="8"/>
  <c r="D346" i="8"/>
  <c r="A347" i="8"/>
  <c r="B347" i="8"/>
  <c r="C347" i="8"/>
  <c r="D347" i="8"/>
  <c r="A348" i="8"/>
  <c r="B348" i="8"/>
  <c r="C348" i="8"/>
  <c r="D348" i="8"/>
  <c r="A349" i="8"/>
  <c r="B349" i="8"/>
  <c r="C349" i="8"/>
  <c r="D349" i="8"/>
  <c r="A350" i="8"/>
  <c r="B350" i="8"/>
  <c r="C350" i="8"/>
  <c r="D350" i="8"/>
  <c r="A351" i="8"/>
  <c r="B351" i="8"/>
  <c r="C351" i="8"/>
  <c r="D351" i="8"/>
  <c r="A352" i="8"/>
  <c r="B352" i="8"/>
  <c r="C352" i="8"/>
  <c r="D352" i="8"/>
  <c r="A353" i="8"/>
  <c r="B353" i="8"/>
  <c r="C353" i="8"/>
  <c r="D353" i="8"/>
  <c r="A354" i="8"/>
  <c r="B354" i="8"/>
  <c r="C354" i="8"/>
  <c r="D354" i="8"/>
  <c r="A355" i="8"/>
  <c r="B355" i="8"/>
  <c r="C355" i="8"/>
  <c r="D355" i="8"/>
  <c r="A356" i="8"/>
  <c r="B356" i="8"/>
  <c r="C356" i="8"/>
  <c r="D356" i="8"/>
  <c r="A357" i="8"/>
  <c r="B357" i="8"/>
  <c r="C357" i="8"/>
  <c r="D357" i="8"/>
  <c r="A358" i="8"/>
  <c r="B358" i="8"/>
  <c r="C358" i="8"/>
  <c r="D358" i="8"/>
  <c r="A3" i="8"/>
  <c r="B3" i="8"/>
  <c r="C3" i="8"/>
  <c r="D3" i="8"/>
  <c r="A4" i="8"/>
  <c r="B4" i="8"/>
  <c r="C4" i="8"/>
  <c r="D4" i="8"/>
  <c r="A5" i="8"/>
  <c r="B5" i="8"/>
  <c r="C5" i="8"/>
  <c r="D5" i="8"/>
  <c r="A6" i="8"/>
  <c r="B6" i="8"/>
  <c r="C6" i="8"/>
  <c r="D6" i="8"/>
  <c r="A7" i="8"/>
  <c r="B7" i="8"/>
  <c r="C7" i="8"/>
  <c r="D7" i="8"/>
  <c r="A8" i="8"/>
  <c r="B8" i="8"/>
  <c r="C8" i="8"/>
  <c r="D8" i="8"/>
  <c r="A9" i="8"/>
  <c r="B9" i="8"/>
  <c r="C9" i="8"/>
  <c r="D9" i="8"/>
  <c r="A10" i="8"/>
  <c r="B10" i="8"/>
  <c r="C10" i="8"/>
  <c r="D10" i="8"/>
  <c r="A11" i="8"/>
  <c r="B11" i="8"/>
  <c r="C11" i="8"/>
  <c r="D11" i="8"/>
  <c r="A12" i="8"/>
  <c r="B12" i="8"/>
  <c r="C12" i="8"/>
  <c r="D12" i="8"/>
  <c r="A13" i="8"/>
  <c r="B13" i="8"/>
  <c r="C13" i="8"/>
  <c r="D13" i="8"/>
  <c r="A14" i="8"/>
  <c r="B14" i="8"/>
  <c r="C14" i="8"/>
  <c r="D14" i="8"/>
  <c r="A15" i="8"/>
  <c r="B15" i="8"/>
  <c r="C15" i="8"/>
  <c r="D15" i="8"/>
  <c r="A16" i="8"/>
  <c r="B16" i="8"/>
  <c r="C16" i="8"/>
  <c r="D16" i="8"/>
  <c r="A17" i="8"/>
  <c r="B17" i="8"/>
  <c r="C17" i="8"/>
  <c r="D17" i="8"/>
  <c r="A18" i="8"/>
  <c r="B18" i="8"/>
  <c r="C18" i="8"/>
  <c r="D18" i="8"/>
  <c r="A19" i="8"/>
  <c r="B19" i="8"/>
  <c r="C19" i="8"/>
  <c r="D19" i="8"/>
  <c r="A20" i="8"/>
  <c r="B20" i="8"/>
  <c r="C20" i="8"/>
  <c r="D20" i="8"/>
  <c r="A21" i="8"/>
  <c r="B21" i="8"/>
  <c r="C21" i="8"/>
  <c r="D21" i="8"/>
  <c r="A22" i="8"/>
  <c r="B22" i="8"/>
  <c r="C22" i="8"/>
  <c r="D22" i="8"/>
  <c r="A23" i="8"/>
  <c r="B23" i="8"/>
  <c r="C23" i="8"/>
  <c r="D23" i="8"/>
  <c r="A24" i="8"/>
  <c r="B24" i="8"/>
  <c r="C24" i="8"/>
  <c r="D24" i="8"/>
  <c r="A25" i="8"/>
  <c r="B25" i="8"/>
  <c r="C25" i="8"/>
  <c r="D25" i="8"/>
  <c r="A26" i="8"/>
  <c r="B26" i="8"/>
  <c r="C26" i="8"/>
  <c r="D26" i="8"/>
  <c r="A27" i="8"/>
  <c r="B27" i="8"/>
  <c r="C27" i="8"/>
  <c r="D27" i="8"/>
  <c r="A28" i="8"/>
  <c r="B28" i="8"/>
  <c r="C28" i="8"/>
  <c r="D28" i="8"/>
  <c r="A29" i="8"/>
  <c r="B29" i="8"/>
  <c r="C29" i="8"/>
  <c r="D29" i="8"/>
  <c r="A30" i="8"/>
  <c r="B30" i="8"/>
  <c r="C30" i="8"/>
  <c r="D30" i="8"/>
  <c r="A31" i="8"/>
  <c r="B31" i="8"/>
  <c r="C31" i="8"/>
  <c r="D31" i="8"/>
  <c r="A32" i="8"/>
  <c r="B32" i="8"/>
  <c r="C32" i="8"/>
  <c r="D32" i="8"/>
  <c r="A33" i="8"/>
  <c r="B33" i="8"/>
  <c r="C33" i="8"/>
  <c r="D33" i="8"/>
  <c r="A34" i="8"/>
  <c r="B34" i="8"/>
  <c r="C34" i="8"/>
  <c r="D34" i="8"/>
  <c r="A35" i="8"/>
  <c r="B35" i="8"/>
  <c r="C35" i="8"/>
  <c r="D35" i="8"/>
  <c r="A36" i="8"/>
  <c r="B36" i="8"/>
  <c r="C36" i="8"/>
  <c r="D36" i="8"/>
  <c r="A37" i="8"/>
  <c r="B37" i="8"/>
  <c r="C37" i="8"/>
  <c r="D37" i="8"/>
  <c r="A38" i="8"/>
  <c r="B38" i="8"/>
  <c r="C38" i="8"/>
  <c r="D38" i="8"/>
  <c r="A39" i="8"/>
  <c r="B39" i="8"/>
  <c r="C39" i="8"/>
  <c r="D39" i="8"/>
  <c r="A40" i="8"/>
  <c r="B40" i="8"/>
  <c r="C40" i="8"/>
  <c r="D40" i="8"/>
  <c r="A41" i="8"/>
  <c r="B41" i="8"/>
  <c r="C41" i="8"/>
  <c r="D41" i="8"/>
  <c r="A42" i="8"/>
  <c r="B42" i="8"/>
  <c r="C42" i="8"/>
  <c r="D42" i="8"/>
  <c r="A43" i="8"/>
  <c r="B43" i="8"/>
  <c r="C43" i="8"/>
  <c r="D43" i="8"/>
  <c r="A44" i="8"/>
  <c r="B44" i="8"/>
  <c r="C44" i="8"/>
  <c r="D44" i="8"/>
  <c r="A45" i="8"/>
  <c r="B45" i="8"/>
  <c r="C45" i="8"/>
  <c r="D45" i="8"/>
  <c r="A46" i="8"/>
  <c r="B46" i="8"/>
  <c r="C46" i="8"/>
  <c r="D46" i="8"/>
  <c r="A47" i="8"/>
  <c r="B47" i="8"/>
  <c r="C47" i="8"/>
  <c r="D47" i="8"/>
  <c r="A48" i="8"/>
  <c r="B48" i="8"/>
  <c r="C48" i="8"/>
  <c r="D48" i="8"/>
  <c r="A49" i="8"/>
  <c r="B49" i="8"/>
  <c r="C49" i="8"/>
  <c r="D49" i="8"/>
  <c r="A50" i="8"/>
  <c r="B50" i="8"/>
  <c r="C50" i="8"/>
  <c r="D50" i="8"/>
  <c r="A51" i="8"/>
  <c r="B51" i="8"/>
  <c r="C51" i="8"/>
  <c r="D51" i="8"/>
  <c r="A52" i="8"/>
  <c r="B52" i="8"/>
  <c r="C52" i="8"/>
  <c r="D52" i="8"/>
  <c r="A53" i="8"/>
  <c r="B53" i="8"/>
  <c r="C53" i="8"/>
  <c r="D53" i="8"/>
  <c r="A54" i="8"/>
  <c r="B54" i="8"/>
  <c r="C54" i="8"/>
  <c r="D54" i="8"/>
  <c r="A55" i="8"/>
  <c r="B55" i="8"/>
  <c r="C55" i="8"/>
  <c r="D55" i="8"/>
  <c r="A56" i="8"/>
  <c r="B56" i="8"/>
  <c r="C56" i="8"/>
  <c r="D56" i="8"/>
  <c r="A57" i="8"/>
  <c r="B57" i="8"/>
  <c r="C57" i="8"/>
  <c r="D57" i="8"/>
  <c r="A58" i="8"/>
  <c r="B58" i="8"/>
  <c r="C58" i="8"/>
  <c r="D58" i="8"/>
  <c r="A59" i="8"/>
  <c r="B59" i="8"/>
  <c r="C59" i="8"/>
  <c r="D59" i="8"/>
  <c r="A60" i="8"/>
  <c r="B60" i="8"/>
  <c r="C60" i="8"/>
  <c r="D60" i="8"/>
  <c r="A61" i="8"/>
  <c r="B61" i="8"/>
  <c r="C61" i="8"/>
  <c r="D61" i="8"/>
  <c r="A62" i="8"/>
  <c r="B62" i="8"/>
  <c r="C62" i="8"/>
  <c r="D62" i="8"/>
  <c r="A63" i="8"/>
  <c r="B63" i="8"/>
  <c r="C63" i="8"/>
  <c r="D63" i="8"/>
  <c r="A64" i="8"/>
  <c r="B64" i="8"/>
  <c r="C64" i="8"/>
  <c r="D64" i="8"/>
  <c r="A65" i="8"/>
  <c r="B65" i="8"/>
  <c r="C65" i="8"/>
  <c r="D65" i="8"/>
  <c r="A66" i="8"/>
  <c r="B66" i="8"/>
  <c r="C66" i="8"/>
  <c r="D66" i="8"/>
  <c r="A67" i="8"/>
  <c r="B67" i="8"/>
  <c r="C67" i="8"/>
  <c r="D67" i="8"/>
  <c r="A68" i="8"/>
  <c r="B68" i="8"/>
  <c r="C68" i="8"/>
  <c r="D68" i="8"/>
  <c r="A69" i="8"/>
  <c r="B69" i="8"/>
  <c r="C69" i="8"/>
  <c r="D69" i="8"/>
  <c r="A70" i="8"/>
  <c r="B70" i="8"/>
  <c r="C70" i="8"/>
  <c r="D70" i="8"/>
  <c r="A71" i="8"/>
  <c r="B71" i="8"/>
  <c r="C71" i="8"/>
  <c r="D71" i="8"/>
  <c r="A72" i="8"/>
  <c r="B72" i="8"/>
  <c r="C72" i="8"/>
  <c r="D72" i="8"/>
  <c r="A73" i="8"/>
  <c r="B73" i="8"/>
  <c r="C73" i="8"/>
  <c r="D73" i="8"/>
  <c r="A74" i="8"/>
  <c r="B74" i="8"/>
  <c r="C74" i="8"/>
  <c r="D74" i="8"/>
  <c r="A75" i="8"/>
  <c r="B75" i="8"/>
  <c r="C75" i="8"/>
  <c r="D75" i="8"/>
  <c r="A76" i="8"/>
  <c r="B76" i="8"/>
  <c r="C76" i="8"/>
  <c r="D76" i="8"/>
  <c r="A77" i="8"/>
  <c r="B77" i="8"/>
  <c r="C77" i="8"/>
  <c r="D77" i="8"/>
  <c r="A78" i="8"/>
  <c r="B78" i="8"/>
  <c r="C78" i="8"/>
  <c r="D78" i="8"/>
  <c r="A79" i="8"/>
  <c r="B79" i="8"/>
  <c r="C79" i="8"/>
  <c r="D79" i="8"/>
  <c r="A80" i="8"/>
  <c r="B80" i="8"/>
  <c r="C80" i="8"/>
  <c r="D80" i="8"/>
  <c r="A81" i="8"/>
  <c r="B81" i="8"/>
  <c r="C81" i="8"/>
  <c r="D81" i="8"/>
  <c r="A82" i="8"/>
  <c r="B82" i="8"/>
  <c r="C82" i="8"/>
  <c r="D82" i="8"/>
  <c r="A83" i="8"/>
  <c r="B83" i="8"/>
  <c r="C83" i="8"/>
  <c r="D83" i="8"/>
  <c r="A84" i="8"/>
  <c r="B84" i="8"/>
  <c r="C84" i="8"/>
  <c r="D84" i="8"/>
  <c r="A85" i="8"/>
  <c r="B85" i="8"/>
  <c r="C85" i="8"/>
  <c r="D85" i="8"/>
  <c r="A86" i="8"/>
  <c r="B86" i="8"/>
  <c r="C86" i="8"/>
  <c r="D86" i="8"/>
  <c r="A87" i="8"/>
  <c r="B87" i="8"/>
  <c r="C87" i="8"/>
  <c r="D87" i="8"/>
  <c r="A88" i="8"/>
  <c r="B88" i="8"/>
  <c r="C88" i="8"/>
  <c r="D88" i="8"/>
  <c r="A89" i="8"/>
  <c r="B89" i="8"/>
  <c r="C89" i="8"/>
  <c r="D89" i="8"/>
  <c r="A90" i="8"/>
  <c r="B90" i="8"/>
  <c r="C90" i="8"/>
  <c r="D90" i="8"/>
  <c r="A91" i="8"/>
  <c r="B91" i="8"/>
  <c r="C91" i="8"/>
  <c r="D91" i="8"/>
  <c r="A92" i="8"/>
  <c r="B92" i="8"/>
  <c r="C92" i="8"/>
  <c r="D92" i="8"/>
  <c r="A93" i="8"/>
  <c r="B93" i="8"/>
  <c r="C93" i="8"/>
  <c r="D93" i="8"/>
  <c r="A94" i="8"/>
  <c r="B94" i="8"/>
  <c r="C94" i="8"/>
  <c r="D94" i="8"/>
  <c r="A95" i="8"/>
  <c r="B95" i="8"/>
  <c r="C95" i="8"/>
  <c r="D95" i="8"/>
  <c r="A96" i="8"/>
  <c r="B96" i="8"/>
  <c r="C96" i="8"/>
  <c r="D96" i="8"/>
  <c r="A97" i="8"/>
  <c r="B97" i="8"/>
  <c r="C97" i="8"/>
  <c r="D97" i="8"/>
  <c r="A98" i="8"/>
  <c r="B98" i="8"/>
  <c r="C98" i="8"/>
  <c r="D98" i="8"/>
  <c r="A99" i="8"/>
  <c r="B99" i="8"/>
  <c r="C99" i="8"/>
  <c r="D99" i="8"/>
  <c r="A100" i="8"/>
  <c r="B100" i="8"/>
  <c r="C100" i="8"/>
  <c r="D100" i="8"/>
  <c r="A101" i="8"/>
  <c r="B101" i="8"/>
  <c r="C101" i="8"/>
  <c r="D101" i="8"/>
  <c r="A102" i="8"/>
  <c r="B102" i="8"/>
  <c r="C102" i="8"/>
  <c r="D102" i="8"/>
  <c r="A103" i="8"/>
  <c r="B103" i="8"/>
  <c r="C103" i="8"/>
  <c r="D103" i="8"/>
  <c r="A104" i="8"/>
  <c r="B104" i="8"/>
  <c r="C104" i="8"/>
  <c r="D104" i="8"/>
  <c r="A105" i="8"/>
  <c r="B105" i="8"/>
  <c r="C105" i="8"/>
  <c r="D105" i="8"/>
  <c r="A106" i="8"/>
  <c r="B106" i="8"/>
  <c r="C106" i="8"/>
  <c r="D106" i="8"/>
  <c r="A107" i="8"/>
  <c r="B107" i="8"/>
  <c r="C107" i="8"/>
  <c r="D107" i="8"/>
  <c r="A108" i="8"/>
  <c r="B108" i="8"/>
  <c r="C108" i="8"/>
  <c r="D108" i="8"/>
  <c r="A109" i="8"/>
  <c r="B109" i="8"/>
  <c r="C109" i="8"/>
  <c r="D109" i="8"/>
  <c r="A110" i="8"/>
  <c r="B110" i="8"/>
  <c r="C110" i="8"/>
  <c r="D110" i="8"/>
  <c r="A111" i="8"/>
  <c r="B111" i="8"/>
  <c r="C111" i="8"/>
  <c r="D111" i="8"/>
  <c r="A112" i="8"/>
  <c r="B112" i="8"/>
  <c r="C112" i="8"/>
  <c r="D112" i="8"/>
  <c r="A113" i="8"/>
  <c r="B113" i="8"/>
  <c r="C113" i="8"/>
  <c r="D113" i="8"/>
  <c r="A114" i="8"/>
  <c r="B114" i="8"/>
  <c r="C114" i="8"/>
  <c r="D114" i="8"/>
  <c r="A115" i="8"/>
  <c r="B115" i="8"/>
  <c r="C115" i="8"/>
  <c r="D115" i="8"/>
  <c r="A116" i="8"/>
  <c r="B116" i="8"/>
  <c r="C116" i="8"/>
  <c r="D116" i="8"/>
  <c r="A117" i="8"/>
  <c r="B117" i="8"/>
  <c r="C117" i="8"/>
  <c r="D117" i="8"/>
  <c r="A118" i="8"/>
  <c r="B118" i="8"/>
  <c r="C118" i="8"/>
  <c r="D118" i="8"/>
  <c r="A119" i="8"/>
  <c r="B119" i="8"/>
  <c r="C119" i="8"/>
  <c r="D119" i="8"/>
  <c r="A120" i="8"/>
  <c r="B120" i="8"/>
  <c r="C120" i="8"/>
  <c r="D120" i="8"/>
  <c r="A121" i="8"/>
  <c r="B121" i="8"/>
  <c r="C121" i="8"/>
  <c r="D121" i="8"/>
  <c r="A122" i="8"/>
  <c r="B122" i="8"/>
  <c r="C122" i="8"/>
  <c r="D122" i="8"/>
  <c r="A123" i="8"/>
  <c r="B123" i="8"/>
  <c r="C123" i="8"/>
  <c r="D123" i="8"/>
  <c r="A124" i="8"/>
  <c r="B124" i="8"/>
  <c r="C124" i="8"/>
  <c r="D124" i="8"/>
  <c r="A125" i="8"/>
  <c r="B125" i="8"/>
  <c r="C125" i="8"/>
  <c r="D125" i="8"/>
  <c r="A126" i="8"/>
  <c r="B126" i="8"/>
  <c r="C126" i="8"/>
  <c r="D126" i="8"/>
  <c r="A127" i="8"/>
  <c r="B127" i="8"/>
  <c r="C127" i="8"/>
  <c r="D127" i="8"/>
  <c r="A128" i="8"/>
  <c r="B128" i="8"/>
  <c r="C128" i="8"/>
  <c r="D128" i="8"/>
  <c r="A129" i="8"/>
  <c r="B129" i="8"/>
  <c r="C129" i="8"/>
  <c r="D129" i="8"/>
  <c r="A130" i="8"/>
  <c r="B130" i="8"/>
  <c r="C130" i="8"/>
  <c r="D130" i="8"/>
  <c r="A131" i="8"/>
  <c r="B131" i="8"/>
  <c r="C131" i="8"/>
  <c r="D131" i="8"/>
  <c r="A132" i="8"/>
  <c r="B132" i="8"/>
  <c r="C132" i="8"/>
  <c r="D132" i="8"/>
  <c r="A133" i="8"/>
  <c r="B133" i="8"/>
  <c r="C133" i="8"/>
  <c r="D133" i="8"/>
  <c r="A134" i="8"/>
  <c r="B134" i="8"/>
  <c r="C134" i="8"/>
  <c r="D134" i="8"/>
  <c r="A135" i="8"/>
  <c r="B135" i="8"/>
  <c r="C135" i="8"/>
  <c r="D135" i="8"/>
  <c r="A136" i="8"/>
  <c r="B136" i="8"/>
  <c r="C136" i="8"/>
  <c r="D136" i="8"/>
  <c r="A137" i="8"/>
  <c r="B137" i="8"/>
  <c r="C137" i="8"/>
  <c r="D137" i="8"/>
  <c r="A138" i="8"/>
  <c r="B138" i="8"/>
  <c r="C138" i="8"/>
  <c r="D138" i="8"/>
  <c r="A139" i="8"/>
  <c r="B139" i="8"/>
  <c r="C139" i="8"/>
  <c r="D139" i="8"/>
  <c r="A140" i="8"/>
  <c r="B140" i="8"/>
  <c r="C140" i="8"/>
  <c r="D140" i="8"/>
  <c r="A141" i="8"/>
  <c r="B141" i="8"/>
  <c r="C141" i="8"/>
  <c r="D141" i="8"/>
  <c r="A142" i="8"/>
  <c r="B142" i="8"/>
  <c r="C142" i="8"/>
  <c r="D142" i="8"/>
  <c r="A143" i="8"/>
  <c r="B143" i="8"/>
  <c r="C143" i="8"/>
  <c r="D143" i="8"/>
  <c r="A144" i="8"/>
  <c r="B144" i="8"/>
  <c r="C144" i="8"/>
  <c r="D144" i="8"/>
  <c r="A145" i="8"/>
  <c r="B145" i="8"/>
  <c r="C145" i="8"/>
  <c r="D145" i="8"/>
  <c r="A146" i="8"/>
  <c r="B146" i="8"/>
  <c r="C146" i="8"/>
  <c r="D146" i="8"/>
  <c r="A147" i="8"/>
  <c r="B147" i="8"/>
  <c r="C147" i="8"/>
  <c r="D147" i="8"/>
  <c r="A148" i="8"/>
  <c r="B148" i="8"/>
  <c r="C148" i="8"/>
  <c r="D148" i="8"/>
  <c r="A149" i="8"/>
  <c r="B149" i="8"/>
  <c r="C149" i="8"/>
  <c r="D149" i="8"/>
  <c r="A150" i="8"/>
  <c r="B150" i="8"/>
  <c r="C150" i="8"/>
  <c r="D150" i="8"/>
  <c r="A151" i="8"/>
  <c r="B151" i="8"/>
  <c r="C151" i="8"/>
  <c r="D151" i="8"/>
  <c r="A152" i="8"/>
  <c r="B152" i="8"/>
  <c r="C152" i="8"/>
  <c r="D152" i="8"/>
  <c r="A153" i="8"/>
  <c r="B153" i="8"/>
  <c r="C153" i="8"/>
  <c r="D153" i="8"/>
  <c r="A154" i="8"/>
  <c r="B154" i="8"/>
  <c r="C154" i="8"/>
  <c r="D154" i="8"/>
  <c r="A155" i="8"/>
  <c r="B155" i="8"/>
  <c r="C155" i="8"/>
  <c r="D155" i="8"/>
  <c r="A156" i="8"/>
  <c r="B156" i="8"/>
  <c r="C156" i="8"/>
  <c r="D156" i="8"/>
  <c r="A157" i="8"/>
  <c r="B157" i="8"/>
  <c r="C157" i="8"/>
  <c r="D157" i="8"/>
  <c r="A158" i="8"/>
  <c r="B158" i="8"/>
  <c r="C158" i="8"/>
  <c r="D158" i="8"/>
  <c r="A159" i="8"/>
  <c r="B159" i="8"/>
  <c r="C159" i="8"/>
  <c r="D159" i="8"/>
  <c r="A160" i="8"/>
  <c r="B160" i="8"/>
  <c r="C160" i="8"/>
  <c r="D160" i="8"/>
  <c r="A161" i="8"/>
  <c r="B161" i="8"/>
  <c r="C161" i="8"/>
  <c r="D161" i="8"/>
  <c r="A162" i="8"/>
  <c r="B162" i="8"/>
  <c r="C162" i="8"/>
  <c r="D162" i="8"/>
  <c r="A163" i="8"/>
  <c r="B163" i="8"/>
  <c r="C163" i="8"/>
  <c r="D163" i="8"/>
  <c r="A164" i="8"/>
  <c r="B164" i="8"/>
  <c r="C164" i="8"/>
  <c r="D164" i="8"/>
  <c r="A165" i="8"/>
  <c r="B165" i="8"/>
  <c r="C165" i="8"/>
  <c r="D165" i="8"/>
  <c r="A166" i="8"/>
  <c r="B166" i="8"/>
  <c r="C166" i="8"/>
  <c r="D166" i="8"/>
  <c r="A167" i="8"/>
  <c r="B167" i="8"/>
  <c r="C167" i="8"/>
  <c r="D167" i="8"/>
  <c r="A168" i="8"/>
  <c r="B168" i="8"/>
  <c r="C168" i="8"/>
  <c r="D168" i="8"/>
  <c r="A169" i="8"/>
  <c r="B169" i="8"/>
  <c r="C169" i="8"/>
  <c r="D169" i="8"/>
  <c r="A170" i="8"/>
  <c r="B170" i="8"/>
  <c r="C170" i="8"/>
  <c r="D170" i="8"/>
  <c r="A171" i="8"/>
  <c r="B171" i="8"/>
  <c r="C171" i="8"/>
  <c r="D171" i="8"/>
  <c r="A172" i="8"/>
  <c r="B172" i="8"/>
  <c r="C172" i="8"/>
  <c r="D172" i="8"/>
  <c r="A173" i="8"/>
  <c r="B173" i="8"/>
  <c r="C173" i="8"/>
  <c r="D173" i="8"/>
  <c r="A174" i="8"/>
  <c r="B174" i="8"/>
  <c r="C174" i="8"/>
  <c r="D174" i="8"/>
  <c r="A175" i="8"/>
  <c r="B175" i="8"/>
  <c r="C175" i="8"/>
  <c r="D175" i="8"/>
  <c r="A176" i="8"/>
  <c r="B176" i="8"/>
  <c r="C176" i="8"/>
  <c r="D176" i="8"/>
  <c r="A177" i="8"/>
  <c r="B177" i="8"/>
  <c r="C177" i="8"/>
  <c r="D177" i="8"/>
  <c r="A178" i="8"/>
  <c r="B178" i="8"/>
  <c r="C178" i="8"/>
  <c r="D178" i="8"/>
  <c r="A179" i="8"/>
  <c r="B179" i="8"/>
  <c r="C179" i="8"/>
  <c r="D179" i="8"/>
  <c r="A180" i="8"/>
  <c r="B180" i="8"/>
  <c r="C180" i="8"/>
  <c r="D180" i="8"/>
  <c r="A181" i="8"/>
  <c r="B181" i="8"/>
  <c r="C181" i="8"/>
  <c r="D181" i="8"/>
  <c r="A182" i="8"/>
  <c r="B182" i="8"/>
  <c r="C182" i="8"/>
  <c r="D182" i="8"/>
  <c r="A183" i="8"/>
  <c r="B183" i="8"/>
  <c r="C183" i="8"/>
  <c r="D183" i="8"/>
  <c r="A184" i="8"/>
  <c r="B184" i="8"/>
  <c r="C184" i="8"/>
  <c r="D184" i="8"/>
  <c r="A185" i="8"/>
  <c r="B185" i="8"/>
  <c r="C185" i="8"/>
  <c r="D185" i="8"/>
  <c r="A186" i="8"/>
  <c r="B186" i="8"/>
  <c r="C186" i="8"/>
  <c r="D186" i="8"/>
  <c r="A187" i="8"/>
  <c r="B187" i="8"/>
  <c r="C187" i="8"/>
  <c r="D187" i="8"/>
  <c r="A188" i="8"/>
  <c r="B188" i="8"/>
  <c r="C188" i="8"/>
  <c r="D188" i="8"/>
  <c r="A189" i="8"/>
  <c r="B189" i="8"/>
  <c r="C189" i="8"/>
  <c r="D189" i="8"/>
  <c r="A190" i="8"/>
  <c r="B190" i="8"/>
  <c r="C190" i="8"/>
  <c r="D190" i="8"/>
  <c r="A191" i="8"/>
  <c r="B191" i="8"/>
  <c r="C191" i="8"/>
  <c r="D191" i="8"/>
  <c r="A192" i="8"/>
  <c r="B192" i="8"/>
  <c r="C192" i="8"/>
  <c r="D192" i="8"/>
  <c r="A193" i="8"/>
  <c r="B193" i="8"/>
  <c r="C193" i="8"/>
  <c r="D193" i="8"/>
  <c r="A194" i="8"/>
  <c r="B194" i="8"/>
  <c r="C194" i="8"/>
  <c r="D194" i="8"/>
  <c r="A195" i="8"/>
  <c r="B195" i="8"/>
  <c r="C195" i="8"/>
  <c r="D195" i="8"/>
  <c r="A196" i="8"/>
  <c r="B196" i="8"/>
  <c r="C196" i="8"/>
  <c r="D196" i="8"/>
  <c r="A197" i="8"/>
  <c r="B197" i="8"/>
  <c r="C197" i="8"/>
  <c r="D197" i="8"/>
  <c r="A198" i="8"/>
  <c r="B198" i="8"/>
  <c r="C198" i="8"/>
  <c r="D198" i="8"/>
  <c r="A199" i="8"/>
  <c r="B199" i="8"/>
  <c r="C199" i="8"/>
  <c r="D199" i="8"/>
  <c r="A200" i="8"/>
  <c r="B200" i="8"/>
  <c r="C200" i="8"/>
  <c r="D200" i="8"/>
  <c r="A201" i="8"/>
  <c r="B201" i="8"/>
  <c r="C201" i="8"/>
  <c r="D201" i="8"/>
  <c r="A202" i="8"/>
  <c r="B202" i="8"/>
  <c r="C202" i="8"/>
  <c r="D202" i="8"/>
  <c r="A203" i="8"/>
  <c r="B203" i="8"/>
  <c r="C203" i="8"/>
  <c r="D203" i="8"/>
  <c r="A204" i="8"/>
  <c r="B204" i="8"/>
  <c r="C204" i="8"/>
  <c r="D204" i="8"/>
  <c r="A205" i="8"/>
  <c r="B205" i="8"/>
  <c r="C205" i="8"/>
  <c r="D205" i="8"/>
  <c r="A206" i="8"/>
  <c r="B206" i="8"/>
  <c r="C206" i="8"/>
  <c r="D206" i="8"/>
  <c r="A207" i="8"/>
  <c r="B207" i="8"/>
  <c r="C207" i="8"/>
  <c r="D207" i="8"/>
  <c r="A208" i="8"/>
  <c r="B208" i="8"/>
  <c r="C208" i="8"/>
  <c r="D208" i="8"/>
  <c r="A209" i="8"/>
  <c r="B209" i="8"/>
  <c r="C209" i="8"/>
  <c r="D209" i="8"/>
  <c r="A210" i="8"/>
  <c r="B210" i="8"/>
  <c r="C210" i="8"/>
  <c r="D210" i="8"/>
  <c r="A211" i="8"/>
  <c r="B211" i="8"/>
  <c r="C211" i="8"/>
  <c r="D211" i="8"/>
  <c r="A212" i="8"/>
  <c r="B212" i="8"/>
  <c r="C212" i="8"/>
  <c r="D212" i="8"/>
  <c r="A213" i="8"/>
  <c r="B213" i="8"/>
  <c r="C213" i="8"/>
  <c r="D213" i="8"/>
  <c r="A214" i="8"/>
  <c r="B214" i="8"/>
  <c r="C214" i="8"/>
  <c r="D214" i="8"/>
  <c r="A215" i="8"/>
  <c r="B215" i="8"/>
  <c r="C215" i="8"/>
  <c r="D215" i="8"/>
  <c r="A216" i="8"/>
  <c r="B216" i="8"/>
  <c r="C216" i="8"/>
  <c r="D216" i="8"/>
  <c r="A217" i="8"/>
  <c r="B217" i="8"/>
  <c r="C217" i="8"/>
  <c r="D217" i="8"/>
  <c r="A218" i="8"/>
  <c r="B218" i="8"/>
  <c r="C218" i="8"/>
  <c r="D218" i="8"/>
  <c r="A219" i="8"/>
  <c r="B219" i="8"/>
  <c r="C219" i="8"/>
  <c r="D219" i="8"/>
  <c r="A220" i="8"/>
  <c r="B220" i="8"/>
  <c r="C220" i="8"/>
  <c r="D220" i="8"/>
  <c r="A221" i="8"/>
  <c r="B221" i="8"/>
  <c r="C221" i="8"/>
  <c r="D221" i="8"/>
  <c r="A222" i="8"/>
  <c r="B222" i="8"/>
  <c r="C222" i="8"/>
  <c r="D222" i="8"/>
  <c r="A223" i="8"/>
  <c r="B223" i="8"/>
  <c r="C223" i="8"/>
  <c r="D223" i="8"/>
  <c r="A224" i="8"/>
  <c r="B224" i="8"/>
  <c r="C224" i="8"/>
  <c r="D224" i="8"/>
  <c r="A225" i="8"/>
  <c r="B225" i="8"/>
  <c r="C225" i="8"/>
  <c r="D225" i="8"/>
  <c r="A226" i="8"/>
  <c r="B226" i="8"/>
  <c r="C226" i="8"/>
  <c r="D226" i="8"/>
  <c r="A227" i="8"/>
  <c r="B227" i="8"/>
  <c r="C227" i="8"/>
  <c r="D227" i="8"/>
  <c r="A228" i="8"/>
  <c r="B228" i="8"/>
  <c r="C228" i="8"/>
  <c r="D228" i="8"/>
  <c r="A229" i="8"/>
  <c r="B229" i="8"/>
  <c r="C229" i="8"/>
  <c r="D229" i="8"/>
  <c r="A230" i="8"/>
  <c r="B230" i="8"/>
  <c r="C230" i="8"/>
  <c r="D230" i="8"/>
  <c r="A231" i="8"/>
  <c r="B231" i="8"/>
  <c r="C231" i="8"/>
  <c r="D231" i="8"/>
  <c r="A232" i="8"/>
  <c r="B232" i="8"/>
  <c r="C232" i="8"/>
  <c r="D232" i="8"/>
  <c r="A233" i="8"/>
  <c r="B233" i="8"/>
  <c r="C233" i="8"/>
  <c r="D233" i="8"/>
  <c r="A234" i="8"/>
  <c r="B234" i="8"/>
  <c r="C234" i="8"/>
  <c r="D234" i="8"/>
  <c r="A235" i="8"/>
  <c r="B235" i="8"/>
  <c r="C235" i="8"/>
  <c r="D235" i="8"/>
  <c r="A236" i="8"/>
  <c r="B236" i="8"/>
  <c r="C236" i="8"/>
  <c r="D236" i="8"/>
  <c r="A237" i="8"/>
  <c r="B237" i="8"/>
  <c r="C237" i="8"/>
  <c r="D237" i="8"/>
  <c r="A238" i="8"/>
  <c r="B238" i="8"/>
  <c r="C238" i="8"/>
  <c r="D238" i="8"/>
  <c r="A239" i="8"/>
  <c r="B239" i="8"/>
  <c r="C239" i="8"/>
  <c r="D239" i="8"/>
  <c r="A240" i="8"/>
  <c r="B240" i="8"/>
  <c r="C240" i="8"/>
  <c r="D240" i="8"/>
  <c r="A241" i="8"/>
  <c r="B241" i="8"/>
  <c r="C241" i="8"/>
  <c r="D241" i="8"/>
  <c r="B2" i="8"/>
  <c r="C2" i="8"/>
  <c r="D2" i="8"/>
  <c r="A2" i="8"/>
  <c r="R1" i="8" l="1"/>
  <c r="C31" i="1" s="1"/>
  <c r="E31" i="1" s="1"/>
  <c r="L3" i="8" l="1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L2" i="8"/>
  <c r="M2" i="8" l="1"/>
  <c r="M3" i="8" s="1"/>
  <c r="C32" i="1" s="1"/>
  <c r="E32" i="1" s="1"/>
  <c r="N1" i="8"/>
  <c r="C28" i="1" s="1"/>
  <c r="E28" i="1" s="1"/>
  <c r="O1" i="8"/>
  <c r="P1" i="8"/>
  <c r="Q1" i="8"/>
  <c r="M1" i="8"/>
  <c r="C27" i="1" s="1"/>
  <c r="E27" i="1" s="1"/>
  <c r="C10" i="1"/>
  <c r="E10" i="1" s="1"/>
  <c r="C8" i="1"/>
  <c r="E8" i="1" s="1"/>
  <c r="C7" i="1"/>
  <c r="E7" i="1" s="1"/>
  <c r="J5" i="6"/>
  <c r="C25" i="1" s="1"/>
  <c r="E25" i="1" s="1"/>
  <c r="J3" i="6"/>
  <c r="C23" i="1" s="1"/>
  <c r="E23" i="1" s="1"/>
  <c r="J2" i="6"/>
  <c r="C22" i="1" s="1"/>
  <c r="E22" i="1" s="1"/>
  <c r="I5" i="5"/>
  <c r="C20" i="1" s="1"/>
  <c r="E20" i="1" s="1"/>
  <c r="I3" i="5"/>
  <c r="C18" i="1" s="1"/>
  <c r="E18" i="1" s="1"/>
  <c r="I2" i="5"/>
  <c r="C17" i="1" s="1"/>
  <c r="E17" i="1" s="1"/>
  <c r="I5" i="4"/>
  <c r="C15" i="1" s="1"/>
  <c r="E15" i="1" s="1"/>
  <c r="I3" i="4"/>
  <c r="C13" i="1" s="1"/>
  <c r="E13" i="1" s="1"/>
  <c r="I2" i="4"/>
  <c r="C12" i="1" s="1"/>
  <c r="E12" i="1" s="1"/>
  <c r="I5" i="2"/>
  <c r="C5" i="1" s="1"/>
  <c r="I3" i="2"/>
  <c r="C3" i="1" s="1"/>
  <c r="I2" i="2"/>
  <c r="C2" i="1" s="1"/>
  <c r="C19" i="1" l="1"/>
  <c r="E19" i="1" s="1"/>
  <c r="C21" i="1"/>
  <c r="E21" i="1" s="1"/>
  <c r="C14" i="1"/>
  <c r="E14" i="1" s="1"/>
  <c r="C16" i="1"/>
  <c r="E16" i="1" s="1"/>
  <c r="C9" i="1"/>
  <c r="E9" i="1" s="1"/>
  <c r="C11" i="1"/>
  <c r="E11" i="1" s="1"/>
  <c r="C4" i="1"/>
  <c r="C6" i="1"/>
</calcChain>
</file>

<file path=xl/comments1.xml><?xml version="1.0" encoding="utf-8"?>
<comments xmlns="http://schemas.openxmlformats.org/spreadsheetml/2006/main">
  <authors>
    <author>p w</author>
  </authors>
  <commentList>
    <comment ref="J74" authorId="0">
      <text>
        <r>
          <rPr>
            <b/>
            <sz val="9"/>
            <color indexed="81"/>
            <rFont val="宋体"/>
            <family val="3"/>
            <charset val="134"/>
          </rPr>
          <t>p w:</t>
        </r>
        <r>
          <rPr>
            <sz val="9"/>
            <color indexed="81"/>
            <rFont val="宋体"/>
            <family val="3"/>
            <charset val="134"/>
          </rPr>
          <t xml:space="preserve">
修正为同时刻的天然流量1925</t>
        </r>
      </text>
    </comment>
  </commentList>
</comments>
</file>

<file path=xl/sharedStrings.xml><?xml version="1.0" encoding="utf-8"?>
<sst xmlns="http://schemas.openxmlformats.org/spreadsheetml/2006/main" count="4710" uniqueCount="75">
  <si>
    <t>名称</t>
  </si>
  <si>
    <t>项目</t>
  </si>
  <si>
    <t>三门峡水库</t>
  </si>
  <si>
    <t>最大入库(m3/s)</t>
  </si>
  <si>
    <t>最大出库(m3/s)</t>
  </si>
  <si>
    <t>滞蓄洪量(亿m3)</t>
  </si>
  <si>
    <t>最高水位(m)</t>
  </si>
  <si>
    <t>相应蓄量(亿m3)</t>
  </si>
  <si>
    <t>小浪底水库</t>
  </si>
  <si>
    <t>陆浑水库</t>
  </si>
  <si>
    <t>故县水库</t>
  </si>
  <si>
    <t>河口村水库</t>
  </si>
  <si>
    <t>龙门镇</t>
  </si>
  <si>
    <t>洪峰流量(m3/s)</t>
  </si>
  <si>
    <t>白马寺</t>
  </si>
  <si>
    <t>黑石关</t>
  </si>
  <si>
    <t>武陟</t>
  </si>
  <si>
    <t>花园口</t>
  </si>
  <si>
    <t>超万洪量(亿m3)</t>
  </si>
  <si>
    <t>孙口</t>
  </si>
  <si>
    <t>水库名称</t>
  </si>
  <si>
    <t>入库</t>
  </si>
  <si>
    <t>出库</t>
  </si>
  <si>
    <t>水位</t>
  </si>
  <si>
    <t>蓄量</t>
  </si>
  <si>
    <t>三门峡</t>
  </si>
  <si>
    <t>小浪底</t>
  </si>
  <si>
    <t>陆浑</t>
  </si>
  <si>
    <t>故县</t>
  </si>
  <si>
    <t>河口村</t>
  </si>
  <si>
    <t>时间</t>
  </si>
  <si>
    <t>山路平</t>
  </si>
  <si>
    <t>夹河滩</t>
  </si>
  <si>
    <t>高村</t>
  </si>
  <si>
    <t>艾山</t>
  </si>
  <si>
    <t>艾山</t>
    <phoneticPr fontId="3" type="noConversion"/>
  </si>
  <si>
    <t>五武间</t>
  </si>
  <si>
    <t>方案:1：
常规</t>
    <phoneticPr fontId="3" type="noConversion"/>
  </si>
  <si>
    <t>方案2：优化调度-控4500-300-退水时刻及退水流量均为4500-河口村275以下关门，陆浑故县水库按常规，最小出库流量为0</t>
  </si>
  <si>
    <t>泺口</t>
  </si>
  <si>
    <t>利津</t>
  </si>
  <si>
    <t>stcd</t>
  </si>
  <si>
    <t>stnm</t>
  </si>
  <si>
    <t>Control_Par</t>
  </si>
  <si>
    <t>Instruction</t>
  </si>
  <si>
    <t>东平湖</t>
  </si>
  <si>
    <t>0表示不分洪，1表示分洪</t>
  </si>
  <si>
    <t>北金堤</t>
  </si>
  <si>
    <t>初始水位</t>
  </si>
  <si>
    <t>0表示敞泄，1表示控泄</t>
  </si>
  <si>
    <t>防洪高水位</t>
  </si>
  <si>
    <t>蓄洪限制水位</t>
  </si>
  <si>
    <t>0表示完全自由敞泄关闭，1表示打开</t>
  </si>
  <si>
    <t>0表示预泄关闭，1表示打开</t>
  </si>
  <si>
    <t>预泄控制花园口流量</t>
  </si>
  <si>
    <t>预泄流量</t>
  </si>
  <si>
    <t>花园口12000关门的最高水位</t>
  </si>
  <si>
    <t>下大洪水，三门峡给小浪底帮忙要求的小浪底蓄洪量</t>
  </si>
  <si>
    <t>4500转控10000的判别水位</t>
  </si>
  <si>
    <t>保滩流量</t>
  </si>
  <si>
    <t>发电流量</t>
  </si>
  <si>
    <t>20年一遇以下洪水控制流量</t>
  </si>
  <si>
    <t>254.5m以下控制武陟流量</t>
  </si>
  <si>
    <t>判别库群退水时刻设置的花园口流量阈值</t>
  </si>
  <si>
    <t>下大洪水，退水过程控制的花园口流量</t>
  </si>
  <si>
    <t>上大洪水，小浪底开门敞泄的滞蓄洪量阈值</t>
  </si>
  <si>
    <t>保本流域20年一遇的水位</t>
  </si>
  <si>
    <t>保本流域21年一遇的水位</t>
  </si>
  <si>
    <t>判别支流水库关门时刻的花园口流量</t>
  </si>
  <si>
    <t>小浪底保滩库容用完后，转控花园口的流量</t>
  </si>
  <si>
    <t>上大洪水，小浪底敞泄结束，花园口流量达到的超万洪量（此时东平湖认为已装满）</t>
  </si>
  <si>
    <t>洪水类型</t>
  </si>
  <si>
    <t>0为上大洪水，1为下大洪水</t>
  </si>
  <si>
    <t>tm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</si>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</sst>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76" formatCode="0_ "/>
    <numFmt numFmtId="177" formatCode="0.00_ "/>
    <numFmt numFmtId="178" formatCode="yyyy/m/d\ h:mm;@"/>
    <numFmt numFmtId="179" formatCode="0.0"/>
    <numFmt numFmtId="180" formatCode="dd\-mmm\-yy"/>
    <numFmt numFmtId="181" formatCode="_(&quot;$&quot;* #,##0.00_);_(&quot;$&quot;* \(#,##0.00\);_(&quot;$&quot;* &quot;-&quot;??_);_(@_)"/>
    <numFmt numFmtId="182" formatCode="_(&quot;$&quot;* #,##0_);_(&quot;$&quot;* \(#,##0\);_(&quot;$&quot;* &quot;-&quot;_);_(@_)"/>
    <numFmt numFmtId="183" formatCode="_(* #,##0.00_);_(* \(#,##0.00\);_(* &quot;-&quot;??_);_(@_)"/>
    <numFmt numFmtId="184" formatCode="_(* #,##0_);_(* \(#,##0\);_(* &quot;-&quot;_);_(@_)"/>
  </numFmts>
  <fonts count="16">
    <font>
      <sz val="11"/>
      <color theme="1"/>
      <name val="宋体"/>
      <family val="2"/>
      <charset val="134"/>
      <scheme val="minor"/>
    </font>
    <font>
      <b/>
      <sz val="11"/>
      <color rgb="FF606266"/>
      <name val="Microsoft YaHei"/>
      <family val="2"/>
    </font>
    <font>
      <sz val="11"/>
      <color theme="1"/>
      <name val="Microsoft YaHei"/>
      <family val="2"/>
    </font>
    <font>
      <sz val="9"/>
      <name val="宋体"/>
      <family val="2"/>
      <charset val="134"/>
      <scheme val="minor"/>
    </font>
    <font>
      <sz val="12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indexed="8"/>
      <name val="宋体"/>
      <charset val="134"/>
    </font>
    <font>
      <sz val="12"/>
      <color indexed="8"/>
      <name val="宋体"/>
      <charset val="134"/>
    </font>
  </fonts>
  <fills count="7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7">
    <xf numFmtId="0" fontId="0" fillId="0" borderId="0">
      <alignment vertical="center"/>
    </xf>
    <xf numFmtId="0" fontId="4" fillId="0" borderId="0"/>
    <xf numFmtId="0" fontId="4" fillId="0" borderId="0"/>
    <xf numFmtId="0" fontId="7" fillId="0" borderId="0"/>
    <xf numFmtId="0" fontId="4" fillId="0" borderId="0"/>
    <xf numFmtId="0" fontId="9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8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77" fontId="2" fillId="3" borderId="1" xfId="0" applyNumberFormat="1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/>
    </xf>
    <xf numFmtId="0" fontId="0" fillId="4" borderId="0" xfId="0" applyFill="1">
      <alignment vertical="center"/>
    </xf>
    <xf numFmtId="0" fontId="0" fillId="0" borderId="0" xfId="0">
      <alignment vertical="center"/>
    </xf>
    <xf numFmtId="1" fontId="2" fillId="2" borderId="1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5" fillId="0" borderId="0" xfId="2" applyFont="1" applyFill="1" applyBorder="1" applyAlignment="1">
      <alignment wrapText="1"/>
    </xf>
    <xf numFmtId="0" fontId="0" fillId="0" borderId="0" xfId="0">
      <alignment vertical="center"/>
    </xf>
    <xf numFmtId="0" fontId="5" fillId="0" borderId="3" xfId="2" applyFont="1" applyFill="1" applyBorder="1" applyAlignment="1">
      <alignment horizontal="right" wrapText="1"/>
    </xf>
    <xf numFmtId="0" fontId="6" fillId="0" borderId="3" xfId="3" applyFont="1" applyFill="1" applyBorder="1" applyAlignment="1">
      <alignment wrapText="1"/>
    </xf>
    <xf numFmtId="1" fontId="2" fillId="3" borderId="1" xfId="0" applyNumberFormat="1" applyFont="1" applyFill="1" applyBorder="1" applyAlignment="1">
      <alignment horizontal="center" vertical="center" wrapText="1"/>
    </xf>
    <xf numFmtId="178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>
      <alignment vertical="center"/>
    </xf>
    <xf numFmtId="2" fontId="0" fillId="0" borderId="0" xfId="0" applyNumberForma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5" fillId="5" borderId="2" xfId="4" applyFont="1" applyFill="1" applyBorder="1" applyAlignment="1">
      <alignment horizontal="center"/>
    </xf>
    <xf numFmtId="178" fontId="8" fillId="5" borderId="2" xfId="5" applyNumberFormat="1" applyFont="1" applyFill="1" applyBorder="1" applyAlignment="1">
      <alignment horizontal="center"/>
    </xf>
    <xf numFmtId="178" fontId="8" fillId="0" borderId="3" xfId="5" applyNumberFormat="1" applyFont="1" applyFill="1" applyBorder="1" applyAlignment="1">
      <alignment horizontal="right" wrapText="1"/>
    </xf>
    <xf numFmtId="176" fontId="2" fillId="6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0" borderId="0" xfId="0">
      <alignment vertical="center"/>
    </xf>
    <xf numFmtId="0" fontId="12" fillId="5" borderId="2" xfId="6" applyFont="1" applyFill="1" applyBorder="1" applyAlignment="1">
      <alignment horizontal="center"/>
    </xf>
    <xf numFmtId="178" fontId="12" fillId="5" borderId="2" xfId="6" applyNumberFormat="1" applyFont="1" applyFill="1" applyBorder="1" applyAlignment="1">
      <alignment horizontal="center"/>
    </xf>
    <xf numFmtId="0" fontId="12" fillId="5" borderId="2" xfId="7" applyFont="1" applyFill="1" applyBorder="1" applyAlignment="1">
      <alignment horizontal="center"/>
    </xf>
    <xf numFmtId="0" fontId="5" fillId="5" borderId="2" xfId="8" applyFont="1" applyFill="1" applyBorder="1" applyAlignment="1">
      <alignment horizontal="center"/>
    </xf>
    <xf numFmtId="0" fontId="5" fillId="5" borderId="2" xfId="9" applyFont="1" applyFill="1" applyBorder="1" applyAlignment="1">
      <alignment horizontal="center"/>
    </xf>
    <xf numFmtId="0" fontId="5" fillId="5" borderId="2" xfId="10" applyFont="1" applyFill="1" applyBorder="1" applyAlignment="1">
      <alignment horizontal="center"/>
    </xf>
    <xf numFmtId="0" fontId="5" fillId="5" borderId="2" xfId="11" applyFont="1" applyFill="1" applyBorder="1" applyAlignment="1">
      <alignment horizontal="center"/>
    </xf>
    <xf numFmtId="0" fontId="5" fillId="5" borderId="2" xfId="12" applyFont="1" applyFill="1" applyBorder="1" applyAlignment="1">
      <alignment horizontal="center"/>
    </xf>
    <xf numFmtId="178" fontId="5" fillId="5" borderId="2" xfId="12" applyNumberFormat="1" applyFont="1" applyFill="1" applyBorder="1" applyAlignment="1">
      <alignment horizontal="center"/>
    </xf>
    <xf numFmtId="176" fontId="0" fillId="0" borderId="0" xfId="0" applyNumberFormat="1">
      <alignment vertical="center"/>
    </xf>
    <xf numFmtId="179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77" fontId="0" fillId="0" borderId="0" xfId="0" applyNumberFormat="1">
      <alignment vertical="center"/>
    </xf>
    <xf numFmtId="176" fontId="5" fillId="0" borderId="0" xfId="2" applyNumberFormat="1" applyFont="1" applyFill="1" applyBorder="1" applyAlignment="1">
      <alignment horizontal="right" wrapText="1"/>
    </xf>
    <xf numFmtId="0" fontId="5" fillId="5" borderId="0" xfId="4" applyFont="1" applyFill="1" applyBorder="1" applyAlignment="1">
      <alignment horizontal="center"/>
    </xf>
    <xf numFmtId="0" fontId="5" fillId="0" borderId="3" xfId="2" applyFont="1" applyFill="1" applyBorder="1" applyAlignment="1">
      <alignment wrapText="1"/>
    </xf>
    <xf numFmtId="0" fontId="5" fillId="0" borderId="3" xfId="2" applyFont="1" applyFill="1" applyBorder="1" applyAlignment="1">
      <alignment horizontal="right" wrapText="1"/>
    </xf>
    <xf numFmtId="178" fontId="5" fillId="0" borderId="3" xfId="2" applyNumberFormat="1" applyFont="1" applyFill="1" applyBorder="1" applyAlignment="1">
      <alignment horizontal="right" wrapText="1"/>
    </xf>
    <xf numFmtId="0" fontId="5" fillId="0" borderId="3" xfId="2" applyFont="1" applyFill="1" applyBorder="1" applyAlignment="1">
      <alignment horizontal="right" wrapText="1"/>
    </xf>
    <xf numFmtId="0" fontId="5" fillId="5" borderId="2" xfId="16" applyFont="1" applyFill="1" applyBorder="1" applyAlignment="1">
      <alignment horizontal="center"/>
    </xf>
    <xf numFmtId="0" fontId="5" fillId="4" borderId="3" xfId="16" applyFont="1" applyFill="1" applyBorder="1" applyAlignment="1">
      <alignment horizontal="right" wrapText="1"/>
    </xf>
    <xf numFmtId="0" fontId="5" fillId="4" borderId="3" xfId="16" applyFont="1" applyFill="1" applyBorder="1" applyAlignment="1">
      <alignment wrapText="1"/>
    </xf>
    <xf numFmtId="0" fontId="5" fillId="0" borderId="3" xfId="16" applyFont="1" applyFill="1" applyBorder="1" applyAlignment="1">
      <alignment horizontal="right" wrapText="1"/>
    </xf>
    <xf numFmtId="0" fontId="5" fillId="0" borderId="3" xfId="16" applyFont="1" applyFill="1" applyBorder="1" applyAlignment="1">
      <alignment wrapText="1"/>
    </xf>
    <xf numFmtId="0" fontId="5" fillId="0" borderId="3" xfId="2" applyFont="1" applyFill="1" applyBorder="1" applyAlignment="1">
      <alignment wrapText="1"/>
    </xf>
    <xf numFmtId="0" fontId="5" fillId="0" borderId="3" xfId="2" applyFont="1" applyFill="1" applyBorder="1" applyAlignment="1">
      <alignment horizontal="right" wrapText="1"/>
    </xf>
    <xf numFmtId="178" fontId="5" fillId="0" borderId="3" xfId="2" applyNumberFormat="1" applyFont="1" applyFill="1" applyBorder="1" applyAlignment="1">
      <alignment horizontal="right" wrapText="1"/>
    </xf>
    <xf numFmtId="178" fontId="5" fillId="0" borderId="3" xfId="2" applyNumberFormat="1" applyFont="1" applyFill="1" applyBorder="1" applyAlignment="1">
      <alignment horizontal="right" wrapText="1"/>
    </xf>
    <xf numFmtId="0" fontId="5" fillId="0" borderId="3" xfId="13" applyFont="1" applyFill="1" applyBorder="1" applyAlignment="1">
      <alignment wrapText="1"/>
    </xf>
    <xf numFmtId="0" fontId="5" fillId="0" borderId="3" xfId="13" applyFont="1" applyFill="1" applyBorder="1" applyAlignment="1">
      <alignment horizontal="right" wrapText="1"/>
    </xf>
    <xf numFmtId="178" fontId="5" fillId="0" borderId="3" xfId="2" applyNumberFormat="1" applyFont="1" applyFill="1" applyBorder="1" applyAlignment="1">
      <alignment horizontal="right" wrapText="1"/>
    </xf>
    <xf numFmtId="0" fontId="5" fillId="0" borderId="3" xfId="13" applyFont="1" applyFill="1" applyBorder="1" applyAlignment="1">
      <alignment wrapText="1"/>
    </xf>
    <xf numFmtId="0" fontId="5" fillId="0" borderId="3" xfId="13" applyFont="1" applyFill="1" applyBorder="1" applyAlignment="1">
      <alignment horizontal="right" wrapText="1"/>
    </xf>
    <xf numFmtId="178" fontId="5" fillId="0" borderId="3" xfId="2" applyNumberFormat="1" applyFont="1" applyFill="1" applyBorder="1" applyAlignment="1">
      <alignment horizontal="right" wrapText="1"/>
    </xf>
    <xf numFmtId="0" fontId="5" fillId="0" borderId="3" xfId="13" applyFont="1" applyFill="1" applyBorder="1" applyAlignment="1">
      <alignment wrapText="1"/>
    </xf>
    <xf numFmtId="0" fontId="5" fillId="0" borderId="3" xfId="13" applyFont="1" applyFill="1" applyBorder="1" applyAlignment="1">
      <alignment horizontal="right" wrapText="1"/>
    </xf>
    <xf numFmtId="0" fontId="5" fillId="0" borderId="3" xfId="11" applyFont="1" applyFill="1" applyBorder="1" applyAlignment="1">
      <alignment wrapText="1"/>
    </xf>
    <xf numFmtId="180" fontId="5" fillId="0" borderId="3" xfId="11" applyNumberFormat="1" applyFont="1" applyFill="1" applyBorder="1" applyAlignment="1">
      <alignment horizontal="right" wrapText="1"/>
    </xf>
    <xf numFmtId="0" fontId="5" fillId="0" borderId="3" xfId="11" applyFont="1" applyFill="1" applyBorder="1" applyAlignment="1">
      <alignment horizontal="right" wrapText="1"/>
    </xf>
    <xf numFmtId="178" fontId="5" fillId="0" borderId="3" xfId="2" applyNumberFormat="1" applyFont="1" applyFill="1" applyBorder="1" applyAlignment="1">
      <alignment horizontal="right" wrapText="1"/>
    </xf>
    <xf numFmtId="0" fontId="5" fillId="0" borderId="3" xfId="14" applyFont="1" applyFill="1" applyBorder="1" applyAlignment="1">
      <alignment horizontal="right" wrapText="1"/>
    </xf>
    <xf numFmtId="178" fontId="5" fillId="0" borderId="3" xfId="2" applyNumberFormat="1" applyFont="1" applyFill="1" applyBorder="1" applyAlignment="1">
      <alignment horizontal="right" wrapText="1"/>
    </xf>
    <xf numFmtId="0" fontId="5" fillId="0" borderId="3" xfId="14" applyFont="1" applyFill="1" applyBorder="1" applyAlignment="1">
      <alignment horizontal="right" wrapText="1"/>
    </xf>
    <xf numFmtId="0" fontId="5" fillId="0" borderId="3" xfId="15" applyFont="1" applyFill="1" applyBorder="1" applyAlignment="1">
      <alignment horizontal="right" wrapText="1"/>
    </xf>
    <xf numFmtId="11" fontId="5" fillId="0" borderId="3" xfId="13" applyNumberFormat="1" applyFont="1" applyFill="1" applyBorder="1" applyAlignment="1">
      <alignment horizontal="right" wrapText="1"/>
    </xf>
    <xf numFmtId="11" fontId="5" fillId="0" borderId="3" xfId="14" applyNumberFormat="1" applyFont="1" applyFill="1" applyBorder="1" applyAlignment="1">
      <alignment horizontal="right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</cellXfs>
  <cellStyles count="17">
    <cellStyle name="常规" xfId="0" builtinId="0"/>
    <cellStyle name="常规_Sheet1" xfId="2"/>
    <cellStyle name="常规_Sheet1_1" xfId="13"/>
    <cellStyle name="常规_Sheet2" xfId="14"/>
    <cellStyle name="常规_Sheet2_2" xfId="7"/>
    <cellStyle name="常规_Sheet3" xfId="15"/>
    <cellStyle name="常规_Sheet6 2" xfId="4"/>
    <cellStyle name="常规_方案一" xfId="16"/>
    <cellStyle name="常规_故县_1" xfId="10"/>
    <cellStyle name="常规_河口村" xfId="3"/>
    <cellStyle name="常规_河口村_1" xfId="11"/>
    <cellStyle name="常规_花园口以上洪水" xfId="12"/>
    <cellStyle name="常规_花园口组成_1" xfId="6"/>
    <cellStyle name="常规_花园口组成_2" xfId="5"/>
    <cellStyle name="常规_陆浑_1" xfId="9"/>
    <cellStyle name="常规_三门峡_2" xfId="8"/>
    <cellStyle name="常规_小浪底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15507436570428"/>
          <c:y val="5.1400554097404488E-2"/>
          <c:w val="0.81099540682414684"/>
          <c:h val="0.81870771361913097"/>
        </c:manualLayout>
      </c:layout>
      <c:lineChart>
        <c:grouping val="standard"/>
        <c:varyColors val="0"/>
        <c:ser>
          <c:idx val="0"/>
          <c:order val="0"/>
          <c:tx>
            <c:strRef>
              <c:f>三门峡!$C$1</c:f>
              <c:strCache>
                <c:ptCount val="1"/>
                <c:pt idx="0">
                  <c:v>入库</c:v>
                </c:pt>
              </c:strCache>
            </c:strRef>
          </c:tx>
          <c:marker>
            <c:symbol val="none"/>
          </c:marker>
          <c:val>
            <c:numRef>
              <c:f>三门峡!$C$2:$C$746</c:f>
              <c:numCache>
                <c:formatCode>General</c:formatCode>
                <c:ptCount val="745"/>
                <c:pt idx="0">
                  <c:v>1420</c:v>
                </c:pt>
                <c:pt idx="1">
                  <c:v>1420</c:v>
                </c:pt>
                <c:pt idx="2">
                  <c:v>1420</c:v>
                </c:pt>
                <c:pt idx="3">
                  <c:v>1420</c:v>
                </c:pt>
                <c:pt idx="4">
                  <c:v>1420</c:v>
                </c:pt>
                <c:pt idx="5">
                  <c:v>1420</c:v>
                </c:pt>
                <c:pt idx="6">
                  <c:v>1420</c:v>
                </c:pt>
                <c:pt idx="7">
                  <c:v>1420</c:v>
                </c:pt>
                <c:pt idx="8">
                  <c:v>1420</c:v>
                </c:pt>
                <c:pt idx="9">
                  <c:v>1420</c:v>
                </c:pt>
                <c:pt idx="10">
                  <c:v>1420</c:v>
                </c:pt>
                <c:pt idx="11">
                  <c:v>1420</c:v>
                </c:pt>
                <c:pt idx="12">
                  <c:v>1420</c:v>
                </c:pt>
                <c:pt idx="13">
                  <c:v>1420</c:v>
                </c:pt>
                <c:pt idx="14">
                  <c:v>1420</c:v>
                </c:pt>
                <c:pt idx="15">
                  <c:v>1420</c:v>
                </c:pt>
                <c:pt idx="16">
                  <c:v>1420</c:v>
                </c:pt>
                <c:pt idx="17">
                  <c:v>1420</c:v>
                </c:pt>
                <c:pt idx="18">
                  <c:v>1420</c:v>
                </c:pt>
                <c:pt idx="19">
                  <c:v>1420</c:v>
                </c:pt>
                <c:pt idx="20">
                  <c:v>1420</c:v>
                </c:pt>
                <c:pt idx="21">
                  <c:v>1420</c:v>
                </c:pt>
                <c:pt idx="22">
                  <c:v>1420</c:v>
                </c:pt>
                <c:pt idx="23">
                  <c:v>1420</c:v>
                </c:pt>
                <c:pt idx="24">
                  <c:v>1420</c:v>
                </c:pt>
                <c:pt idx="25">
                  <c:v>1420</c:v>
                </c:pt>
                <c:pt idx="26">
                  <c:v>1420</c:v>
                </c:pt>
                <c:pt idx="27">
                  <c:v>1420</c:v>
                </c:pt>
                <c:pt idx="28">
                  <c:v>1420</c:v>
                </c:pt>
                <c:pt idx="29">
                  <c:v>1420</c:v>
                </c:pt>
                <c:pt idx="30">
                  <c:v>1420</c:v>
                </c:pt>
                <c:pt idx="31">
                  <c:v>1420</c:v>
                </c:pt>
                <c:pt idx="32">
                  <c:v>1420</c:v>
                </c:pt>
                <c:pt idx="33">
                  <c:v>1420</c:v>
                </c:pt>
                <c:pt idx="34">
                  <c:v>1420</c:v>
                </c:pt>
                <c:pt idx="35">
                  <c:v>1420</c:v>
                </c:pt>
                <c:pt idx="36">
                  <c:v>1420</c:v>
                </c:pt>
                <c:pt idx="37">
                  <c:v>1420</c:v>
                </c:pt>
                <c:pt idx="38">
                  <c:v>1420</c:v>
                </c:pt>
                <c:pt idx="39">
                  <c:v>1420</c:v>
                </c:pt>
                <c:pt idx="40">
                  <c:v>1420</c:v>
                </c:pt>
                <c:pt idx="41">
                  <c:v>1420</c:v>
                </c:pt>
                <c:pt idx="42">
                  <c:v>1420</c:v>
                </c:pt>
                <c:pt idx="43">
                  <c:v>1420</c:v>
                </c:pt>
                <c:pt idx="44">
                  <c:v>1420</c:v>
                </c:pt>
                <c:pt idx="45">
                  <c:v>1420</c:v>
                </c:pt>
                <c:pt idx="46">
                  <c:v>1420</c:v>
                </c:pt>
                <c:pt idx="47">
                  <c:v>1420</c:v>
                </c:pt>
                <c:pt idx="48">
                  <c:v>1420</c:v>
                </c:pt>
                <c:pt idx="49">
                  <c:v>1420</c:v>
                </c:pt>
                <c:pt idx="50">
                  <c:v>1420</c:v>
                </c:pt>
                <c:pt idx="51">
                  <c:v>1420</c:v>
                </c:pt>
                <c:pt idx="52">
                  <c:v>1420</c:v>
                </c:pt>
                <c:pt idx="53">
                  <c:v>1420</c:v>
                </c:pt>
                <c:pt idx="54">
                  <c:v>1420</c:v>
                </c:pt>
                <c:pt idx="55">
                  <c:v>1420</c:v>
                </c:pt>
                <c:pt idx="56">
                  <c:v>1420</c:v>
                </c:pt>
                <c:pt idx="57">
                  <c:v>1420</c:v>
                </c:pt>
                <c:pt idx="58">
                  <c:v>1420</c:v>
                </c:pt>
                <c:pt idx="59">
                  <c:v>1420</c:v>
                </c:pt>
                <c:pt idx="60">
                  <c:v>1420</c:v>
                </c:pt>
                <c:pt idx="61">
                  <c:v>1420</c:v>
                </c:pt>
                <c:pt idx="62">
                  <c:v>1420</c:v>
                </c:pt>
                <c:pt idx="63">
                  <c:v>1420</c:v>
                </c:pt>
                <c:pt idx="64">
                  <c:v>1420</c:v>
                </c:pt>
                <c:pt idx="65">
                  <c:v>1420</c:v>
                </c:pt>
                <c:pt idx="66">
                  <c:v>1420</c:v>
                </c:pt>
                <c:pt idx="67">
                  <c:v>1420</c:v>
                </c:pt>
                <c:pt idx="68">
                  <c:v>1420</c:v>
                </c:pt>
                <c:pt idx="69">
                  <c:v>1420</c:v>
                </c:pt>
                <c:pt idx="70">
                  <c:v>1420</c:v>
                </c:pt>
                <c:pt idx="71">
                  <c:v>1420</c:v>
                </c:pt>
                <c:pt idx="72">
                  <c:v>1420</c:v>
                </c:pt>
                <c:pt idx="73">
                  <c:v>1420</c:v>
                </c:pt>
                <c:pt idx="74">
                  <c:v>1420</c:v>
                </c:pt>
                <c:pt idx="75">
                  <c:v>1420</c:v>
                </c:pt>
                <c:pt idx="76">
                  <c:v>1420</c:v>
                </c:pt>
                <c:pt idx="77">
                  <c:v>1420</c:v>
                </c:pt>
                <c:pt idx="78">
                  <c:v>1420</c:v>
                </c:pt>
                <c:pt idx="79">
                  <c:v>1420</c:v>
                </c:pt>
                <c:pt idx="80">
                  <c:v>1420</c:v>
                </c:pt>
                <c:pt idx="81">
                  <c:v>1420</c:v>
                </c:pt>
                <c:pt idx="82">
                  <c:v>1420</c:v>
                </c:pt>
                <c:pt idx="83">
                  <c:v>1420</c:v>
                </c:pt>
                <c:pt idx="84">
                  <c:v>1420</c:v>
                </c:pt>
                <c:pt idx="85">
                  <c:v>1420</c:v>
                </c:pt>
                <c:pt idx="86">
                  <c:v>1420</c:v>
                </c:pt>
                <c:pt idx="87">
                  <c:v>1420</c:v>
                </c:pt>
                <c:pt idx="88">
                  <c:v>1420</c:v>
                </c:pt>
                <c:pt idx="89">
                  <c:v>1420</c:v>
                </c:pt>
                <c:pt idx="90">
                  <c:v>1420</c:v>
                </c:pt>
                <c:pt idx="91">
                  <c:v>1420</c:v>
                </c:pt>
                <c:pt idx="92">
                  <c:v>1420</c:v>
                </c:pt>
                <c:pt idx="93">
                  <c:v>1420</c:v>
                </c:pt>
                <c:pt idx="94">
                  <c:v>1420</c:v>
                </c:pt>
                <c:pt idx="95">
                  <c:v>1420</c:v>
                </c:pt>
                <c:pt idx="96">
                  <c:v>1420</c:v>
                </c:pt>
                <c:pt idx="97">
                  <c:v>1420</c:v>
                </c:pt>
                <c:pt idx="98">
                  <c:v>1420</c:v>
                </c:pt>
                <c:pt idx="99">
                  <c:v>1420</c:v>
                </c:pt>
                <c:pt idx="100">
                  <c:v>1420</c:v>
                </c:pt>
                <c:pt idx="101">
                  <c:v>1420</c:v>
                </c:pt>
                <c:pt idx="102">
                  <c:v>1420</c:v>
                </c:pt>
                <c:pt idx="103">
                  <c:v>1420</c:v>
                </c:pt>
                <c:pt idx="104">
                  <c:v>1420</c:v>
                </c:pt>
                <c:pt idx="105">
                  <c:v>1420</c:v>
                </c:pt>
                <c:pt idx="106">
                  <c:v>1420</c:v>
                </c:pt>
                <c:pt idx="107">
                  <c:v>1420</c:v>
                </c:pt>
                <c:pt idx="108">
                  <c:v>1420</c:v>
                </c:pt>
                <c:pt idx="109">
                  <c:v>1420</c:v>
                </c:pt>
                <c:pt idx="110">
                  <c:v>1420</c:v>
                </c:pt>
                <c:pt idx="111">
                  <c:v>1420</c:v>
                </c:pt>
                <c:pt idx="112">
                  <c:v>1420</c:v>
                </c:pt>
                <c:pt idx="113">
                  <c:v>1420</c:v>
                </c:pt>
                <c:pt idx="114">
                  <c:v>1420</c:v>
                </c:pt>
                <c:pt idx="115">
                  <c:v>1420</c:v>
                </c:pt>
                <c:pt idx="116">
                  <c:v>1420</c:v>
                </c:pt>
                <c:pt idx="117">
                  <c:v>1420</c:v>
                </c:pt>
                <c:pt idx="118">
                  <c:v>1420</c:v>
                </c:pt>
                <c:pt idx="119">
                  <c:v>1420</c:v>
                </c:pt>
                <c:pt idx="120">
                  <c:v>1420</c:v>
                </c:pt>
                <c:pt idx="121">
                  <c:v>1420</c:v>
                </c:pt>
                <c:pt idx="122">
                  <c:v>1420</c:v>
                </c:pt>
                <c:pt idx="123">
                  <c:v>1420</c:v>
                </c:pt>
                <c:pt idx="124">
                  <c:v>1420</c:v>
                </c:pt>
                <c:pt idx="125">
                  <c:v>1420</c:v>
                </c:pt>
                <c:pt idx="126">
                  <c:v>1420</c:v>
                </c:pt>
                <c:pt idx="127">
                  <c:v>1420</c:v>
                </c:pt>
                <c:pt idx="128">
                  <c:v>1420</c:v>
                </c:pt>
                <c:pt idx="129">
                  <c:v>1420</c:v>
                </c:pt>
                <c:pt idx="130">
                  <c:v>1420</c:v>
                </c:pt>
                <c:pt idx="131">
                  <c:v>1420</c:v>
                </c:pt>
                <c:pt idx="132">
                  <c:v>1420</c:v>
                </c:pt>
                <c:pt idx="133">
                  <c:v>1420</c:v>
                </c:pt>
                <c:pt idx="134">
                  <c:v>1420</c:v>
                </c:pt>
                <c:pt idx="135">
                  <c:v>1420</c:v>
                </c:pt>
                <c:pt idx="136">
                  <c:v>1420</c:v>
                </c:pt>
                <c:pt idx="137">
                  <c:v>1420</c:v>
                </c:pt>
                <c:pt idx="138">
                  <c:v>1420</c:v>
                </c:pt>
                <c:pt idx="139">
                  <c:v>1420</c:v>
                </c:pt>
                <c:pt idx="140">
                  <c:v>1420</c:v>
                </c:pt>
                <c:pt idx="141">
                  <c:v>1420</c:v>
                </c:pt>
                <c:pt idx="142">
                  <c:v>1420</c:v>
                </c:pt>
                <c:pt idx="143">
                  <c:v>1420</c:v>
                </c:pt>
                <c:pt idx="144">
                  <c:v>1420</c:v>
                </c:pt>
                <c:pt idx="145">
                  <c:v>1420</c:v>
                </c:pt>
                <c:pt idx="146">
                  <c:v>1420</c:v>
                </c:pt>
                <c:pt idx="147">
                  <c:v>1420</c:v>
                </c:pt>
                <c:pt idx="148">
                  <c:v>1420</c:v>
                </c:pt>
                <c:pt idx="149">
                  <c:v>1420</c:v>
                </c:pt>
                <c:pt idx="150">
                  <c:v>1420</c:v>
                </c:pt>
                <c:pt idx="151">
                  <c:v>1420</c:v>
                </c:pt>
                <c:pt idx="152">
                  <c:v>1420</c:v>
                </c:pt>
                <c:pt idx="153">
                  <c:v>1420</c:v>
                </c:pt>
                <c:pt idx="154">
                  <c:v>1420</c:v>
                </c:pt>
                <c:pt idx="155">
                  <c:v>1420</c:v>
                </c:pt>
                <c:pt idx="156">
                  <c:v>1420</c:v>
                </c:pt>
                <c:pt idx="157">
                  <c:v>1420</c:v>
                </c:pt>
                <c:pt idx="158">
                  <c:v>1420</c:v>
                </c:pt>
                <c:pt idx="159">
                  <c:v>1420</c:v>
                </c:pt>
                <c:pt idx="160">
                  <c:v>1420</c:v>
                </c:pt>
                <c:pt idx="161">
                  <c:v>1420</c:v>
                </c:pt>
                <c:pt idx="162">
                  <c:v>1420</c:v>
                </c:pt>
                <c:pt idx="163">
                  <c:v>1420</c:v>
                </c:pt>
                <c:pt idx="164">
                  <c:v>1420</c:v>
                </c:pt>
                <c:pt idx="165">
                  <c:v>1420</c:v>
                </c:pt>
                <c:pt idx="166">
                  <c:v>1420</c:v>
                </c:pt>
                <c:pt idx="167">
                  <c:v>1420</c:v>
                </c:pt>
                <c:pt idx="168">
                  <c:v>1420</c:v>
                </c:pt>
                <c:pt idx="169">
                  <c:v>1420</c:v>
                </c:pt>
                <c:pt idx="170">
                  <c:v>1420</c:v>
                </c:pt>
                <c:pt idx="171">
                  <c:v>1420</c:v>
                </c:pt>
                <c:pt idx="172">
                  <c:v>1420</c:v>
                </c:pt>
                <c:pt idx="173">
                  <c:v>1420</c:v>
                </c:pt>
                <c:pt idx="174">
                  <c:v>1420</c:v>
                </c:pt>
                <c:pt idx="175">
                  <c:v>1420</c:v>
                </c:pt>
                <c:pt idx="176">
                  <c:v>1420</c:v>
                </c:pt>
                <c:pt idx="177">
                  <c:v>1420</c:v>
                </c:pt>
                <c:pt idx="178">
                  <c:v>1420</c:v>
                </c:pt>
                <c:pt idx="179">
                  <c:v>1420</c:v>
                </c:pt>
                <c:pt idx="180">
                  <c:v>1420</c:v>
                </c:pt>
                <c:pt idx="181">
                  <c:v>1420</c:v>
                </c:pt>
                <c:pt idx="182">
                  <c:v>1420</c:v>
                </c:pt>
                <c:pt idx="183">
                  <c:v>1420</c:v>
                </c:pt>
                <c:pt idx="184">
                  <c:v>1420</c:v>
                </c:pt>
                <c:pt idx="185">
                  <c:v>1420</c:v>
                </c:pt>
                <c:pt idx="186">
                  <c:v>1420</c:v>
                </c:pt>
                <c:pt idx="187">
                  <c:v>1420</c:v>
                </c:pt>
                <c:pt idx="188">
                  <c:v>1420</c:v>
                </c:pt>
                <c:pt idx="189">
                  <c:v>1420</c:v>
                </c:pt>
                <c:pt idx="190">
                  <c:v>1420</c:v>
                </c:pt>
                <c:pt idx="191">
                  <c:v>1420</c:v>
                </c:pt>
                <c:pt idx="192">
                  <c:v>1420</c:v>
                </c:pt>
                <c:pt idx="193">
                  <c:v>1420</c:v>
                </c:pt>
                <c:pt idx="194">
                  <c:v>1420</c:v>
                </c:pt>
                <c:pt idx="195">
                  <c:v>1420</c:v>
                </c:pt>
                <c:pt idx="196">
                  <c:v>1420</c:v>
                </c:pt>
                <c:pt idx="197">
                  <c:v>1420</c:v>
                </c:pt>
                <c:pt idx="198">
                  <c:v>1420</c:v>
                </c:pt>
                <c:pt idx="199">
                  <c:v>1420</c:v>
                </c:pt>
                <c:pt idx="200">
                  <c:v>1420</c:v>
                </c:pt>
                <c:pt idx="201">
                  <c:v>1420</c:v>
                </c:pt>
                <c:pt idx="202">
                  <c:v>1420</c:v>
                </c:pt>
                <c:pt idx="203">
                  <c:v>1420</c:v>
                </c:pt>
                <c:pt idx="204">
                  <c:v>1420</c:v>
                </c:pt>
                <c:pt idx="205">
                  <c:v>1420</c:v>
                </c:pt>
                <c:pt idx="206">
                  <c:v>1420</c:v>
                </c:pt>
                <c:pt idx="207">
                  <c:v>1420</c:v>
                </c:pt>
                <c:pt idx="208">
                  <c:v>1420</c:v>
                </c:pt>
                <c:pt idx="209">
                  <c:v>1420</c:v>
                </c:pt>
                <c:pt idx="210">
                  <c:v>1420</c:v>
                </c:pt>
                <c:pt idx="211">
                  <c:v>1420</c:v>
                </c:pt>
                <c:pt idx="212">
                  <c:v>1420</c:v>
                </c:pt>
                <c:pt idx="213">
                  <c:v>1420</c:v>
                </c:pt>
                <c:pt idx="214">
                  <c:v>1420</c:v>
                </c:pt>
                <c:pt idx="215">
                  <c:v>1420</c:v>
                </c:pt>
                <c:pt idx="216">
                  <c:v>1420</c:v>
                </c:pt>
                <c:pt idx="217">
                  <c:v>1420</c:v>
                </c:pt>
                <c:pt idx="218">
                  <c:v>1420</c:v>
                </c:pt>
                <c:pt idx="219">
                  <c:v>1420</c:v>
                </c:pt>
                <c:pt idx="220">
                  <c:v>1420</c:v>
                </c:pt>
                <c:pt idx="221">
                  <c:v>1420</c:v>
                </c:pt>
                <c:pt idx="222">
                  <c:v>1420</c:v>
                </c:pt>
                <c:pt idx="223">
                  <c:v>1420</c:v>
                </c:pt>
                <c:pt idx="224">
                  <c:v>1420</c:v>
                </c:pt>
                <c:pt idx="225">
                  <c:v>1420</c:v>
                </c:pt>
                <c:pt idx="226">
                  <c:v>1420</c:v>
                </c:pt>
                <c:pt idx="227">
                  <c:v>1420</c:v>
                </c:pt>
                <c:pt idx="228">
                  <c:v>1420</c:v>
                </c:pt>
                <c:pt idx="229">
                  <c:v>1420</c:v>
                </c:pt>
                <c:pt idx="230">
                  <c:v>1420</c:v>
                </c:pt>
                <c:pt idx="231">
                  <c:v>1420</c:v>
                </c:pt>
                <c:pt idx="232">
                  <c:v>1420</c:v>
                </c:pt>
                <c:pt idx="233">
                  <c:v>1420</c:v>
                </c:pt>
                <c:pt idx="234">
                  <c:v>1420</c:v>
                </c:pt>
                <c:pt idx="235">
                  <c:v>1420</c:v>
                </c:pt>
                <c:pt idx="236">
                  <c:v>1420</c:v>
                </c:pt>
                <c:pt idx="237">
                  <c:v>1420</c:v>
                </c:pt>
                <c:pt idx="238">
                  <c:v>1420</c:v>
                </c:pt>
                <c:pt idx="239">
                  <c:v>1420</c:v>
                </c:pt>
                <c:pt idx="240">
                  <c:v>1420</c:v>
                </c:pt>
                <c:pt idx="241">
                  <c:v>1420</c:v>
                </c:pt>
                <c:pt idx="242">
                  <c:v>1420</c:v>
                </c:pt>
                <c:pt idx="243">
                  <c:v>1420</c:v>
                </c:pt>
                <c:pt idx="244">
                  <c:v>1420</c:v>
                </c:pt>
                <c:pt idx="245">
                  <c:v>1420</c:v>
                </c:pt>
                <c:pt idx="246">
                  <c:v>1420</c:v>
                </c:pt>
                <c:pt idx="247">
                  <c:v>1420</c:v>
                </c:pt>
                <c:pt idx="248">
                  <c:v>1420</c:v>
                </c:pt>
                <c:pt idx="249">
                  <c:v>1420</c:v>
                </c:pt>
                <c:pt idx="250">
                  <c:v>1420</c:v>
                </c:pt>
                <c:pt idx="251">
                  <c:v>1420</c:v>
                </c:pt>
                <c:pt idx="252">
                  <c:v>1420</c:v>
                </c:pt>
                <c:pt idx="253">
                  <c:v>1420</c:v>
                </c:pt>
                <c:pt idx="254">
                  <c:v>1420</c:v>
                </c:pt>
                <c:pt idx="255">
                  <c:v>1420</c:v>
                </c:pt>
                <c:pt idx="256">
                  <c:v>1420</c:v>
                </c:pt>
                <c:pt idx="257">
                  <c:v>1420</c:v>
                </c:pt>
                <c:pt idx="258">
                  <c:v>1420</c:v>
                </c:pt>
                <c:pt idx="259">
                  <c:v>1420</c:v>
                </c:pt>
                <c:pt idx="260">
                  <c:v>1420</c:v>
                </c:pt>
                <c:pt idx="261">
                  <c:v>1420</c:v>
                </c:pt>
                <c:pt idx="262">
                  <c:v>1420</c:v>
                </c:pt>
                <c:pt idx="263">
                  <c:v>1420</c:v>
                </c:pt>
                <c:pt idx="264">
                  <c:v>1420</c:v>
                </c:pt>
                <c:pt idx="265">
                  <c:v>1420</c:v>
                </c:pt>
                <c:pt idx="266">
                  <c:v>1420</c:v>
                </c:pt>
                <c:pt idx="267">
                  <c:v>1420</c:v>
                </c:pt>
                <c:pt idx="268">
                  <c:v>1420</c:v>
                </c:pt>
                <c:pt idx="269">
                  <c:v>1420</c:v>
                </c:pt>
                <c:pt idx="270">
                  <c:v>1420</c:v>
                </c:pt>
                <c:pt idx="271">
                  <c:v>1420</c:v>
                </c:pt>
                <c:pt idx="272">
                  <c:v>1420</c:v>
                </c:pt>
                <c:pt idx="273">
                  <c:v>1420</c:v>
                </c:pt>
                <c:pt idx="274">
                  <c:v>1420</c:v>
                </c:pt>
                <c:pt idx="275">
                  <c:v>1420</c:v>
                </c:pt>
                <c:pt idx="276">
                  <c:v>1420</c:v>
                </c:pt>
                <c:pt idx="277">
                  <c:v>1420</c:v>
                </c:pt>
                <c:pt idx="278">
                  <c:v>1420</c:v>
                </c:pt>
                <c:pt idx="279">
                  <c:v>1420</c:v>
                </c:pt>
                <c:pt idx="280">
                  <c:v>1420</c:v>
                </c:pt>
                <c:pt idx="281">
                  <c:v>1420</c:v>
                </c:pt>
                <c:pt idx="282">
                  <c:v>1420</c:v>
                </c:pt>
                <c:pt idx="283">
                  <c:v>1420</c:v>
                </c:pt>
                <c:pt idx="284">
                  <c:v>1420</c:v>
                </c:pt>
                <c:pt idx="285">
                  <c:v>1420</c:v>
                </c:pt>
                <c:pt idx="286">
                  <c:v>1420</c:v>
                </c:pt>
                <c:pt idx="287">
                  <c:v>1420</c:v>
                </c:pt>
                <c:pt idx="288">
                  <c:v>1420</c:v>
                </c:pt>
                <c:pt idx="289">
                  <c:v>1420</c:v>
                </c:pt>
                <c:pt idx="290">
                  <c:v>1420</c:v>
                </c:pt>
                <c:pt idx="291">
                  <c:v>1420</c:v>
                </c:pt>
                <c:pt idx="292">
                  <c:v>1420</c:v>
                </c:pt>
                <c:pt idx="293">
                  <c:v>1420</c:v>
                </c:pt>
                <c:pt idx="294">
                  <c:v>1420</c:v>
                </c:pt>
                <c:pt idx="295">
                  <c:v>1420</c:v>
                </c:pt>
                <c:pt idx="296">
                  <c:v>1420</c:v>
                </c:pt>
                <c:pt idx="297">
                  <c:v>1420</c:v>
                </c:pt>
                <c:pt idx="298">
                  <c:v>1420</c:v>
                </c:pt>
                <c:pt idx="299">
                  <c:v>1420</c:v>
                </c:pt>
                <c:pt idx="300">
                  <c:v>1420</c:v>
                </c:pt>
                <c:pt idx="301">
                  <c:v>1420</c:v>
                </c:pt>
                <c:pt idx="302">
                  <c:v>1420</c:v>
                </c:pt>
                <c:pt idx="303">
                  <c:v>1420</c:v>
                </c:pt>
                <c:pt idx="304">
                  <c:v>1420</c:v>
                </c:pt>
                <c:pt idx="305">
                  <c:v>1420</c:v>
                </c:pt>
                <c:pt idx="306">
                  <c:v>1420</c:v>
                </c:pt>
                <c:pt idx="307">
                  <c:v>1420</c:v>
                </c:pt>
                <c:pt idx="308">
                  <c:v>1420</c:v>
                </c:pt>
                <c:pt idx="309">
                  <c:v>1420</c:v>
                </c:pt>
                <c:pt idx="310">
                  <c:v>1420</c:v>
                </c:pt>
                <c:pt idx="311">
                  <c:v>1420</c:v>
                </c:pt>
                <c:pt idx="312">
                  <c:v>1420</c:v>
                </c:pt>
                <c:pt idx="313">
                  <c:v>1420</c:v>
                </c:pt>
                <c:pt idx="314">
                  <c:v>1420</c:v>
                </c:pt>
                <c:pt idx="315">
                  <c:v>1420</c:v>
                </c:pt>
                <c:pt idx="316">
                  <c:v>1420</c:v>
                </c:pt>
                <c:pt idx="317">
                  <c:v>1420</c:v>
                </c:pt>
                <c:pt idx="318">
                  <c:v>1420</c:v>
                </c:pt>
                <c:pt idx="319">
                  <c:v>1420</c:v>
                </c:pt>
                <c:pt idx="320">
                  <c:v>1420</c:v>
                </c:pt>
                <c:pt idx="321">
                  <c:v>1420</c:v>
                </c:pt>
                <c:pt idx="322">
                  <c:v>1420</c:v>
                </c:pt>
                <c:pt idx="323">
                  <c:v>1420</c:v>
                </c:pt>
                <c:pt idx="324">
                  <c:v>1420</c:v>
                </c:pt>
                <c:pt idx="325">
                  <c:v>1420</c:v>
                </c:pt>
                <c:pt idx="326">
                  <c:v>1420</c:v>
                </c:pt>
                <c:pt idx="327">
                  <c:v>1420</c:v>
                </c:pt>
                <c:pt idx="328">
                  <c:v>1420</c:v>
                </c:pt>
                <c:pt idx="329">
                  <c:v>1420</c:v>
                </c:pt>
                <c:pt idx="330">
                  <c:v>1420</c:v>
                </c:pt>
                <c:pt idx="331">
                  <c:v>1420</c:v>
                </c:pt>
                <c:pt idx="332">
                  <c:v>1420</c:v>
                </c:pt>
                <c:pt idx="333">
                  <c:v>1420</c:v>
                </c:pt>
                <c:pt idx="334">
                  <c:v>1420</c:v>
                </c:pt>
                <c:pt idx="335">
                  <c:v>1420</c:v>
                </c:pt>
                <c:pt idx="336">
                  <c:v>1420</c:v>
                </c:pt>
                <c:pt idx="337">
                  <c:v>1420</c:v>
                </c:pt>
                <c:pt idx="338">
                  <c:v>1420</c:v>
                </c:pt>
                <c:pt idx="339">
                  <c:v>1420</c:v>
                </c:pt>
                <c:pt idx="340">
                  <c:v>1420</c:v>
                </c:pt>
                <c:pt idx="341">
                  <c:v>1420</c:v>
                </c:pt>
                <c:pt idx="342">
                  <c:v>1420</c:v>
                </c:pt>
                <c:pt idx="343">
                  <c:v>1420</c:v>
                </c:pt>
                <c:pt idx="344">
                  <c:v>1420</c:v>
                </c:pt>
                <c:pt idx="345">
                  <c:v>1420</c:v>
                </c:pt>
                <c:pt idx="346">
                  <c:v>1420</c:v>
                </c:pt>
                <c:pt idx="347">
                  <c:v>1420</c:v>
                </c:pt>
                <c:pt idx="348">
                  <c:v>1420</c:v>
                </c:pt>
                <c:pt idx="349">
                  <c:v>1420</c:v>
                </c:pt>
                <c:pt idx="350">
                  <c:v>1420</c:v>
                </c:pt>
                <c:pt idx="351">
                  <c:v>1420</c:v>
                </c:pt>
                <c:pt idx="352">
                  <c:v>1420</c:v>
                </c:pt>
                <c:pt idx="353">
                  <c:v>1420</c:v>
                </c:pt>
                <c:pt idx="354">
                  <c:v>1420</c:v>
                </c:pt>
                <c:pt idx="355">
                  <c:v>1420</c:v>
                </c:pt>
                <c:pt idx="356">
                  <c:v>1420</c:v>
                </c:pt>
                <c:pt idx="357">
                  <c:v>1420</c:v>
                </c:pt>
                <c:pt idx="358">
                  <c:v>1420</c:v>
                </c:pt>
                <c:pt idx="359">
                  <c:v>1420</c:v>
                </c:pt>
                <c:pt idx="360">
                  <c:v>1420</c:v>
                </c:pt>
                <c:pt idx="361">
                  <c:v>1420</c:v>
                </c:pt>
                <c:pt idx="362">
                  <c:v>1420</c:v>
                </c:pt>
                <c:pt idx="363">
                  <c:v>1420</c:v>
                </c:pt>
                <c:pt idx="364">
                  <c:v>1420</c:v>
                </c:pt>
                <c:pt idx="365">
                  <c:v>1420</c:v>
                </c:pt>
                <c:pt idx="366">
                  <c:v>1420</c:v>
                </c:pt>
                <c:pt idx="367">
                  <c:v>1420</c:v>
                </c:pt>
                <c:pt idx="368">
                  <c:v>1420</c:v>
                </c:pt>
                <c:pt idx="369">
                  <c:v>1420</c:v>
                </c:pt>
                <c:pt idx="370">
                  <c:v>1420</c:v>
                </c:pt>
                <c:pt idx="371">
                  <c:v>1420</c:v>
                </c:pt>
                <c:pt idx="372">
                  <c:v>1420</c:v>
                </c:pt>
                <c:pt idx="373">
                  <c:v>1420</c:v>
                </c:pt>
                <c:pt idx="374">
                  <c:v>1420</c:v>
                </c:pt>
                <c:pt idx="375">
                  <c:v>1420</c:v>
                </c:pt>
                <c:pt idx="376">
                  <c:v>1420</c:v>
                </c:pt>
                <c:pt idx="377">
                  <c:v>1420</c:v>
                </c:pt>
                <c:pt idx="378">
                  <c:v>1420</c:v>
                </c:pt>
                <c:pt idx="379">
                  <c:v>1420</c:v>
                </c:pt>
                <c:pt idx="380">
                  <c:v>1420</c:v>
                </c:pt>
                <c:pt idx="381">
                  <c:v>1420</c:v>
                </c:pt>
                <c:pt idx="382">
                  <c:v>1420</c:v>
                </c:pt>
                <c:pt idx="383">
                  <c:v>1420</c:v>
                </c:pt>
                <c:pt idx="384">
                  <c:v>1420</c:v>
                </c:pt>
                <c:pt idx="385">
                  <c:v>1420</c:v>
                </c:pt>
                <c:pt idx="386">
                  <c:v>1420</c:v>
                </c:pt>
                <c:pt idx="387">
                  <c:v>1420</c:v>
                </c:pt>
                <c:pt idx="388">
                  <c:v>1420</c:v>
                </c:pt>
                <c:pt idx="389">
                  <c:v>1420</c:v>
                </c:pt>
                <c:pt idx="390">
                  <c:v>1420</c:v>
                </c:pt>
                <c:pt idx="391">
                  <c:v>1420</c:v>
                </c:pt>
                <c:pt idx="392">
                  <c:v>1420</c:v>
                </c:pt>
                <c:pt idx="393">
                  <c:v>1420</c:v>
                </c:pt>
                <c:pt idx="394">
                  <c:v>1420</c:v>
                </c:pt>
                <c:pt idx="395">
                  <c:v>1420</c:v>
                </c:pt>
                <c:pt idx="396">
                  <c:v>1420</c:v>
                </c:pt>
                <c:pt idx="397">
                  <c:v>1420</c:v>
                </c:pt>
                <c:pt idx="398">
                  <c:v>1420</c:v>
                </c:pt>
                <c:pt idx="399">
                  <c:v>1420</c:v>
                </c:pt>
                <c:pt idx="400">
                  <c:v>1420</c:v>
                </c:pt>
                <c:pt idx="401">
                  <c:v>1420</c:v>
                </c:pt>
                <c:pt idx="402">
                  <c:v>1420</c:v>
                </c:pt>
                <c:pt idx="403">
                  <c:v>1420</c:v>
                </c:pt>
                <c:pt idx="404">
                  <c:v>1420</c:v>
                </c:pt>
                <c:pt idx="405">
                  <c:v>1420</c:v>
                </c:pt>
                <c:pt idx="406">
                  <c:v>1420</c:v>
                </c:pt>
                <c:pt idx="407">
                  <c:v>1420</c:v>
                </c:pt>
                <c:pt idx="408">
                  <c:v>1420</c:v>
                </c:pt>
                <c:pt idx="409">
                  <c:v>1420</c:v>
                </c:pt>
                <c:pt idx="410">
                  <c:v>1420</c:v>
                </c:pt>
                <c:pt idx="411">
                  <c:v>1420</c:v>
                </c:pt>
                <c:pt idx="412">
                  <c:v>1420</c:v>
                </c:pt>
                <c:pt idx="413">
                  <c:v>1420</c:v>
                </c:pt>
                <c:pt idx="414">
                  <c:v>1420</c:v>
                </c:pt>
                <c:pt idx="415">
                  <c:v>1420</c:v>
                </c:pt>
                <c:pt idx="416">
                  <c:v>1420</c:v>
                </c:pt>
                <c:pt idx="417">
                  <c:v>1420</c:v>
                </c:pt>
                <c:pt idx="418">
                  <c:v>1420</c:v>
                </c:pt>
                <c:pt idx="419">
                  <c:v>1420</c:v>
                </c:pt>
                <c:pt idx="420">
                  <c:v>1420</c:v>
                </c:pt>
                <c:pt idx="421">
                  <c:v>1420</c:v>
                </c:pt>
                <c:pt idx="422">
                  <c:v>1420</c:v>
                </c:pt>
                <c:pt idx="423">
                  <c:v>1420</c:v>
                </c:pt>
                <c:pt idx="424">
                  <c:v>1420</c:v>
                </c:pt>
                <c:pt idx="425">
                  <c:v>1420</c:v>
                </c:pt>
                <c:pt idx="426">
                  <c:v>1420</c:v>
                </c:pt>
                <c:pt idx="427">
                  <c:v>1420</c:v>
                </c:pt>
                <c:pt idx="428">
                  <c:v>1420</c:v>
                </c:pt>
                <c:pt idx="429">
                  <c:v>1420</c:v>
                </c:pt>
                <c:pt idx="430">
                  <c:v>1420</c:v>
                </c:pt>
                <c:pt idx="431">
                  <c:v>1420</c:v>
                </c:pt>
                <c:pt idx="432">
                  <c:v>1420</c:v>
                </c:pt>
                <c:pt idx="433">
                  <c:v>1420</c:v>
                </c:pt>
                <c:pt idx="434">
                  <c:v>1420</c:v>
                </c:pt>
                <c:pt idx="435">
                  <c:v>1420</c:v>
                </c:pt>
                <c:pt idx="436">
                  <c:v>1420</c:v>
                </c:pt>
                <c:pt idx="437">
                  <c:v>1420</c:v>
                </c:pt>
                <c:pt idx="438">
                  <c:v>1420</c:v>
                </c:pt>
                <c:pt idx="439">
                  <c:v>1420</c:v>
                </c:pt>
                <c:pt idx="440">
                  <c:v>1420</c:v>
                </c:pt>
                <c:pt idx="441">
                  <c:v>1420</c:v>
                </c:pt>
                <c:pt idx="442">
                  <c:v>1420</c:v>
                </c:pt>
                <c:pt idx="443">
                  <c:v>1420</c:v>
                </c:pt>
                <c:pt idx="444">
                  <c:v>1420</c:v>
                </c:pt>
                <c:pt idx="445">
                  <c:v>1420</c:v>
                </c:pt>
                <c:pt idx="446">
                  <c:v>1420</c:v>
                </c:pt>
                <c:pt idx="447">
                  <c:v>1420</c:v>
                </c:pt>
                <c:pt idx="448">
                  <c:v>1420</c:v>
                </c:pt>
                <c:pt idx="449">
                  <c:v>1420</c:v>
                </c:pt>
                <c:pt idx="450">
                  <c:v>1420</c:v>
                </c:pt>
                <c:pt idx="451">
                  <c:v>1420</c:v>
                </c:pt>
                <c:pt idx="452">
                  <c:v>1420</c:v>
                </c:pt>
                <c:pt idx="453">
                  <c:v>1420</c:v>
                </c:pt>
                <c:pt idx="454">
                  <c:v>1420</c:v>
                </c:pt>
                <c:pt idx="455">
                  <c:v>1420</c:v>
                </c:pt>
                <c:pt idx="456">
                  <c:v>1420</c:v>
                </c:pt>
                <c:pt idx="457">
                  <c:v>1420</c:v>
                </c:pt>
                <c:pt idx="458">
                  <c:v>1420</c:v>
                </c:pt>
                <c:pt idx="459">
                  <c:v>1420</c:v>
                </c:pt>
                <c:pt idx="460">
                  <c:v>1420</c:v>
                </c:pt>
                <c:pt idx="461">
                  <c:v>1420</c:v>
                </c:pt>
                <c:pt idx="462">
                  <c:v>1420</c:v>
                </c:pt>
                <c:pt idx="463">
                  <c:v>1420</c:v>
                </c:pt>
                <c:pt idx="464">
                  <c:v>1420</c:v>
                </c:pt>
                <c:pt idx="465">
                  <c:v>1420</c:v>
                </c:pt>
                <c:pt idx="466">
                  <c:v>1420</c:v>
                </c:pt>
                <c:pt idx="467">
                  <c:v>1420</c:v>
                </c:pt>
                <c:pt idx="468">
                  <c:v>1420</c:v>
                </c:pt>
                <c:pt idx="469">
                  <c:v>1420</c:v>
                </c:pt>
                <c:pt idx="470">
                  <c:v>1420</c:v>
                </c:pt>
                <c:pt idx="471">
                  <c:v>1420</c:v>
                </c:pt>
                <c:pt idx="472">
                  <c:v>1420</c:v>
                </c:pt>
                <c:pt idx="473">
                  <c:v>1420</c:v>
                </c:pt>
                <c:pt idx="474">
                  <c:v>1420</c:v>
                </c:pt>
                <c:pt idx="475">
                  <c:v>1420</c:v>
                </c:pt>
                <c:pt idx="476">
                  <c:v>1420</c:v>
                </c:pt>
                <c:pt idx="477">
                  <c:v>1420</c:v>
                </c:pt>
                <c:pt idx="478">
                  <c:v>1420</c:v>
                </c:pt>
                <c:pt idx="479">
                  <c:v>1420</c:v>
                </c:pt>
                <c:pt idx="480">
                  <c:v>1420</c:v>
                </c:pt>
                <c:pt idx="481">
                  <c:v>1420</c:v>
                </c:pt>
                <c:pt idx="482">
                  <c:v>1420</c:v>
                </c:pt>
                <c:pt idx="483">
                  <c:v>1420</c:v>
                </c:pt>
                <c:pt idx="484">
                  <c:v>1420</c:v>
                </c:pt>
                <c:pt idx="485">
                  <c:v>1420</c:v>
                </c:pt>
                <c:pt idx="486">
                  <c:v>1420</c:v>
                </c:pt>
                <c:pt idx="487">
                  <c:v>1420</c:v>
                </c:pt>
                <c:pt idx="488">
                  <c:v>1420</c:v>
                </c:pt>
                <c:pt idx="489">
                  <c:v>1420</c:v>
                </c:pt>
                <c:pt idx="490">
                  <c:v>1420</c:v>
                </c:pt>
                <c:pt idx="491">
                  <c:v>1420</c:v>
                </c:pt>
                <c:pt idx="492">
                  <c:v>1420</c:v>
                </c:pt>
                <c:pt idx="493">
                  <c:v>1420</c:v>
                </c:pt>
                <c:pt idx="494">
                  <c:v>1420</c:v>
                </c:pt>
                <c:pt idx="495">
                  <c:v>1420</c:v>
                </c:pt>
                <c:pt idx="496">
                  <c:v>1420</c:v>
                </c:pt>
                <c:pt idx="497">
                  <c:v>1420</c:v>
                </c:pt>
                <c:pt idx="498">
                  <c:v>1420</c:v>
                </c:pt>
                <c:pt idx="499">
                  <c:v>1420</c:v>
                </c:pt>
                <c:pt idx="500">
                  <c:v>1420</c:v>
                </c:pt>
                <c:pt idx="501">
                  <c:v>1420</c:v>
                </c:pt>
                <c:pt idx="502">
                  <c:v>1420</c:v>
                </c:pt>
                <c:pt idx="503">
                  <c:v>1420</c:v>
                </c:pt>
                <c:pt idx="504">
                  <c:v>1420</c:v>
                </c:pt>
                <c:pt idx="505">
                  <c:v>1420</c:v>
                </c:pt>
                <c:pt idx="506">
                  <c:v>1420</c:v>
                </c:pt>
                <c:pt idx="507">
                  <c:v>1420</c:v>
                </c:pt>
                <c:pt idx="508">
                  <c:v>1420</c:v>
                </c:pt>
                <c:pt idx="509">
                  <c:v>1420</c:v>
                </c:pt>
                <c:pt idx="510">
                  <c:v>1420</c:v>
                </c:pt>
                <c:pt idx="511">
                  <c:v>1420</c:v>
                </c:pt>
                <c:pt idx="512">
                  <c:v>1420</c:v>
                </c:pt>
                <c:pt idx="513">
                  <c:v>1420</c:v>
                </c:pt>
                <c:pt idx="514">
                  <c:v>1420</c:v>
                </c:pt>
                <c:pt idx="515">
                  <c:v>1420</c:v>
                </c:pt>
                <c:pt idx="516">
                  <c:v>1420</c:v>
                </c:pt>
                <c:pt idx="517">
                  <c:v>1420</c:v>
                </c:pt>
                <c:pt idx="518">
                  <c:v>1420</c:v>
                </c:pt>
                <c:pt idx="519">
                  <c:v>1420</c:v>
                </c:pt>
                <c:pt idx="520">
                  <c:v>1420</c:v>
                </c:pt>
                <c:pt idx="521">
                  <c:v>1420</c:v>
                </c:pt>
                <c:pt idx="522">
                  <c:v>1420</c:v>
                </c:pt>
                <c:pt idx="523">
                  <c:v>1420</c:v>
                </c:pt>
                <c:pt idx="524">
                  <c:v>1420</c:v>
                </c:pt>
                <c:pt idx="525">
                  <c:v>1420</c:v>
                </c:pt>
                <c:pt idx="526">
                  <c:v>1420</c:v>
                </c:pt>
                <c:pt idx="527">
                  <c:v>1420</c:v>
                </c:pt>
                <c:pt idx="528">
                  <c:v>1420</c:v>
                </c:pt>
                <c:pt idx="529">
                  <c:v>1420</c:v>
                </c:pt>
                <c:pt idx="530">
                  <c:v>1420</c:v>
                </c:pt>
                <c:pt idx="531">
                  <c:v>1420</c:v>
                </c:pt>
                <c:pt idx="532">
                  <c:v>1420</c:v>
                </c:pt>
                <c:pt idx="533">
                  <c:v>1420</c:v>
                </c:pt>
                <c:pt idx="534">
                  <c:v>1420</c:v>
                </c:pt>
                <c:pt idx="535">
                  <c:v>1420</c:v>
                </c:pt>
                <c:pt idx="536">
                  <c:v>1420</c:v>
                </c:pt>
                <c:pt idx="537">
                  <c:v>1420</c:v>
                </c:pt>
                <c:pt idx="538">
                  <c:v>1420</c:v>
                </c:pt>
                <c:pt idx="539">
                  <c:v>1420</c:v>
                </c:pt>
                <c:pt idx="540">
                  <c:v>1420</c:v>
                </c:pt>
                <c:pt idx="541">
                  <c:v>1420</c:v>
                </c:pt>
                <c:pt idx="542">
                  <c:v>1420</c:v>
                </c:pt>
                <c:pt idx="543">
                  <c:v>1420</c:v>
                </c:pt>
                <c:pt idx="544">
                  <c:v>1420</c:v>
                </c:pt>
                <c:pt idx="545">
                  <c:v>1420</c:v>
                </c:pt>
                <c:pt idx="546">
                  <c:v>1420</c:v>
                </c:pt>
                <c:pt idx="547">
                  <c:v>1420</c:v>
                </c:pt>
                <c:pt idx="548">
                  <c:v>1420</c:v>
                </c:pt>
                <c:pt idx="549">
                  <c:v>1420</c:v>
                </c:pt>
                <c:pt idx="550">
                  <c:v>1420</c:v>
                </c:pt>
                <c:pt idx="551">
                  <c:v>1420</c:v>
                </c:pt>
                <c:pt idx="552">
                  <c:v>1420</c:v>
                </c:pt>
                <c:pt idx="553">
                  <c:v>1420</c:v>
                </c:pt>
                <c:pt idx="554">
                  <c:v>1420</c:v>
                </c:pt>
                <c:pt idx="555">
                  <c:v>1420</c:v>
                </c:pt>
                <c:pt idx="556">
                  <c:v>1420</c:v>
                </c:pt>
                <c:pt idx="557">
                  <c:v>1420</c:v>
                </c:pt>
                <c:pt idx="558">
                  <c:v>1420</c:v>
                </c:pt>
                <c:pt idx="559">
                  <c:v>1420</c:v>
                </c:pt>
                <c:pt idx="560">
                  <c:v>1420</c:v>
                </c:pt>
                <c:pt idx="561">
                  <c:v>1420</c:v>
                </c:pt>
                <c:pt idx="562">
                  <c:v>1420</c:v>
                </c:pt>
                <c:pt idx="563">
                  <c:v>1420</c:v>
                </c:pt>
                <c:pt idx="564">
                  <c:v>1420</c:v>
                </c:pt>
                <c:pt idx="565">
                  <c:v>1420</c:v>
                </c:pt>
                <c:pt idx="566">
                  <c:v>1420</c:v>
                </c:pt>
                <c:pt idx="567">
                  <c:v>1420</c:v>
                </c:pt>
                <c:pt idx="568">
                  <c:v>1420</c:v>
                </c:pt>
                <c:pt idx="569">
                  <c:v>1420</c:v>
                </c:pt>
                <c:pt idx="570">
                  <c:v>1420</c:v>
                </c:pt>
                <c:pt idx="571">
                  <c:v>1420</c:v>
                </c:pt>
                <c:pt idx="572">
                  <c:v>1420</c:v>
                </c:pt>
                <c:pt idx="573">
                  <c:v>1420</c:v>
                </c:pt>
                <c:pt idx="574">
                  <c:v>1420</c:v>
                </c:pt>
                <c:pt idx="575">
                  <c:v>1420</c:v>
                </c:pt>
                <c:pt idx="576">
                  <c:v>1420</c:v>
                </c:pt>
                <c:pt idx="577">
                  <c:v>1420</c:v>
                </c:pt>
                <c:pt idx="578">
                  <c:v>1420</c:v>
                </c:pt>
                <c:pt idx="579">
                  <c:v>1420</c:v>
                </c:pt>
                <c:pt idx="580">
                  <c:v>1420</c:v>
                </c:pt>
                <c:pt idx="581">
                  <c:v>1420</c:v>
                </c:pt>
                <c:pt idx="582">
                  <c:v>1420</c:v>
                </c:pt>
                <c:pt idx="583">
                  <c:v>1420</c:v>
                </c:pt>
                <c:pt idx="584">
                  <c:v>1420</c:v>
                </c:pt>
                <c:pt idx="585">
                  <c:v>1420</c:v>
                </c:pt>
                <c:pt idx="586">
                  <c:v>1420</c:v>
                </c:pt>
                <c:pt idx="587">
                  <c:v>1420</c:v>
                </c:pt>
                <c:pt idx="588">
                  <c:v>1420</c:v>
                </c:pt>
                <c:pt idx="589">
                  <c:v>1420</c:v>
                </c:pt>
                <c:pt idx="590">
                  <c:v>1420</c:v>
                </c:pt>
                <c:pt idx="591">
                  <c:v>1420</c:v>
                </c:pt>
                <c:pt idx="592">
                  <c:v>1420</c:v>
                </c:pt>
                <c:pt idx="593">
                  <c:v>1420</c:v>
                </c:pt>
                <c:pt idx="594">
                  <c:v>1420</c:v>
                </c:pt>
                <c:pt idx="595">
                  <c:v>1420</c:v>
                </c:pt>
                <c:pt idx="596">
                  <c:v>1420</c:v>
                </c:pt>
                <c:pt idx="597">
                  <c:v>1420</c:v>
                </c:pt>
                <c:pt idx="598">
                  <c:v>1420</c:v>
                </c:pt>
                <c:pt idx="599">
                  <c:v>1420</c:v>
                </c:pt>
                <c:pt idx="600">
                  <c:v>1420</c:v>
                </c:pt>
                <c:pt idx="601">
                  <c:v>1420</c:v>
                </c:pt>
                <c:pt idx="602">
                  <c:v>1420</c:v>
                </c:pt>
                <c:pt idx="603">
                  <c:v>1420</c:v>
                </c:pt>
                <c:pt idx="604">
                  <c:v>1420</c:v>
                </c:pt>
                <c:pt idx="605">
                  <c:v>1420</c:v>
                </c:pt>
                <c:pt idx="606">
                  <c:v>1420</c:v>
                </c:pt>
                <c:pt idx="607">
                  <c:v>1420</c:v>
                </c:pt>
                <c:pt idx="608">
                  <c:v>1420</c:v>
                </c:pt>
                <c:pt idx="609">
                  <c:v>1420</c:v>
                </c:pt>
                <c:pt idx="610">
                  <c:v>1420</c:v>
                </c:pt>
                <c:pt idx="611">
                  <c:v>1420</c:v>
                </c:pt>
                <c:pt idx="612">
                  <c:v>1420</c:v>
                </c:pt>
                <c:pt idx="613">
                  <c:v>1420</c:v>
                </c:pt>
                <c:pt idx="614">
                  <c:v>1420</c:v>
                </c:pt>
                <c:pt idx="615">
                  <c:v>1420</c:v>
                </c:pt>
                <c:pt idx="616">
                  <c:v>1420</c:v>
                </c:pt>
                <c:pt idx="617">
                  <c:v>1420</c:v>
                </c:pt>
                <c:pt idx="618">
                  <c:v>1420</c:v>
                </c:pt>
                <c:pt idx="619">
                  <c:v>1420</c:v>
                </c:pt>
                <c:pt idx="620">
                  <c:v>1420</c:v>
                </c:pt>
                <c:pt idx="621">
                  <c:v>1420</c:v>
                </c:pt>
                <c:pt idx="622">
                  <c:v>1420</c:v>
                </c:pt>
                <c:pt idx="623">
                  <c:v>1420</c:v>
                </c:pt>
                <c:pt idx="624">
                  <c:v>1420</c:v>
                </c:pt>
                <c:pt idx="625">
                  <c:v>1420</c:v>
                </c:pt>
                <c:pt idx="626">
                  <c:v>1420</c:v>
                </c:pt>
                <c:pt idx="627">
                  <c:v>1420</c:v>
                </c:pt>
                <c:pt idx="628">
                  <c:v>1420</c:v>
                </c:pt>
                <c:pt idx="629">
                  <c:v>1420</c:v>
                </c:pt>
                <c:pt idx="630">
                  <c:v>1420</c:v>
                </c:pt>
                <c:pt idx="631">
                  <c:v>1420</c:v>
                </c:pt>
                <c:pt idx="632">
                  <c:v>1420</c:v>
                </c:pt>
                <c:pt idx="633">
                  <c:v>1420</c:v>
                </c:pt>
                <c:pt idx="634">
                  <c:v>1420</c:v>
                </c:pt>
                <c:pt idx="635">
                  <c:v>1420</c:v>
                </c:pt>
                <c:pt idx="636">
                  <c:v>1420</c:v>
                </c:pt>
                <c:pt idx="637">
                  <c:v>1420</c:v>
                </c:pt>
                <c:pt idx="638">
                  <c:v>1420</c:v>
                </c:pt>
                <c:pt idx="639">
                  <c:v>1420</c:v>
                </c:pt>
                <c:pt idx="640">
                  <c:v>1420</c:v>
                </c:pt>
                <c:pt idx="641">
                  <c:v>1420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三门峡!$D$1</c:f>
              <c:strCache>
                <c:ptCount val="1"/>
                <c:pt idx="0">
                  <c:v>出库</c:v>
                </c:pt>
              </c:strCache>
            </c:strRef>
          </c:tx>
          <c:marker>
            <c:symbol val="none"/>
          </c:marker>
          <c:val>
            <c:numRef>
              <c:f>三门峡!$D$2:$D$746</c:f>
              <c:numCache>
                <c:formatCode>General</c:formatCode>
                <c:ptCount val="745"/>
                <c:pt idx="0">
                  <c:v>1420</c:v>
                </c:pt>
                <c:pt idx="1">
                  <c:v>1420</c:v>
                </c:pt>
                <c:pt idx="2">
                  <c:v>1420</c:v>
                </c:pt>
                <c:pt idx="3">
                  <c:v>1420</c:v>
                </c:pt>
                <c:pt idx="4">
                  <c:v>1420</c:v>
                </c:pt>
                <c:pt idx="5">
                  <c:v>1420</c:v>
                </c:pt>
                <c:pt idx="6">
                  <c:v>1420</c:v>
                </c:pt>
                <c:pt idx="7">
                  <c:v>1420</c:v>
                </c:pt>
                <c:pt idx="8">
                  <c:v>1420</c:v>
                </c:pt>
                <c:pt idx="9">
                  <c:v>1420</c:v>
                </c:pt>
                <c:pt idx="10">
                  <c:v>1420</c:v>
                </c:pt>
                <c:pt idx="11">
                  <c:v>1420</c:v>
                </c:pt>
                <c:pt idx="12">
                  <c:v>1420</c:v>
                </c:pt>
                <c:pt idx="13">
                  <c:v>1420</c:v>
                </c:pt>
                <c:pt idx="14">
                  <c:v>1420</c:v>
                </c:pt>
                <c:pt idx="15">
                  <c:v>1420</c:v>
                </c:pt>
                <c:pt idx="16">
                  <c:v>1420</c:v>
                </c:pt>
                <c:pt idx="17">
                  <c:v>1420</c:v>
                </c:pt>
                <c:pt idx="18">
                  <c:v>1420</c:v>
                </c:pt>
                <c:pt idx="19">
                  <c:v>1420</c:v>
                </c:pt>
                <c:pt idx="20">
                  <c:v>1420</c:v>
                </c:pt>
                <c:pt idx="21">
                  <c:v>1420</c:v>
                </c:pt>
                <c:pt idx="22">
                  <c:v>1420</c:v>
                </c:pt>
                <c:pt idx="23">
                  <c:v>1420</c:v>
                </c:pt>
                <c:pt idx="24">
                  <c:v>1420</c:v>
                </c:pt>
                <c:pt idx="25">
                  <c:v>1420</c:v>
                </c:pt>
                <c:pt idx="26">
                  <c:v>1420</c:v>
                </c:pt>
                <c:pt idx="27">
                  <c:v>1420</c:v>
                </c:pt>
                <c:pt idx="28">
                  <c:v>1420</c:v>
                </c:pt>
                <c:pt idx="29">
                  <c:v>1420</c:v>
                </c:pt>
                <c:pt idx="30">
                  <c:v>1420</c:v>
                </c:pt>
                <c:pt idx="31">
                  <c:v>1420</c:v>
                </c:pt>
                <c:pt idx="32">
                  <c:v>1420</c:v>
                </c:pt>
                <c:pt idx="33">
                  <c:v>1420</c:v>
                </c:pt>
                <c:pt idx="34">
                  <c:v>1420</c:v>
                </c:pt>
                <c:pt idx="35">
                  <c:v>1420</c:v>
                </c:pt>
                <c:pt idx="36">
                  <c:v>1420</c:v>
                </c:pt>
                <c:pt idx="37">
                  <c:v>1420</c:v>
                </c:pt>
                <c:pt idx="38">
                  <c:v>1420</c:v>
                </c:pt>
                <c:pt idx="39">
                  <c:v>1420</c:v>
                </c:pt>
                <c:pt idx="40">
                  <c:v>1420</c:v>
                </c:pt>
                <c:pt idx="41">
                  <c:v>1420</c:v>
                </c:pt>
                <c:pt idx="42">
                  <c:v>1420</c:v>
                </c:pt>
                <c:pt idx="43">
                  <c:v>1420</c:v>
                </c:pt>
                <c:pt idx="44">
                  <c:v>1420</c:v>
                </c:pt>
                <c:pt idx="45">
                  <c:v>1420</c:v>
                </c:pt>
                <c:pt idx="46">
                  <c:v>1420</c:v>
                </c:pt>
                <c:pt idx="47">
                  <c:v>1420</c:v>
                </c:pt>
                <c:pt idx="48">
                  <c:v>1420</c:v>
                </c:pt>
                <c:pt idx="49">
                  <c:v>1420</c:v>
                </c:pt>
                <c:pt idx="50">
                  <c:v>1420</c:v>
                </c:pt>
                <c:pt idx="51">
                  <c:v>1420</c:v>
                </c:pt>
                <c:pt idx="52">
                  <c:v>1420</c:v>
                </c:pt>
                <c:pt idx="53">
                  <c:v>1420</c:v>
                </c:pt>
                <c:pt idx="54">
                  <c:v>1420</c:v>
                </c:pt>
                <c:pt idx="55">
                  <c:v>1420</c:v>
                </c:pt>
                <c:pt idx="56">
                  <c:v>1420</c:v>
                </c:pt>
                <c:pt idx="57">
                  <c:v>1420</c:v>
                </c:pt>
                <c:pt idx="58">
                  <c:v>1420</c:v>
                </c:pt>
                <c:pt idx="59">
                  <c:v>1420</c:v>
                </c:pt>
                <c:pt idx="60">
                  <c:v>1420</c:v>
                </c:pt>
                <c:pt idx="61">
                  <c:v>1420</c:v>
                </c:pt>
                <c:pt idx="62">
                  <c:v>1420</c:v>
                </c:pt>
                <c:pt idx="63">
                  <c:v>1420</c:v>
                </c:pt>
                <c:pt idx="64">
                  <c:v>1420</c:v>
                </c:pt>
                <c:pt idx="65">
                  <c:v>1420</c:v>
                </c:pt>
                <c:pt idx="66">
                  <c:v>1420</c:v>
                </c:pt>
                <c:pt idx="67">
                  <c:v>1420</c:v>
                </c:pt>
                <c:pt idx="68">
                  <c:v>1420</c:v>
                </c:pt>
                <c:pt idx="69">
                  <c:v>1420</c:v>
                </c:pt>
                <c:pt idx="70">
                  <c:v>1420</c:v>
                </c:pt>
                <c:pt idx="71">
                  <c:v>1420</c:v>
                </c:pt>
                <c:pt idx="72">
                  <c:v>1420</c:v>
                </c:pt>
                <c:pt idx="73">
                  <c:v>1420</c:v>
                </c:pt>
                <c:pt idx="74">
                  <c:v>1420</c:v>
                </c:pt>
                <c:pt idx="75">
                  <c:v>1420</c:v>
                </c:pt>
                <c:pt idx="76">
                  <c:v>1420</c:v>
                </c:pt>
                <c:pt idx="77">
                  <c:v>1420</c:v>
                </c:pt>
                <c:pt idx="78">
                  <c:v>1420</c:v>
                </c:pt>
                <c:pt idx="79">
                  <c:v>1420</c:v>
                </c:pt>
                <c:pt idx="80">
                  <c:v>1420</c:v>
                </c:pt>
                <c:pt idx="81">
                  <c:v>1420</c:v>
                </c:pt>
                <c:pt idx="82">
                  <c:v>1420</c:v>
                </c:pt>
                <c:pt idx="83">
                  <c:v>1420</c:v>
                </c:pt>
                <c:pt idx="84">
                  <c:v>1420</c:v>
                </c:pt>
                <c:pt idx="85">
                  <c:v>1420</c:v>
                </c:pt>
                <c:pt idx="86">
                  <c:v>1420</c:v>
                </c:pt>
                <c:pt idx="87">
                  <c:v>1420</c:v>
                </c:pt>
                <c:pt idx="88">
                  <c:v>1420</c:v>
                </c:pt>
                <c:pt idx="89">
                  <c:v>1420</c:v>
                </c:pt>
                <c:pt idx="90">
                  <c:v>1420</c:v>
                </c:pt>
                <c:pt idx="91">
                  <c:v>1420</c:v>
                </c:pt>
                <c:pt idx="92">
                  <c:v>1420</c:v>
                </c:pt>
                <c:pt idx="93">
                  <c:v>1420</c:v>
                </c:pt>
                <c:pt idx="94">
                  <c:v>1420</c:v>
                </c:pt>
                <c:pt idx="95">
                  <c:v>1420</c:v>
                </c:pt>
                <c:pt idx="96">
                  <c:v>1420</c:v>
                </c:pt>
                <c:pt idx="97">
                  <c:v>1420</c:v>
                </c:pt>
                <c:pt idx="98">
                  <c:v>1420</c:v>
                </c:pt>
                <c:pt idx="99">
                  <c:v>1420</c:v>
                </c:pt>
                <c:pt idx="100">
                  <c:v>1420</c:v>
                </c:pt>
                <c:pt idx="101">
                  <c:v>1420</c:v>
                </c:pt>
                <c:pt idx="102">
                  <c:v>1420</c:v>
                </c:pt>
                <c:pt idx="103">
                  <c:v>1420</c:v>
                </c:pt>
                <c:pt idx="104">
                  <c:v>1420</c:v>
                </c:pt>
                <c:pt idx="105">
                  <c:v>1420</c:v>
                </c:pt>
                <c:pt idx="106">
                  <c:v>1420</c:v>
                </c:pt>
                <c:pt idx="107">
                  <c:v>1420</c:v>
                </c:pt>
                <c:pt idx="108">
                  <c:v>1420</c:v>
                </c:pt>
                <c:pt idx="109">
                  <c:v>1420</c:v>
                </c:pt>
                <c:pt idx="110">
                  <c:v>1420</c:v>
                </c:pt>
                <c:pt idx="111">
                  <c:v>1420</c:v>
                </c:pt>
                <c:pt idx="112">
                  <c:v>1420</c:v>
                </c:pt>
                <c:pt idx="113">
                  <c:v>1420</c:v>
                </c:pt>
                <c:pt idx="114">
                  <c:v>1420</c:v>
                </c:pt>
                <c:pt idx="115">
                  <c:v>1420</c:v>
                </c:pt>
                <c:pt idx="116">
                  <c:v>1420</c:v>
                </c:pt>
                <c:pt idx="117">
                  <c:v>1420</c:v>
                </c:pt>
                <c:pt idx="118">
                  <c:v>1420</c:v>
                </c:pt>
                <c:pt idx="119">
                  <c:v>1420</c:v>
                </c:pt>
                <c:pt idx="120">
                  <c:v>1420</c:v>
                </c:pt>
                <c:pt idx="121">
                  <c:v>1420</c:v>
                </c:pt>
                <c:pt idx="122">
                  <c:v>1420</c:v>
                </c:pt>
                <c:pt idx="123">
                  <c:v>1420</c:v>
                </c:pt>
                <c:pt idx="124">
                  <c:v>1420</c:v>
                </c:pt>
                <c:pt idx="125">
                  <c:v>1420</c:v>
                </c:pt>
                <c:pt idx="126">
                  <c:v>1420</c:v>
                </c:pt>
                <c:pt idx="127">
                  <c:v>1420</c:v>
                </c:pt>
                <c:pt idx="128">
                  <c:v>1420</c:v>
                </c:pt>
                <c:pt idx="129">
                  <c:v>1420</c:v>
                </c:pt>
                <c:pt idx="130">
                  <c:v>1420</c:v>
                </c:pt>
                <c:pt idx="131">
                  <c:v>1420</c:v>
                </c:pt>
                <c:pt idx="132">
                  <c:v>1420</c:v>
                </c:pt>
                <c:pt idx="133">
                  <c:v>1420</c:v>
                </c:pt>
                <c:pt idx="134">
                  <c:v>1420</c:v>
                </c:pt>
                <c:pt idx="135">
                  <c:v>1420</c:v>
                </c:pt>
                <c:pt idx="136">
                  <c:v>1420</c:v>
                </c:pt>
                <c:pt idx="137">
                  <c:v>1420</c:v>
                </c:pt>
                <c:pt idx="138">
                  <c:v>1420</c:v>
                </c:pt>
                <c:pt idx="139">
                  <c:v>1420</c:v>
                </c:pt>
                <c:pt idx="140">
                  <c:v>1420</c:v>
                </c:pt>
                <c:pt idx="141">
                  <c:v>1420</c:v>
                </c:pt>
                <c:pt idx="142">
                  <c:v>1420</c:v>
                </c:pt>
                <c:pt idx="143">
                  <c:v>1420</c:v>
                </c:pt>
                <c:pt idx="144">
                  <c:v>1420</c:v>
                </c:pt>
                <c:pt idx="145">
                  <c:v>1420</c:v>
                </c:pt>
                <c:pt idx="146">
                  <c:v>1420</c:v>
                </c:pt>
                <c:pt idx="147">
                  <c:v>1420</c:v>
                </c:pt>
                <c:pt idx="148">
                  <c:v>1420</c:v>
                </c:pt>
                <c:pt idx="149">
                  <c:v>1420</c:v>
                </c:pt>
                <c:pt idx="150">
                  <c:v>1420</c:v>
                </c:pt>
                <c:pt idx="151">
                  <c:v>1420</c:v>
                </c:pt>
                <c:pt idx="152">
                  <c:v>1420</c:v>
                </c:pt>
                <c:pt idx="153">
                  <c:v>1420</c:v>
                </c:pt>
                <c:pt idx="154">
                  <c:v>1420</c:v>
                </c:pt>
                <c:pt idx="155">
                  <c:v>1420</c:v>
                </c:pt>
                <c:pt idx="156">
                  <c:v>1420</c:v>
                </c:pt>
                <c:pt idx="157">
                  <c:v>1420</c:v>
                </c:pt>
                <c:pt idx="158">
                  <c:v>1420</c:v>
                </c:pt>
                <c:pt idx="159">
                  <c:v>1420</c:v>
                </c:pt>
                <c:pt idx="160">
                  <c:v>1420</c:v>
                </c:pt>
                <c:pt idx="161">
                  <c:v>1420</c:v>
                </c:pt>
                <c:pt idx="162">
                  <c:v>1420</c:v>
                </c:pt>
                <c:pt idx="163">
                  <c:v>1420</c:v>
                </c:pt>
                <c:pt idx="164">
                  <c:v>1420</c:v>
                </c:pt>
                <c:pt idx="165">
                  <c:v>1420</c:v>
                </c:pt>
                <c:pt idx="166">
                  <c:v>1420</c:v>
                </c:pt>
                <c:pt idx="167">
                  <c:v>1420</c:v>
                </c:pt>
                <c:pt idx="168">
                  <c:v>1420</c:v>
                </c:pt>
                <c:pt idx="169">
                  <c:v>1420</c:v>
                </c:pt>
                <c:pt idx="170">
                  <c:v>1420</c:v>
                </c:pt>
                <c:pt idx="171">
                  <c:v>1420</c:v>
                </c:pt>
                <c:pt idx="172">
                  <c:v>1420</c:v>
                </c:pt>
                <c:pt idx="173">
                  <c:v>1420</c:v>
                </c:pt>
                <c:pt idx="174">
                  <c:v>1420</c:v>
                </c:pt>
                <c:pt idx="175">
                  <c:v>1420</c:v>
                </c:pt>
                <c:pt idx="176">
                  <c:v>1420</c:v>
                </c:pt>
                <c:pt idx="177">
                  <c:v>1420</c:v>
                </c:pt>
                <c:pt idx="178">
                  <c:v>1420</c:v>
                </c:pt>
                <c:pt idx="179">
                  <c:v>1420</c:v>
                </c:pt>
                <c:pt idx="180">
                  <c:v>1420</c:v>
                </c:pt>
                <c:pt idx="181">
                  <c:v>1420</c:v>
                </c:pt>
                <c:pt idx="182">
                  <c:v>1420</c:v>
                </c:pt>
                <c:pt idx="183">
                  <c:v>1420</c:v>
                </c:pt>
                <c:pt idx="184">
                  <c:v>1420</c:v>
                </c:pt>
                <c:pt idx="185">
                  <c:v>1420</c:v>
                </c:pt>
                <c:pt idx="186">
                  <c:v>1420</c:v>
                </c:pt>
                <c:pt idx="187">
                  <c:v>1420</c:v>
                </c:pt>
                <c:pt idx="188">
                  <c:v>1420</c:v>
                </c:pt>
                <c:pt idx="189">
                  <c:v>1420</c:v>
                </c:pt>
                <c:pt idx="190">
                  <c:v>1420</c:v>
                </c:pt>
                <c:pt idx="191">
                  <c:v>1420</c:v>
                </c:pt>
                <c:pt idx="192">
                  <c:v>1420</c:v>
                </c:pt>
                <c:pt idx="193">
                  <c:v>1420</c:v>
                </c:pt>
                <c:pt idx="194">
                  <c:v>1420</c:v>
                </c:pt>
                <c:pt idx="195">
                  <c:v>1420</c:v>
                </c:pt>
                <c:pt idx="196">
                  <c:v>1420</c:v>
                </c:pt>
                <c:pt idx="197">
                  <c:v>1420</c:v>
                </c:pt>
                <c:pt idx="198">
                  <c:v>1420</c:v>
                </c:pt>
                <c:pt idx="199">
                  <c:v>1420</c:v>
                </c:pt>
                <c:pt idx="200">
                  <c:v>1420</c:v>
                </c:pt>
                <c:pt idx="201">
                  <c:v>1420</c:v>
                </c:pt>
                <c:pt idx="202">
                  <c:v>1420</c:v>
                </c:pt>
                <c:pt idx="203">
                  <c:v>1420</c:v>
                </c:pt>
                <c:pt idx="204">
                  <c:v>1420</c:v>
                </c:pt>
                <c:pt idx="205">
                  <c:v>1420</c:v>
                </c:pt>
                <c:pt idx="206">
                  <c:v>1420</c:v>
                </c:pt>
                <c:pt idx="207">
                  <c:v>1420</c:v>
                </c:pt>
                <c:pt idx="208">
                  <c:v>1420</c:v>
                </c:pt>
                <c:pt idx="209">
                  <c:v>1420</c:v>
                </c:pt>
                <c:pt idx="210">
                  <c:v>1420</c:v>
                </c:pt>
                <c:pt idx="211">
                  <c:v>1420</c:v>
                </c:pt>
                <c:pt idx="212">
                  <c:v>1420</c:v>
                </c:pt>
                <c:pt idx="213">
                  <c:v>1420</c:v>
                </c:pt>
                <c:pt idx="214">
                  <c:v>1420</c:v>
                </c:pt>
                <c:pt idx="215">
                  <c:v>1420</c:v>
                </c:pt>
                <c:pt idx="216">
                  <c:v>1420</c:v>
                </c:pt>
                <c:pt idx="217">
                  <c:v>1420</c:v>
                </c:pt>
                <c:pt idx="218">
                  <c:v>1420</c:v>
                </c:pt>
                <c:pt idx="219">
                  <c:v>1420</c:v>
                </c:pt>
                <c:pt idx="220">
                  <c:v>1420</c:v>
                </c:pt>
                <c:pt idx="221">
                  <c:v>1420</c:v>
                </c:pt>
                <c:pt idx="222">
                  <c:v>1420</c:v>
                </c:pt>
                <c:pt idx="223">
                  <c:v>1420</c:v>
                </c:pt>
                <c:pt idx="224">
                  <c:v>1420</c:v>
                </c:pt>
                <c:pt idx="225">
                  <c:v>1420</c:v>
                </c:pt>
                <c:pt idx="226">
                  <c:v>1420</c:v>
                </c:pt>
                <c:pt idx="227">
                  <c:v>1420</c:v>
                </c:pt>
                <c:pt idx="228">
                  <c:v>1420</c:v>
                </c:pt>
                <c:pt idx="229">
                  <c:v>1420</c:v>
                </c:pt>
                <c:pt idx="230">
                  <c:v>1420</c:v>
                </c:pt>
                <c:pt idx="231">
                  <c:v>1420</c:v>
                </c:pt>
                <c:pt idx="232">
                  <c:v>1420</c:v>
                </c:pt>
                <c:pt idx="233">
                  <c:v>1420</c:v>
                </c:pt>
                <c:pt idx="234">
                  <c:v>1420</c:v>
                </c:pt>
                <c:pt idx="235">
                  <c:v>1420</c:v>
                </c:pt>
                <c:pt idx="236">
                  <c:v>1420</c:v>
                </c:pt>
                <c:pt idx="237">
                  <c:v>1420</c:v>
                </c:pt>
                <c:pt idx="238">
                  <c:v>1420</c:v>
                </c:pt>
                <c:pt idx="239">
                  <c:v>1420</c:v>
                </c:pt>
                <c:pt idx="240">
                  <c:v>1420</c:v>
                </c:pt>
                <c:pt idx="241">
                  <c:v>1420</c:v>
                </c:pt>
                <c:pt idx="242">
                  <c:v>1420</c:v>
                </c:pt>
                <c:pt idx="243">
                  <c:v>1420</c:v>
                </c:pt>
                <c:pt idx="244">
                  <c:v>1420</c:v>
                </c:pt>
                <c:pt idx="245">
                  <c:v>1420</c:v>
                </c:pt>
                <c:pt idx="246">
                  <c:v>1420</c:v>
                </c:pt>
                <c:pt idx="247">
                  <c:v>1420</c:v>
                </c:pt>
                <c:pt idx="248">
                  <c:v>1420</c:v>
                </c:pt>
                <c:pt idx="249">
                  <c:v>1420</c:v>
                </c:pt>
                <c:pt idx="250">
                  <c:v>1420</c:v>
                </c:pt>
                <c:pt idx="251">
                  <c:v>1420</c:v>
                </c:pt>
                <c:pt idx="252">
                  <c:v>1420</c:v>
                </c:pt>
                <c:pt idx="253">
                  <c:v>1420</c:v>
                </c:pt>
                <c:pt idx="254">
                  <c:v>1420</c:v>
                </c:pt>
                <c:pt idx="255">
                  <c:v>1420</c:v>
                </c:pt>
                <c:pt idx="256">
                  <c:v>1420</c:v>
                </c:pt>
                <c:pt idx="257">
                  <c:v>1420</c:v>
                </c:pt>
                <c:pt idx="258">
                  <c:v>1420</c:v>
                </c:pt>
                <c:pt idx="259">
                  <c:v>1420</c:v>
                </c:pt>
                <c:pt idx="260">
                  <c:v>1420</c:v>
                </c:pt>
                <c:pt idx="261">
                  <c:v>1420</c:v>
                </c:pt>
                <c:pt idx="262">
                  <c:v>1420</c:v>
                </c:pt>
                <c:pt idx="263">
                  <c:v>1420</c:v>
                </c:pt>
                <c:pt idx="264">
                  <c:v>1420</c:v>
                </c:pt>
                <c:pt idx="265">
                  <c:v>1420</c:v>
                </c:pt>
                <c:pt idx="266">
                  <c:v>1420</c:v>
                </c:pt>
                <c:pt idx="267">
                  <c:v>1420</c:v>
                </c:pt>
                <c:pt idx="268">
                  <c:v>1420</c:v>
                </c:pt>
                <c:pt idx="269">
                  <c:v>1420</c:v>
                </c:pt>
                <c:pt idx="270">
                  <c:v>1420</c:v>
                </c:pt>
                <c:pt idx="271">
                  <c:v>1420</c:v>
                </c:pt>
                <c:pt idx="272">
                  <c:v>1420</c:v>
                </c:pt>
                <c:pt idx="273">
                  <c:v>1420</c:v>
                </c:pt>
                <c:pt idx="274">
                  <c:v>1420</c:v>
                </c:pt>
                <c:pt idx="275">
                  <c:v>1420</c:v>
                </c:pt>
                <c:pt idx="276">
                  <c:v>1420</c:v>
                </c:pt>
                <c:pt idx="277">
                  <c:v>1420</c:v>
                </c:pt>
                <c:pt idx="278">
                  <c:v>1420</c:v>
                </c:pt>
                <c:pt idx="279">
                  <c:v>1420</c:v>
                </c:pt>
                <c:pt idx="280">
                  <c:v>1420</c:v>
                </c:pt>
                <c:pt idx="281">
                  <c:v>1420</c:v>
                </c:pt>
                <c:pt idx="282">
                  <c:v>1420</c:v>
                </c:pt>
                <c:pt idx="283">
                  <c:v>1420</c:v>
                </c:pt>
                <c:pt idx="284">
                  <c:v>1420</c:v>
                </c:pt>
                <c:pt idx="285">
                  <c:v>1420</c:v>
                </c:pt>
                <c:pt idx="286">
                  <c:v>1420</c:v>
                </c:pt>
                <c:pt idx="287">
                  <c:v>1420</c:v>
                </c:pt>
                <c:pt idx="288">
                  <c:v>1420</c:v>
                </c:pt>
                <c:pt idx="289">
                  <c:v>1420</c:v>
                </c:pt>
                <c:pt idx="290">
                  <c:v>1420</c:v>
                </c:pt>
                <c:pt idx="291">
                  <c:v>1420</c:v>
                </c:pt>
                <c:pt idx="292">
                  <c:v>1420</c:v>
                </c:pt>
                <c:pt idx="293">
                  <c:v>1420</c:v>
                </c:pt>
                <c:pt idx="294">
                  <c:v>1420</c:v>
                </c:pt>
                <c:pt idx="295">
                  <c:v>1420</c:v>
                </c:pt>
                <c:pt idx="296">
                  <c:v>1420</c:v>
                </c:pt>
                <c:pt idx="297">
                  <c:v>1420</c:v>
                </c:pt>
                <c:pt idx="298">
                  <c:v>1420</c:v>
                </c:pt>
                <c:pt idx="299">
                  <c:v>1420</c:v>
                </c:pt>
                <c:pt idx="300">
                  <c:v>1420</c:v>
                </c:pt>
                <c:pt idx="301">
                  <c:v>1420</c:v>
                </c:pt>
                <c:pt idx="302">
                  <c:v>1420</c:v>
                </c:pt>
                <c:pt idx="303">
                  <c:v>1420</c:v>
                </c:pt>
                <c:pt idx="304">
                  <c:v>1420</c:v>
                </c:pt>
                <c:pt idx="305">
                  <c:v>1420</c:v>
                </c:pt>
                <c:pt idx="306">
                  <c:v>1420</c:v>
                </c:pt>
                <c:pt idx="307">
                  <c:v>1420</c:v>
                </c:pt>
                <c:pt idx="308">
                  <c:v>1420</c:v>
                </c:pt>
                <c:pt idx="309">
                  <c:v>1420</c:v>
                </c:pt>
                <c:pt idx="310">
                  <c:v>1420</c:v>
                </c:pt>
                <c:pt idx="311">
                  <c:v>1420</c:v>
                </c:pt>
                <c:pt idx="312">
                  <c:v>1420</c:v>
                </c:pt>
                <c:pt idx="313">
                  <c:v>1420</c:v>
                </c:pt>
                <c:pt idx="314">
                  <c:v>1420</c:v>
                </c:pt>
                <c:pt idx="315">
                  <c:v>1420</c:v>
                </c:pt>
                <c:pt idx="316">
                  <c:v>1420</c:v>
                </c:pt>
                <c:pt idx="317">
                  <c:v>1420</c:v>
                </c:pt>
                <c:pt idx="318">
                  <c:v>1420</c:v>
                </c:pt>
                <c:pt idx="319">
                  <c:v>1420</c:v>
                </c:pt>
                <c:pt idx="320">
                  <c:v>1420</c:v>
                </c:pt>
                <c:pt idx="321">
                  <c:v>1420</c:v>
                </c:pt>
                <c:pt idx="322">
                  <c:v>1420</c:v>
                </c:pt>
                <c:pt idx="323">
                  <c:v>1420</c:v>
                </c:pt>
                <c:pt idx="324">
                  <c:v>1420</c:v>
                </c:pt>
                <c:pt idx="325">
                  <c:v>1420</c:v>
                </c:pt>
                <c:pt idx="326">
                  <c:v>1420</c:v>
                </c:pt>
                <c:pt idx="327">
                  <c:v>1420</c:v>
                </c:pt>
                <c:pt idx="328">
                  <c:v>1420</c:v>
                </c:pt>
                <c:pt idx="329">
                  <c:v>1420</c:v>
                </c:pt>
                <c:pt idx="330">
                  <c:v>1420</c:v>
                </c:pt>
                <c:pt idx="331">
                  <c:v>1420</c:v>
                </c:pt>
                <c:pt idx="332">
                  <c:v>1420</c:v>
                </c:pt>
                <c:pt idx="333">
                  <c:v>1420</c:v>
                </c:pt>
                <c:pt idx="334">
                  <c:v>1420</c:v>
                </c:pt>
                <c:pt idx="335">
                  <c:v>1420</c:v>
                </c:pt>
                <c:pt idx="336">
                  <c:v>1420</c:v>
                </c:pt>
                <c:pt idx="337">
                  <c:v>1420</c:v>
                </c:pt>
                <c:pt idx="338">
                  <c:v>1420</c:v>
                </c:pt>
                <c:pt idx="339">
                  <c:v>1420</c:v>
                </c:pt>
                <c:pt idx="340">
                  <c:v>1420</c:v>
                </c:pt>
                <c:pt idx="341">
                  <c:v>1420</c:v>
                </c:pt>
                <c:pt idx="342">
                  <c:v>1420</c:v>
                </c:pt>
                <c:pt idx="343">
                  <c:v>1420</c:v>
                </c:pt>
                <c:pt idx="344">
                  <c:v>1420</c:v>
                </c:pt>
                <c:pt idx="345">
                  <c:v>1420</c:v>
                </c:pt>
                <c:pt idx="346">
                  <c:v>1420</c:v>
                </c:pt>
                <c:pt idx="347">
                  <c:v>1420</c:v>
                </c:pt>
                <c:pt idx="348">
                  <c:v>1420</c:v>
                </c:pt>
                <c:pt idx="349">
                  <c:v>1420</c:v>
                </c:pt>
                <c:pt idx="350">
                  <c:v>1420</c:v>
                </c:pt>
                <c:pt idx="351">
                  <c:v>1420</c:v>
                </c:pt>
                <c:pt idx="352">
                  <c:v>1420</c:v>
                </c:pt>
                <c:pt idx="353">
                  <c:v>1420</c:v>
                </c:pt>
                <c:pt idx="354">
                  <c:v>1420</c:v>
                </c:pt>
                <c:pt idx="355">
                  <c:v>1420</c:v>
                </c:pt>
                <c:pt idx="356">
                  <c:v>1420</c:v>
                </c:pt>
                <c:pt idx="357">
                  <c:v>1420</c:v>
                </c:pt>
                <c:pt idx="358">
                  <c:v>1420</c:v>
                </c:pt>
                <c:pt idx="359">
                  <c:v>1420</c:v>
                </c:pt>
                <c:pt idx="360">
                  <c:v>1420</c:v>
                </c:pt>
                <c:pt idx="361">
                  <c:v>1420</c:v>
                </c:pt>
                <c:pt idx="362">
                  <c:v>1420</c:v>
                </c:pt>
                <c:pt idx="363">
                  <c:v>1420</c:v>
                </c:pt>
                <c:pt idx="364">
                  <c:v>1420</c:v>
                </c:pt>
                <c:pt idx="365">
                  <c:v>1420</c:v>
                </c:pt>
                <c:pt idx="366">
                  <c:v>1420</c:v>
                </c:pt>
                <c:pt idx="367">
                  <c:v>1420</c:v>
                </c:pt>
                <c:pt idx="368">
                  <c:v>1420</c:v>
                </c:pt>
                <c:pt idx="369">
                  <c:v>1420</c:v>
                </c:pt>
                <c:pt idx="370">
                  <c:v>1420</c:v>
                </c:pt>
                <c:pt idx="371">
                  <c:v>1420</c:v>
                </c:pt>
                <c:pt idx="372">
                  <c:v>1420</c:v>
                </c:pt>
                <c:pt idx="373">
                  <c:v>1420</c:v>
                </c:pt>
                <c:pt idx="374">
                  <c:v>1420</c:v>
                </c:pt>
                <c:pt idx="375">
                  <c:v>1420</c:v>
                </c:pt>
                <c:pt idx="376">
                  <c:v>1420</c:v>
                </c:pt>
                <c:pt idx="377">
                  <c:v>1420</c:v>
                </c:pt>
                <c:pt idx="378">
                  <c:v>1420</c:v>
                </c:pt>
                <c:pt idx="379">
                  <c:v>1420</c:v>
                </c:pt>
                <c:pt idx="380">
                  <c:v>1420</c:v>
                </c:pt>
                <c:pt idx="381">
                  <c:v>1420</c:v>
                </c:pt>
                <c:pt idx="382">
                  <c:v>1420</c:v>
                </c:pt>
                <c:pt idx="383">
                  <c:v>1420</c:v>
                </c:pt>
                <c:pt idx="384">
                  <c:v>1420</c:v>
                </c:pt>
                <c:pt idx="385">
                  <c:v>1420</c:v>
                </c:pt>
                <c:pt idx="386">
                  <c:v>1420</c:v>
                </c:pt>
                <c:pt idx="387">
                  <c:v>1420</c:v>
                </c:pt>
                <c:pt idx="388">
                  <c:v>1420</c:v>
                </c:pt>
                <c:pt idx="389">
                  <c:v>1420</c:v>
                </c:pt>
                <c:pt idx="390">
                  <c:v>1420</c:v>
                </c:pt>
                <c:pt idx="391">
                  <c:v>1420</c:v>
                </c:pt>
                <c:pt idx="392">
                  <c:v>1420</c:v>
                </c:pt>
                <c:pt idx="393">
                  <c:v>1420</c:v>
                </c:pt>
                <c:pt idx="394">
                  <c:v>1420</c:v>
                </c:pt>
                <c:pt idx="395">
                  <c:v>1420</c:v>
                </c:pt>
                <c:pt idx="396">
                  <c:v>1420</c:v>
                </c:pt>
                <c:pt idx="397">
                  <c:v>1420</c:v>
                </c:pt>
                <c:pt idx="398">
                  <c:v>1420</c:v>
                </c:pt>
                <c:pt idx="399">
                  <c:v>1420</c:v>
                </c:pt>
                <c:pt idx="400">
                  <c:v>1420</c:v>
                </c:pt>
                <c:pt idx="401">
                  <c:v>1420</c:v>
                </c:pt>
                <c:pt idx="402">
                  <c:v>1420</c:v>
                </c:pt>
                <c:pt idx="403">
                  <c:v>1420</c:v>
                </c:pt>
                <c:pt idx="404">
                  <c:v>1420</c:v>
                </c:pt>
                <c:pt idx="405">
                  <c:v>1420</c:v>
                </c:pt>
                <c:pt idx="406">
                  <c:v>1420</c:v>
                </c:pt>
                <c:pt idx="407">
                  <c:v>1420</c:v>
                </c:pt>
                <c:pt idx="408">
                  <c:v>1420</c:v>
                </c:pt>
                <c:pt idx="409">
                  <c:v>1420</c:v>
                </c:pt>
                <c:pt idx="410">
                  <c:v>1420</c:v>
                </c:pt>
                <c:pt idx="411">
                  <c:v>1420</c:v>
                </c:pt>
                <c:pt idx="412">
                  <c:v>1420</c:v>
                </c:pt>
                <c:pt idx="413">
                  <c:v>1420</c:v>
                </c:pt>
                <c:pt idx="414">
                  <c:v>1420</c:v>
                </c:pt>
                <c:pt idx="415">
                  <c:v>1420</c:v>
                </c:pt>
                <c:pt idx="416">
                  <c:v>1420</c:v>
                </c:pt>
                <c:pt idx="417">
                  <c:v>1420</c:v>
                </c:pt>
                <c:pt idx="418">
                  <c:v>1420</c:v>
                </c:pt>
                <c:pt idx="419">
                  <c:v>1420</c:v>
                </c:pt>
                <c:pt idx="420">
                  <c:v>1420</c:v>
                </c:pt>
                <c:pt idx="421">
                  <c:v>1420</c:v>
                </c:pt>
                <c:pt idx="422">
                  <c:v>1420</c:v>
                </c:pt>
                <c:pt idx="423">
                  <c:v>1420</c:v>
                </c:pt>
                <c:pt idx="424">
                  <c:v>1420</c:v>
                </c:pt>
                <c:pt idx="425">
                  <c:v>1420</c:v>
                </c:pt>
                <c:pt idx="426">
                  <c:v>1420</c:v>
                </c:pt>
                <c:pt idx="427">
                  <c:v>1420</c:v>
                </c:pt>
                <c:pt idx="428">
                  <c:v>1420</c:v>
                </c:pt>
                <c:pt idx="429">
                  <c:v>1420</c:v>
                </c:pt>
                <c:pt idx="430">
                  <c:v>1420</c:v>
                </c:pt>
                <c:pt idx="431">
                  <c:v>1420</c:v>
                </c:pt>
                <c:pt idx="432">
                  <c:v>1420</c:v>
                </c:pt>
                <c:pt idx="433">
                  <c:v>1420</c:v>
                </c:pt>
                <c:pt idx="434">
                  <c:v>1420</c:v>
                </c:pt>
                <c:pt idx="435">
                  <c:v>1420</c:v>
                </c:pt>
                <c:pt idx="436">
                  <c:v>1420</c:v>
                </c:pt>
                <c:pt idx="437">
                  <c:v>1420</c:v>
                </c:pt>
                <c:pt idx="438">
                  <c:v>1420</c:v>
                </c:pt>
                <c:pt idx="439">
                  <c:v>1420</c:v>
                </c:pt>
                <c:pt idx="440">
                  <c:v>1420</c:v>
                </c:pt>
                <c:pt idx="441">
                  <c:v>1420</c:v>
                </c:pt>
                <c:pt idx="442">
                  <c:v>1420</c:v>
                </c:pt>
                <c:pt idx="443">
                  <c:v>1420</c:v>
                </c:pt>
                <c:pt idx="444">
                  <c:v>1420</c:v>
                </c:pt>
                <c:pt idx="445">
                  <c:v>1420</c:v>
                </c:pt>
                <c:pt idx="446">
                  <c:v>1420</c:v>
                </c:pt>
                <c:pt idx="447">
                  <c:v>1420</c:v>
                </c:pt>
                <c:pt idx="448">
                  <c:v>1420</c:v>
                </c:pt>
                <c:pt idx="449">
                  <c:v>1420</c:v>
                </c:pt>
                <c:pt idx="450">
                  <c:v>1420</c:v>
                </c:pt>
                <c:pt idx="451">
                  <c:v>1420</c:v>
                </c:pt>
                <c:pt idx="452">
                  <c:v>1420</c:v>
                </c:pt>
                <c:pt idx="453">
                  <c:v>1420</c:v>
                </c:pt>
                <c:pt idx="454">
                  <c:v>1420</c:v>
                </c:pt>
                <c:pt idx="455">
                  <c:v>1420</c:v>
                </c:pt>
                <c:pt idx="456">
                  <c:v>1420</c:v>
                </c:pt>
                <c:pt idx="457">
                  <c:v>1420</c:v>
                </c:pt>
                <c:pt idx="458">
                  <c:v>1420</c:v>
                </c:pt>
                <c:pt idx="459">
                  <c:v>1420</c:v>
                </c:pt>
                <c:pt idx="460">
                  <c:v>1420</c:v>
                </c:pt>
                <c:pt idx="461">
                  <c:v>1420</c:v>
                </c:pt>
                <c:pt idx="462">
                  <c:v>1420</c:v>
                </c:pt>
                <c:pt idx="463">
                  <c:v>1420</c:v>
                </c:pt>
                <c:pt idx="464">
                  <c:v>1420</c:v>
                </c:pt>
                <c:pt idx="465">
                  <c:v>1420</c:v>
                </c:pt>
                <c:pt idx="466">
                  <c:v>1420</c:v>
                </c:pt>
                <c:pt idx="467">
                  <c:v>1420</c:v>
                </c:pt>
                <c:pt idx="468">
                  <c:v>1420</c:v>
                </c:pt>
                <c:pt idx="469">
                  <c:v>1420</c:v>
                </c:pt>
                <c:pt idx="470">
                  <c:v>1420</c:v>
                </c:pt>
                <c:pt idx="471">
                  <c:v>1420</c:v>
                </c:pt>
                <c:pt idx="472">
                  <c:v>1420</c:v>
                </c:pt>
                <c:pt idx="473">
                  <c:v>1420</c:v>
                </c:pt>
                <c:pt idx="474">
                  <c:v>1420</c:v>
                </c:pt>
                <c:pt idx="475">
                  <c:v>1420</c:v>
                </c:pt>
                <c:pt idx="476">
                  <c:v>1420</c:v>
                </c:pt>
                <c:pt idx="477">
                  <c:v>1420</c:v>
                </c:pt>
                <c:pt idx="478">
                  <c:v>1420</c:v>
                </c:pt>
                <c:pt idx="479">
                  <c:v>1420</c:v>
                </c:pt>
                <c:pt idx="480">
                  <c:v>1420</c:v>
                </c:pt>
                <c:pt idx="481">
                  <c:v>1420</c:v>
                </c:pt>
                <c:pt idx="482">
                  <c:v>1420</c:v>
                </c:pt>
                <c:pt idx="483">
                  <c:v>1420</c:v>
                </c:pt>
                <c:pt idx="484">
                  <c:v>1420</c:v>
                </c:pt>
                <c:pt idx="485">
                  <c:v>1420</c:v>
                </c:pt>
                <c:pt idx="486">
                  <c:v>1420</c:v>
                </c:pt>
                <c:pt idx="487">
                  <c:v>1420</c:v>
                </c:pt>
                <c:pt idx="488">
                  <c:v>1420</c:v>
                </c:pt>
                <c:pt idx="489">
                  <c:v>1420</c:v>
                </c:pt>
                <c:pt idx="490">
                  <c:v>1420</c:v>
                </c:pt>
                <c:pt idx="491">
                  <c:v>1420</c:v>
                </c:pt>
                <c:pt idx="492">
                  <c:v>1420</c:v>
                </c:pt>
                <c:pt idx="493">
                  <c:v>1420</c:v>
                </c:pt>
                <c:pt idx="494">
                  <c:v>1420</c:v>
                </c:pt>
                <c:pt idx="495">
                  <c:v>1420</c:v>
                </c:pt>
                <c:pt idx="496">
                  <c:v>1420</c:v>
                </c:pt>
                <c:pt idx="497">
                  <c:v>1420</c:v>
                </c:pt>
                <c:pt idx="498">
                  <c:v>1420</c:v>
                </c:pt>
                <c:pt idx="499">
                  <c:v>1420</c:v>
                </c:pt>
                <c:pt idx="500">
                  <c:v>1420</c:v>
                </c:pt>
                <c:pt idx="501">
                  <c:v>1420</c:v>
                </c:pt>
                <c:pt idx="502">
                  <c:v>1420</c:v>
                </c:pt>
                <c:pt idx="503">
                  <c:v>1420</c:v>
                </c:pt>
                <c:pt idx="504">
                  <c:v>1420</c:v>
                </c:pt>
                <c:pt idx="505">
                  <c:v>1420</c:v>
                </c:pt>
                <c:pt idx="506">
                  <c:v>1420</c:v>
                </c:pt>
                <c:pt idx="507">
                  <c:v>1420</c:v>
                </c:pt>
                <c:pt idx="508">
                  <c:v>1420</c:v>
                </c:pt>
                <c:pt idx="509">
                  <c:v>1420</c:v>
                </c:pt>
                <c:pt idx="510">
                  <c:v>1420</c:v>
                </c:pt>
                <c:pt idx="511">
                  <c:v>1420</c:v>
                </c:pt>
                <c:pt idx="512">
                  <c:v>1420</c:v>
                </c:pt>
                <c:pt idx="513">
                  <c:v>1420</c:v>
                </c:pt>
                <c:pt idx="514">
                  <c:v>1420</c:v>
                </c:pt>
                <c:pt idx="515">
                  <c:v>1420</c:v>
                </c:pt>
                <c:pt idx="516">
                  <c:v>1420</c:v>
                </c:pt>
                <c:pt idx="517">
                  <c:v>1420</c:v>
                </c:pt>
                <c:pt idx="518">
                  <c:v>1420</c:v>
                </c:pt>
                <c:pt idx="519">
                  <c:v>1420</c:v>
                </c:pt>
                <c:pt idx="520">
                  <c:v>1420</c:v>
                </c:pt>
                <c:pt idx="521">
                  <c:v>1420</c:v>
                </c:pt>
                <c:pt idx="522">
                  <c:v>1420</c:v>
                </c:pt>
                <c:pt idx="523">
                  <c:v>1420</c:v>
                </c:pt>
                <c:pt idx="524">
                  <c:v>1420</c:v>
                </c:pt>
                <c:pt idx="525">
                  <c:v>1420</c:v>
                </c:pt>
                <c:pt idx="526">
                  <c:v>1420</c:v>
                </c:pt>
                <c:pt idx="527">
                  <c:v>1420</c:v>
                </c:pt>
                <c:pt idx="528">
                  <c:v>1420</c:v>
                </c:pt>
                <c:pt idx="529">
                  <c:v>1420</c:v>
                </c:pt>
                <c:pt idx="530">
                  <c:v>1420</c:v>
                </c:pt>
                <c:pt idx="531">
                  <c:v>1420</c:v>
                </c:pt>
                <c:pt idx="532">
                  <c:v>1420</c:v>
                </c:pt>
                <c:pt idx="533">
                  <c:v>1420</c:v>
                </c:pt>
                <c:pt idx="534">
                  <c:v>1420</c:v>
                </c:pt>
                <c:pt idx="535">
                  <c:v>1420</c:v>
                </c:pt>
                <c:pt idx="536">
                  <c:v>1420</c:v>
                </c:pt>
                <c:pt idx="537">
                  <c:v>1420</c:v>
                </c:pt>
                <c:pt idx="538">
                  <c:v>1420</c:v>
                </c:pt>
                <c:pt idx="539">
                  <c:v>1420</c:v>
                </c:pt>
                <c:pt idx="540">
                  <c:v>1420</c:v>
                </c:pt>
                <c:pt idx="541">
                  <c:v>1420</c:v>
                </c:pt>
                <c:pt idx="542">
                  <c:v>1420</c:v>
                </c:pt>
                <c:pt idx="543">
                  <c:v>1420</c:v>
                </c:pt>
                <c:pt idx="544">
                  <c:v>1420</c:v>
                </c:pt>
                <c:pt idx="545">
                  <c:v>1420</c:v>
                </c:pt>
                <c:pt idx="546">
                  <c:v>1420</c:v>
                </c:pt>
                <c:pt idx="547">
                  <c:v>1420</c:v>
                </c:pt>
                <c:pt idx="548">
                  <c:v>1420</c:v>
                </c:pt>
                <c:pt idx="549">
                  <c:v>1420</c:v>
                </c:pt>
                <c:pt idx="550">
                  <c:v>1420</c:v>
                </c:pt>
                <c:pt idx="551">
                  <c:v>1420</c:v>
                </c:pt>
                <c:pt idx="552">
                  <c:v>1420</c:v>
                </c:pt>
                <c:pt idx="553">
                  <c:v>1420</c:v>
                </c:pt>
                <c:pt idx="554">
                  <c:v>1420</c:v>
                </c:pt>
                <c:pt idx="555">
                  <c:v>1420</c:v>
                </c:pt>
                <c:pt idx="556">
                  <c:v>1420</c:v>
                </c:pt>
                <c:pt idx="557">
                  <c:v>1420</c:v>
                </c:pt>
                <c:pt idx="558">
                  <c:v>1420</c:v>
                </c:pt>
                <c:pt idx="559">
                  <c:v>1420</c:v>
                </c:pt>
                <c:pt idx="560">
                  <c:v>1420</c:v>
                </c:pt>
                <c:pt idx="561">
                  <c:v>1420</c:v>
                </c:pt>
                <c:pt idx="562">
                  <c:v>1420</c:v>
                </c:pt>
                <c:pt idx="563">
                  <c:v>1420</c:v>
                </c:pt>
                <c:pt idx="564">
                  <c:v>1420</c:v>
                </c:pt>
                <c:pt idx="565">
                  <c:v>1420</c:v>
                </c:pt>
                <c:pt idx="566">
                  <c:v>1420</c:v>
                </c:pt>
                <c:pt idx="567">
                  <c:v>1420</c:v>
                </c:pt>
                <c:pt idx="568">
                  <c:v>1420</c:v>
                </c:pt>
                <c:pt idx="569">
                  <c:v>1420</c:v>
                </c:pt>
                <c:pt idx="570">
                  <c:v>1420</c:v>
                </c:pt>
                <c:pt idx="571">
                  <c:v>1420</c:v>
                </c:pt>
                <c:pt idx="572">
                  <c:v>1420</c:v>
                </c:pt>
                <c:pt idx="573">
                  <c:v>1420</c:v>
                </c:pt>
                <c:pt idx="574">
                  <c:v>1420</c:v>
                </c:pt>
                <c:pt idx="575">
                  <c:v>1420</c:v>
                </c:pt>
                <c:pt idx="576">
                  <c:v>1420</c:v>
                </c:pt>
                <c:pt idx="577">
                  <c:v>1420</c:v>
                </c:pt>
                <c:pt idx="578">
                  <c:v>1420</c:v>
                </c:pt>
                <c:pt idx="579">
                  <c:v>1420</c:v>
                </c:pt>
                <c:pt idx="580">
                  <c:v>1420</c:v>
                </c:pt>
                <c:pt idx="581">
                  <c:v>1420</c:v>
                </c:pt>
                <c:pt idx="582">
                  <c:v>1420</c:v>
                </c:pt>
                <c:pt idx="583">
                  <c:v>1420</c:v>
                </c:pt>
                <c:pt idx="584">
                  <c:v>1420</c:v>
                </c:pt>
                <c:pt idx="585">
                  <c:v>1420</c:v>
                </c:pt>
                <c:pt idx="586">
                  <c:v>1420</c:v>
                </c:pt>
                <c:pt idx="587">
                  <c:v>1420</c:v>
                </c:pt>
                <c:pt idx="588">
                  <c:v>1420</c:v>
                </c:pt>
                <c:pt idx="589">
                  <c:v>1420</c:v>
                </c:pt>
                <c:pt idx="590">
                  <c:v>1420</c:v>
                </c:pt>
                <c:pt idx="591">
                  <c:v>1420</c:v>
                </c:pt>
                <c:pt idx="592">
                  <c:v>1420</c:v>
                </c:pt>
                <c:pt idx="593">
                  <c:v>1420</c:v>
                </c:pt>
                <c:pt idx="594">
                  <c:v>1420</c:v>
                </c:pt>
                <c:pt idx="595">
                  <c:v>1420</c:v>
                </c:pt>
                <c:pt idx="596">
                  <c:v>1420</c:v>
                </c:pt>
                <c:pt idx="597">
                  <c:v>1420</c:v>
                </c:pt>
                <c:pt idx="598">
                  <c:v>1420</c:v>
                </c:pt>
                <c:pt idx="599">
                  <c:v>1420</c:v>
                </c:pt>
                <c:pt idx="600">
                  <c:v>1420</c:v>
                </c:pt>
                <c:pt idx="601">
                  <c:v>1420</c:v>
                </c:pt>
                <c:pt idx="602">
                  <c:v>1420</c:v>
                </c:pt>
                <c:pt idx="603">
                  <c:v>1420</c:v>
                </c:pt>
                <c:pt idx="604">
                  <c:v>1420</c:v>
                </c:pt>
                <c:pt idx="605">
                  <c:v>1420</c:v>
                </c:pt>
                <c:pt idx="606">
                  <c:v>1420</c:v>
                </c:pt>
                <c:pt idx="607">
                  <c:v>1420</c:v>
                </c:pt>
                <c:pt idx="608">
                  <c:v>1420</c:v>
                </c:pt>
                <c:pt idx="609">
                  <c:v>1420</c:v>
                </c:pt>
                <c:pt idx="610">
                  <c:v>1420</c:v>
                </c:pt>
                <c:pt idx="611">
                  <c:v>1420</c:v>
                </c:pt>
                <c:pt idx="612">
                  <c:v>1420</c:v>
                </c:pt>
                <c:pt idx="613">
                  <c:v>1420</c:v>
                </c:pt>
                <c:pt idx="614">
                  <c:v>1420</c:v>
                </c:pt>
                <c:pt idx="615">
                  <c:v>1420</c:v>
                </c:pt>
                <c:pt idx="616">
                  <c:v>1420</c:v>
                </c:pt>
                <c:pt idx="617">
                  <c:v>1420</c:v>
                </c:pt>
                <c:pt idx="618">
                  <c:v>1420</c:v>
                </c:pt>
                <c:pt idx="619">
                  <c:v>1420</c:v>
                </c:pt>
                <c:pt idx="620">
                  <c:v>1420</c:v>
                </c:pt>
                <c:pt idx="621">
                  <c:v>1420</c:v>
                </c:pt>
                <c:pt idx="622">
                  <c:v>1420</c:v>
                </c:pt>
                <c:pt idx="623">
                  <c:v>1420</c:v>
                </c:pt>
                <c:pt idx="624">
                  <c:v>1420</c:v>
                </c:pt>
                <c:pt idx="625">
                  <c:v>1420</c:v>
                </c:pt>
                <c:pt idx="626">
                  <c:v>1420</c:v>
                </c:pt>
                <c:pt idx="627">
                  <c:v>1420</c:v>
                </c:pt>
                <c:pt idx="628">
                  <c:v>1420</c:v>
                </c:pt>
                <c:pt idx="629">
                  <c:v>1420</c:v>
                </c:pt>
                <c:pt idx="630">
                  <c:v>1420</c:v>
                </c:pt>
                <c:pt idx="631">
                  <c:v>1420</c:v>
                </c:pt>
                <c:pt idx="632">
                  <c:v>1420</c:v>
                </c:pt>
                <c:pt idx="633">
                  <c:v>1420</c:v>
                </c:pt>
                <c:pt idx="634">
                  <c:v>1420</c:v>
                </c:pt>
                <c:pt idx="635">
                  <c:v>1420</c:v>
                </c:pt>
                <c:pt idx="636">
                  <c:v>1420</c:v>
                </c:pt>
                <c:pt idx="637">
                  <c:v>1420</c:v>
                </c:pt>
                <c:pt idx="638">
                  <c:v>1420</c:v>
                </c:pt>
                <c:pt idx="639">
                  <c:v>1420</c:v>
                </c:pt>
                <c:pt idx="640">
                  <c:v>1420</c:v>
                </c:pt>
                <c:pt idx="641">
                  <c:v>1420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46272"/>
        <c:axId val="191173120"/>
      </c:lineChart>
      <c:lineChart>
        <c:grouping val="standard"/>
        <c:varyColors val="0"/>
        <c:ser>
          <c:idx val="2"/>
          <c:order val="2"/>
          <c:tx>
            <c:strRef>
              <c:f>三门峡!$E$1</c:f>
              <c:strCache>
                <c:ptCount val="1"/>
                <c:pt idx="0">
                  <c:v>水位</c:v>
                </c:pt>
              </c:strCache>
            </c:strRef>
          </c:tx>
          <c:marker>
            <c:symbol val="none"/>
          </c:marker>
          <c:val>
            <c:numRef>
              <c:f>三门峡!$E$2:$E$746</c:f>
              <c:numCache>
                <c:formatCode>General</c:formatCode>
                <c:ptCount val="745"/>
                <c:pt idx="0">
                  <c:v>295</c:v>
                </c:pt>
                <c:pt idx="1">
                  <c:v>295</c:v>
                </c:pt>
                <c:pt idx="2">
                  <c:v>295</c:v>
                </c:pt>
                <c:pt idx="3">
                  <c:v>295</c:v>
                </c:pt>
                <c:pt idx="4">
                  <c:v>295</c:v>
                </c:pt>
                <c:pt idx="5">
                  <c:v>295</c:v>
                </c:pt>
                <c:pt idx="6">
                  <c:v>295</c:v>
                </c:pt>
                <c:pt idx="7">
                  <c:v>295</c:v>
                </c:pt>
                <c:pt idx="8">
                  <c:v>295</c:v>
                </c:pt>
                <c:pt idx="9">
                  <c:v>295</c:v>
                </c:pt>
                <c:pt idx="10">
                  <c:v>295</c:v>
                </c:pt>
                <c:pt idx="11">
                  <c:v>295</c:v>
                </c:pt>
                <c:pt idx="12">
                  <c:v>295</c:v>
                </c:pt>
                <c:pt idx="13">
                  <c:v>295</c:v>
                </c:pt>
                <c:pt idx="14">
                  <c:v>295</c:v>
                </c:pt>
                <c:pt idx="15">
                  <c:v>295</c:v>
                </c:pt>
                <c:pt idx="16">
                  <c:v>295</c:v>
                </c:pt>
                <c:pt idx="17">
                  <c:v>295</c:v>
                </c:pt>
                <c:pt idx="18">
                  <c:v>295</c:v>
                </c:pt>
                <c:pt idx="19">
                  <c:v>295</c:v>
                </c:pt>
                <c:pt idx="20">
                  <c:v>295</c:v>
                </c:pt>
                <c:pt idx="21">
                  <c:v>295</c:v>
                </c:pt>
                <c:pt idx="22">
                  <c:v>295</c:v>
                </c:pt>
                <c:pt idx="23">
                  <c:v>295</c:v>
                </c:pt>
                <c:pt idx="24">
                  <c:v>295</c:v>
                </c:pt>
                <c:pt idx="25">
                  <c:v>295</c:v>
                </c:pt>
                <c:pt idx="26">
                  <c:v>295</c:v>
                </c:pt>
                <c:pt idx="27">
                  <c:v>295</c:v>
                </c:pt>
                <c:pt idx="28">
                  <c:v>295</c:v>
                </c:pt>
                <c:pt idx="29">
                  <c:v>295</c:v>
                </c:pt>
                <c:pt idx="30">
                  <c:v>295</c:v>
                </c:pt>
                <c:pt idx="31">
                  <c:v>295</c:v>
                </c:pt>
                <c:pt idx="32">
                  <c:v>295</c:v>
                </c:pt>
                <c:pt idx="33">
                  <c:v>295</c:v>
                </c:pt>
                <c:pt idx="34">
                  <c:v>295</c:v>
                </c:pt>
                <c:pt idx="35">
                  <c:v>295</c:v>
                </c:pt>
                <c:pt idx="36">
                  <c:v>295</c:v>
                </c:pt>
                <c:pt idx="37">
                  <c:v>295</c:v>
                </c:pt>
                <c:pt idx="38">
                  <c:v>295</c:v>
                </c:pt>
                <c:pt idx="39">
                  <c:v>295</c:v>
                </c:pt>
                <c:pt idx="40">
                  <c:v>295</c:v>
                </c:pt>
                <c:pt idx="41">
                  <c:v>295</c:v>
                </c:pt>
                <c:pt idx="42">
                  <c:v>295</c:v>
                </c:pt>
                <c:pt idx="43">
                  <c:v>295</c:v>
                </c:pt>
                <c:pt idx="44">
                  <c:v>295</c:v>
                </c:pt>
                <c:pt idx="45">
                  <c:v>295</c:v>
                </c:pt>
                <c:pt idx="46">
                  <c:v>295</c:v>
                </c:pt>
                <c:pt idx="47">
                  <c:v>295</c:v>
                </c:pt>
                <c:pt idx="48">
                  <c:v>295</c:v>
                </c:pt>
                <c:pt idx="49">
                  <c:v>295</c:v>
                </c:pt>
                <c:pt idx="50">
                  <c:v>295</c:v>
                </c:pt>
                <c:pt idx="51">
                  <c:v>295</c:v>
                </c:pt>
                <c:pt idx="52">
                  <c:v>295</c:v>
                </c:pt>
                <c:pt idx="53">
                  <c:v>295</c:v>
                </c:pt>
                <c:pt idx="54">
                  <c:v>295</c:v>
                </c:pt>
                <c:pt idx="55">
                  <c:v>295</c:v>
                </c:pt>
                <c:pt idx="56">
                  <c:v>295</c:v>
                </c:pt>
                <c:pt idx="57">
                  <c:v>295</c:v>
                </c:pt>
                <c:pt idx="58">
                  <c:v>295</c:v>
                </c:pt>
                <c:pt idx="59">
                  <c:v>295</c:v>
                </c:pt>
                <c:pt idx="60">
                  <c:v>295</c:v>
                </c:pt>
                <c:pt idx="61">
                  <c:v>295</c:v>
                </c:pt>
                <c:pt idx="62">
                  <c:v>295</c:v>
                </c:pt>
                <c:pt idx="63">
                  <c:v>295</c:v>
                </c:pt>
                <c:pt idx="64">
                  <c:v>295</c:v>
                </c:pt>
                <c:pt idx="65">
                  <c:v>295</c:v>
                </c:pt>
                <c:pt idx="66">
                  <c:v>295</c:v>
                </c:pt>
                <c:pt idx="67">
                  <c:v>295</c:v>
                </c:pt>
                <c:pt idx="68">
                  <c:v>295</c:v>
                </c:pt>
                <c:pt idx="69">
                  <c:v>295</c:v>
                </c:pt>
                <c:pt idx="70">
                  <c:v>295</c:v>
                </c:pt>
                <c:pt idx="71">
                  <c:v>295</c:v>
                </c:pt>
                <c:pt idx="72">
                  <c:v>295</c:v>
                </c:pt>
                <c:pt idx="73">
                  <c:v>295</c:v>
                </c:pt>
                <c:pt idx="74">
                  <c:v>295</c:v>
                </c:pt>
                <c:pt idx="75">
                  <c:v>295</c:v>
                </c:pt>
                <c:pt idx="76">
                  <c:v>295</c:v>
                </c:pt>
                <c:pt idx="77">
                  <c:v>295</c:v>
                </c:pt>
                <c:pt idx="78">
                  <c:v>295</c:v>
                </c:pt>
                <c:pt idx="79">
                  <c:v>295</c:v>
                </c:pt>
                <c:pt idx="80">
                  <c:v>295</c:v>
                </c:pt>
                <c:pt idx="81">
                  <c:v>295</c:v>
                </c:pt>
                <c:pt idx="82">
                  <c:v>295</c:v>
                </c:pt>
                <c:pt idx="83">
                  <c:v>295</c:v>
                </c:pt>
                <c:pt idx="84">
                  <c:v>295</c:v>
                </c:pt>
                <c:pt idx="85">
                  <c:v>295</c:v>
                </c:pt>
                <c:pt idx="86">
                  <c:v>295</c:v>
                </c:pt>
                <c:pt idx="87">
                  <c:v>295</c:v>
                </c:pt>
                <c:pt idx="88">
                  <c:v>295</c:v>
                </c:pt>
                <c:pt idx="89">
                  <c:v>295</c:v>
                </c:pt>
                <c:pt idx="90">
                  <c:v>295</c:v>
                </c:pt>
                <c:pt idx="91">
                  <c:v>295</c:v>
                </c:pt>
                <c:pt idx="92">
                  <c:v>295</c:v>
                </c:pt>
                <c:pt idx="93">
                  <c:v>295</c:v>
                </c:pt>
                <c:pt idx="94">
                  <c:v>295</c:v>
                </c:pt>
                <c:pt idx="95">
                  <c:v>295</c:v>
                </c:pt>
                <c:pt idx="96">
                  <c:v>295</c:v>
                </c:pt>
                <c:pt idx="97">
                  <c:v>295</c:v>
                </c:pt>
                <c:pt idx="98">
                  <c:v>295</c:v>
                </c:pt>
                <c:pt idx="99">
                  <c:v>295</c:v>
                </c:pt>
                <c:pt idx="100">
                  <c:v>295</c:v>
                </c:pt>
                <c:pt idx="101">
                  <c:v>295</c:v>
                </c:pt>
                <c:pt idx="102">
                  <c:v>295</c:v>
                </c:pt>
                <c:pt idx="103">
                  <c:v>295</c:v>
                </c:pt>
                <c:pt idx="104">
                  <c:v>295</c:v>
                </c:pt>
                <c:pt idx="105">
                  <c:v>295</c:v>
                </c:pt>
                <c:pt idx="106">
                  <c:v>295</c:v>
                </c:pt>
                <c:pt idx="107">
                  <c:v>295</c:v>
                </c:pt>
                <c:pt idx="108">
                  <c:v>295</c:v>
                </c:pt>
                <c:pt idx="109">
                  <c:v>295</c:v>
                </c:pt>
                <c:pt idx="110">
                  <c:v>295</c:v>
                </c:pt>
                <c:pt idx="111">
                  <c:v>295</c:v>
                </c:pt>
                <c:pt idx="112">
                  <c:v>295</c:v>
                </c:pt>
                <c:pt idx="113">
                  <c:v>295</c:v>
                </c:pt>
                <c:pt idx="114">
                  <c:v>295</c:v>
                </c:pt>
                <c:pt idx="115">
                  <c:v>295</c:v>
                </c:pt>
                <c:pt idx="116">
                  <c:v>295</c:v>
                </c:pt>
                <c:pt idx="117">
                  <c:v>295</c:v>
                </c:pt>
                <c:pt idx="118">
                  <c:v>295</c:v>
                </c:pt>
                <c:pt idx="119">
                  <c:v>295</c:v>
                </c:pt>
                <c:pt idx="120">
                  <c:v>295</c:v>
                </c:pt>
                <c:pt idx="121">
                  <c:v>295</c:v>
                </c:pt>
                <c:pt idx="122">
                  <c:v>295</c:v>
                </c:pt>
                <c:pt idx="123">
                  <c:v>295</c:v>
                </c:pt>
                <c:pt idx="124">
                  <c:v>295</c:v>
                </c:pt>
                <c:pt idx="125">
                  <c:v>295</c:v>
                </c:pt>
                <c:pt idx="126">
                  <c:v>295</c:v>
                </c:pt>
                <c:pt idx="127">
                  <c:v>295</c:v>
                </c:pt>
                <c:pt idx="128">
                  <c:v>295</c:v>
                </c:pt>
                <c:pt idx="129">
                  <c:v>295</c:v>
                </c:pt>
                <c:pt idx="130">
                  <c:v>295</c:v>
                </c:pt>
                <c:pt idx="131">
                  <c:v>295</c:v>
                </c:pt>
                <c:pt idx="132">
                  <c:v>295</c:v>
                </c:pt>
                <c:pt idx="133">
                  <c:v>295</c:v>
                </c:pt>
                <c:pt idx="134">
                  <c:v>295</c:v>
                </c:pt>
                <c:pt idx="135">
                  <c:v>295</c:v>
                </c:pt>
                <c:pt idx="136">
                  <c:v>295</c:v>
                </c:pt>
                <c:pt idx="137">
                  <c:v>295</c:v>
                </c:pt>
                <c:pt idx="138">
                  <c:v>295</c:v>
                </c:pt>
                <c:pt idx="139">
                  <c:v>295</c:v>
                </c:pt>
                <c:pt idx="140">
                  <c:v>295</c:v>
                </c:pt>
                <c:pt idx="141">
                  <c:v>295</c:v>
                </c:pt>
                <c:pt idx="142">
                  <c:v>295</c:v>
                </c:pt>
                <c:pt idx="143">
                  <c:v>295</c:v>
                </c:pt>
                <c:pt idx="144">
                  <c:v>295</c:v>
                </c:pt>
                <c:pt idx="145">
                  <c:v>295</c:v>
                </c:pt>
                <c:pt idx="146">
                  <c:v>295</c:v>
                </c:pt>
                <c:pt idx="147">
                  <c:v>295</c:v>
                </c:pt>
                <c:pt idx="148">
                  <c:v>295</c:v>
                </c:pt>
                <c:pt idx="149">
                  <c:v>295</c:v>
                </c:pt>
                <c:pt idx="150">
                  <c:v>295</c:v>
                </c:pt>
                <c:pt idx="151">
                  <c:v>295</c:v>
                </c:pt>
                <c:pt idx="152">
                  <c:v>295</c:v>
                </c:pt>
                <c:pt idx="153">
                  <c:v>295</c:v>
                </c:pt>
                <c:pt idx="154">
                  <c:v>295</c:v>
                </c:pt>
                <c:pt idx="155">
                  <c:v>295</c:v>
                </c:pt>
                <c:pt idx="156">
                  <c:v>295</c:v>
                </c:pt>
                <c:pt idx="157">
                  <c:v>295</c:v>
                </c:pt>
                <c:pt idx="158">
                  <c:v>295</c:v>
                </c:pt>
                <c:pt idx="159">
                  <c:v>295</c:v>
                </c:pt>
                <c:pt idx="160">
                  <c:v>295</c:v>
                </c:pt>
                <c:pt idx="161">
                  <c:v>295</c:v>
                </c:pt>
                <c:pt idx="162">
                  <c:v>295</c:v>
                </c:pt>
                <c:pt idx="163">
                  <c:v>295</c:v>
                </c:pt>
                <c:pt idx="164">
                  <c:v>295</c:v>
                </c:pt>
                <c:pt idx="165">
                  <c:v>295</c:v>
                </c:pt>
                <c:pt idx="166">
                  <c:v>295</c:v>
                </c:pt>
                <c:pt idx="167">
                  <c:v>295</c:v>
                </c:pt>
                <c:pt idx="168">
                  <c:v>295</c:v>
                </c:pt>
                <c:pt idx="169">
                  <c:v>295</c:v>
                </c:pt>
                <c:pt idx="170">
                  <c:v>295</c:v>
                </c:pt>
                <c:pt idx="171">
                  <c:v>295</c:v>
                </c:pt>
                <c:pt idx="172">
                  <c:v>295</c:v>
                </c:pt>
                <c:pt idx="173">
                  <c:v>295</c:v>
                </c:pt>
                <c:pt idx="174">
                  <c:v>295</c:v>
                </c:pt>
                <c:pt idx="175">
                  <c:v>295</c:v>
                </c:pt>
                <c:pt idx="176">
                  <c:v>295</c:v>
                </c:pt>
                <c:pt idx="177">
                  <c:v>295</c:v>
                </c:pt>
                <c:pt idx="178">
                  <c:v>295</c:v>
                </c:pt>
                <c:pt idx="179">
                  <c:v>295</c:v>
                </c:pt>
                <c:pt idx="180">
                  <c:v>295</c:v>
                </c:pt>
                <c:pt idx="181">
                  <c:v>295</c:v>
                </c:pt>
                <c:pt idx="182">
                  <c:v>295</c:v>
                </c:pt>
                <c:pt idx="183">
                  <c:v>295</c:v>
                </c:pt>
                <c:pt idx="184">
                  <c:v>295</c:v>
                </c:pt>
                <c:pt idx="185">
                  <c:v>295</c:v>
                </c:pt>
                <c:pt idx="186">
                  <c:v>295</c:v>
                </c:pt>
                <c:pt idx="187">
                  <c:v>295</c:v>
                </c:pt>
                <c:pt idx="188">
                  <c:v>295</c:v>
                </c:pt>
                <c:pt idx="189">
                  <c:v>295</c:v>
                </c:pt>
                <c:pt idx="190">
                  <c:v>295</c:v>
                </c:pt>
                <c:pt idx="191">
                  <c:v>295</c:v>
                </c:pt>
                <c:pt idx="192">
                  <c:v>295</c:v>
                </c:pt>
                <c:pt idx="193">
                  <c:v>295</c:v>
                </c:pt>
                <c:pt idx="194">
                  <c:v>295</c:v>
                </c:pt>
                <c:pt idx="195">
                  <c:v>295</c:v>
                </c:pt>
                <c:pt idx="196">
                  <c:v>295</c:v>
                </c:pt>
                <c:pt idx="197">
                  <c:v>295</c:v>
                </c:pt>
                <c:pt idx="198">
                  <c:v>295</c:v>
                </c:pt>
                <c:pt idx="199">
                  <c:v>295</c:v>
                </c:pt>
                <c:pt idx="200">
                  <c:v>295</c:v>
                </c:pt>
                <c:pt idx="201">
                  <c:v>295</c:v>
                </c:pt>
                <c:pt idx="202">
                  <c:v>295</c:v>
                </c:pt>
                <c:pt idx="203">
                  <c:v>295</c:v>
                </c:pt>
                <c:pt idx="204">
                  <c:v>295</c:v>
                </c:pt>
                <c:pt idx="205">
                  <c:v>295</c:v>
                </c:pt>
                <c:pt idx="206">
                  <c:v>295</c:v>
                </c:pt>
                <c:pt idx="207">
                  <c:v>295</c:v>
                </c:pt>
                <c:pt idx="208">
                  <c:v>295</c:v>
                </c:pt>
                <c:pt idx="209">
                  <c:v>295</c:v>
                </c:pt>
                <c:pt idx="210">
                  <c:v>295</c:v>
                </c:pt>
                <c:pt idx="211">
                  <c:v>295</c:v>
                </c:pt>
                <c:pt idx="212">
                  <c:v>295</c:v>
                </c:pt>
                <c:pt idx="213">
                  <c:v>295</c:v>
                </c:pt>
                <c:pt idx="214">
                  <c:v>295</c:v>
                </c:pt>
                <c:pt idx="215">
                  <c:v>295</c:v>
                </c:pt>
                <c:pt idx="216">
                  <c:v>295</c:v>
                </c:pt>
                <c:pt idx="217">
                  <c:v>295</c:v>
                </c:pt>
                <c:pt idx="218">
                  <c:v>295</c:v>
                </c:pt>
                <c:pt idx="219">
                  <c:v>295</c:v>
                </c:pt>
                <c:pt idx="220">
                  <c:v>295</c:v>
                </c:pt>
                <c:pt idx="221">
                  <c:v>295</c:v>
                </c:pt>
                <c:pt idx="222">
                  <c:v>295</c:v>
                </c:pt>
                <c:pt idx="223">
                  <c:v>295</c:v>
                </c:pt>
                <c:pt idx="224">
                  <c:v>295</c:v>
                </c:pt>
                <c:pt idx="225">
                  <c:v>295</c:v>
                </c:pt>
                <c:pt idx="226">
                  <c:v>295</c:v>
                </c:pt>
                <c:pt idx="227">
                  <c:v>295</c:v>
                </c:pt>
                <c:pt idx="228">
                  <c:v>295</c:v>
                </c:pt>
                <c:pt idx="229">
                  <c:v>295</c:v>
                </c:pt>
                <c:pt idx="230">
                  <c:v>295</c:v>
                </c:pt>
                <c:pt idx="231">
                  <c:v>295</c:v>
                </c:pt>
                <c:pt idx="232">
                  <c:v>295</c:v>
                </c:pt>
                <c:pt idx="233">
                  <c:v>295</c:v>
                </c:pt>
                <c:pt idx="234">
                  <c:v>295</c:v>
                </c:pt>
                <c:pt idx="235">
                  <c:v>295</c:v>
                </c:pt>
                <c:pt idx="236">
                  <c:v>295</c:v>
                </c:pt>
                <c:pt idx="237">
                  <c:v>295</c:v>
                </c:pt>
                <c:pt idx="238">
                  <c:v>295</c:v>
                </c:pt>
                <c:pt idx="239">
                  <c:v>295</c:v>
                </c:pt>
                <c:pt idx="240">
                  <c:v>295</c:v>
                </c:pt>
                <c:pt idx="241">
                  <c:v>295</c:v>
                </c:pt>
                <c:pt idx="242">
                  <c:v>295</c:v>
                </c:pt>
                <c:pt idx="243">
                  <c:v>295</c:v>
                </c:pt>
                <c:pt idx="244">
                  <c:v>295</c:v>
                </c:pt>
                <c:pt idx="245">
                  <c:v>295</c:v>
                </c:pt>
                <c:pt idx="246">
                  <c:v>295</c:v>
                </c:pt>
                <c:pt idx="247">
                  <c:v>295</c:v>
                </c:pt>
                <c:pt idx="248">
                  <c:v>295</c:v>
                </c:pt>
                <c:pt idx="249">
                  <c:v>295</c:v>
                </c:pt>
                <c:pt idx="250">
                  <c:v>295</c:v>
                </c:pt>
                <c:pt idx="251">
                  <c:v>295</c:v>
                </c:pt>
                <c:pt idx="252">
                  <c:v>295</c:v>
                </c:pt>
                <c:pt idx="253">
                  <c:v>295</c:v>
                </c:pt>
                <c:pt idx="254">
                  <c:v>295</c:v>
                </c:pt>
                <c:pt idx="255">
                  <c:v>295</c:v>
                </c:pt>
                <c:pt idx="256">
                  <c:v>295</c:v>
                </c:pt>
                <c:pt idx="257">
                  <c:v>295</c:v>
                </c:pt>
                <c:pt idx="258">
                  <c:v>295</c:v>
                </c:pt>
                <c:pt idx="259">
                  <c:v>295</c:v>
                </c:pt>
                <c:pt idx="260">
                  <c:v>295</c:v>
                </c:pt>
                <c:pt idx="261">
                  <c:v>295</c:v>
                </c:pt>
                <c:pt idx="262">
                  <c:v>295</c:v>
                </c:pt>
                <c:pt idx="263">
                  <c:v>295</c:v>
                </c:pt>
                <c:pt idx="264">
                  <c:v>295</c:v>
                </c:pt>
                <c:pt idx="265">
                  <c:v>295</c:v>
                </c:pt>
                <c:pt idx="266">
                  <c:v>295</c:v>
                </c:pt>
                <c:pt idx="267">
                  <c:v>295</c:v>
                </c:pt>
                <c:pt idx="268">
                  <c:v>295</c:v>
                </c:pt>
                <c:pt idx="269">
                  <c:v>295</c:v>
                </c:pt>
                <c:pt idx="270">
                  <c:v>295</c:v>
                </c:pt>
                <c:pt idx="271">
                  <c:v>295</c:v>
                </c:pt>
                <c:pt idx="272">
                  <c:v>295</c:v>
                </c:pt>
                <c:pt idx="273">
                  <c:v>295</c:v>
                </c:pt>
                <c:pt idx="274">
                  <c:v>295</c:v>
                </c:pt>
                <c:pt idx="275">
                  <c:v>295</c:v>
                </c:pt>
                <c:pt idx="276">
                  <c:v>295</c:v>
                </c:pt>
                <c:pt idx="277">
                  <c:v>295</c:v>
                </c:pt>
                <c:pt idx="278">
                  <c:v>295</c:v>
                </c:pt>
                <c:pt idx="279">
                  <c:v>295</c:v>
                </c:pt>
                <c:pt idx="280">
                  <c:v>295</c:v>
                </c:pt>
                <c:pt idx="281">
                  <c:v>295</c:v>
                </c:pt>
                <c:pt idx="282">
                  <c:v>295</c:v>
                </c:pt>
                <c:pt idx="283">
                  <c:v>295</c:v>
                </c:pt>
                <c:pt idx="284">
                  <c:v>295</c:v>
                </c:pt>
                <c:pt idx="285">
                  <c:v>295</c:v>
                </c:pt>
                <c:pt idx="286">
                  <c:v>295</c:v>
                </c:pt>
                <c:pt idx="287">
                  <c:v>295</c:v>
                </c:pt>
                <c:pt idx="288">
                  <c:v>295</c:v>
                </c:pt>
                <c:pt idx="289">
                  <c:v>295</c:v>
                </c:pt>
                <c:pt idx="290">
                  <c:v>295</c:v>
                </c:pt>
                <c:pt idx="291">
                  <c:v>295</c:v>
                </c:pt>
                <c:pt idx="292">
                  <c:v>295</c:v>
                </c:pt>
                <c:pt idx="293">
                  <c:v>295</c:v>
                </c:pt>
                <c:pt idx="294">
                  <c:v>295</c:v>
                </c:pt>
                <c:pt idx="295">
                  <c:v>295</c:v>
                </c:pt>
                <c:pt idx="296">
                  <c:v>295</c:v>
                </c:pt>
                <c:pt idx="297">
                  <c:v>295</c:v>
                </c:pt>
                <c:pt idx="298">
                  <c:v>295</c:v>
                </c:pt>
                <c:pt idx="299">
                  <c:v>295</c:v>
                </c:pt>
                <c:pt idx="300">
                  <c:v>295</c:v>
                </c:pt>
                <c:pt idx="301">
                  <c:v>295</c:v>
                </c:pt>
                <c:pt idx="302">
                  <c:v>295</c:v>
                </c:pt>
                <c:pt idx="303">
                  <c:v>295</c:v>
                </c:pt>
                <c:pt idx="304">
                  <c:v>295</c:v>
                </c:pt>
                <c:pt idx="305">
                  <c:v>295</c:v>
                </c:pt>
                <c:pt idx="306">
                  <c:v>295</c:v>
                </c:pt>
                <c:pt idx="307">
                  <c:v>295</c:v>
                </c:pt>
                <c:pt idx="308">
                  <c:v>295</c:v>
                </c:pt>
                <c:pt idx="309">
                  <c:v>295</c:v>
                </c:pt>
                <c:pt idx="310">
                  <c:v>295</c:v>
                </c:pt>
                <c:pt idx="311">
                  <c:v>295</c:v>
                </c:pt>
                <c:pt idx="312">
                  <c:v>295</c:v>
                </c:pt>
                <c:pt idx="313">
                  <c:v>295</c:v>
                </c:pt>
                <c:pt idx="314">
                  <c:v>295</c:v>
                </c:pt>
                <c:pt idx="315">
                  <c:v>295</c:v>
                </c:pt>
                <c:pt idx="316">
                  <c:v>295</c:v>
                </c:pt>
                <c:pt idx="317">
                  <c:v>295</c:v>
                </c:pt>
                <c:pt idx="318">
                  <c:v>295</c:v>
                </c:pt>
                <c:pt idx="319">
                  <c:v>295</c:v>
                </c:pt>
                <c:pt idx="320">
                  <c:v>295</c:v>
                </c:pt>
                <c:pt idx="321">
                  <c:v>295</c:v>
                </c:pt>
                <c:pt idx="322">
                  <c:v>295</c:v>
                </c:pt>
                <c:pt idx="323">
                  <c:v>295</c:v>
                </c:pt>
                <c:pt idx="324">
                  <c:v>295</c:v>
                </c:pt>
                <c:pt idx="325">
                  <c:v>295</c:v>
                </c:pt>
                <c:pt idx="326">
                  <c:v>295</c:v>
                </c:pt>
                <c:pt idx="327">
                  <c:v>295</c:v>
                </c:pt>
                <c:pt idx="328">
                  <c:v>295</c:v>
                </c:pt>
                <c:pt idx="329">
                  <c:v>295</c:v>
                </c:pt>
                <c:pt idx="330">
                  <c:v>295</c:v>
                </c:pt>
                <c:pt idx="331">
                  <c:v>295</c:v>
                </c:pt>
                <c:pt idx="332">
                  <c:v>295</c:v>
                </c:pt>
                <c:pt idx="333">
                  <c:v>295</c:v>
                </c:pt>
                <c:pt idx="334">
                  <c:v>295</c:v>
                </c:pt>
                <c:pt idx="335">
                  <c:v>295</c:v>
                </c:pt>
                <c:pt idx="336">
                  <c:v>295</c:v>
                </c:pt>
                <c:pt idx="337">
                  <c:v>295</c:v>
                </c:pt>
                <c:pt idx="338">
                  <c:v>295</c:v>
                </c:pt>
                <c:pt idx="339">
                  <c:v>295</c:v>
                </c:pt>
                <c:pt idx="340">
                  <c:v>295</c:v>
                </c:pt>
                <c:pt idx="341">
                  <c:v>295</c:v>
                </c:pt>
                <c:pt idx="342">
                  <c:v>295</c:v>
                </c:pt>
                <c:pt idx="343">
                  <c:v>295</c:v>
                </c:pt>
                <c:pt idx="344">
                  <c:v>295</c:v>
                </c:pt>
                <c:pt idx="345">
                  <c:v>295</c:v>
                </c:pt>
                <c:pt idx="346">
                  <c:v>295</c:v>
                </c:pt>
                <c:pt idx="347">
                  <c:v>295</c:v>
                </c:pt>
                <c:pt idx="348">
                  <c:v>295</c:v>
                </c:pt>
                <c:pt idx="349">
                  <c:v>295</c:v>
                </c:pt>
                <c:pt idx="350">
                  <c:v>295</c:v>
                </c:pt>
                <c:pt idx="351">
                  <c:v>295</c:v>
                </c:pt>
                <c:pt idx="352">
                  <c:v>295</c:v>
                </c:pt>
                <c:pt idx="353">
                  <c:v>295</c:v>
                </c:pt>
                <c:pt idx="354">
                  <c:v>295</c:v>
                </c:pt>
                <c:pt idx="355">
                  <c:v>295</c:v>
                </c:pt>
                <c:pt idx="356">
                  <c:v>295</c:v>
                </c:pt>
                <c:pt idx="357">
                  <c:v>295</c:v>
                </c:pt>
                <c:pt idx="358">
                  <c:v>295</c:v>
                </c:pt>
                <c:pt idx="359">
                  <c:v>295</c:v>
                </c:pt>
                <c:pt idx="360">
                  <c:v>295</c:v>
                </c:pt>
                <c:pt idx="361">
                  <c:v>295</c:v>
                </c:pt>
                <c:pt idx="362">
                  <c:v>295</c:v>
                </c:pt>
                <c:pt idx="363">
                  <c:v>295</c:v>
                </c:pt>
                <c:pt idx="364">
                  <c:v>295</c:v>
                </c:pt>
                <c:pt idx="365">
                  <c:v>295</c:v>
                </c:pt>
                <c:pt idx="366">
                  <c:v>295</c:v>
                </c:pt>
                <c:pt idx="367">
                  <c:v>295</c:v>
                </c:pt>
                <c:pt idx="368">
                  <c:v>295</c:v>
                </c:pt>
                <c:pt idx="369">
                  <c:v>295</c:v>
                </c:pt>
                <c:pt idx="370">
                  <c:v>295</c:v>
                </c:pt>
                <c:pt idx="371">
                  <c:v>295</c:v>
                </c:pt>
                <c:pt idx="372">
                  <c:v>295</c:v>
                </c:pt>
                <c:pt idx="373">
                  <c:v>295</c:v>
                </c:pt>
                <c:pt idx="374">
                  <c:v>295</c:v>
                </c:pt>
                <c:pt idx="375">
                  <c:v>295</c:v>
                </c:pt>
                <c:pt idx="376">
                  <c:v>295</c:v>
                </c:pt>
                <c:pt idx="377">
                  <c:v>295</c:v>
                </c:pt>
                <c:pt idx="378">
                  <c:v>295</c:v>
                </c:pt>
                <c:pt idx="379">
                  <c:v>295</c:v>
                </c:pt>
                <c:pt idx="380">
                  <c:v>295</c:v>
                </c:pt>
                <c:pt idx="381">
                  <c:v>295</c:v>
                </c:pt>
                <c:pt idx="382">
                  <c:v>295</c:v>
                </c:pt>
                <c:pt idx="383">
                  <c:v>295</c:v>
                </c:pt>
                <c:pt idx="384">
                  <c:v>295</c:v>
                </c:pt>
                <c:pt idx="385">
                  <c:v>295</c:v>
                </c:pt>
                <c:pt idx="386">
                  <c:v>295</c:v>
                </c:pt>
                <c:pt idx="387">
                  <c:v>295</c:v>
                </c:pt>
                <c:pt idx="388">
                  <c:v>295</c:v>
                </c:pt>
                <c:pt idx="389">
                  <c:v>295</c:v>
                </c:pt>
                <c:pt idx="390">
                  <c:v>295</c:v>
                </c:pt>
                <c:pt idx="391">
                  <c:v>295</c:v>
                </c:pt>
                <c:pt idx="392">
                  <c:v>295</c:v>
                </c:pt>
                <c:pt idx="393">
                  <c:v>295</c:v>
                </c:pt>
                <c:pt idx="394">
                  <c:v>295</c:v>
                </c:pt>
                <c:pt idx="395">
                  <c:v>295</c:v>
                </c:pt>
                <c:pt idx="396">
                  <c:v>295</c:v>
                </c:pt>
                <c:pt idx="397">
                  <c:v>295</c:v>
                </c:pt>
                <c:pt idx="398">
                  <c:v>295</c:v>
                </c:pt>
                <c:pt idx="399">
                  <c:v>295</c:v>
                </c:pt>
                <c:pt idx="400">
                  <c:v>295</c:v>
                </c:pt>
                <c:pt idx="401">
                  <c:v>295</c:v>
                </c:pt>
                <c:pt idx="402">
                  <c:v>295</c:v>
                </c:pt>
                <c:pt idx="403">
                  <c:v>295</c:v>
                </c:pt>
                <c:pt idx="404">
                  <c:v>295</c:v>
                </c:pt>
                <c:pt idx="405">
                  <c:v>295</c:v>
                </c:pt>
                <c:pt idx="406">
                  <c:v>295</c:v>
                </c:pt>
                <c:pt idx="407">
                  <c:v>295</c:v>
                </c:pt>
                <c:pt idx="408">
                  <c:v>295</c:v>
                </c:pt>
                <c:pt idx="409">
                  <c:v>295</c:v>
                </c:pt>
                <c:pt idx="410">
                  <c:v>295</c:v>
                </c:pt>
                <c:pt idx="411">
                  <c:v>295</c:v>
                </c:pt>
                <c:pt idx="412">
                  <c:v>295</c:v>
                </c:pt>
                <c:pt idx="413">
                  <c:v>295</c:v>
                </c:pt>
                <c:pt idx="414">
                  <c:v>295</c:v>
                </c:pt>
                <c:pt idx="415">
                  <c:v>295</c:v>
                </c:pt>
                <c:pt idx="416">
                  <c:v>295</c:v>
                </c:pt>
                <c:pt idx="417">
                  <c:v>295</c:v>
                </c:pt>
                <c:pt idx="418">
                  <c:v>295</c:v>
                </c:pt>
                <c:pt idx="419">
                  <c:v>295</c:v>
                </c:pt>
                <c:pt idx="420">
                  <c:v>295</c:v>
                </c:pt>
                <c:pt idx="421">
                  <c:v>295</c:v>
                </c:pt>
                <c:pt idx="422">
                  <c:v>295</c:v>
                </c:pt>
                <c:pt idx="423">
                  <c:v>295</c:v>
                </c:pt>
                <c:pt idx="424">
                  <c:v>295</c:v>
                </c:pt>
                <c:pt idx="425">
                  <c:v>295</c:v>
                </c:pt>
                <c:pt idx="426">
                  <c:v>295</c:v>
                </c:pt>
                <c:pt idx="427">
                  <c:v>295</c:v>
                </c:pt>
                <c:pt idx="428">
                  <c:v>295</c:v>
                </c:pt>
                <c:pt idx="429">
                  <c:v>295</c:v>
                </c:pt>
                <c:pt idx="430">
                  <c:v>295</c:v>
                </c:pt>
                <c:pt idx="431">
                  <c:v>295</c:v>
                </c:pt>
                <c:pt idx="432">
                  <c:v>295</c:v>
                </c:pt>
                <c:pt idx="433">
                  <c:v>295</c:v>
                </c:pt>
                <c:pt idx="434">
                  <c:v>295</c:v>
                </c:pt>
                <c:pt idx="435">
                  <c:v>295</c:v>
                </c:pt>
                <c:pt idx="436">
                  <c:v>295</c:v>
                </c:pt>
                <c:pt idx="437">
                  <c:v>295</c:v>
                </c:pt>
                <c:pt idx="438">
                  <c:v>295</c:v>
                </c:pt>
                <c:pt idx="439">
                  <c:v>295</c:v>
                </c:pt>
                <c:pt idx="440">
                  <c:v>295</c:v>
                </c:pt>
                <c:pt idx="441">
                  <c:v>295</c:v>
                </c:pt>
                <c:pt idx="442">
                  <c:v>295</c:v>
                </c:pt>
                <c:pt idx="443">
                  <c:v>295</c:v>
                </c:pt>
                <c:pt idx="444">
                  <c:v>295</c:v>
                </c:pt>
                <c:pt idx="445">
                  <c:v>295</c:v>
                </c:pt>
                <c:pt idx="446">
                  <c:v>295</c:v>
                </c:pt>
                <c:pt idx="447">
                  <c:v>295</c:v>
                </c:pt>
                <c:pt idx="448">
                  <c:v>295</c:v>
                </c:pt>
                <c:pt idx="449">
                  <c:v>295</c:v>
                </c:pt>
                <c:pt idx="450">
                  <c:v>295</c:v>
                </c:pt>
                <c:pt idx="451">
                  <c:v>295</c:v>
                </c:pt>
                <c:pt idx="452">
                  <c:v>295</c:v>
                </c:pt>
                <c:pt idx="453">
                  <c:v>295</c:v>
                </c:pt>
                <c:pt idx="454">
                  <c:v>295</c:v>
                </c:pt>
                <c:pt idx="455">
                  <c:v>295</c:v>
                </c:pt>
                <c:pt idx="456">
                  <c:v>295</c:v>
                </c:pt>
                <c:pt idx="457">
                  <c:v>295</c:v>
                </c:pt>
                <c:pt idx="458">
                  <c:v>295</c:v>
                </c:pt>
                <c:pt idx="459">
                  <c:v>295</c:v>
                </c:pt>
                <c:pt idx="460">
                  <c:v>295</c:v>
                </c:pt>
                <c:pt idx="461">
                  <c:v>295</c:v>
                </c:pt>
                <c:pt idx="462">
                  <c:v>295</c:v>
                </c:pt>
                <c:pt idx="463">
                  <c:v>295</c:v>
                </c:pt>
                <c:pt idx="464">
                  <c:v>295</c:v>
                </c:pt>
                <c:pt idx="465">
                  <c:v>295</c:v>
                </c:pt>
                <c:pt idx="466">
                  <c:v>295</c:v>
                </c:pt>
                <c:pt idx="467">
                  <c:v>295</c:v>
                </c:pt>
                <c:pt idx="468">
                  <c:v>295</c:v>
                </c:pt>
                <c:pt idx="469">
                  <c:v>295</c:v>
                </c:pt>
                <c:pt idx="470">
                  <c:v>295</c:v>
                </c:pt>
                <c:pt idx="471">
                  <c:v>295</c:v>
                </c:pt>
                <c:pt idx="472">
                  <c:v>295</c:v>
                </c:pt>
                <c:pt idx="473">
                  <c:v>295</c:v>
                </c:pt>
                <c:pt idx="474">
                  <c:v>295</c:v>
                </c:pt>
                <c:pt idx="475">
                  <c:v>295</c:v>
                </c:pt>
                <c:pt idx="476">
                  <c:v>295</c:v>
                </c:pt>
                <c:pt idx="477">
                  <c:v>295</c:v>
                </c:pt>
                <c:pt idx="478">
                  <c:v>295</c:v>
                </c:pt>
                <c:pt idx="479">
                  <c:v>295</c:v>
                </c:pt>
                <c:pt idx="480">
                  <c:v>295</c:v>
                </c:pt>
                <c:pt idx="481">
                  <c:v>295</c:v>
                </c:pt>
                <c:pt idx="482">
                  <c:v>295</c:v>
                </c:pt>
                <c:pt idx="483">
                  <c:v>295</c:v>
                </c:pt>
                <c:pt idx="484">
                  <c:v>295</c:v>
                </c:pt>
                <c:pt idx="485">
                  <c:v>295</c:v>
                </c:pt>
                <c:pt idx="486">
                  <c:v>295</c:v>
                </c:pt>
                <c:pt idx="487">
                  <c:v>295</c:v>
                </c:pt>
                <c:pt idx="488">
                  <c:v>295</c:v>
                </c:pt>
                <c:pt idx="489">
                  <c:v>295</c:v>
                </c:pt>
                <c:pt idx="490">
                  <c:v>295</c:v>
                </c:pt>
                <c:pt idx="491">
                  <c:v>295</c:v>
                </c:pt>
                <c:pt idx="492">
                  <c:v>295</c:v>
                </c:pt>
                <c:pt idx="493">
                  <c:v>295</c:v>
                </c:pt>
                <c:pt idx="494">
                  <c:v>295</c:v>
                </c:pt>
                <c:pt idx="495">
                  <c:v>295</c:v>
                </c:pt>
                <c:pt idx="496">
                  <c:v>295</c:v>
                </c:pt>
                <c:pt idx="497">
                  <c:v>295</c:v>
                </c:pt>
                <c:pt idx="498">
                  <c:v>295</c:v>
                </c:pt>
                <c:pt idx="499">
                  <c:v>295</c:v>
                </c:pt>
                <c:pt idx="500">
                  <c:v>295</c:v>
                </c:pt>
                <c:pt idx="501">
                  <c:v>295</c:v>
                </c:pt>
                <c:pt idx="502">
                  <c:v>295</c:v>
                </c:pt>
                <c:pt idx="503">
                  <c:v>295</c:v>
                </c:pt>
                <c:pt idx="504">
                  <c:v>295</c:v>
                </c:pt>
                <c:pt idx="505">
                  <c:v>295</c:v>
                </c:pt>
                <c:pt idx="506">
                  <c:v>295</c:v>
                </c:pt>
                <c:pt idx="507">
                  <c:v>295</c:v>
                </c:pt>
                <c:pt idx="508">
                  <c:v>295</c:v>
                </c:pt>
                <c:pt idx="509">
                  <c:v>295</c:v>
                </c:pt>
                <c:pt idx="510">
                  <c:v>295</c:v>
                </c:pt>
                <c:pt idx="511">
                  <c:v>295</c:v>
                </c:pt>
                <c:pt idx="512">
                  <c:v>295</c:v>
                </c:pt>
                <c:pt idx="513">
                  <c:v>295</c:v>
                </c:pt>
                <c:pt idx="514">
                  <c:v>295</c:v>
                </c:pt>
                <c:pt idx="515">
                  <c:v>295</c:v>
                </c:pt>
                <c:pt idx="516">
                  <c:v>295</c:v>
                </c:pt>
                <c:pt idx="517">
                  <c:v>295</c:v>
                </c:pt>
                <c:pt idx="518">
                  <c:v>295</c:v>
                </c:pt>
                <c:pt idx="519">
                  <c:v>295</c:v>
                </c:pt>
                <c:pt idx="520">
                  <c:v>295</c:v>
                </c:pt>
                <c:pt idx="521">
                  <c:v>295</c:v>
                </c:pt>
                <c:pt idx="522">
                  <c:v>295</c:v>
                </c:pt>
                <c:pt idx="523">
                  <c:v>295</c:v>
                </c:pt>
                <c:pt idx="524">
                  <c:v>295</c:v>
                </c:pt>
                <c:pt idx="525">
                  <c:v>295</c:v>
                </c:pt>
                <c:pt idx="526">
                  <c:v>295</c:v>
                </c:pt>
                <c:pt idx="527">
                  <c:v>295</c:v>
                </c:pt>
                <c:pt idx="528">
                  <c:v>295</c:v>
                </c:pt>
                <c:pt idx="529">
                  <c:v>295</c:v>
                </c:pt>
                <c:pt idx="530">
                  <c:v>295</c:v>
                </c:pt>
                <c:pt idx="531">
                  <c:v>295</c:v>
                </c:pt>
                <c:pt idx="532">
                  <c:v>295</c:v>
                </c:pt>
                <c:pt idx="533">
                  <c:v>295</c:v>
                </c:pt>
                <c:pt idx="534">
                  <c:v>295</c:v>
                </c:pt>
                <c:pt idx="535">
                  <c:v>295</c:v>
                </c:pt>
                <c:pt idx="536">
                  <c:v>295</c:v>
                </c:pt>
                <c:pt idx="537">
                  <c:v>295</c:v>
                </c:pt>
                <c:pt idx="538">
                  <c:v>295</c:v>
                </c:pt>
                <c:pt idx="539">
                  <c:v>295</c:v>
                </c:pt>
                <c:pt idx="540">
                  <c:v>295</c:v>
                </c:pt>
                <c:pt idx="541">
                  <c:v>295</c:v>
                </c:pt>
                <c:pt idx="542">
                  <c:v>295</c:v>
                </c:pt>
                <c:pt idx="543">
                  <c:v>295</c:v>
                </c:pt>
                <c:pt idx="544">
                  <c:v>295</c:v>
                </c:pt>
                <c:pt idx="545">
                  <c:v>295</c:v>
                </c:pt>
                <c:pt idx="546">
                  <c:v>295</c:v>
                </c:pt>
                <c:pt idx="547">
                  <c:v>295</c:v>
                </c:pt>
                <c:pt idx="548">
                  <c:v>295</c:v>
                </c:pt>
                <c:pt idx="549">
                  <c:v>295</c:v>
                </c:pt>
                <c:pt idx="550">
                  <c:v>295</c:v>
                </c:pt>
                <c:pt idx="551">
                  <c:v>295</c:v>
                </c:pt>
                <c:pt idx="552">
                  <c:v>295</c:v>
                </c:pt>
                <c:pt idx="553">
                  <c:v>295</c:v>
                </c:pt>
                <c:pt idx="554">
                  <c:v>295</c:v>
                </c:pt>
                <c:pt idx="555">
                  <c:v>295</c:v>
                </c:pt>
                <c:pt idx="556">
                  <c:v>295</c:v>
                </c:pt>
                <c:pt idx="557">
                  <c:v>295</c:v>
                </c:pt>
                <c:pt idx="558">
                  <c:v>295</c:v>
                </c:pt>
                <c:pt idx="559">
                  <c:v>295</c:v>
                </c:pt>
                <c:pt idx="560">
                  <c:v>295</c:v>
                </c:pt>
                <c:pt idx="561">
                  <c:v>295</c:v>
                </c:pt>
                <c:pt idx="562">
                  <c:v>295</c:v>
                </c:pt>
                <c:pt idx="563">
                  <c:v>295</c:v>
                </c:pt>
                <c:pt idx="564">
                  <c:v>295</c:v>
                </c:pt>
                <c:pt idx="565">
                  <c:v>295</c:v>
                </c:pt>
                <c:pt idx="566">
                  <c:v>295</c:v>
                </c:pt>
                <c:pt idx="567">
                  <c:v>295</c:v>
                </c:pt>
                <c:pt idx="568">
                  <c:v>295</c:v>
                </c:pt>
                <c:pt idx="569">
                  <c:v>295</c:v>
                </c:pt>
                <c:pt idx="570">
                  <c:v>295</c:v>
                </c:pt>
                <c:pt idx="571">
                  <c:v>295</c:v>
                </c:pt>
                <c:pt idx="572">
                  <c:v>295</c:v>
                </c:pt>
                <c:pt idx="573">
                  <c:v>295</c:v>
                </c:pt>
                <c:pt idx="574">
                  <c:v>295</c:v>
                </c:pt>
                <c:pt idx="575">
                  <c:v>295</c:v>
                </c:pt>
                <c:pt idx="576">
                  <c:v>295</c:v>
                </c:pt>
                <c:pt idx="577">
                  <c:v>295</c:v>
                </c:pt>
                <c:pt idx="578">
                  <c:v>295</c:v>
                </c:pt>
                <c:pt idx="579">
                  <c:v>295</c:v>
                </c:pt>
                <c:pt idx="580">
                  <c:v>295</c:v>
                </c:pt>
                <c:pt idx="581">
                  <c:v>295</c:v>
                </c:pt>
                <c:pt idx="582">
                  <c:v>295</c:v>
                </c:pt>
                <c:pt idx="583">
                  <c:v>295</c:v>
                </c:pt>
                <c:pt idx="584">
                  <c:v>295</c:v>
                </c:pt>
                <c:pt idx="585">
                  <c:v>295</c:v>
                </c:pt>
                <c:pt idx="586">
                  <c:v>295</c:v>
                </c:pt>
                <c:pt idx="587">
                  <c:v>295</c:v>
                </c:pt>
                <c:pt idx="588">
                  <c:v>295</c:v>
                </c:pt>
                <c:pt idx="589">
                  <c:v>295</c:v>
                </c:pt>
                <c:pt idx="590">
                  <c:v>295</c:v>
                </c:pt>
                <c:pt idx="591">
                  <c:v>295</c:v>
                </c:pt>
                <c:pt idx="592">
                  <c:v>295</c:v>
                </c:pt>
                <c:pt idx="593">
                  <c:v>295</c:v>
                </c:pt>
                <c:pt idx="594">
                  <c:v>295</c:v>
                </c:pt>
                <c:pt idx="595">
                  <c:v>295</c:v>
                </c:pt>
                <c:pt idx="596">
                  <c:v>295</c:v>
                </c:pt>
                <c:pt idx="597">
                  <c:v>295</c:v>
                </c:pt>
                <c:pt idx="598">
                  <c:v>295</c:v>
                </c:pt>
                <c:pt idx="599">
                  <c:v>295</c:v>
                </c:pt>
                <c:pt idx="600">
                  <c:v>295</c:v>
                </c:pt>
                <c:pt idx="601">
                  <c:v>295</c:v>
                </c:pt>
                <c:pt idx="602">
                  <c:v>295</c:v>
                </c:pt>
                <c:pt idx="603">
                  <c:v>295</c:v>
                </c:pt>
                <c:pt idx="604">
                  <c:v>295</c:v>
                </c:pt>
                <c:pt idx="605">
                  <c:v>295</c:v>
                </c:pt>
                <c:pt idx="606">
                  <c:v>295</c:v>
                </c:pt>
                <c:pt idx="607">
                  <c:v>295</c:v>
                </c:pt>
                <c:pt idx="608">
                  <c:v>295</c:v>
                </c:pt>
                <c:pt idx="609">
                  <c:v>295</c:v>
                </c:pt>
                <c:pt idx="610">
                  <c:v>295</c:v>
                </c:pt>
                <c:pt idx="611">
                  <c:v>295</c:v>
                </c:pt>
                <c:pt idx="612">
                  <c:v>295</c:v>
                </c:pt>
                <c:pt idx="613">
                  <c:v>295</c:v>
                </c:pt>
                <c:pt idx="614">
                  <c:v>295</c:v>
                </c:pt>
                <c:pt idx="615">
                  <c:v>295</c:v>
                </c:pt>
                <c:pt idx="616">
                  <c:v>295</c:v>
                </c:pt>
                <c:pt idx="617">
                  <c:v>295</c:v>
                </c:pt>
                <c:pt idx="618">
                  <c:v>295</c:v>
                </c:pt>
                <c:pt idx="619">
                  <c:v>295</c:v>
                </c:pt>
                <c:pt idx="620">
                  <c:v>295</c:v>
                </c:pt>
                <c:pt idx="621">
                  <c:v>295</c:v>
                </c:pt>
                <c:pt idx="622">
                  <c:v>295</c:v>
                </c:pt>
                <c:pt idx="623">
                  <c:v>295</c:v>
                </c:pt>
                <c:pt idx="624">
                  <c:v>295</c:v>
                </c:pt>
                <c:pt idx="625">
                  <c:v>295</c:v>
                </c:pt>
                <c:pt idx="626">
                  <c:v>295</c:v>
                </c:pt>
                <c:pt idx="627">
                  <c:v>295</c:v>
                </c:pt>
                <c:pt idx="628">
                  <c:v>295</c:v>
                </c:pt>
                <c:pt idx="629">
                  <c:v>295</c:v>
                </c:pt>
                <c:pt idx="630">
                  <c:v>295</c:v>
                </c:pt>
                <c:pt idx="631">
                  <c:v>295</c:v>
                </c:pt>
                <c:pt idx="632">
                  <c:v>295</c:v>
                </c:pt>
                <c:pt idx="633">
                  <c:v>295</c:v>
                </c:pt>
                <c:pt idx="634">
                  <c:v>295</c:v>
                </c:pt>
                <c:pt idx="635">
                  <c:v>295</c:v>
                </c:pt>
                <c:pt idx="636">
                  <c:v>295</c:v>
                </c:pt>
                <c:pt idx="637">
                  <c:v>295</c:v>
                </c:pt>
                <c:pt idx="638">
                  <c:v>295</c:v>
                </c:pt>
                <c:pt idx="639">
                  <c:v>295</c:v>
                </c:pt>
                <c:pt idx="640">
                  <c:v>295</c:v>
                </c:pt>
                <c:pt idx="641">
                  <c:v>295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46784"/>
        <c:axId val="191173696"/>
      </c:lineChart>
      <c:catAx>
        <c:axId val="213046272"/>
        <c:scaling>
          <c:orientation val="minMax"/>
        </c:scaling>
        <c:delete val="0"/>
        <c:axPos val="b"/>
        <c:majorTickMark val="out"/>
        <c:minorTickMark val="none"/>
        <c:tickLblPos val="nextTo"/>
        <c:crossAx val="191173120"/>
        <c:crosses val="autoZero"/>
        <c:auto val="1"/>
        <c:lblAlgn val="ctr"/>
        <c:lblOffset val="100"/>
        <c:noMultiLvlLbl val="0"/>
      </c:catAx>
      <c:valAx>
        <c:axId val="191173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3046272"/>
        <c:crosses val="autoZero"/>
        <c:crossBetween val="between"/>
      </c:valAx>
      <c:valAx>
        <c:axId val="191173696"/>
        <c:scaling>
          <c:orientation val="minMax"/>
          <c:max val="335"/>
          <c:min val="290"/>
        </c:scaling>
        <c:delete val="0"/>
        <c:axPos val="r"/>
        <c:numFmt formatCode="General" sourceLinked="1"/>
        <c:majorTickMark val="out"/>
        <c:minorTickMark val="none"/>
        <c:tickLblPos val="nextTo"/>
        <c:crossAx val="213046784"/>
        <c:crosses val="max"/>
        <c:crossBetween val="between"/>
      </c:valAx>
      <c:catAx>
        <c:axId val="213046784"/>
        <c:scaling>
          <c:orientation val="minMax"/>
        </c:scaling>
        <c:delete val="1"/>
        <c:axPos val="b"/>
        <c:majorTickMark val="out"/>
        <c:minorTickMark val="none"/>
        <c:tickLblPos val="nextTo"/>
        <c:crossAx val="191173696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51944444444444449"/>
          <c:y val="0.3466462525517644"/>
          <c:w val="0.1388888888888889"/>
          <c:h val="0.2511515748031495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15507436570428"/>
          <c:y val="5.1400554097404488E-2"/>
          <c:w val="0.82488429571303579"/>
          <c:h val="0.81870771361913097"/>
        </c:manualLayout>
      </c:layout>
      <c:lineChart>
        <c:grouping val="standard"/>
        <c:varyColors val="0"/>
        <c:ser>
          <c:idx val="0"/>
          <c:order val="0"/>
          <c:tx>
            <c:strRef>
              <c:f>陆浑!$C$1</c:f>
              <c:strCache>
                <c:ptCount val="1"/>
                <c:pt idx="0">
                  <c:v>入库</c:v>
                </c:pt>
              </c:strCache>
            </c:strRef>
          </c:tx>
          <c:marker>
            <c:symbol val="none"/>
          </c:marker>
          <c:val>
            <c:numRef>
              <c:f>陆浑!$C$2:$C$746</c:f>
              <c:numCache>
                <c:formatCode>General</c:formatCode>
                <c:ptCount val="7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4</c:v>
                </c:pt>
                <c:pt idx="6">
                  <c:v>8.5</c:v>
                </c:pt>
                <c:pt idx="7">
                  <c:v>13</c:v>
                </c:pt>
                <c:pt idx="8">
                  <c:v>178</c:v>
                </c:pt>
                <c:pt idx="9">
                  <c:v>343</c:v>
                </c:pt>
                <c:pt idx="10">
                  <c:v>3963.5</c:v>
                </c:pt>
                <c:pt idx="11">
                  <c:v>7584</c:v>
                </c:pt>
                <c:pt idx="12">
                  <c:v>8356.5</c:v>
                </c:pt>
                <c:pt idx="13">
                  <c:v>9129</c:v>
                </c:pt>
                <c:pt idx="14">
                  <c:v>8307</c:v>
                </c:pt>
                <c:pt idx="15">
                  <c:v>7485</c:v>
                </c:pt>
                <c:pt idx="16">
                  <c:v>5602</c:v>
                </c:pt>
                <c:pt idx="17">
                  <c:v>3719</c:v>
                </c:pt>
                <c:pt idx="18">
                  <c:v>2887</c:v>
                </c:pt>
                <c:pt idx="19">
                  <c:v>2055</c:v>
                </c:pt>
                <c:pt idx="20">
                  <c:v>1665.5</c:v>
                </c:pt>
                <c:pt idx="21">
                  <c:v>1276</c:v>
                </c:pt>
                <c:pt idx="22">
                  <c:v>1055.5</c:v>
                </c:pt>
                <c:pt idx="23">
                  <c:v>835</c:v>
                </c:pt>
                <c:pt idx="24">
                  <c:v>820</c:v>
                </c:pt>
                <c:pt idx="25">
                  <c:v>805</c:v>
                </c:pt>
                <c:pt idx="26">
                  <c:v>900</c:v>
                </c:pt>
                <c:pt idx="27">
                  <c:v>995</c:v>
                </c:pt>
                <c:pt idx="28">
                  <c:v>960.5</c:v>
                </c:pt>
                <c:pt idx="29">
                  <c:v>926</c:v>
                </c:pt>
                <c:pt idx="30">
                  <c:v>921.5</c:v>
                </c:pt>
                <c:pt idx="31">
                  <c:v>917</c:v>
                </c:pt>
                <c:pt idx="32">
                  <c:v>918.5</c:v>
                </c:pt>
                <c:pt idx="33">
                  <c:v>920</c:v>
                </c:pt>
                <c:pt idx="34">
                  <c:v>905</c:v>
                </c:pt>
                <c:pt idx="35">
                  <c:v>890</c:v>
                </c:pt>
                <c:pt idx="36">
                  <c:v>1088.5</c:v>
                </c:pt>
                <c:pt idx="37">
                  <c:v>1287</c:v>
                </c:pt>
                <c:pt idx="38">
                  <c:v>1386</c:v>
                </c:pt>
                <c:pt idx="39">
                  <c:v>1485</c:v>
                </c:pt>
                <c:pt idx="40">
                  <c:v>1575</c:v>
                </c:pt>
                <c:pt idx="41">
                  <c:v>1665</c:v>
                </c:pt>
                <c:pt idx="42">
                  <c:v>1595.5</c:v>
                </c:pt>
                <c:pt idx="43">
                  <c:v>1526</c:v>
                </c:pt>
                <c:pt idx="44">
                  <c:v>1489</c:v>
                </c:pt>
                <c:pt idx="45">
                  <c:v>1452</c:v>
                </c:pt>
                <c:pt idx="46">
                  <c:v>1645</c:v>
                </c:pt>
                <c:pt idx="47">
                  <c:v>1838</c:v>
                </c:pt>
                <c:pt idx="48">
                  <c:v>2074</c:v>
                </c:pt>
                <c:pt idx="49">
                  <c:v>2310</c:v>
                </c:pt>
                <c:pt idx="50">
                  <c:v>2395</c:v>
                </c:pt>
                <c:pt idx="51">
                  <c:v>2480</c:v>
                </c:pt>
                <c:pt idx="52">
                  <c:v>2381.5</c:v>
                </c:pt>
                <c:pt idx="53">
                  <c:v>2283</c:v>
                </c:pt>
                <c:pt idx="54">
                  <c:v>2281</c:v>
                </c:pt>
                <c:pt idx="55">
                  <c:v>2279</c:v>
                </c:pt>
                <c:pt idx="56">
                  <c:v>2611</c:v>
                </c:pt>
                <c:pt idx="57">
                  <c:v>2943</c:v>
                </c:pt>
                <c:pt idx="58">
                  <c:v>3154</c:v>
                </c:pt>
                <c:pt idx="59">
                  <c:v>3365</c:v>
                </c:pt>
                <c:pt idx="60">
                  <c:v>3249</c:v>
                </c:pt>
                <c:pt idx="61">
                  <c:v>3133</c:v>
                </c:pt>
                <c:pt idx="62">
                  <c:v>2945.5</c:v>
                </c:pt>
                <c:pt idx="63">
                  <c:v>2758</c:v>
                </c:pt>
                <c:pt idx="64">
                  <c:v>2578</c:v>
                </c:pt>
                <c:pt idx="65">
                  <c:v>2398</c:v>
                </c:pt>
                <c:pt idx="66">
                  <c:v>2178</c:v>
                </c:pt>
                <c:pt idx="67">
                  <c:v>1958</c:v>
                </c:pt>
                <c:pt idx="68">
                  <c:v>1728.5</c:v>
                </c:pt>
                <c:pt idx="69">
                  <c:v>1499</c:v>
                </c:pt>
                <c:pt idx="70">
                  <c:v>1318.5</c:v>
                </c:pt>
                <c:pt idx="71">
                  <c:v>1138</c:v>
                </c:pt>
                <c:pt idx="72">
                  <c:v>1039</c:v>
                </c:pt>
                <c:pt idx="73">
                  <c:v>940</c:v>
                </c:pt>
                <c:pt idx="74">
                  <c:v>909.5</c:v>
                </c:pt>
                <c:pt idx="75">
                  <c:v>879</c:v>
                </c:pt>
                <c:pt idx="76">
                  <c:v>848</c:v>
                </c:pt>
                <c:pt idx="77">
                  <c:v>817</c:v>
                </c:pt>
                <c:pt idx="78">
                  <c:v>786.5</c:v>
                </c:pt>
                <c:pt idx="79">
                  <c:v>756</c:v>
                </c:pt>
                <c:pt idx="80">
                  <c:v>712</c:v>
                </c:pt>
                <c:pt idx="81">
                  <c:v>668</c:v>
                </c:pt>
                <c:pt idx="82">
                  <c:v>605.5</c:v>
                </c:pt>
                <c:pt idx="83">
                  <c:v>543</c:v>
                </c:pt>
                <c:pt idx="84">
                  <c:v>484.5</c:v>
                </c:pt>
                <c:pt idx="85">
                  <c:v>426</c:v>
                </c:pt>
                <c:pt idx="86">
                  <c:v>377.5</c:v>
                </c:pt>
                <c:pt idx="87">
                  <c:v>329</c:v>
                </c:pt>
                <c:pt idx="88">
                  <c:v>293.5</c:v>
                </c:pt>
                <c:pt idx="89">
                  <c:v>258</c:v>
                </c:pt>
                <c:pt idx="90">
                  <c:v>231.5</c:v>
                </c:pt>
                <c:pt idx="91">
                  <c:v>205</c:v>
                </c:pt>
                <c:pt idx="92">
                  <c:v>186</c:v>
                </c:pt>
                <c:pt idx="93">
                  <c:v>167</c:v>
                </c:pt>
                <c:pt idx="94">
                  <c:v>275</c:v>
                </c:pt>
                <c:pt idx="95">
                  <c:v>383</c:v>
                </c:pt>
                <c:pt idx="96">
                  <c:v>577</c:v>
                </c:pt>
                <c:pt idx="97">
                  <c:v>771</c:v>
                </c:pt>
                <c:pt idx="98">
                  <c:v>787</c:v>
                </c:pt>
                <c:pt idx="99">
                  <c:v>803</c:v>
                </c:pt>
                <c:pt idx="100">
                  <c:v>707.5</c:v>
                </c:pt>
                <c:pt idx="101">
                  <c:v>612</c:v>
                </c:pt>
                <c:pt idx="102">
                  <c:v>519.5</c:v>
                </c:pt>
                <c:pt idx="103">
                  <c:v>427</c:v>
                </c:pt>
                <c:pt idx="104">
                  <c:v>363</c:v>
                </c:pt>
                <c:pt idx="105">
                  <c:v>299</c:v>
                </c:pt>
                <c:pt idx="106">
                  <c:v>259.5</c:v>
                </c:pt>
                <c:pt idx="107">
                  <c:v>220</c:v>
                </c:pt>
                <c:pt idx="108">
                  <c:v>196.5</c:v>
                </c:pt>
                <c:pt idx="109">
                  <c:v>173</c:v>
                </c:pt>
                <c:pt idx="110">
                  <c:v>158</c:v>
                </c:pt>
                <c:pt idx="111">
                  <c:v>143</c:v>
                </c:pt>
                <c:pt idx="112">
                  <c:v>132.5</c:v>
                </c:pt>
                <c:pt idx="113">
                  <c:v>122</c:v>
                </c:pt>
                <c:pt idx="114">
                  <c:v>114</c:v>
                </c:pt>
                <c:pt idx="115">
                  <c:v>106</c:v>
                </c:pt>
                <c:pt idx="116">
                  <c:v>99</c:v>
                </c:pt>
                <c:pt idx="117">
                  <c:v>92</c:v>
                </c:pt>
                <c:pt idx="118">
                  <c:v>86.5</c:v>
                </c:pt>
                <c:pt idx="119">
                  <c:v>81</c:v>
                </c:pt>
                <c:pt idx="120">
                  <c:v>76</c:v>
                </c:pt>
                <c:pt idx="121">
                  <c:v>71</c:v>
                </c:pt>
                <c:pt idx="122">
                  <c:v>67</c:v>
                </c:pt>
                <c:pt idx="123">
                  <c:v>63</c:v>
                </c:pt>
                <c:pt idx="124">
                  <c:v>59.5</c:v>
                </c:pt>
                <c:pt idx="125">
                  <c:v>56</c:v>
                </c:pt>
                <c:pt idx="126">
                  <c:v>52.5</c:v>
                </c:pt>
                <c:pt idx="127">
                  <c:v>49</c:v>
                </c:pt>
                <c:pt idx="128">
                  <c:v>46.5</c:v>
                </c:pt>
                <c:pt idx="129">
                  <c:v>44</c:v>
                </c:pt>
                <c:pt idx="130">
                  <c:v>42</c:v>
                </c:pt>
                <c:pt idx="131">
                  <c:v>40</c:v>
                </c:pt>
                <c:pt idx="132">
                  <c:v>37.5</c:v>
                </c:pt>
                <c:pt idx="133">
                  <c:v>35</c:v>
                </c:pt>
                <c:pt idx="134">
                  <c:v>33.5</c:v>
                </c:pt>
                <c:pt idx="135">
                  <c:v>32</c:v>
                </c:pt>
                <c:pt idx="136">
                  <c:v>30.5</c:v>
                </c:pt>
                <c:pt idx="137">
                  <c:v>29</c:v>
                </c:pt>
                <c:pt idx="138">
                  <c:v>27.5</c:v>
                </c:pt>
                <c:pt idx="139">
                  <c:v>26</c:v>
                </c:pt>
                <c:pt idx="140">
                  <c:v>24.5</c:v>
                </c:pt>
                <c:pt idx="141">
                  <c:v>23</c:v>
                </c:pt>
                <c:pt idx="142">
                  <c:v>21.5</c:v>
                </c:pt>
                <c:pt idx="143">
                  <c:v>20</c:v>
                </c:pt>
                <c:pt idx="144">
                  <c:v>19.5</c:v>
                </c:pt>
                <c:pt idx="145">
                  <c:v>19</c:v>
                </c:pt>
                <c:pt idx="146">
                  <c:v>17.5</c:v>
                </c:pt>
                <c:pt idx="147">
                  <c:v>16</c:v>
                </c:pt>
                <c:pt idx="148">
                  <c:v>15</c:v>
                </c:pt>
                <c:pt idx="149">
                  <c:v>14</c:v>
                </c:pt>
                <c:pt idx="150">
                  <c:v>13.5</c:v>
                </c:pt>
                <c:pt idx="151">
                  <c:v>13</c:v>
                </c:pt>
                <c:pt idx="152">
                  <c:v>12</c:v>
                </c:pt>
                <c:pt idx="153">
                  <c:v>11</c:v>
                </c:pt>
                <c:pt idx="154">
                  <c:v>10.5</c:v>
                </c:pt>
                <c:pt idx="155">
                  <c:v>10</c:v>
                </c:pt>
                <c:pt idx="156">
                  <c:v>9.5</c:v>
                </c:pt>
                <c:pt idx="157">
                  <c:v>9</c:v>
                </c:pt>
                <c:pt idx="158">
                  <c:v>8.5</c:v>
                </c:pt>
                <c:pt idx="159">
                  <c:v>8</c:v>
                </c:pt>
                <c:pt idx="160">
                  <c:v>7.5</c:v>
                </c:pt>
                <c:pt idx="161">
                  <c:v>7</c:v>
                </c:pt>
                <c:pt idx="162">
                  <c:v>6.5</c:v>
                </c:pt>
                <c:pt idx="163">
                  <c:v>6</c:v>
                </c:pt>
                <c:pt idx="164">
                  <c:v>5.5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4.5</c:v>
                </c:pt>
                <c:pt idx="169">
                  <c:v>4</c:v>
                </c:pt>
                <c:pt idx="170">
                  <c:v>3.5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2.5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1.5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0.5</c:v>
                </c:pt>
                <c:pt idx="185" formatCode="0.00E+00">
                  <c:v>8.3799999999999996E-9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陆浑!$D$1</c:f>
              <c:strCache>
                <c:ptCount val="1"/>
                <c:pt idx="0">
                  <c:v>出库</c:v>
                </c:pt>
              </c:strCache>
            </c:strRef>
          </c:tx>
          <c:marker>
            <c:symbol val="none"/>
          </c:marker>
          <c:val>
            <c:numRef>
              <c:f>陆浑!$D$2:$D$746</c:f>
              <c:numCache>
                <c:formatCode>General</c:formatCode>
                <c:ptCount val="745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343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  <c:pt idx="24">
                  <c:v>1000</c:v>
                </c:pt>
                <c:pt idx="25">
                  <c:v>1000</c:v>
                </c:pt>
                <c:pt idx="26">
                  <c:v>1000</c:v>
                </c:pt>
                <c:pt idx="27">
                  <c:v>1000</c:v>
                </c:pt>
                <c:pt idx="28">
                  <c:v>1000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2274.0810000000001</c:v>
                </c:pt>
                <c:pt idx="52">
                  <c:v>2381.4960000000001</c:v>
                </c:pt>
                <c:pt idx="53">
                  <c:v>2283</c:v>
                </c:pt>
                <c:pt idx="54">
                  <c:v>2281</c:v>
                </c:pt>
                <c:pt idx="55">
                  <c:v>2279</c:v>
                </c:pt>
                <c:pt idx="56">
                  <c:v>2611</c:v>
                </c:pt>
                <c:pt idx="57">
                  <c:v>2943</c:v>
                </c:pt>
                <c:pt idx="58">
                  <c:v>3154</c:v>
                </c:pt>
                <c:pt idx="59">
                  <c:v>3240.1039999999998</c:v>
                </c:pt>
                <c:pt idx="60">
                  <c:v>3241.7979999999998</c:v>
                </c:pt>
                <c:pt idx="61">
                  <c:v>3240.51</c:v>
                </c:pt>
                <c:pt idx="62">
                  <c:v>2970.09</c:v>
                </c:pt>
                <c:pt idx="63">
                  <c:v>2758</c:v>
                </c:pt>
                <c:pt idx="64">
                  <c:v>2578</c:v>
                </c:pt>
                <c:pt idx="65">
                  <c:v>2398</c:v>
                </c:pt>
                <c:pt idx="66">
                  <c:v>2178</c:v>
                </c:pt>
                <c:pt idx="67">
                  <c:v>1958</c:v>
                </c:pt>
                <c:pt idx="68">
                  <c:v>1728.5</c:v>
                </c:pt>
                <c:pt idx="69">
                  <c:v>1499</c:v>
                </c:pt>
                <c:pt idx="70">
                  <c:v>1318.5</c:v>
                </c:pt>
                <c:pt idx="71">
                  <c:v>1138</c:v>
                </c:pt>
                <c:pt idx="72">
                  <c:v>1039</c:v>
                </c:pt>
                <c:pt idx="73">
                  <c:v>940</c:v>
                </c:pt>
                <c:pt idx="74">
                  <c:v>909.5</c:v>
                </c:pt>
                <c:pt idx="75">
                  <c:v>879</c:v>
                </c:pt>
                <c:pt idx="76">
                  <c:v>848</c:v>
                </c:pt>
                <c:pt idx="77">
                  <c:v>817</c:v>
                </c:pt>
                <c:pt idx="78">
                  <c:v>786.5</c:v>
                </c:pt>
                <c:pt idx="79">
                  <c:v>756</c:v>
                </c:pt>
                <c:pt idx="80">
                  <c:v>712</c:v>
                </c:pt>
                <c:pt idx="81">
                  <c:v>668</c:v>
                </c:pt>
                <c:pt idx="82">
                  <c:v>605.5</c:v>
                </c:pt>
                <c:pt idx="83">
                  <c:v>543</c:v>
                </c:pt>
                <c:pt idx="84">
                  <c:v>484.5</c:v>
                </c:pt>
                <c:pt idx="85">
                  <c:v>426</c:v>
                </c:pt>
                <c:pt idx="86">
                  <c:v>377.5</c:v>
                </c:pt>
                <c:pt idx="87">
                  <c:v>329</c:v>
                </c:pt>
                <c:pt idx="88">
                  <c:v>293.5</c:v>
                </c:pt>
                <c:pt idx="89">
                  <c:v>258</c:v>
                </c:pt>
                <c:pt idx="90">
                  <c:v>231.5</c:v>
                </c:pt>
                <c:pt idx="91">
                  <c:v>205</c:v>
                </c:pt>
                <c:pt idx="92">
                  <c:v>186</c:v>
                </c:pt>
                <c:pt idx="93">
                  <c:v>167</c:v>
                </c:pt>
                <c:pt idx="94">
                  <c:v>275</c:v>
                </c:pt>
                <c:pt idx="95">
                  <c:v>383</c:v>
                </c:pt>
                <c:pt idx="96">
                  <c:v>577</c:v>
                </c:pt>
                <c:pt idx="97">
                  <c:v>771</c:v>
                </c:pt>
                <c:pt idx="98">
                  <c:v>787</c:v>
                </c:pt>
                <c:pt idx="99">
                  <c:v>803</c:v>
                </c:pt>
                <c:pt idx="100">
                  <c:v>707.5</c:v>
                </c:pt>
                <c:pt idx="101">
                  <c:v>612</c:v>
                </c:pt>
                <c:pt idx="102">
                  <c:v>519.5</c:v>
                </c:pt>
                <c:pt idx="103">
                  <c:v>427</c:v>
                </c:pt>
                <c:pt idx="104">
                  <c:v>363</c:v>
                </c:pt>
                <c:pt idx="105">
                  <c:v>299</c:v>
                </c:pt>
                <c:pt idx="106">
                  <c:v>259.5</c:v>
                </c:pt>
                <c:pt idx="107">
                  <c:v>220</c:v>
                </c:pt>
                <c:pt idx="108">
                  <c:v>196.5</c:v>
                </c:pt>
                <c:pt idx="109">
                  <c:v>173</c:v>
                </c:pt>
                <c:pt idx="110">
                  <c:v>158</c:v>
                </c:pt>
                <c:pt idx="111">
                  <c:v>143</c:v>
                </c:pt>
                <c:pt idx="112">
                  <c:v>132.5</c:v>
                </c:pt>
                <c:pt idx="113">
                  <c:v>122</c:v>
                </c:pt>
                <c:pt idx="114">
                  <c:v>114</c:v>
                </c:pt>
                <c:pt idx="115">
                  <c:v>106</c:v>
                </c:pt>
                <c:pt idx="116">
                  <c:v>99</c:v>
                </c:pt>
                <c:pt idx="117">
                  <c:v>92</c:v>
                </c:pt>
                <c:pt idx="118">
                  <c:v>86.5</c:v>
                </c:pt>
                <c:pt idx="119">
                  <c:v>81</c:v>
                </c:pt>
                <c:pt idx="120">
                  <c:v>76</c:v>
                </c:pt>
                <c:pt idx="121">
                  <c:v>71</c:v>
                </c:pt>
                <c:pt idx="122">
                  <c:v>67</c:v>
                </c:pt>
                <c:pt idx="123">
                  <c:v>63</c:v>
                </c:pt>
                <c:pt idx="124">
                  <c:v>59.5</c:v>
                </c:pt>
                <c:pt idx="125">
                  <c:v>56</c:v>
                </c:pt>
                <c:pt idx="126">
                  <c:v>52.5</c:v>
                </c:pt>
                <c:pt idx="127">
                  <c:v>49</c:v>
                </c:pt>
                <c:pt idx="128">
                  <c:v>46.5</c:v>
                </c:pt>
                <c:pt idx="129">
                  <c:v>44</c:v>
                </c:pt>
                <c:pt idx="130">
                  <c:v>42</c:v>
                </c:pt>
                <c:pt idx="131">
                  <c:v>40</c:v>
                </c:pt>
                <c:pt idx="132">
                  <c:v>37.5</c:v>
                </c:pt>
                <c:pt idx="133">
                  <c:v>35</c:v>
                </c:pt>
                <c:pt idx="134">
                  <c:v>33.5</c:v>
                </c:pt>
                <c:pt idx="135">
                  <c:v>32</c:v>
                </c:pt>
                <c:pt idx="136">
                  <c:v>30.5</c:v>
                </c:pt>
                <c:pt idx="137">
                  <c:v>29</c:v>
                </c:pt>
                <c:pt idx="138">
                  <c:v>58.514159999999997</c:v>
                </c:pt>
                <c:pt idx="139">
                  <c:v>211.66890000000001</c:v>
                </c:pt>
                <c:pt idx="140">
                  <c:v>350.41359999999997</c:v>
                </c:pt>
                <c:pt idx="141">
                  <c:v>489.1583</c:v>
                </c:pt>
                <c:pt idx="142">
                  <c:v>500</c:v>
                </c:pt>
                <c:pt idx="143">
                  <c:v>500</c:v>
                </c:pt>
                <c:pt idx="144">
                  <c:v>500</c:v>
                </c:pt>
                <c:pt idx="145">
                  <c:v>500</c:v>
                </c:pt>
                <c:pt idx="146">
                  <c:v>500</c:v>
                </c:pt>
                <c:pt idx="147">
                  <c:v>500</c:v>
                </c:pt>
                <c:pt idx="148">
                  <c:v>500</c:v>
                </c:pt>
                <c:pt idx="149">
                  <c:v>500</c:v>
                </c:pt>
                <c:pt idx="150">
                  <c:v>500</c:v>
                </c:pt>
                <c:pt idx="151">
                  <c:v>500</c:v>
                </c:pt>
                <c:pt idx="152">
                  <c:v>500</c:v>
                </c:pt>
                <c:pt idx="153">
                  <c:v>500</c:v>
                </c:pt>
                <c:pt idx="154">
                  <c:v>500</c:v>
                </c:pt>
                <c:pt idx="155">
                  <c:v>500</c:v>
                </c:pt>
                <c:pt idx="156">
                  <c:v>500</c:v>
                </c:pt>
                <c:pt idx="157">
                  <c:v>500</c:v>
                </c:pt>
                <c:pt idx="158">
                  <c:v>500</c:v>
                </c:pt>
                <c:pt idx="159">
                  <c:v>500</c:v>
                </c:pt>
                <c:pt idx="160">
                  <c:v>500</c:v>
                </c:pt>
                <c:pt idx="161">
                  <c:v>500</c:v>
                </c:pt>
                <c:pt idx="162">
                  <c:v>500</c:v>
                </c:pt>
                <c:pt idx="163">
                  <c:v>500</c:v>
                </c:pt>
                <c:pt idx="164">
                  <c:v>500</c:v>
                </c:pt>
                <c:pt idx="165">
                  <c:v>500</c:v>
                </c:pt>
                <c:pt idx="166">
                  <c:v>500</c:v>
                </c:pt>
                <c:pt idx="167">
                  <c:v>500</c:v>
                </c:pt>
                <c:pt idx="168">
                  <c:v>500</c:v>
                </c:pt>
                <c:pt idx="169">
                  <c:v>500</c:v>
                </c:pt>
                <c:pt idx="170">
                  <c:v>500</c:v>
                </c:pt>
                <c:pt idx="171">
                  <c:v>500</c:v>
                </c:pt>
                <c:pt idx="172">
                  <c:v>500</c:v>
                </c:pt>
                <c:pt idx="173">
                  <c:v>500</c:v>
                </c:pt>
                <c:pt idx="174">
                  <c:v>500</c:v>
                </c:pt>
                <c:pt idx="175">
                  <c:v>500</c:v>
                </c:pt>
                <c:pt idx="176">
                  <c:v>500</c:v>
                </c:pt>
                <c:pt idx="177">
                  <c:v>500</c:v>
                </c:pt>
                <c:pt idx="178">
                  <c:v>500</c:v>
                </c:pt>
                <c:pt idx="179">
                  <c:v>500</c:v>
                </c:pt>
                <c:pt idx="180">
                  <c:v>500</c:v>
                </c:pt>
                <c:pt idx="181">
                  <c:v>500</c:v>
                </c:pt>
                <c:pt idx="182">
                  <c:v>500</c:v>
                </c:pt>
                <c:pt idx="183">
                  <c:v>500</c:v>
                </c:pt>
                <c:pt idx="184">
                  <c:v>500</c:v>
                </c:pt>
                <c:pt idx="185">
                  <c:v>500</c:v>
                </c:pt>
                <c:pt idx="186">
                  <c:v>500</c:v>
                </c:pt>
                <c:pt idx="187">
                  <c:v>500</c:v>
                </c:pt>
                <c:pt idx="188">
                  <c:v>500</c:v>
                </c:pt>
                <c:pt idx="189">
                  <c:v>500</c:v>
                </c:pt>
                <c:pt idx="190">
                  <c:v>500</c:v>
                </c:pt>
                <c:pt idx="191">
                  <c:v>500</c:v>
                </c:pt>
                <c:pt idx="192">
                  <c:v>500</c:v>
                </c:pt>
                <c:pt idx="193">
                  <c:v>500</c:v>
                </c:pt>
                <c:pt idx="194">
                  <c:v>500</c:v>
                </c:pt>
                <c:pt idx="195">
                  <c:v>500</c:v>
                </c:pt>
                <c:pt idx="196">
                  <c:v>500</c:v>
                </c:pt>
                <c:pt idx="197">
                  <c:v>500</c:v>
                </c:pt>
                <c:pt idx="198">
                  <c:v>500</c:v>
                </c:pt>
                <c:pt idx="199">
                  <c:v>500</c:v>
                </c:pt>
                <c:pt idx="200">
                  <c:v>500</c:v>
                </c:pt>
                <c:pt idx="201">
                  <c:v>500</c:v>
                </c:pt>
                <c:pt idx="202">
                  <c:v>500</c:v>
                </c:pt>
                <c:pt idx="203">
                  <c:v>500</c:v>
                </c:pt>
                <c:pt idx="204">
                  <c:v>500</c:v>
                </c:pt>
                <c:pt idx="205">
                  <c:v>500</c:v>
                </c:pt>
                <c:pt idx="206">
                  <c:v>500</c:v>
                </c:pt>
                <c:pt idx="207">
                  <c:v>500</c:v>
                </c:pt>
                <c:pt idx="208">
                  <c:v>500</c:v>
                </c:pt>
                <c:pt idx="209">
                  <c:v>500</c:v>
                </c:pt>
                <c:pt idx="210">
                  <c:v>500</c:v>
                </c:pt>
                <c:pt idx="211">
                  <c:v>500</c:v>
                </c:pt>
                <c:pt idx="212">
                  <c:v>500</c:v>
                </c:pt>
                <c:pt idx="213">
                  <c:v>500</c:v>
                </c:pt>
                <c:pt idx="214">
                  <c:v>500</c:v>
                </c:pt>
                <c:pt idx="215">
                  <c:v>500</c:v>
                </c:pt>
                <c:pt idx="216">
                  <c:v>500</c:v>
                </c:pt>
                <c:pt idx="217">
                  <c:v>500</c:v>
                </c:pt>
                <c:pt idx="218">
                  <c:v>500</c:v>
                </c:pt>
                <c:pt idx="219">
                  <c:v>500</c:v>
                </c:pt>
                <c:pt idx="220">
                  <c:v>500</c:v>
                </c:pt>
                <c:pt idx="221">
                  <c:v>500</c:v>
                </c:pt>
                <c:pt idx="222">
                  <c:v>500</c:v>
                </c:pt>
                <c:pt idx="223">
                  <c:v>500</c:v>
                </c:pt>
                <c:pt idx="224">
                  <c:v>500</c:v>
                </c:pt>
                <c:pt idx="225">
                  <c:v>500</c:v>
                </c:pt>
                <c:pt idx="226">
                  <c:v>500</c:v>
                </c:pt>
                <c:pt idx="227">
                  <c:v>500</c:v>
                </c:pt>
                <c:pt idx="228">
                  <c:v>500</c:v>
                </c:pt>
                <c:pt idx="229">
                  <c:v>500</c:v>
                </c:pt>
                <c:pt idx="230">
                  <c:v>500</c:v>
                </c:pt>
                <c:pt idx="231">
                  <c:v>500</c:v>
                </c:pt>
                <c:pt idx="232">
                  <c:v>500</c:v>
                </c:pt>
                <c:pt idx="233">
                  <c:v>500</c:v>
                </c:pt>
                <c:pt idx="234">
                  <c:v>500</c:v>
                </c:pt>
                <c:pt idx="235">
                  <c:v>500</c:v>
                </c:pt>
                <c:pt idx="236">
                  <c:v>500</c:v>
                </c:pt>
                <c:pt idx="237">
                  <c:v>500</c:v>
                </c:pt>
                <c:pt idx="238">
                  <c:v>500</c:v>
                </c:pt>
                <c:pt idx="239">
                  <c:v>500</c:v>
                </c:pt>
                <c:pt idx="240">
                  <c:v>500</c:v>
                </c:pt>
                <c:pt idx="241">
                  <c:v>500</c:v>
                </c:pt>
                <c:pt idx="242">
                  <c:v>500</c:v>
                </c:pt>
                <c:pt idx="243">
                  <c:v>500</c:v>
                </c:pt>
                <c:pt idx="244">
                  <c:v>500</c:v>
                </c:pt>
                <c:pt idx="245">
                  <c:v>500</c:v>
                </c:pt>
                <c:pt idx="246">
                  <c:v>500</c:v>
                </c:pt>
                <c:pt idx="247">
                  <c:v>500</c:v>
                </c:pt>
                <c:pt idx="248">
                  <c:v>500</c:v>
                </c:pt>
                <c:pt idx="249">
                  <c:v>500</c:v>
                </c:pt>
                <c:pt idx="250">
                  <c:v>500</c:v>
                </c:pt>
                <c:pt idx="251">
                  <c:v>500</c:v>
                </c:pt>
                <c:pt idx="252">
                  <c:v>500</c:v>
                </c:pt>
                <c:pt idx="253">
                  <c:v>500</c:v>
                </c:pt>
                <c:pt idx="254">
                  <c:v>500</c:v>
                </c:pt>
                <c:pt idx="255">
                  <c:v>500</c:v>
                </c:pt>
                <c:pt idx="256">
                  <c:v>500</c:v>
                </c:pt>
                <c:pt idx="257">
                  <c:v>500</c:v>
                </c:pt>
                <c:pt idx="258">
                  <c:v>500</c:v>
                </c:pt>
                <c:pt idx="259">
                  <c:v>500</c:v>
                </c:pt>
                <c:pt idx="260">
                  <c:v>500</c:v>
                </c:pt>
                <c:pt idx="261">
                  <c:v>500</c:v>
                </c:pt>
                <c:pt idx="262">
                  <c:v>500</c:v>
                </c:pt>
                <c:pt idx="263">
                  <c:v>500</c:v>
                </c:pt>
                <c:pt idx="264">
                  <c:v>500</c:v>
                </c:pt>
                <c:pt idx="265">
                  <c:v>500</c:v>
                </c:pt>
                <c:pt idx="266">
                  <c:v>500</c:v>
                </c:pt>
                <c:pt idx="267">
                  <c:v>500</c:v>
                </c:pt>
                <c:pt idx="268">
                  <c:v>500</c:v>
                </c:pt>
                <c:pt idx="269">
                  <c:v>500</c:v>
                </c:pt>
                <c:pt idx="270">
                  <c:v>500</c:v>
                </c:pt>
                <c:pt idx="271">
                  <c:v>500</c:v>
                </c:pt>
                <c:pt idx="272">
                  <c:v>500</c:v>
                </c:pt>
                <c:pt idx="273">
                  <c:v>500</c:v>
                </c:pt>
                <c:pt idx="274">
                  <c:v>500</c:v>
                </c:pt>
                <c:pt idx="275">
                  <c:v>500</c:v>
                </c:pt>
                <c:pt idx="276">
                  <c:v>500</c:v>
                </c:pt>
                <c:pt idx="277">
                  <c:v>500</c:v>
                </c:pt>
                <c:pt idx="278">
                  <c:v>500</c:v>
                </c:pt>
                <c:pt idx="279">
                  <c:v>500</c:v>
                </c:pt>
                <c:pt idx="280">
                  <c:v>45.308430000000001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47808"/>
        <c:axId val="212904192"/>
      </c:lineChart>
      <c:lineChart>
        <c:grouping val="standard"/>
        <c:varyColors val="0"/>
        <c:ser>
          <c:idx val="2"/>
          <c:order val="2"/>
          <c:tx>
            <c:strRef>
              <c:f>陆浑!$E$1</c:f>
              <c:strCache>
                <c:ptCount val="1"/>
                <c:pt idx="0">
                  <c:v>水位</c:v>
                </c:pt>
              </c:strCache>
            </c:strRef>
          </c:tx>
          <c:marker>
            <c:symbol val="none"/>
          </c:marker>
          <c:val>
            <c:numRef>
              <c:f>陆浑!$E$2:$E$746</c:f>
              <c:numCache>
                <c:formatCode>General</c:formatCode>
                <c:ptCount val="745"/>
                <c:pt idx="0">
                  <c:v>316.18189999999998</c:v>
                </c:pt>
                <c:pt idx="1">
                  <c:v>316.15390000000002</c:v>
                </c:pt>
                <c:pt idx="2">
                  <c:v>316.12580000000003</c:v>
                </c:pt>
                <c:pt idx="3">
                  <c:v>316.09780000000001</c:v>
                </c:pt>
                <c:pt idx="4">
                  <c:v>316.06979999999999</c:v>
                </c:pt>
                <c:pt idx="5">
                  <c:v>316.0421</c:v>
                </c:pt>
                <c:pt idx="6">
                  <c:v>316.01459999999997</c:v>
                </c:pt>
                <c:pt idx="7">
                  <c:v>315.98700000000002</c:v>
                </c:pt>
                <c:pt idx="8">
                  <c:v>315.96710000000002</c:v>
                </c:pt>
                <c:pt idx="9">
                  <c:v>315.96120000000002</c:v>
                </c:pt>
                <c:pt idx="10">
                  <c:v>316.10129999999998</c:v>
                </c:pt>
                <c:pt idx="11">
                  <c:v>316.54759999999999</c:v>
                </c:pt>
                <c:pt idx="12">
                  <c:v>317.19940000000003</c:v>
                </c:pt>
                <c:pt idx="13">
                  <c:v>317.92340000000002</c:v>
                </c:pt>
                <c:pt idx="14">
                  <c:v>318.62090000000001</c:v>
                </c:pt>
                <c:pt idx="15">
                  <c:v>319.24149999999997</c:v>
                </c:pt>
                <c:pt idx="16">
                  <c:v>319.74040000000002</c:v>
                </c:pt>
                <c:pt idx="17">
                  <c:v>320.0643</c:v>
                </c:pt>
                <c:pt idx="18">
                  <c:v>320.25490000000002</c:v>
                </c:pt>
                <c:pt idx="19">
                  <c:v>320.3766</c:v>
                </c:pt>
                <c:pt idx="20">
                  <c:v>320.44779999999997</c:v>
                </c:pt>
                <c:pt idx="21">
                  <c:v>320.48680000000002</c:v>
                </c:pt>
                <c:pt idx="22">
                  <c:v>320.50049999999999</c:v>
                </c:pt>
                <c:pt idx="23">
                  <c:v>320.49590000000001</c:v>
                </c:pt>
                <c:pt idx="24">
                  <c:v>320.48169999999999</c:v>
                </c:pt>
                <c:pt idx="25">
                  <c:v>320.46620000000001</c:v>
                </c:pt>
                <c:pt idx="26">
                  <c:v>320.45389999999998</c:v>
                </c:pt>
                <c:pt idx="27">
                  <c:v>320.44959999999998</c:v>
                </c:pt>
                <c:pt idx="28">
                  <c:v>320.44779999999997</c:v>
                </c:pt>
                <c:pt idx="29">
                  <c:v>320.48439999999999</c:v>
                </c:pt>
                <c:pt idx="30">
                  <c:v>320.5609</c:v>
                </c:pt>
                <c:pt idx="31">
                  <c:v>320.637</c:v>
                </c:pt>
                <c:pt idx="32">
                  <c:v>320.71289999999999</c:v>
                </c:pt>
                <c:pt idx="33">
                  <c:v>320.78899999999999</c:v>
                </c:pt>
                <c:pt idx="34">
                  <c:v>320.86450000000002</c:v>
                </c:pt>
                <c:pt idx="35">
                  <c:v>320.93880000000001</c:v>
                </c:pt>
                <c:pt idx="36">
                  <c:v>321.02069999999998</c:v>
                </c:pt>
                <c:pt idx="37">
                  <c:v>321.11900000000003</c:v>
                </c:pt>
                <c:pt idx="38">
                  <c:v>321.2296</c:v>
                </c:pt>
                <c:pt idx="39">
                  <c:v>321.34840000000003</c:v>
                </c:pt>
                <c:pt idx="40">
                  <c:v>321.47500000000002</c:v>
                </c:pt>
                <c:pt idx="41">
                  <c:v>321.60899999999998</c:v>
                </c:pt>
                <c:pt idx="42">
                  <c:v>321.74400000000003</c:v>
                </c:pt>
                <c:pt idx="43">
                  <c:v>321.87310000000002</c:v>
                </c:pt>
                <c:pt idx="44">
                  <c:v>321.99790000000002</c:v>
                </c:pt>
                <c:pt idx="45">
                  <c:v>322.11430000000001</c:v>
                </c:pt>
                <c:pt idx="46">
                  <c:v>322.23680000000002</c:v>
                </c:pt>
                <c:pt idx="47">
                  <c:v>322.37459999999999</c:v>
                </c:pt>
                <c:pt idx="48">
                  <c:v>322.52940000000001</c:v>
                </c:pt>
                <c:pt idx="49">
                  <c:v>322.70280000000002</c:v>
                </c:pt>
                <c:pt idx="50">
                  <c:v>322.88889999999998</c:v>
                </c:pt>
                <c:pt idx="51">
                  <c:v>322.99189999999999</c:v>
                </c:pt>
                <c:pt idx="52">
                  <c:v>323</c:v>
                </c:pt>
                <c:pt idx="53">
                  <c:v>323</c:v>
                </c:pt>
                <c:pt idx="54">
                  <c:v>323</c:v>
                </c:pt>
                <c:pt idx="55">
                  <c:v>323</c:v>
                </c:pt>
                <c:pt idx="56">
                  <c:v>323</c:v>
                </c:pt>
                <c:pt idx="57">
                  <c:v>323</c:v>
                </c:pt>
                <c:pt idx="58">
                  <c:v>323</c:v>
                </c:pt>
                <c:pt idx="59">
                  <c:v>323.00490000000002</c:v>
                </c:pt>
                <c:pt idx="60">
                  <c:v>323.0102</c:v>
                </c:pt>
                <c:pt idx="61">
                  <c:v>323.00619999999998</c:v>
                </c:pt>
                <c:pt idx="62">
                  <c:v>323.00099999999998</c:v>
                </c:pt>
                <c:pt idx="63">
                  <c:v>323</c:v>
                </c:pt>
                <c:pt idx="64">
                  <c:v>323</c:v>
                </c:pt>
                <c:pt idx="65">
                  <c:v>323</c:v>
                </c:pt>
                <c:pt idx="66">
                  <c:v>323</c:v>
                </c:pt>
                <c:pt idx="67">
                  <c:v>323</c:v>
                </c:pt>
                <c:pt idx="68">
                  <c:v>323</c:v>
                </c:pt>
                <c:pt idx="69">
                  <c:v>323</c:v>
                </c:pt>
                <c:pt idx="70">
                  <c:v>323</c:v>
                </c:pt>
                <c:pt idx="71">
                  <c:v>323</c:v>
                </c:pt>
                <c:pt idx="72">
                  <c:v>323</c:v>
                </c:pt>
                <c:pt idx="73">
                  <c:v>323</c:v>
                </c:pt>
                <c:pt idx="74">
                  <c:v>323</c:v>
                </c:pt>
                <c:pt idx="75">
                  <c:v>323</c:v>
                </c:pt>
                <c:pt idx="76">
                  <c:v>323</c:v>
                </c:pt>
                <c:pt idx="77">
                  <c:v>323</c:v>
                </c:pt>
                <c:pt idx="78">
                  <c:v>323</c:v>
                </c:pt>
                <c:pt idx="79">
                  <c:v>323</c:v>
                </c:pt>
                <c:pt idx="80">
                  <c:v>323</c:v>
                </c:pt>
                <c:pt idx="81">
                  <c:v>323</c:v>
                </c:pt>
                <c:pt idx="82">
                  <c:v>323</c:v>
                </c:pt>
                <c:pt idx="83">
                  <c:v>323</c:v>
                </c:pt>
                <c:pt idx="84">
                  <c:v>323</c:v>
                </c:pt>
                <c:pt idx="85">
                  <c:v>323</c:v>
                </c:pt>
                <c:pt idx="86">
                  <c:v>323</c:v>
                </c:pt>
                <c:pt idx="87">
                  <c:v>323</c:v>
                </c:pt>
                <c:pt idx="88">
                  <c:v>323</c:v>
                </c:pt>
                <c:pt idx="89">
                  <c:v>323</c:v>
                </c:pt>
                <c:pt idx="90">
                  <c:v>323</c:v>
                </c:pt>
                <c:pt idx="91">
                  <c:v>323</c:v>
                </c:pt>
                <c:pt idx="92">
                  <c:v>323</c:v>
                </c:pt>
                <c:pt idx="93">
                  <c:v>323</c:v>
                </c:pt>
                <c:pt idx="94">
                  <c:v>323</c:v>
                </c:pt>
                <c:pt idx="95">
                  <c:v>323</c:v>
                </c:pt>
                <c:pt idx="96">
                  <c:v>323</c:v>
                </c:pt>
                <c:pt idx="97">
                  <c:v>323</c:v>
                </c:pt>
                <c:pt idx="98">
                  <c:v>323</c:v>
                </c:pt>
                <c:pt idx="99">
                  <c:v>323</c:v>
                </c:pt>
                <c:pt idx="100">
                  <c:v>323</c:v>
                </c:pt>
                <c:pt idx="101">
                  <c:v>323</c:v>
                </c:pt>
                <c:pt idx="102">
                  <c:v>323</c:v>
                </c:pt>
                <c:pt idx="103">
                  <c:v>323</c:v>
                </c:pt>
                <c:pt idx="104">
                  <c:v>323</c:v>
                </c:pt>
                <c:pt idx="105">
                  <c:v>323</c:v>
                </c:pt>
                <c:pt idx="106">
                  <c:v>323</c:v>
                </c:pt>
                <c:pt idx="107">
                  <c:v>323</c:v>
                </c:pt>
                <c:pt idx="108">
                  <c:v>323</c:v>
                </c:pt>
                <c:pt idx="109">
                  <c:v>323</c:v>
                </c:pt>
                <c:pt idx="110">
                  <c:v>323</c:v>
                </c:pt>
                <c:pt idx="111">
                  <c:v>323</c:v>
                </c:pt>
                <c:pt idx="112">
                  <c:v>323</c:v>
                </c:pt>
                <c:pt idx="113">
                  <c:v>323</c:v>
                </c:pt>
                <c:pt idx="114">
                  <c:v>323</c:v>
                </c:pt>
                <c:pt idx="115">
                  <c:v>323</c:v>
                </c:pt>
                <c:pt idx="116">
                  <c:v>323</c:v>
                </c:pt>
                <c:pt idx="117">
                  <c:v>323</c:v>
                </c:pt>
                <c:pt idx="118">
                  <c:v>323</c:v>
                </c:pt>
                <c:pt idx="119">
                  <c:v>323</c:v>
                </c:pt>
                <c:pt idx="120">
                  <c:v>323</c:v>
                </c:pt>
                <c:pt idx="121">
                  <c:v>323</c:v>
                </c:pt>
                <c:pt idx="122">
                  <c:v>323</c:v>
                </c:pt>
                <c:pt idx="123">
                  <c:v>323</c:v>
                </c:pt>
                <c:pt idx="124">
                  <c:v>323</c:v>
                </c:pt>
                <c:pt idx="125">
                  <c:v>323</c:v>
                </c:pt>
                <c:pt idx="126">
                  <c:v>323</c:v>
                </c:pt>
                <c:pt idx="127">
                  <c:v>323</c:v>
                </c:pt>
                <c:pt idx="128">
                  <c:v>323</c:v>
                </c:pt>
                <c:pt idx="129">
                  <c:v>323</c:v>
                </c:pt>
                <c:pt idx="130">
                  <c:v>323</c:v>
                </c:pt>
                <c:pt idx="131">
                  <c:v>323</c:v>
                </c:pt>
                <c:pt idx="132">
                  <c:v>323</c:v>
                </c:pt>
                <c:pt idx="133">
                  <c:v>323</c:v>
                </c:pt>
                <c:pt idx="134">
                  <c:v>323</c:v>
                </c:pt>
                <c:pt idx="135">
                  <c:v>323</c:v>
                </c:pt>
                <c:pt idx="136">
                  <c:v>323</c:v>
                </c:pt>
                <c:pt idx="137">
                  <c:v>323</c:v>
                </c:pt>
                <c:pt idx="138">
                  <c:v>322.99880000000002</c:v>
                </c:pt>
                <c:pt idx="139">
                  <c:v>322.99020000000002</c:v>
                </c:pt>
                <c:pt idx="140">
                  <c:v>322.97000000000003</c:v>
                </c:pt>
                <c:pt idx="141">
                  <c:v>322.93860000000001</c:v>
                </c:pt>
                <c:pt idx="142">
                  <c:v>322.90120000000002</c:v>
                </c:pt>
                <c:pt idx="143">
                  <c:v>322.86329999999998</c:v>
                </c:pt>
                <c:pt idx="144">
                  <c:v>322.82530000000003</c:v>
                </c:pt>
                <c:pt idx="145">
                  <c:v>322.78730000000002</c:v>
                </c:pt>
                <c:pt idx="146">
                  <c:v>322.74919999999997</c:v>
                </c:pt>
                <c:pt idx="147">
                  <c:v>322.71089999999998</c:v>
                </c:pt>
                <c:pt idx="148">
                  <c:v>322.67259999999999</c:v>
                </c:pt>
                <c:pt idx="149">
                  <c:v>322.63420000000002</c:v>
                </c:pt>
                <c:pt idx="150">
                  <c:v>322.59570000000002</c:v>
                </c:pt>
                <c:pt idx="151">
                  <c:v>322.55720000000002</c:v>
                </c:pt>
                <c:pt idx="152">
                  <c:v>322.51859999999999</c:v>
                </c:pt>
                <c:pt idx="153">
                  <c:v>322.48</c:v>
                </c:pt>
                <c:pt idx="154">
                  <c:v>322.44130000000001</c:v>
                </c:pt>
                <c:pt idx="155">
                  <c:v>322.40249999999997</c:v>
                </c:pt>
                <c:pt idx="156">
                  <c:v>322.36369999999999</c:v>
                </c:pt>
                <c:pt idx="157">
                  <c:v>322.32490000000001</c:v>
                </c:pt>
                <c:pt idx="158">
                  <c:v>322.286</c:v>
                </c:pt>
                <c:pt idx="159">
                  <c:v>322.24709999999999</c:v>
                </c:pt>
                <c:pt idx="160">
                  <c:v>322.20819999999998</c:v>
                </c:pt>
                <c:pt idx="161">
                  <c:v>322.16919999999999</c:v>
                </c:pt>
                <c:pt idx="162">
                  <c:v>322.1302</c:v>
                </c:pt>
                <c:pt idx="163">
                  <c:v>322.09109999999998</c:v>
                </c:pt>
                <c:pt idx="164">
                  <c:v>322.05200000000002</c:v>
                </c:pt>
                <c:pt idx="165">
                  <c:v>322.0129</c:v>
                </c:pt>
                <c:pt idx="166">
                  <c:v>321.97250000000003</c:v>
                </c:pt>
                <c:pt idx="167">
                  <c:v>321.93150000000003</c:v>
                </c:pt>
                <c:pt idx="168">
                  <c:v>321.89049999999997</c:v>
                </c:pt>
                <c:pt idx="169">
                  <c:v>321.84949999999998</c:v>
                </c:pt>
                <c:pt idx="170">
                  <c:v>321.80840000000001</c:v>
                </c:pt>
                <c:pt idx="171">
                  <c:v>321.76729999999998</c:v>
                </c:pt>
                <c:pt idx="172">
                  <c:v>321.72620000000001</c:v>
                </c:pt>
                <c:pt idx="173">
                  <c:v>321.68509999999998</c:v>
                </c:pt>
                <c:pt idx="174">
                  <c:v>321.64389999999997</c:v>
                </c:pt>
                <c:pt idx="175">
                  <c:v>321.60270000000003</c:v>
                </c:pt>
                <c:pt idx="176">
                  <c:v>321.56150000000002</c:v>
                </c:pt>
                <c:pt idx="177">
                  <c:v>321.52030000000002</c:v>
                </c:pt>
                <c:pt idx="178">
                  <c:v>321.47910000000002</c:v>
                </c:pt>
                <c:pt idx="179">
                  <c:v>321.43779999999998</c:v>
                </c:pt>
                <c:pt idx="180">
                  <c:v>321.3965</c:v>
                </c:pt>
                <c:pt idx="181">
                  <c:v>321.35520000000002</c:v>
                </c:pt>
                <c:pt idx="182">
                  <c:v>321.31389999999999</c:v>
                </c:pt>
                <c:pt idx="183">
                  <c:v>321.27260000000001</c:v>
                </c:pt>
                <c:pt idx="184">
                  <c:v>321.23129999999998</c:v>
                </c:pt>
                <c:pt idx="185">
                  <c:v>321.18990000000002</c:v>
                </c:pt>
                <c:pt idx="186">
                  <c:v>321.14859999999999</c:v>
                </c:pt>
                <c:pt idx="187">
                  <c:v>321.10719999999998</c:v>
                </c:pt>
                <c:pt idx="188">
                  <c:v>321.06580000000002</c:v>
                </c:pt>
                <c:pt idx="189">
                  <c:v>321.02440000000001</c:v>
                </c:pt>
                <c:pt idx="190">
                  <c:v>320.983</c:v>
                </c:pt>
                <c:pt idx="191">
                  <c:v>320.94170000000003</c:v>
                </c:pt>
                <c:pt idx="192">
                  <c:v>320.90030000000002</c:v>
                </c:pt>
                <c:pt idx="193">
                  <c:v>320.85890000000001</c:v>
                </c:pt>
                <c:pt idx="194">
                  <c:v>320.8175</c:v>
                </c:pt>
                <c:pt idx="195">
                  <c:v>320.77620000000002</c:v>
                </c:pt>
                <c:pt idx="196">
                  <c:v>320.73480000000001</c:v>
                </c:pt>
                <c:pt idx="197">
                  <c:v>320.6934</c:v>
                </c:pt>
                <c:pt idx="198">
                  <c:v>320.65199999999999</c:v>
                </c:pt>
                <c:pt idx="199">
                  <c:v>320.61059999999998</c:v>
                </c:pt>
                <c:pt idx="200">
                  <c:v>320.56920000000002</c:v>
                </c:pt>
                <c:pt idx="201">
                  <c:v>320.52789999999999</c:v>
                </c:pt>
                <c:pt idx="202">
                  <c:v>320.48649999999998</c:v>
                </c:pt>
                <c:pt idx="203">
                  <c:v>320.44510000000002</c:v>
                </c:pt>
                <c:pt idx="204">
                  <c:v>320.40370000000001</c:v>
                </c:pt>
                <c:pt idx="205">
                  <c:v>320.3623</c:v>
                </c:pt>
                <c:pt idx="206">
                  <c:v>320.32100000000003</c:v>
                </c:pt>
                <c:pt idx="207">
                  <c:v>320.27960000000002</c:v>
                </c:pt>
                <c:pt idx="208">
                  <c:v>320.23820000000001</c:v>
                </c:pt>
                <c:pt idx="209">
                  <c:v>320.1968</c:v>
                </c:pt>
                <c:pt idx="210">
                  <c:v>320.15550000000002</c:v>
                </c:pt>
                <c:pt idx="211">
                  <c:v>320.11410000000001</c:v>
                </c:pt>
                <c:pt idx="212">
                  <c:v>320.0727</c:v>
                </c:pt>
                <c:pt idx="213">
                  <c:v>320.03129999999999</c:v>
                </c:pt>
                <c:pt idx="214">
                  <c:v>319.98899999999998</c:v>
                </c:pt>
                <c:pt idx="215">
                  <c:v>319.94409999999999</c:v>
                </c:pt>
                <c:pt idx="216">
                  <c:v>319.899</c:v>
                </c:pt>
                <c:pt idx="217">
                  <c:v>319.85410000000002</c:v>
                </c:pt>
                <c:pt idx="218">
                  <c:v>319.8091</c:v>
                </c:pt>
                <c:pt idx="219">
                  <c:v>319.76409999999998</c:v>
                </c:pt>
                <c:pt idx="220">
                  <c:v>319.71910000000003</c:v>
                </c:pt>
                <c:pt idx="221">
                  <c:v>319.67410000000001</c:v>
                </c:pt>
                <c:pt idx="222">
                  <c:v>319.62909999999999</c:v>
                </c:pt>
                <c:pt idx="223">
                  <c:v>319.584</c:v>
                </c:pt>
                <c:pt idx="224">
                  <c:v>319.53910000000002</c:v>
                </c:pt>
                <c:pt idx="225">
                  <c:v>319.49400000000003</c:v>
                </c:pt>
                <c:pt idx="226">
                  <c:v>319.44909999999999</c:v>
                </c:pt>
                <c:pt idx="227">
                  <c:v>319.40410000000003</c:v>
                </c:pt>
                <c:pt idx="228">
                  <c:v>319.35910000000001</c:v>
                </c:pt>
                <c:pt idx="229">
                  <c:v>319.3141</c:v>
                </c:pt>
                <c:pt idx="230">
                  <c:v>319.26909999999998</c:v>
                </c:pt>
                <c:pt idx="231">
                  <c:v>319.22410000000002</c:v>
                </c:pt>
                <c:pt idx="232">
                  <c:v>319.17910000000001</c:v>
                </c:pt>
                <c:pt idx="233">
                  <c:v>319.13409999999999</c:v>
                </c:pt>
                <c:pt idx="234">
                  <c:v>319.08909999999997</c:v>
                </c:pt>
                <c:pt idx="235">
                  <c:v>319.04410000000001</c:v>
                </c:pt>
                <c:pt idx="236">
                  <c:v>318.9991</c:v>
                </c:pt>
                <c:pt idx="237">
                  <c:v>318.95409999999998</c:v>
                </c:pt>
                <c:pt idx="238">
                  <c:v>318.90910000000002</c:v>
                </c:pt>
                <c:pt idx="239">
                  <c:v>318.86410000000001</c:v>
                </c:pt>
                <c:pt idx="240">
                  <c:v>318.81909999999999</c:v>
                </c:pt>
                <c:pt idx="241">
                  <c:v>318.77409999999998</c:v>
                </c:pt>
                <c:pt idx="242">
                  <c:v>318.72910000000002</c:v>
                </c:pt>
                <c:pt idx="243">
                  <c:v>318.6841</c:v>
                </c:pt>
                <c:pt idx="244">
                  <c:v>318.63909999999998</c:v>
                </c:pt>
                <c:pt idx="245">
                  <c:v>318.59410000000003</c:v>
                </c:pt>
                <c:pt idx="246">
                  <c:v>318.54910000000001</c:v>
                </c:pt>
                <c:pt idx="247">
                  <c:v>318.50409999999999</c:v>
                </c:pt>
                <c:pt idx="248">
                  <c:v>318.45909999999998</c:v>
                </c:pt>
                <c:pt idx="249">
                  <c:v>318.41410000000002</c:v>
                </c:pt>
                <c:pt idx="250">
                  <c:v>318.3691</c:v>
                </c:pt>
                <c:pt idx="251">
                  <c:v>318.32409999999999</c:v>
                </c:pt>
                <c:pt idx="252">
                  <c:v>318.27910000000003</c:v>
                </c:pt>
                <c:pt idx="253">
                  <c:v>318.23410000000001</c:v>
                </c:pt>
                <c:pt idx="254">
                  <c:v>318.1891</c:v>
                </c:pt>
                <c:pt idx="255">
                  <c:v>318.14409999999998</c:v>
                </c:pt>
                <c:pt idx="256">
                  <c:v>318.09910000000002</c:v>
                </c:pt>
                <c:pt idx="257">
                  <c:v>318.05410000000001</c:v>
                </c:pt>
                <c:pt idx="258">
                  <c:v>318.00909999999999</c:v>
                </c:pt>
                <c:pt idx="259">
                  <c:v>317.96269999999998</c:v>
                </c:pt>
                <c:pt idx="260">
                  <c:v>317.91590000000002</c:v>
                </c:pt>
                <c:pt idx="261">
                  <c:v>317.86919999999998</c:v>
                </c:pt>
                <c:pt idx="262">
                  <c:v>317.82240000000002</c:v>
                </c:pt>
                <c:pt idx="263">
                  <c:v>317.77569999999997</c:v>
                </c:pt>
                <c:pt idx="264">
                  <c:v>317.72890000000001</c:v>
                </c:pt>
                <c:pt idx="265">
                  <c:v>317.68220000000002</c:v>
                </c:pt>
                <c:pt idx="266">
                  <c:v>317.6354</c:v>
                </c:pt>
                <c:pt idx="267">
                  <c:v>317.58870000000002</c:v>
                </c:pt>
                <c:pt idx="268">
                  <c:v>317.5419</c:v>
                </c:pt>
                <c:pt idx="269">
                  <c:v>317.49509999999998</c:v>
                </c:pt>
                <c:pt idx="270">
                  <c:v>317.44839999999999</c:v>
                </c:pt>
                <c:pt idx="271">
                  <c:v>317.40159999999997</c:v>
                </c:pt>
                <c:pt idx="272">
                  <c:v>317.35489999999999</c:v>
                </c:pt>
                <c:pt idx="273">
                  <c:v>317.30810000000002</c:v>
                </c:pt>
                <c:pt idx="274">
                  <c:v>317.26139999999998</c:v>
                </c:pt>
                <c:pt idx="275">
                  <c:v>317.21460000000002</c:v>
                </c:pt>
                <c:pt idx="276">
                  <c:v>317.16789999999997</c:v>
                </c:pt>
                <c:pt idx="277">
                  <c:v>317.12110000000001</c:v>
                </c:pt>
                <c:pt idx="278">
                  <c:v>317.07440000000003</c:v>
                </c:pt>
                <c:pt idx="279">
                  <c:v>317.02760000000001</c:v>
                </c:pt>
                <c:pt idx="280">
                  <c:v>317.00209999999998</c:v>
                </c:pt>
                <c:pt idx="281">
                  <c:v>317</c:v>
                </c:pt>
                <c:pt idx="282">
                  <c:v>317</c:v>
                </c:pt>
                <c:pt idx="283">
                  <c:v>317</c:v>
                </c:pt>
                <c:pt idx="284">
                  <c:v>317</c:v>
                </c:pt>
                <c:pt idx="285">
                  <c:v>317</c:v>
                </c:pt>
                <c:pt idx="286">
                  <c:v>317</c:v>
                </c:pt>
                <c:pt idx="287">
                  <c:v>317</c:v>
                </c:pt>
                <c:pt idx="288">
                  <c:v>317</c:v>
                </c:pt>
                <c:pt idx="289">
                  <c:v>317</c:v>
                </c:pt>
                <c:pt idx="290">
                  <c:v>317</c:v>
                </c:pt>
                <c:pt idx="291">
                  <c:v>317</c:v>
                </c:pt>
                <c:pt idx="292">
                  <c:v>317</c:v>
                </c:pt>
                <c:pt idx="293">
                  <c:v>317</c:v>
                </c:pt>
                <c:pt idx="294">
                  <c:v>317</c:v>
                </c:pt>
                <c:pt idx="295">
                  <c:v>317</c:v>
                </c:pt>
                <c:pt idx="296">
                  <c:v>317</c:v>
                </c:pt>
                <c:pt idx="297">
                  <c:v>317</c:v>
                </c:pt>
                <c:pt idx="298">
                  <c:v>317</c:v>
                </c:pt>
                <c:pt idx="299">
                  <c:v>317</c:v>
                </c:pt>
                <c:pt idx="300">
                  <c:v>317</c:v>
                </c:pt>
                <c:pt idx="301">
                  <c:v>317</c:v>
                </c:pt>
                <c:pt idx="302">
                  <c:v>317</c:v>
                </c:pt>
                <c:pt idx="303">
                  <c:v>317</c:v>
                </c:pt>
                <c:pt idx="304">
                  <c:v>317</c:v>
                </c:pt>
                <c:pt idx="305">
                  <c:v>317</c:v>
                </c:pt>
                <c:pt idx="306">
                  <c:v>317</c:v>
                </c:pt>
                <c:pt idx="307">
                  <c:v>317</c:v>
                </c:pt>
                <c:pt idx="308">
                  <c:v>317</c:v>
                </c:pt>
                <c:pt idx="309">
                  <c:v>317</c:v>
                </c:pt>
                <c:pt idx="310">
                  <c:v>317</c:v>
                </c:pt>
                <c:pt idx="311">
                  <c:v>317</c:v>
                </c:pt>
                <c:pt idx="312">
                  <c:v>317</c:v>
                </c:pt>
                <c:pt idx="313">
                  <c:v>317</c:v>
                </c:pt>
                <c:pt idx="314">
                  <c:v>317</c:v>
                </c:pt>
                <c:pt idx="315">
                  <c:v>317</c:v>
                </c:pt>
                <c:pt idx="316">
                  <c:v>317</c:v>
                </c:pt>
                <c:pt idx="317">
                  <c:v>317</c:v>
                </c:pt>
                <c:pt idx="318">
                  <c:v>317</c:v>
                </c:pt>
                <c:pt idx="319">
                  <c:v>317</c:v>
                </c:pt>
                <c:pt idx="320">
                  <c:v>317</c:v>
                </c:pt>
                <c:pt idx="321">
                  <c:v>317</c:v>
                </c:pt>
                <c:pt idx="322">
                  <c:v>317</c:v>
                </c:pt>
                <c:pt idx="323">
                  <c:v>317</c:v>
                </c:pt>
                <c:pt idx="324">
                  <c:v>317</c:v>
                </c:pt>
                <c:pt idx="325">
                  <c:v>317</c:v>
                </c:pt>
                <c:pt idx="326">
                  <c:v>317</c:v>
                </c:pt>
                <c:pt idx="327">
                  <c:v>317</c:v>
                </c:pt>
                <c:pt idx="328">
                  <c:v>317</c:v>
                </c:pt>
                <c:pt idx="329">
                  <c:v>317</c:v>
                </c:pt>
                <c:pt idx="330">
                  <c:v>317</c:v>
                </c:pt>
                <c:pt idx="331">
                  <c:v>317</c:v>
                </c:pt>
                <c:pt idx="332">
                  <c:v>317</c:v>
                </c:pt>
                <c:pt idx="333">
                  <c:v>317</c:v>
                </c:pt>
                <c:pt idx="334">
                  <c:v>317</c:v>
                </c:pt>
                <c:pt idx="335">
                  <c:v>317</c:v>
                </c:pt>
                <c:pt idx="336">
                  <c:v>317</c:v>
                </c:pt>
                <c:pt idx="337">
                  <c:v>317</c:v>
                </c:pt>
                <c:pt idx="338">
                  <c:v>317</c:v>
                </c:pt>
                <c:pt idx="339">
                  <c:v>317</c:v>
                </c:pt>
                <c:pt idx="340">
                  <c:v>317</c:v>
                </c:pt>
                <c:pt idx="341">
                  <c:v>317</c:v>
                </c:pt>
                <c:pt idx="342">
                  <c:v>317</c:v>
                </c:pt>
                <c:pt idx="343">
                  <c:v>317</c:v>
                </c:pt>
                <c:pt idx="344">
                  <c:v>317</c:v>
                </c:pt>
                <c:pt idx="345">
                  <c:v>317</c:v>
                </c:pt>
                <c:pt idx="346">
                  <c:v>317</c:v>
                </c:pt>
                <c:pt idx="347">
                  <c:v>317</c:v>
                </c:pt>
                <c:pt idx="348">
                  <c:v>317</c:v>
                </c:pt>
                <c:pt idx="349">
                  <c:v>317</c:v>
                </c:pt>
                <c:pt idx="350">
                  <c:v>317</c:v>
                </c:pt>
                <c:pt idx="351">
                  <c:v>317</c:v>
                </c:pt>
                <c:pt idx="352">
                  <c:v>317</c:v>
                </c:pt>
                <c:pt idx="353">
                  <c:v>317</c:v>
                </c:pt>
                <c:pt idx="354">
                  <c:v>317</c:v>
                </c:pt>
                <c:pt idx="355">
                  <c:v>317</c:v>
                </c:pt>
                <c:pt idx="356">
                  <c:v>317</c:v>
                </c:pt>
                <c:pt idx="357">
                  <c:v>317</c:v>
                </c:pt>
                <c:pt idx="358">
                  <c:v>317</c:v>
                </c:pt>
                <c:pt idx="359">
                  <c:v>317</c:v>
                </c:pt>
                <c:pt idx="360">
                  <c:v>317</c:v>
                </c:pt>
                <c:pt idx="361">
                  <c:v>317</c:v>
                </c:pt>
                <c:pt idx="362">
                  <c:v>317</c:v>
                </c:pt>
                <c:pt idx="363">
                  <c:v>317</c:v>
                </c:pt>
                <c:pt idx="364">
                  <c:v>317</c:v>
                </c:pt>
                <c:pt idx="365">
                  <c:v>317</c:v>
                </c:pt>
                <c:pt idx="366">
                  <c:v>317</c:v>
                </c:pt>
                <c:pt idx="367">
                  <c:v>317</c:v>
                </c:pt>
                <c:pt idx="368">
                  <c:v>317</c:v>
                </c:pt>
                <c:pt idx="369">
                  <c:v>317</c:v>
                </c:pt>
                <c:pt idx="370">
                  <c:v>317</c:v>
                </c:pt>
                <c:pt idx="371">
                  <c:v>317</c:v>
                </c:pt>
                <c:pt idx="372">
                  <c:v>317</c:v>
                </c:pt>
                <c:pt idx="373">
                  <c:v>317</c:v>
                </c:pt>
                <c:pt idx="374">
                  <c:v>317</c:v>
                </c:pt>
                <c:pt idx="375">
                  <c:v>317</c:v>
                </c:pt>
                <c:pt idx="376">
                  <c:v>317</c:v>
                </c:pt>
                <c:pt idx="377">
                  <c:v>317</c:v>
                </c:pt>
                <c:pt idx="378">
                  <c:v>317</c:v>
                </c:pt>
                <c:pt idx="379">
                  <c:v>317</c:v>
                </c:pt>
                <c:pt idx="380">
                  <c:v>317</c:v>
                </c:pt>
                <c:pt idx="381">
                  <c:v>317</c:v>
                </c:pt>
                <c:pt idx="382">
                  <c:v>317</c:v>
                </c:pt>
                <c:pt idx="383">
                  <c:v>317</c:v>
                </c:pt>
                <c:pt idx="384">
                  <c:v>317</c:v>
                </c:pt>
                <c:pt idx="385">
                  <c:v>317</c:v>
                </c:pt>
                <c:pt idx="386">
                  <c:v>317</c:v>
                </c:pt>
                <c:pt idx="387">
                  <c:v>317</c:v>
                </c:pt>
                <c:pt idx="388">
                  <c:v>317</c:v>
                </c:pt>
                <c:pt idx="389">
                  <c:v>317</c:v>
                </c:pt>
                <c:pt idx="390">
                  <c:v>317</c:v>
                </c:pt>
                <c:pt idx="391">
                  <c:v>317</c:v>
                </c:pt>
                <c:pt idx="392">
                  <c:v>317</c:v>
                </c:pt>
                <c:pt idx="393">
                  <c:v>317</c:v>
                </c:pt>
                <c:pt idx="394">
                  <c:v>317</c:v>
                </c:pt>
                <c:pt idx="395">
                  <c:v>317</c:v>
                </c:pt>
                <c:pt idx="396">
                  <c:v>317</c:v>
                </c:pt>
                <c:pt idx="397">
                  <c:v>317</c:v>
                </c:pt>
                <c:pt idx="398">
                  <c:v>317</c:v>
                </c:pt>
                <c:pt idx="399">
                  <c:v>317</c:v>
                </c:pt>
                <c:pt idx="400">
                  <c:v>317</c:v>
                </c:pt>
                <c:pt idx="401">
                  <c:v>317</c:v>
                </c:pt>
                <c:pt idx="402">
                  <c:v>317</c:v>
                </c:pt>
                <c:pt idx="403">
                  <c:v>317</c:v>
                </c:pt>
                <c:pt idx="404">
                  <c:v>317</c:v>
                </c:pt>
                <c:pt idx="405">
                  <c:v>317</c:v>
                </c:pt>
                <c:pt idx="406">
                  <c:v>317</c:v>
                </c:pt>
                <c:pt idx="407">
                  <c:v>317</c:v>
                </c:pt>
                <c:pt idx="408">
                  <c:v>317</c:v>
                </c:pt>
                <c:pt idx="409">
                  <c:v>317</c:v>
                </c:pt>
                <c:pt idx="410">
                  <c:v>317</c:v>
                </c:pt>
                <c:pt idx="411">
                  <c:v>317</c:v>
                </c:pt>
                <c:pt idx="412">
                  <c:v>317</c:v>
                </c:pt>
                <c:pt idx="413">
                  <c:v>317</c:v>
                </c:pt>
                <c:pt idx="414">
                  <c:v>317</c:v>
                </c:pt>
                <c:pt idx="415">
                  <c:v>317</c:v>
                </c:pt>
                <c:pt idx="416">
                  <c:v>317</c:v>
                </c:pt>
                <c:pt idx="417">
                  <c:v>317</c:v>
                </c:pt>
                <c:pt idx="418">
                  <c:v>317</c:v>
                </c:pt>
                <c:pt idx="419">
                  <c:v>317</c:v>
                </c:pt>
                <c:pt idx="420">
                  <c:v>317</c:v>
                </c:pt>
                <c:pt idx="421">
                  <c:v>317</c:v>
                </c:pt>
                <c:pt idx="422">
                  <c:v>317</c:v>
                </c:pt>
                <c:pt idx="423">
                  <c:v>317</c:v>
                </c:pt>
                <c:pt idx="424">
                  <c:v>317</c:v>
                </c:pt>
                <c:pt idx="425">
                  <c:v>317</c:v>
                </c:pt>
                <c:pt idx="426">
                  <c:v>317</c:v>
                </c:pt>
                <c:pt idx="427">
                  <c:v>317</c:v>
                </c:pt>
                <c:pt idx="428">
                  <c:v>317</c:v>
                </c:pt>
                <c:pt idx="429">
                  <c:v>317</c:v>
                </c:pt>
                <c:pt idx="430">
                  <c:v>317</c:v>
                </c:pt>
                <c:pt idx="431">
                  <c:v>317</c:v>
                </c:pt>
                <c:pt idx="432">
                  <c:v>317</c:v>
                </c:pt>
                <c:pt idx="433">
                  <c:v>317</c:v>
                </c:pt>
                <c:pt idx="434">
                  <c:v>317</c:v>
                </c:pt>
                <c:pt idx="435">
                  <c:v>317</c:v>
                </c:pt>
                <c:pt idx="436">
                  <c:v>317</c:v>
                </c:pt>
                <c:pt idx="437">
                  <c:v>317</c:v>
                </c:pt>
                <c:pt idx="438">
                  <c:v>317</c:v>
                </c:pt>
                <c:pt idx="439">
                  <c:v>317</c:v>
                </c:pt>
                <c:pt idx="440">
                  <c:v>317</c:v>
                </c:pt>
                <c:pt idx="441">
                  <c:v>317</c:v>
                </c:pt>
                <c:pt idx="442">
                  <c:v>317</c:v>
                </c:pt>
                <c:pt idx="443">
                  <c:v>317</c:v>
                </c:pt>
                <c:pt idx="444">
                  <c:v>317</c:v>
                </c:pt>
                <c:pt idx="445">
                  <c:v>317</c:v>
                </c:pt>
                <c:pt idx="446">
                  <c:v>317</c:v>
                </c:pt>
                <c:pt idx="447">
                  <c:v>317</c:v>
                </c:pt>
                <c:pt idx="448">
                  <c:v>317</c:v>
                </c:pt>
                <c:pt idx="449">
                  <c:v>317</c:v>
                </c:pt>
                <c:pt idx="450">
                  <c:v>317</c:v>
                </c:pt>
                <c:pt idx="451">
                  <c:v>317</c:v>
                </c:pt>
                <c:pt idx="452">
                  <c:v>317</c:v>
                </c:pt>
                <c:pt idx="453">
                  <c:v>317</c:v>
                </c:pt>
                <c:pt idx="454">
                  <c:v>317</c:v>
                </c:pt>
                <c:pt idx="455">
                  <c:v>317</c:v>
                </c:pt>
                <c:pt idx="456">
                  <c:v>317</c:v>
                </c:pt>
                <c:pt idx="457">
                  <c:v>317</c:v>
                </c:pt>
                <c:pt idx="458">
                  <c:v>317</c:v>
                </c:pt>
                <c:pt idx="459">
                  <c:v>317</c:v>
                </c:pt>
                <c:pt idx="460">
                  <c:v>317</c:v>
                </c:pt>
                <c:pt idx="461">
                  <c:v>317</c:v>
                </c:pt>
                <c:pt idx="462">
                  <c:v>317</c:v>
                </c:pt>
                <c:pt idx="463">
                  <c:v>317</c:v>
                </c:pt>
                <c:pt idx="464">
                  <c:v>317</c:v>
                </c:pt>
                <c:pt idx="465">
                  <c:v>317</c:v>
                </c:pt>
                <c:pt idx="466">
                  <c:v>317</c:v>
                </c:pt>
                <c:pt idx="467">
                  <c:v>317</c:v>
                </c:pt>
                <c:pt idx="468">
                  <c:v>317</c:v>
                </c:pt>
                <c:pt idx="469">
                  <c:v>317</c:v>
                </c:pt>
                <c:pt idx="470">
                  <c:v>317</c:v>
                </c:pt>
                <c:pt idx="471">
                  <c:v>317</c:v>
                </c:pt>
                <c:pt idx="472">
                  <c:v>317</c:v>
                </c:pt>
                <c:pt idx="473">
                  <c:v>317</c:v>
                </c:pt>
                <c:pt idx="474">
                  <c:v>317</c:v>
                </c:pt>
                <c:pt idx="475">
                  <c:v>317</c:v>
                </c:pt>
                <c:pt idx="476">
                  <c:v>317</c:v>
                </c:pt>
                <c:pt idx="477">
                  <c:v>317</c:v>
                </c:pt>
                <c:pt idx="478">
                  <c:v>317</c:v>
                </c:pt>
                <c:pt idx="479">
                  <c:v>317</c:v>
                </c:pt>
                <c:pt idx="480">
                  <c:v>317</c:v>
                </c:pt>
                <c:pt idx="481">
                  <c:v>317</c:v>
                </c:pt>
                <c:pt idx="482">
                  <c:v>317</c:v>
                </c:pt>
                <c:pt idx="483">
                  <c:v>317</c:v>
                </c:pt>
                <c:pt idx="484">
                  <c:v>317</c:v>
                </c:pt>
                <c:pt idx="485">
                  <c:v>317</c:v>
                </c:pt>
                <c:pt idx="486">
                  <c:v>317</c:v>
                </c:pt>
                <c:pt idx="487">
                  <c:v>317</c:v>
                </c:pt>
                <c:pt idx="488">
                  <c:v>317</c:v>
                </c:pt>
                <c:pt idx="489">
                  <c:v>317</c:v>
                </c:pt>
                <c:pt idx="490">
                  <c:v>317</c:v>
                </c:pt>
                <c:pt idx="491">
                  <c:v>317</c:v>
                </c:pt>
                <c:pt idx="492">
                  <c:v>317</c:v>
                </c:pt>
                <c:pt idx="493">
                  <c:v>317</c:v>
                </c:pt>
                <c:pt idx="494">
                  <c:v>317</c:v>
                </c:pt>
                <c:pt idx="495">
                  <c:v>317</c:v>
                </c:pt>
                <c:pt idx="496">
                  <c:v>317</c:v>
                </c:pt>
                <c:pt idx="497">
                  <c:v>317</c:v>
                </c:pt>
                <c:pt idx="498">
                  <c:v>317</c:v>
                </c:pt>
                <c:pt idx="499">
                  <c:v>317</c:v>
                </c:pt>
                <c:pt idx="500">
                  <c:v>317</c:v>
                </c:pt>
                <c:pt idx="501">
                  <c:v>317</c:v>
                </c:pt>
                <c:pt idx="502">
                  <c:v>317</c:v>
                </c:pt>
                <c:pt idx="503">
                  <c:v>317</c:v>
                </c:pt>
                <c:pt idx="504">
                  <c:v>317</c:v>
                </c:pt>
                <c:pt idx="505">
                  <c:v>317</c:v>
                </c:pt>
                <c:pt idx="506">
                  <c:v>317</c:v>
                </c:pt>
                <c:pt idx="507">
                  <c:v>317</c:v>
                </c:pt>
                <c:pt idx="508">
                  <c:v>317</c:v>
                </c:pt>
                <c:pt idx="509">
                  <c:v>317</c:v>
                </c:pt>
                <c:pt idx="510">
                  <c:v>317</c:v>
                </c:pt>
                <c:pt idx="511">
                  <c:v>317</c:v>
                </c:pt>
                <c:pt idx="512">
                  <c:v>317</c:v>
                </c:pt>
                <c:pt idx="513">
                  <c:v>317</c:v>
                </c:pt>
                <c:pt idx="514">
                  <c:v>317</c:v>
                </c:pt>
                <c:pt idx="515">
                  <c:v>317</c:v>
                </c:pt>
                <c:pt idx="516">
                  <c:v>317</c:v>
                </c:pt>
                <c:pt idx="517">
                  <c:v>317</c:v>
                </c:pt>
                <c:pt idx="518">
                  <c:v>317</c:v>
                </c:pt>
                <c:pt idx="519">
                  <c:v>317</c:v>
                </c:pt>
                <c:pt idx="520">
                  <c:v>317</c:v>
                </c:pt>
                <c:pt idx="521">
                  <c:v>317</c:v>
                </c:pt>
                <c:pt idx="522">
                  <c:v>317</c:v>
                </c:pt>
                <c:pt idx="523">
                  <c:v>317</c:v>
                </c:pt>
                <c:pt idx="524">
                  <c:v>317</c:v>
                </c:pt>
                <c:pt idx="525">
                  <c:v>317</c:v>
                </c:pt>
                <c:pt idx="526">
                  <c:v>317</c:v>
                </c:pt>
                <c:pt idx="527">
                  <c:v>317</c:v>
                </c:pt>
                <c:pt idx="528">
                  <c:v>317</c:v>
                </c:pt>
                <c:pt idx="529">
                  <c:v>317</c:v>
                </c:pt>
                <c:pt idx="530">
                  <c:v>317</c:v>
                </c:pt>
                <c:pt idx="531">
                  <c:v>317</c:v>
                </c:pt>
                <c:pt idx="532">
                  <c:v>317</c:v>
                </c:pt>
                <c:pt idx="533">
                  <c:v>317</c:v>
                </c:pt>
                <c:pt idx="534">
                  <c:v>317</c:v>
                </c:pt>
                <c:pt idx="535">
                  <c:v>317</c:v>
                </c:pt>
                <c:pt idx="536">
                  <c:v>317</c:v>
                </c:pt>
                <c:pt idx="537">
                  <c:v>317</c:v>
                </c:pt>
                <c:pt idx="538">
                  <c:v>317</c:v>
                </c:pt>
                <c:pt idx="539">
                  <c:v>317</c:v>
                </c:pt>
                <c:pt idx="540">
                  <c:v>317</c:v>
                </c:pt>
                <c:pt idx="541">
                  <c:v>317</c:v>
                </c:pt>
                <c:pt idx="542">
                  <c:v>317</c:v>
                </c:pt>
                <c:pt idx="543">
                  <c:v>317</c:v>
                </c:pt>
                <c:pt idx="544">
                  <c:v>317</c:v>
                </c:pt>
                <c:pt idx="545">
                  <c:v>317</c:v>
                </c:pt>
                <c:pt idx="546">
                  <c:v>317</c:v>
                </c:pt>
                <c:pt idx="547">
                  <c:v>317</c:v>
                </c:pt>
                <c:pt idx="548">
                  <c:v>317</c:v>
                </c:pt>
                <c:pt idx="549">
                  <c:v>317</c:v>
                </c:pt>
                <c:pt idx="550">
                  <c:v>317</c:v>
                </c:pt>
                <c:pt idx="551">
                  <c:v>317</c:v>
                </c:pt>
                <c:pt idx="552">
                  <c:v>317</c:v>
                </c:pt>
                <c:pt idx="553">
                  <c:v>317</c:v>
                </c:pt>
                <c:pt idx="554">
                  <c:v>317</c:v>
                </c:pt>
                <c:pt idx="555">
                  <c:v>317</c:v>
                </c:pt>
                <c:pt idx="556">
                  <c:v>317</c:v>
                </c:pt>
                <c:pt idx="557">
                  <c:v>317</c:v>
                </c:pt>
                <c:pt idx="558">
                  <c:v>317</c:v>
                </c:pt>
                <c:pt idx="559">
                  <c:v>317</c:v>
                </c:pt>
                <c:pt idx="560">
                  <c:v>317</c:v>
                </c:pt>
                <c:pt idx="561">
                  <c:v>317</c:v>
                </c:pt>
                <c:pt idx="562">
                  <c:v>317</c:v>
                </c:pt>
                <c:pt idx="563">
                  <c:v>317</c:v>
                </c:pt>
                <c:pt idx="564">
                  <c:v>317</c:v>
                </c:pt>
                <c:pt idx="565">
                  <c:v>317</c:v>
                </c:pt>
                <c:pt idx="566">
                  <c:v>317</c:v>
                </c:pt>
                <c:pt idx="567">
                  <c:v>317</c:v>
                </c:pt>
                <c:pt idx="568">
                  <c:v>317</c:v>
                </c:pt>
                <c:pt idx="569">
                  <c:v>317</c:v>
                </c:pt>
                <c:pt idx="570">
                  <c:v>317</c:v>
                </c:pt>
                <c:pt idx="571">
                  <c:v>317</c:v>
                </c:pt>
                <c:pt idx="572">
                  <c:v>317</c:v>
                </c:pt>
                <c:pt idx="573">
                  <c:v>317</c:v>
                </c:pt>
                <c:pt idx="574">
                  <c:v>317</c:v>
                </c:pt>
                <c:pt idx="575">
                  <c:v>317</c:v>
                </c:pt>
                <c:pt idx="576">
                  <c:v>317</c:v>
                </c:pt>
                <c:pt idx="577">
                  <c:v>317</c:v>
                </c:pt>
                <c:pt idx="578">
                  <c:v>317</c:v>
                </c:pt>
                <c:pt idx="579">
                  <c:v>317</c:v>
                </c:pt>
                <c:pt idx="580">
                  <c:v>317</c:v>
                </c:pt>
                <c:pt idx="581">
                  <c:v>317</c:v>
                </c:pt>
                <c:pt idx="582">
                  <c:v>317</c:v>
                </c:pt>
                <c:pt idx="583">
                  <c:v>317</c:v>
                </c:pt>
                <c:pt idx="584">
                  <c:v>317</c:v>
                </c:pt>
                <c:pt idx="585">
                  <c:v>317</c:v>
                </c:pt>
                <c:pt idx="586">
                  <c:v>317</c:v>
                </c:pt>
                <c:pt idx="587">
                  <c:v>317</c:v>
                </c:pt>
                <c:pt idx="588">
                  <c:v>317</c:v>
                </c:pt>
                <c:pt idx="589">
                  <c:v>317</c:v>
                </c:pt>
                <c:pt idx="590">
                  <c:v>317</c:v>
                </c:pt>
                <c:pt idx="591">
                  <c:v>317</c:v>
                </c:pt>
                <c:pt idx="592">
                  <c:v>317</c:v>
                </c:pt>
                <c:pt idx="593">
                  <c:v>317</c:v>
                </c:pt>
                <c:pt idx="594">
                  <c:v>317</c:v>
                </c:pt>
                <c:pt idx="595">
                  <c:v>317</c:v>
                </c:pt>
                <c:pt idx="596">
                  <c:v>317</c:v>
                </c:pt>
                <c:pt idx="597">
                  <c:v>317</c:v>
                </c:pt>
                <c:pt idx="598">
                  <c:v>317</c:v>
                </c:pt>
                <c:pt idx="599">
                  <c:v>317</c:v>
                </c:pt>
                <c:pt idx="600">
                  <c:v>317</c:v>
                </c:pt>
                <c:pt idx="601">
                  <c:v>317</c:v>
                </c:pt>
                <c:pt idx="602">
                  <c:v>317</c:v>
                </c:pt>
                <c:pt idx="603">
                  <c:v>317</c:v>
                </c:pt>
                <c:pt idx="604">
                  <c:v>317</c:v>
                </c:pt>
                <c:pt idx="605">
                  <c:v>317</c:v>
                </c:pt>
                <c:pt idx="606">
                  <c:v>317</c:v>
                </c:pt>
                <c:pt idx="607">
                  <c:v>317</c:v>
                </c:pt>
                <c:pt idx="608">
                  <c:v>317</c:v>
                </c:pt>
                <c:pt idx="609">
                  <c:v>317</c:v>
                </c:pt>
                <c:pt idx="610">
                  <c:v>317</c:v>
                </c:pt>
                <c:pt idx="611">
                  <c:v>317</c:v>
                </c:pt>
                <c:pt idx="612">
                  <c:v>317</c:v>
                </c:pt>
                <c:pt idx="613">
                  <c:v>317</c:v>
                </c:pt>
                <c:pt idx="614">
                  <c:v>317</c:v>
                </c:pt>
                <c:pt idx="615">
                  <c:v>317</c:v>
                </c:pt>
                <c:pt idx="616">
                  <c:v>317</c:v>
                </c:pt>
                <c:pt idx="617">
                  <c:v>317</c:v>
                </c:pt>
                <c:pt idx="618">
                  <c:v>317</c:v>
                </c:pt>
                <c:pt idx="619">
                  <c:v>317</c:v>
                </c:pt>
                <c:pt idx="620">
                  <c:v>317</c:v>
                </c:pt>
                <c:pt idx="621">
                  <c:v>317</c:v>
                </c:pt>
                <c:pt idx="622">
                  <c:v>317</c:v>
                </c:pt>
                <c:pt idx="623">
                  <c:v>317</c:v>
                </c:pt>
                <c:pt idx="624">
                  <c:v>317</c:v>
                </c:pt>
                <c:pt idx="625">
                  <c:v>317</c:v>
                </c:pt>
                <c:pt idx="626">
                  <c:v>317</c:v>
                </c:pt>
                <c:pt idx="627">
                  <c:v>317</c:v>
                </c:pt>
                <c:pt idx="628">
                  <c:v>317</c:v>
                </c:pt>
                <c:pt idx="629">
                  <c:v>317</c:v>
                </c:pt>
                <c:pt idx="630">
                  <c:v>317</c:v>
                </c:pt>
                <c:pt idx="631">
                  <c:v>317</c:v>
                </c:pt>
                <c:pt idx="632">
                  <c:v>317</c:v>
                </c:pt>
                <c:pt idx="633">
                  <c:v>317</c:v>
                </c:pt>
                <c:pt idx="634">
                  <c:v>317</c:v>
                </c:pt>
                <c:pt idx="635">
                  <c:v>317</c:v>
                </c:pt>
                <c:pt idx="636">
                  <c:v>317</c:v>
                </c:pt>
                <c:pt idx="637">
                  <c:v>317</c:v>
                </c:pt>
                <c:pt idx="638">
                  <c:v>317</c:v>
                </c:pt>
                <c:pt idx="639">
                  <c:v>317</c:v>
                </c:pt>
                <c:pt idx="640">
                  <c:v>317</c:v>
                </c:pt>
                <c:pt idx="641">
                  <c:v>317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827072"/>
        <c:axId val="212904768"/>
      </c:lineChart>
      <c:catAx>
        <c:axId val="213047808"/>
        <c:scaling>
          <c:orientation val="minMax"/>
        </c:scaling>
        <c:delete val="0"/>
        <c:axPos val="b"/>
        <c:majorTickMark val="out"/>
        <c:minorTickMark val="none"/>
        <c:tickLblPos val="nextTo"/>
        <c:crossAx val="212904192"/>
        <c:crosses val="autoZero"/>
        <c:auto val="1"/>
        <c:lblAlgn val="ctr"/>
        <c:lblOffset val="100"/>
        <c:noMultiLvlLbl val="0"/>
      </c:catAx>
      <c:valAx>
        <c:axId val="212904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3047808"/>
        <c:crosses val="autoZero"/>
        <c:crossBetween val="between"/>
      </c:valAx>
      <c:valAx>
        <c:axId val="2129047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13827072"/>
        <c:crosses val="max"/>
        <c:crossBetween val="between"/>
      </c:valAx>
      <c:catAx>
        <c:axId val="213827072"/>
        <c:scaling>
          <c:orientation val="minMax"/>
        </c:scaling>
        <c:delete val="1"/>
        <c:axPos val="b"/>
        <c:majorTickMark val="out"/>
        <c:minorTickMark val="none"/>
        <c:tickLblPos val="nextTo"/>
        <c:crossAx val="212904768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61111111111111116"/>
          <c:y val="0.15220180810731995"/>
          <c:w val="0.1388888888888889"/>
          <c:h val="0.2511515748031495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15507436570428"/>
          <c:y val="5.1400554097404488E-2"/>
          <c:w val="0.80266207349081353"/>
          <c:h val="0.81870771361913097"/>
        </c:manualLayout>
      </c:layout>
      <c:lineChart>
        <c:grouping val="standard"/>
        <c:varyColors val="0"/>
        <c:ser>
          <c:idx val="0"/>
          <c:order val="0"/>
          <c:tx>
            <c:strRef>
              <c:f>故县!$C$1</c:f>
              <c:strCache>
                <c:ptCount val="1"/>
                <c:pt idx="0">
                  <c:v>入库</c:v>
                </c:pt>
              </c:strCache>
            </c:strRef>
          </c:tx>
          <c:marker>
            <c:symbol val="none"/>
          </c:marker>
          <c:val>
            <c:numRef>
              <c:f>故县!$C$2:$C$746</c:f>
              <c:numCache>
                <c:formatCode>General</c:formatCode>
                <c:ptCount val="7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0.5</c:v>
                </c:pt>
                <c:pt idx="15">
                  <c:v>1</c:v>
                </c:pt>
                <c:pt idx="16">
                  <c:v>1.5</c:v>
                </c:pt>
                <c:pt idx="17">
                  <c:v>2</c:v>
                </c:pt>
                <c:pt idx="18">
                  <c:v>5.5</c:v>
                </c:pt>
                <c:pt idx="19">
                  <c:v>9</c:v>
                </c:pt>
                <c:pt idx="20">
                  <c:v>14.5</c:v>
                </c:pt>
                <c:pt idx="21">
                  <c:v>20</c:v>
                </c:pt>
                <c:pt idx="22">
                  <c:v>25.5</c:v>
                </c:pt>
                <c:pt idx="23">
                  <c:v>31</c:v>
                </c:pt>
                <c:pt idx="24">
                  <c:v>35.5</c:v>
                </c:pt>
                <c:pt idx="25">
                  <c:v>40</c:v>
                </c:pt>
                <c:pt idx="26">
                  <c:v>44.5</c:v>
                </c:pt>
                <c:pt idx="27">
                  <c:v>49</c:v>
                </c:pt>
                <c:pt idx="28">
                  <c:v>52</c:v>
                </c:pt>
                <c:pt idx="29">
                  <c:v>55</c:v>
                </c:pt>
                <c:pt idx="30">
                  <c:v>58</c:v>
                </c:pt>
                <c:pt idx="31">
                  <c:v>61</c:v>
                </c:pt>
                <c:pt idx="32">
                  <c:v>62.5</c:v>
                </c:pt>
                <c:pt idx="33">
                  <c:v>64</c:v>
                </c:pt>
                <c:pt idx="34">
                  <c:v>65</c:v>
                </c:pt>
                <c:pt idx="35">
                  <c:v>66</c:v>
                </c:pt>
                <c:pt idx="36">
                  <c:v>66.5</c:v>
                </c:pt>
                <c:pt idx="37">
                  <c:v>67</c:v>
                </c:pt>
                <c:pt idx="38">
                  <c:v>67.5</c:v>
                </c:pt>
                <c:pt idx="39">
                  <c:v>68</c:v>
                </c:pt>
                <c:pt idx="40">
                  <c:v>68</c:v>
                </c:pt>
                <c:pt idx="41">
                  <c:v>68</c:v>
                </c:pt>
                <c:pt idx="42">
                  <c:v>69</c:v>
                </c:pt>
                <c:pt idx="43">
                  <c:v>70</c:v>
                </c:pt>
                <c:pt idx="44">
                  <c:v>71.5</c:v>
                </c:pt>
                <c:pt idx="45">
                  <c:v>73</c:v>
                </c:pt>
                <c:pt idx="46">
                  <c:v>75.5</c:v>
                </c:pt>
                <c:pt idx="47">
                  <c:v>78</c:v>
                </c:pt>
                <c:pt idx="48">
                  <c:v>82</c:v>
                </c:pt>
                <c:pt idx="49">
                  <c:v>86</c:v>
                </c:pt>
                <c:pt idx="50">
                  <c:v>93.5</c:v>
                </c:pt>
                <c:pt idx="51">
                  <c:v>101</c:v>
                </c:pt>
                <c:pt idx="52">
                  <c:v>116</c:v>
                </c:pt>
                <c:pt idx="53">
                  <c:v>131</c:v>
                </c:pt>
                <c:pt idx="54">
                  <c:v>168</c:v>
                </c:pt>
                <c:pt idx="55">
                  <c:v>205</c:v>
                </c:pt>
                <c:pt idx="56">
                  <c:v>254.5</c:v>
                </c:pt>
                <c:pt idx="57">
                  <c:v>304</c:v>
                </c:pt>
                <c:pt idx="58">
                  <c:v>358</c:v>
                </c:pt>
                <c:pt idx="59">
                  <c:v>412</c:v>
                </c:pt>
                <c:pt idx="60">
                  <c:v>467</c:v>
                </c:pt>
                <c:pt idx="61">
                  <c:v>522</c:v>
                </c:pt>
                <c:pt idx="62">
                  <c:v>575</c:v>
                </c:pt>
                <c:pt idx="63">
                  <c:v>628</c:v>
                </c:pt>
                <c:pt idx="64">
                  <c:v>677</c:v>
                </c:pt>
                <c:pt idx="65">
                  <c:v>726</c:v>
                </c:pt>
                <c:pt idx="66">
                  <c:v>765</c:v>
                </c:pt>
                <c:pt idx="67">
                  <c:v>804</c:v>
                </c:pt>
                <c:pt idx="68">
                  <c:v>831.5</c:v>
                </c:pt>
                <c:pt idx="69">
                  <c:v>859</c:v>
                </c:pt>
                <c:pt idx="70">
                  <c:v>874</c:v>
                </c:pt>
                <c:pt idx="71">
                  <c:v>889</c:v>
                </c:pt>
                <c:pt idx="72">
                  <c:v>893.5</c:v>
                </c:pt>
                <c:pt idx="73">
                  <c:v>898</c:v>
                </c:pt>
                <c:pt idx="74">
                  <c:v>890.5</c:v>
                </c:pt>
                <c:pt idx="75">
                  <c:v>883</c:v>
                </c:pt>
                <c:pt idx="76">
                  <c:v>866</c:v>
                </c:pt>
                <c:pt idx="77">
                  <c:v>849</c:v>
                </c:pt>
                <c:pt idx="78">
                  <c:v>825</c:v>
                </c:pt>
                <c:pt idx="79">
                  <c:v>801</c:v>
                </c:pt>
                <c:pt idx="80">
                  <c:v>776</c:v>
                </c:pt>
                <c:pt idx="81">
                  <c:v>751</c:v>
                </c:pt>
                <c:pt idx="82">
                  <c:v>744.5</c:v>
                </c:pt>
                <c:pt idx="83">
                  <c:v>738</c:v>
                </c:pt>
                <c:pt idx="84">
                  <c:v>783</c:v>
                </c:pt>
                <c:pt idx="85">
                  <c:v>828</c:v>
                </c:pt>
                <c:pt idx="86">
                  <c:v>880</c:v>
                </c:pt>
                <c:pt idx="87">
                  <c:v>932</c:v>
                </c:pt>
                <c:pt idx="88">
                  <c:v>943.5</c:v>
                </c:pt>
                <c:pt idx="89">
                  <c:v>955</c:v>
                </c:pt>
                <c:pt idx="90">
                  <c:v>936</c:v>
                </c:pt>
                <c:pt idx="91">
                  <c:v>917</c:v>
                </c:pt>
                <c:pt idx="92">
                  <c:v>884.5</c:v>
                </c:pt>
                <c:pt idx="93">
                  <c:v>852</c:v>
                </c:pt>
                <c:pt idx="94">
                  <c:v>813.5</c:v>
                </c:pt>
                <c:pt idx="95">
                  <c:v>775</c:v>
                </c:pt>
                <c:pt idx="96">
                  <c:v>734.5</c:v>
                </c:pt>
                <c:pt idx="97">
                  <c:v>694</c:v>
                </c:pt>
                <c:pt idx="98">
                  <c:v>654</c:v>
                </c:pt>
                <c:pt idx="99">
                  <c:v>614</c:v>
                </c:pt>
                <c:pt idx="100">
                  <c:v>579</c:v>
                </c:pt>
                <c:pt idx="101">
                  <c:v>544</c:v>
                </c:pt>
                <c:pt idx="102">
                  <c:v>516.5</c:v>
                </c:pt>
                <c:pt idx="103">
                  <c:v>489</c:v>
                </c:pt>
                <c:pt idx="104">
                  <c:v>480.5</c:v>
                </c:pt>
                <c:pt idx="105">
                  <c:v>472</c:v>
                </c:pt>
                <c:pt idx="106">
                  <c:v>483.5</c:v>
                </c:pt>
                <c:pt idx="107">
                  <c:v>495</c:v>
                </c:pt>
                <c:pt idx="108">
                  <c:v>502</c:v>
                </c:pt>
                <c:pt idx="109">
                  <c:v>509</c:v>
                </c:pt>
                <c:pt idx="110">
                  <c:v>509</c:v>
                </c:pt>
                <c:pt idx="111">
                  <c:v>509</c:v>
                </c:pt>
                <c:pt idx="112">
                  <c:v>503.5</c:v>
                </c:pt>
                <c:pt idx="113">
                  <c:v>498</c:v>
                </c:pt>
                <c:pt idx="114">
                  <c:v>484</c:v>
                </c:pt>
                <c:pt idx="115">
                  <c:v>470</c:v>
                </c:pt>
                <c:pt idx="116">
                  <c:v>450.5</c:v>
                </c:pt>
                <c:pt idx="117">
                  <c:v>431</c:v>
                </c:pt>
                <c:pt idx="118">
                  <c:v>409.5</c:v>
                </c:pt>
                <c:pt idx="119">
                  <c:v>388</c:v>
                </c:pt>
                <c:pt idx="120">
                  <c:v>366</c:v>
                </c:pt>
                <c:pt idx="121">
                  <c:v>344</c:v>
                </c:pt>
                <c:pt idx="122">
                  <c:v>324.5</c:v>
                </c:pt>
                <c:pt idx="123">
                  <c:v>305</c:v>
                </c:pt>
                <c:pt idx="124">
                  <c:v>287</c:v>
                </c:pt>
                <c:pt idx="125">
                  <c:v>269</c:v>
                </c:pt>
                <c:pt idx="126">
                  <c:v>253.5</c:v>
                </c:pt>
                <c:pt idx="127">
                  <c:v>238</c:v>
                </c:pt>
                <c:pt idx="128">
                  <c:v>223.5</c:v>
                </c:pt>
                <c:pt idx="129">
                  <c:v>209</c:v>
                </c:pt>
                <c:pt idx="130">
                  <c:v>196</c:v>
                </c:pt>
                <c:pt idx="131">
                  <c:v>183</c:v>
                </c:pt>
                <c:pt idx="132">
                  <c:v>171.5</c:v>
                </c:pt>
                <c:pt idx="133">
                  <c:v>160</c:v>
                </c:pt>
                <c:pt idx="134">
                  <c:v>150</c:v>
                </c:pt>
                <c:pt idx="135">
                  <c:v>140</c:v>
                </c:pt>
                <c:pt idx="136">
                  <c:v>131</c:v>
                </c:pt>
                <c:pt idx="137">
                  <c:v>122</c:v>
                </c:pt>
                <c:pt idx="138">
                  <c:v>114.5</c:v>
                </c:pt>
                <c:pt idx="139">
                  <c:v>107</c:v>
                </c:pt>
                <c:pt idx="140">
                  <c:v>100.5</c:v>
                </c:pt>
                <c:pt idx="141">
                  <c:v>94</c:v>
                </c:pt>
                <c:pt idx="142">
                  <c:v>88</c:v>
                </c:pt>
                <c:pt idx="143">
                  <c:v>82</c:v>
                </c:pt>
                <c:pt idx="144">
                  <c:v>77</c:v>
                </c:pt>
                <c:pt idx="145">
                  <c:v>72</c:v>
                </c:pt>
                <c:pt idx="146">
                  <c:v>68</c:v>
                </c:pt>
                <c:pt idx="147">
                  <c:v>64</c:v>
                </c:pt>
                <c:pt idx="148">
                  <c:v>60</c:v>
                </c:pt>
                <c:pt idx="149">
                  <c:v>56</c:v>
                </c:pt>
                <c:pt idx="150">
                  <c:v>52.5</c:v>
                </c:pt>
                <c:pt idx="151">
                  <c:v>49</c:v>
                </c:pt>
                <c:pt idx="152">
                  <c:v>46.5</c:v>
                </c:pt>
                <c:pt idx="153">
                  <c:v>44</c:v>
                </c:pt>
                <c:pt idx="154">
                  <c:v>41</c:v>
                </c:pt>
                <c:pt idx="155">
                  <c:v>38</c:v>
                </c:pt>
                <c:pt idx="156">
                  <c:v>35.5</c:v>
                </c:pt>
                <c:pt idx="157">
                  <c:v>33</c:v>
                </c:pt>
                <c:pt idx="158">
                  <c:v>31</c:v>
                </c:pt>
                <c:pt idx="159">
                  <c:v>29</c:v>
                </c:pt>
                <c:pt idx="160">
                  <c:v>27.5</c:v>
                </c:pt>
                <c:pt idx="161">
                  <c:v>26</c:v>
                </c:pt>
                <c:pt idx="162">
                  <c:v>24</c:v>
                </c:pt>
                <c:pt idx="163">
                  <c:v>22</c:v>
                </c:pt>
                <c:pt idx="164">
                  <c:v>21</c:v>
                </c:pt>
                <c:pt idx="165">
                  <c:v>20</c:v>
                </c:pt>
                <c:pt idx="166">
                  <c:v>18.5</c:v>
                </c:pt>
                <c:pt idx="167">
                  <c:v>17</c:v>
                </c:pt>
                <c:pt idx="168">
                  <c:v>16</c:v>
                </c:pt>
                <c:pt idx="169">
                  <c:v>15</c:v>
                </c:pt>
                <c:pt idx="170">
                  <c:v>14</c:v>
                </c:pt>
                <c:pt idx="171">
                  <c:v>13</c:v>
                </c:pt>
                <c:pt idx="172">
                  <c:v>12</c:v>
                </c:pt>
                <c:pt idx="173">
                  <c:v>11</c:v>
                </c:pt>
                <c:pt idx="174">
                  <c:v>10.5</c:v>
                </c:pt>
                <c:pt idx="175">
                  <c:v>10</c:v>
                </c:pt>
                <c:pt idx="176">
                  <c:v>9</c:v>
                </c:pt>
                <c:pt idx="177">
                  <c:v>8</c:v>
                </c:pt>
                <c:pt idx="178">
                  <c:v>7.5</c:v>
                </c:pt>
                <c:pt idx="179">
                  <c:v>7</c:v>
                </c:pt>
                <c:pt idx="180">
                  <c:v>6.5</c:v>
                </c:pt>
                <c:pt idx="181">
                  <c:v>6</c:v>
                </c:pt>
                <c:pt idx="182">
                  <c:v>5</c:v>
                </c:pt>
                <c:pt idx="183">
                  <c:v>4</c:v>
                </c:pt>
                <c:pt idx="184">
                  <c:v>3.5</c:v>
                </c:pt>
                <c:pt idx="185">
                  <c:v>3</c:v>
                </c:pt>
                <c:pt idx="186">
                  <c:v>2.5</c:v>
                </c:pt>
                <c:pt idx="187">
                  <c:v>2</c:v>
                </c:pt>
                <c:pt idx="188">
                  <c:v>1.5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0.5</c:v>
                </c:pt>
                <c:pt idx="195" formatCode="0.00E+00">
                  <c:v>9.0799999999999993E-9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故县!$D$1</c:f>
              <c:strCache>
                <c:ptCount val="1"/>
                <c:pt idx="0">
                  <c:v>出库</c:v>
                </c:pt>
              </c:strCache>
            </c:strRef>
          </c:tx>
          <c:marker>
            <c:symbol val="none"/>
          </c:marker>
          <c:val>
            <c:numRef>
              <c:f>故县!$D$2:$D$746</c:f>
              <c:numCache>
                <c:formatCode>General</c:formatCode>
                <c:ptCount val="745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114.5</c:v>
                </c:pt>
                <c:pt idx="139">
                  <c:v>107</c:v>
                </c:pt>
                <c:pt idx="140">
                  <c:v>100.5</c:v>
                </c:pt>
                <c:pt idx="141">
                  <c:v>94</c:v>
                </c:pt>
                <c:pt idx="142">
                  <c:v>150</c:v>
                </c:pt>
                <c:pt idx="143">
                  <c:v>150</c:v>
                </c:pt>
                <c:pt idx="144">
                  <c:v>150</c:v>
                </c:pt>
                <c:pt idx="145">
                  <c:v>150</c:v>
                </c:pt>
                <c:pt idx="146">
                  <c:v>150</c:v>
                </c:pt>
                <c:pt idx="147">
                  <c:v>150</c:v>
                </c:pt>
                <c:pt idx="148">
                  <c:v>150</c:v>
                </c:pt>
                <c:pt idx="149">
                  <c:v>150</c:v>
                </c:pt>
                <c:pt idx="150">
                  <c:v>150</c:v>
                </c:pt>
                <c:pt idx="151">
                  <c:v>150</c:v>
                </c:pt>
                <c:pt idx="152">
                  <c:v>150</c:v>
                </c:pt>
                <c:pt idx="153">
                  <c:v>150</c:v>
                </c:pt>
                <c:pt idx="154">
                  <c:v>150</c:v>
                </c:pt>
                <c:pt idx="155">
                  <c:v>150</c:v>
                </c:pt>
                <c:pt idx="156">
                  <c:v>150</c:v>
                </c:pt>
                <c:pt idx="157">
                  <c:v>150</c:v>
                </c:pt>
                <c:pt idx="158">
                  <c:v>150</c:v>
                </c:pt>
                <c:pt idx="159">
                  <c:v>150</c:v>
                </c:pt>
                <c:pt idx="160">
                  <c:v>150</c:v>
                </c:pt>
                <c:pt idx="161">
                  <c:v>150</c:v>
                </c:pt>
                <c:pt idx="162">
                  <c:v>150</c:v>
                </c:pt>
                <c:pt idx="163">
                  <c:v>150</c:v>
                </c:pt>
                <c:pt idx="164">
                  <c:v>150</c:v>
                </c:pt>
                <c:pt idx="165">
                  <c:v>150</c:v>
                </c:pt>
                <c:pt idx="166">
                  <c:v>150</c:v>
                </c:pt>
                <c:pt idx="167">
                  <c:v>150</c:v>
                </c:pt>
                <c:pt idx="168">
                  <c:v>150</c:v>
                </c:pt>
                <c:pt idx="169">
                  <c:v>150</c:v>
                </c:pt>
                <c:pt idx="170">
                  <c:v>150</c:v>
                </c:pt>
                <c:pt idx="171">
                  <c:v>150</c:v>
                </c:pt>
                <c:pt idx="172">
                  <c:v>150</c:v>
                </c:pt>
                <c:pt idx="173">
                  <c:v>150</c:v>
                </c:pt>
                <c:pt idx="174">
                  <c:v>150</c:v>
                </c:pt>
                <c:pt idx="175">
                  <c:v>150</c:v>
                </c:pt>
                <c:pt idx="176">
                  <c:v>150</c:v>
                </c:pt>
                <c:pt idx="177">
                  <c:v>150</c:v>
                </c:pt>
                <c:pt idx="178">
                  <c:v>150</c:v>
                </c:pt>
                <c:pt idx="179">
                  <c:v>150</c:v>
                </c:pt>
                <c:pt idx="180">
                  <c:v>150</c:v>
                </c:pt>
                <c:pt idx="181">
                  <c:v>150</c:v>
                </c:pt>
                <c:pt idx="182">
                  <c:v>150</c:v>
                </c:pt>
                <c:pt idx="183">
                  <c:v>150</c:v>
                </c:pt>
                <c:pt idx="184">
                  <c:v>150</c:v>
                </c:pt>
                <c:pt idx="185">
                  <c:v>150</c:v>
                </c:pt>
                <c:pt idx="186">
                  <c:v>150</c:v>
                </c:pt>
                <c:pt idx="187">
                  <c:v>150</c:v>
                </c:pt>
                <c:pt idx="188">
                  <c:v>150</c:v>
                </c:pt>
                <c:pt idx="189">
                  <c:v>150</c:v>
                </c:pt>
                <c:pt idx="190">
                  <c:v>150</c:v>
                </c:pt>
                <c:pt idx="191">
                  <c:v>150</c:v>
                </c:pt>
                <c:pt idx="192">
                  <c:v>150</c:v>
                </c:pt>
                <c:pt idx="193">
                  <c:v>150</c:v>
                </c:pt>
                <c:pt idx="194">
                  <c:v>150</c:v>
                </c:pt>
                <c:pt idx="195">
                  <c:v>150</c:v>
                </c:pt>
                <c:pt idx="196">
                  <c:v>150</c:v>
                </c:pt>
                <c:pt idx="197">
                  <c:v>150</c:v>
                </c:pt>
                <c:pt idx="198">
                  <c:v>150</c:v>
                </c:pt>
                <c:pt idx="199">
                  <c:v>150</c:v>
                </c:pt>
                <c:pt idx="200">
                  <c:v>150</c:v>
                </c:pt>
                <c:pt idx="201">
                  <c:v>150</c:v>
                </c:pt>
                <c:pt idx="202">
                  <c:v>150</c:v>
                </c:pt>
                <c:pt idx="203">
                  <c:v>150</c:v>
                </c:pt>
                <c:pt idx="204">
                  <c:v>150</c:v>
                </c:pt>
                <c:pt idx="205">
                  <c:v>150</c:v>
                </c:pt>
                <c:pt idx="206">
                  <c:v>150</c:v>
                </c:pt>
                <c:pt idx="207">
                  <c:v>150</c:v>
                </c:pt>
                <c:pt idx="208">
                  <c:v>150</c:v>
                </c:pt>
                <c:pt idx="209">
                  <c:v>150</c:v>
                </c:pt>
                <c:pt idx="210">
                  <c:v>150</c:v>
                </c:pt>
                <c:pt idx="211">
                  <c:v>150</c:v>
                </c:pt>
                <c:pt idx="212">
                  <c:v>150</c:v>
                </c:pt>
                <c:pt idx="213">
                  <c:v>150</c:v>
                </c:pt>
                <c:pt idx="214">
                  <c:v>150</c:v>
                </c:pt>
                <c:pt idx="215">
                  <c:v>150</c:v>
                </c:pt>
                <c:pt idx="216">
                  <c:v>150</c:v>
                </c:pt>
                <c:pt idx="217">
                  <c:v>150</c:v>
                </c:pt>
                <c:pt idx="218">
                  <c:v>150</c:v>
                </c:pt>
                <c:pt idx="219">
                  <c:v>150</c:v>
                </c:pt>
                <c:pt idx="220">
                  <c:v>150</c:v>
                </c:pt>
                <c:pt idx="221">
                  <c:v>150</c:v>
                </c:pt>
                <c:pt idx="222">
                  <c:v>150</c:v>
                </c:pt>
                <c:pt idx="223">
                  <c:v>150</c:v>
                </c:pt>
                <c:pt idx="224">
                  <c:v>150</c:v>
                </c:pt>
                <c:pt idx="225">
                  <c:v>150</c:v>
                </c:pt>
                <c:pt idx="226">
                  <c:v>150</c:v>
                </c:pt>
                <c:pt idx="227">
                  <c:v>150</c:v>
                </c:pt>
                <c:pt idx="228">
                  <c:v>150</c:v>
                </c:pt>
                <c:pt idx="229">
                  <c:v>150</c:v>
                </c:pt>
                <c:pt idx="230">
                  <c:v>150</c:v>
                </c:pt>
                <c:pt idx="231">
                  <c:v>150</c:v>
                </c:pt>
                <c:pt idx="232">
                  <c:v>150</c:v>
                </c:pt>
                <c:pt idx="233">
                  <c:v>150</c:v>
                </c:pt>
                <c:pt idx="234">
                  <c:v>150</c:v>
                </c:pt>
                <c:pt idx="235">
                  <c:v>150</c:v>
                </c:pt>
                <c:pt idx="236">
                  <c:v>150</c:v>
                </c:pt>
                <c:pt idx="237">
                  <c:v>150</c:v>
                </c:pt>
                <c:pt idx="238">
                  <c:v>150</c:v>
                </c:pt>
                <c:pt idx="239">
                  <c:v>150</c:v>
                </c:pt>
                <c:pt idx="240">
                  <c:v>150</c:v>
                </c:pt>
                <c:pt idx="241">
                  <c:v>150</c:v>
                </c:pt>
                <c:pt idx="242">
                  <c:v>150</c:v>
                </c:pt>
                <c:pt idx="243">
                  <c:v>150</c:v>
                </c:pt>
                <c:pt idx="244">
                  <c:v>150</c:v>
                </c:pt>
                <c:pt idx="245">
                  <c:v>150</c:v>
                </c:pt>
                <c:pt idx="246">
                  <c:v>150</c:v>
                </c:pt>
                <c:pt idx="247">
                  <c:v>150</c:v>
                </c:pt>
                <c:pt idx="248">
                  <c:v>150</c:v>
                </c:pt>
                <c:pt idx="249">
                  <c:v>150</c:v>
                </c:pt>
                <c:pt idx="250">
                  <c:v>150</c:v>
                </c:pt>
                <c:pt idx="251">
                  <c:v>150</c:v>
                </c:pt>
                <c:pt idx="252">
                  <c:v>150</c:v>
                </c:pt>
                <c:pt idx="253">
                  <c:v>150</c:v>
                </c:pt>
                <c:pt idx="254">
                  <c:v>150</c:v>
                </c:pt>
                <c:pt idx="255">
                  <c:v>150</c:v>
                </c:pt>
                <c:pt idx="256">
                  <c:v>150</c:v>
                </c:pt>
                <c:pt idx="257">
                  <c:v>150</c:v>
                </c:pt>
                <c:pt idx="258">
                  <c:v>150</c:v>
                </c:pt>
                <c:pt idx="259">
                  <c:v>150</c:v>
                </c:pt>
                <c:pt idx="260">
                  <c:v>150</c:v>
                </c:pt>
                <c:pt idx="261">
                  <c:v>150</c:v>
                </c:pt>
                <c:pt idx="262">
                  <c:v>150</c:v>
                </c:pt>
                <c:pt idx="263">
                  <c:v>150</c:v>
                </c:pt>
                <c:pt idx="264">
                  <c:v>150</c:v>
                </c:pt>
                <c:pt idx="265">
                  <c:v>150</c:v>
                </c:pt>
                <c:pt idx="266">
                  <c:v>150</c:v>
                </c:pt>
                <c:pt idx="267">
                  <c:v>150</c:v>
                </c:pt>
                <c:pt idx="268">
                  <c:v>150</c:v>
                </c:pt>
                <c:pt idx="269">
                  <c:v>150</c:v>
                </c:pt>
                <c:pt idx="270">
                  <c:v>150</c:v>
                </c:pt>
                <c:pt idx="271">
                  <c:v>150</c:v>
                </c:pt>
                <c:pt idx="272">
                  <c:v>150</c:v>
                </c:pt>
                <c:pt idx="273">
                  <c:v>150</c:v>
                </c:pt>
                <c:pt idx="274">
                  <c:v>150</c:v>
                </c:pt>
                <c:pt idx="275">
                  <c:v>150</c:v>
                </c:pt>
                <c:pt idx="276">
                  <c:v>150</c:v>
                </c:pt>
                <c:pt idx="277">
                  <c:v>150</c:v>
                </c:pt>
                <c:pt idx="278">
                  <c:v>150</c:v>
                </c:pt>
                <c:pt idx="279">
                  <c:v>150</c:v>
                </c:pt>
                <c:pt idx="280">
                  <c:v>150</c:v>
                </c:pt>
                <c:pt idx="281">
                  <c:v>150</c:v>
                </c:pt>
                <c:pt idx="282">
                  <c:v>150</c:v>
                </c:pt>
                <c:pt idx="283">
                  <c:v>150</c:v>
                </c:pt>
                <c:pt idx="284">
                  <c:v>150</c:v>
                </c:pt>
                <c:pt idx="285">
                  <c:v>150</c:v>
                </c:pt>
                <c:pt idx="286">
                  <c:v>150</c:v>
                </c:pt>
                <c:pt idx="287">
                  <c:v>150</c:v>
                </c:pt>
                <c:pt idx="288">
                  <c:v>150</c:v>
                </c:pt>
                <c:pt idx="289">
                  <c:v>150</c:v>
                </c:pt>
                <c:pt idx="290">
                  <c:v>150</c:v>
                </c:pt>
                <c:pt idx="291">
                  <c:v>150</c:v>
                </c:pt>
                <c:pt idx="292">
                  <c:v>150</c:v>
                </c:pt>
                <c:pt idx="293">
                  <c:v>150</c:v>
                </c:pt>
                <c:pt idx="294">
                  <c:v>150</c:v>
                </c:pt>
                <c:pt idx="295">
                  <c:v>150</c:v>
                </c:pt>
                <c:pt idx="296">
                  <c:v>150</c:v>
                </c:pt>
                <c:pt idx="297">
                  <c:v>150</c:v>
                </c:pt>
                <c:pt idx="298">
                  <c:v>150</c:v>
                </c:pt>
                <c:pt idx="299">
                  <c:v>150</c:v>
                </c:pt>
                <c:pt idx="300">
                  <c:v>150</c:v>
                </c:pt>
                <c:pt idx="301">
                  <c:v>150</c:v>
                </c:pt>
                <c:pt idx="302">
                  <c:v>150</c:v>
                </c:pt>
                <c:pt idx="303">
                  <c:v>150</c:v>
                </c:pt>
                <c:pt idx="304">
                  <c:v>150</c:v>
                </c:pt>
                <c:pt idx="305">
                  <c:v>150</c:v>
                </c:pt>
                <c:pt idx="306">
                  <c:v>150</c:v>
                </c:pt>
                <c:pt idx="307">
                  <c:v>150</c:v>
                </c:pt>
                <c:pt idx="308">
                  <c:v>150</c:v>
                </c:pt>
                <c:pt idx="309">
                  <c:v>150</c:v>
                </c:pt>
                <c:pt idx="310">
                  <c:v>150</c:v>
                </c:pt>
                <c:pt idx="311">
                  <c:v>150</c:v>
                </c:pt>
                <c:pt idx="312">
                  <c:v>150</c:v>
                </c:pt>
                <c:pt idx="313">
                  <c:v>150</c:v>
                </c:pt>
                <c:pt idx="314">
                  <c:v>150</c:v>
                </c:pt>
                <c:pt idx="315">
                  <c:v>150</c:v>
                </c:pt>
                <c:pt idx="316">
                  <c:v>150</c:v>
                </c:pt>
                <c:pt idx="317">
                  <c:v>150</c:v>
                </c:pt>
                <c:pt idx="318">
                  <c:v>150</c:v>
                </c:pt>
                <c:pt idx="319">
                  <c:v>150</c:v>
                </c:pt>
                <c:pt idx="320">
                  <c:v>150</c:v>
                </c:pt>
                <c:pt idx="321">
                  <c:v>150</c:v>
                </c:pt>
                <c:pt idx="322">
                  <c:v>150</c:v>
                </c:pt>
                <c:pt idx="323">
                  <c:v>150</c:v>
                </c:pt>
                <c:pt idx="324">
                  <c:v>150</c:v>
                </c:pt>
                <c:pt idx="325">
                  <c:v>150</c:v>
                </c:pt>
                <c:pt idx="326">
                  <c:v>150</c:v>
                </c:pt>
                <c:pt idx="327">
                  <c:v>150</c:v>
                </c:pt>
                <c:pt idx="328">
                  <c:v>150</c:v>
                </c:pt>
                <c:pt idx="329">
                  <c:v>150</c:v>
                </c:pt>
                <c:pt idx="330">
                  <c:v>150</c:v>
                </c:pt>
                <c:pt idx="331">
                  <c:v>150</c:v>
                </c:pt>
                <c:pt idx="332">
                  <c:v>150</c:v>
                </c:pt>
                <c:pt idx="333">
                  <c:v>150</c:v>
                </c:pt>
                <c:pt idx="334">
                  <c:v>150</c:v>
                </c:pt>
                <c:pt idx="335">
                  <c:v>150</c:v>
                </c:pt>
                <c:pt idx="336">
                  <c:v>150</c:v>
                </c:pt>
                <c:pt idx="337">
                  <c:v>150</c:v>
                </c:pt>
                <c:pt idx="338">
                  <c:v>150</c:v>
                </c:pt>
                <c:pt idx="339">
                  <c:v>150</c:v>
                </c:pt>
                <c:pt idx="340">
                  <c:v>150</c:v>
                </c:pt>
                <c:pt idx="341">
                  <c:v>150</c:v>
                </c:pt>
                <c:pt idx="342">
                  <c:v>150</c:v>
                </c:pt>
                <c:pt idx="343">
                  <c:v>150</c:v>
                </c:pt>
                <c:pt idx="344">
                  <c:v>150</c:v>
                </c:pt>
                <c:pt idx="345">
                  <c:v>150</c:v>
                </c:pt>
                <c:pt idx="346">
                  <c:v>150</c:v>
                </c:pt>
                <c:pt idx="347">
                  <c:v>150</c:v>
                </c:pt>
                <c:pt idx="348">
                  <c:v>150</c:v>
                </c:pt>
                <c:pt idx="349">
                  <c:v>150</c:v>
                </c:pt>
                <c:pt idx="350">
                  <c:v>150</c:v>
                </c:pt>
                <c:pt idx="351">
                  <c:v>150</c:v>
                </c:pt>
                <c:pt idx="352">
                  <c:v>150</c:v>
                </c:pt>
                <c:pt idx="353">
                  <c:v>150</c:v>
                </c:pt>
                <c:pt idx="354">
                  <c:v>150</c:v>
                </c:pt>
                <c:pt idx="355">
                  <c:v>150</c:v>
                </c:pt>
                <c:pt idx="356">
                  <c:v>150</c:v>
                </c:pt>
                <c:pt idx="357">
                  <c:v>150</c:v>
                </c:pt>
                <c:pt idx="358">
                  <c:v>150</c:v>
                </c:pt>
                <c:pt idx="359">
                  <c:v>150</c:v>
                </c:pt>
                <c:pt idx="360">
                  <c:v>150</c:v>
                </c:pt>
                <c:pt idx="361">
                  <c:v>150</c:v>
                </c:pt>
                <c:pt idx="362">
                  <c:v>150</c:v>
                </c:pt>
                <c:pt idx="363">
                  <c:v>150</c:v>
                </c:pt>
                <c:pt idx="364">
                  <c:v>150</c:v>
                </c:pt>
                <c:pt idx="365">
                  <c:v>61.176220000000001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825024"/>
        <c:axId val="212907072"/>
      </c:lineChart>
      <c:lineChart>
        <c:grouping val="standard"/>
        <c:varyColors val="0"/>
        <c:ser>
          <c:idx val="2"/>
          <c:order val="2"/>
          <c:tx>
            <c:strRef>
              <c:f>故县!$E$1</c:f>
              <c:strCache>
                <c:ptCount val="1"/>
                <c:pt idx="0">
                  <c:v>水位</c:v>
                </c:pt>
              </c:strCache>
            </c:strRef>
          </c:tx>
          <c:marker>
            <c:symbol val="none"/>
          </c:marker>
          <c:val>
            <c:numRef>
              <c:f>故县!$E$2:$E$746</c:f>
              <c:numCache>
                <c:formatCode>General</c:formatCode>
                <c:ptCount val="745"/>
                <c:pt idx="0">
                  <c:v>524.12030000000004</c:v>
                </c:pt>
                <c:pt idx="1">
                  <c:v>524.05070000000001</c:v>
                </c:pt>
                <c:pt idx="2">
                  <c:v>523.98099999999999</c:v>
                </c:pt>
                <c:pt idx="3">
                  <c:v>523.91129999999998</c:v>
                </c:pt>
                <c:pt idx="4">
                  <c:v>523.84159999999997</c:v>
                </c:pt>
                <c:pt idx="5">
                  <c:v>523.77200000000005</c:v>
                </c:pt>
                <c:pt idx="6">
                  <c:v>523.70230000000004</c:v>
                </c:pt>
                <c:pt idx="7">
                  <c:v>523.63260000000002</c:v>
                </c:pt>
                <c:pt idx="8">
                  <c:v>523.56290000000001</c:v>
                </c:pt>
                <c:pt idx="9">
                  <c:v>523.4932</c:v>
                </c:pt>
                <c:pt idx="10">
                  <c:v>523.42359999999996</c:v>
                </c:pt>
                <c:pt idx="11">
                  <c:v>523.35389999999995</c:v>
                </c:pt>
                <c:pt idx="12">
                  <c:v>523.28420000000006</c:v>
                </c:pt>
                <c:pt idx="13">
                  <c:v>523.21450000000004</c:v>
                </c:pt>
                <c:pt idx="14">
                  <c:v>523.14490000000001</c:v>
                </c:pt>
                <c:pt idx="15">
                  <c:v>523.07539999999995</c:v>
                </c:pt>
                <c:pt idx="16">
                  <c:v>523.00599999999997</c:v>
                </c:pt>
                <c:pt idx="17">
                  <c:v>522.93679999999995</c:v>
                </c:pt>
                <c:pt idx="18">
                  <c:v>522.86789999999996</c:v>
                </c:pt>
                <c:pt idx="19">
                  <c:v>522.79989999999998</c:v>
                </c:pt>
                <c:pt idx="20">
                  <c:v>522.73299999999995</c:v>
                </c:pt>
                <c:pt idx="21">
                  <c:v>522.66740000000004</c:v>
                </c:pt>
                <c:pt idx="22">
                  <c:v>522.60299999999995</c:v>
                </c:pt>
                <c:pt idx="23">
                  <c:v>522.53980000000001</c:v>
                </c:pt>
                <c:pt idx="24">
                  <c:v>522.4778</c:v>
                </c:pt>
                <c:pt idx="25">
                  <c:v>522.41690000000006</c:v>
                </c:pt>
                <c:pt idx="26">
                  <c:v>522.35709999999995</c:v>
                </c:pt>
                <c:pt idx="27">
                  <c:v>522.29830000000004</c:v>
                </c:pt>
                <c:pt idx="28">
                  <c:v>522.24030000000005</c:v>
                </c:pt>
                <c:pt idx="29">
                  <c:v>522.21789999999999</c:v>
                </c:pt>
                <c:pt idx="30">
                  <c:v>522.23099999999999</c:v>
                </c:pt>
                <c:pt idx="31">
                  <c:v>522.24490000000003</c:v>
                </c:pt>
                <c:pt idx="32">
                  <c:v>522.25919999999996</c:v>
                </c:pt>
                <c:pt idx="33">
                  <c:v>522.27390000000003</c:v>
                </c:pt>
                <c:pt idx="34">
                  <c:v>522.28890000000001</c:v>
                </c:pt>
                <c:pt idx="35">
                  <c:v>522.30409999999995</c:v>
                </c:pt>
                <c:pt idx="36">
                  <c:v>522.31949999999995</c:v>
                </c:pt>
                <c:pt idx="37">
                  <c:v>522.33500000000004</c:v>
                </c:pt>
                <c:pt idx="38">
                  <c:v>522.35059999999999</c:v>
                </c:pt>
                <c:pt idx="39">
                  <c:v>522.36630000000002</c:v>
                </c:pt>
                <c:pt idx="40">
                  <c:v>522.38210000000004</c:v>
                </c:pt>
                <c:pt idx="41">
                  <c:v>522.39790000000005</c:v>
                </c:pt>
                <c:pt idx="42">
                  <c:v>522.41380000000004</c:v>
                </c:pt>
                <c:pt idx="43">
                  <c:v>522.42999999999995</c:v>
                </c:pt>
                <c:pt idx="44">
                  <c:v>522.44640000000004</c:v>
                </c:pt>
                <c:pt idx="45">
                  <c:v>522.46320000000003</c:v>
                </c:pt>
                <c:pt idx="46">
                  <c:v>522.48040000000003</c:v>
                </c:pt>
                <c:pt idx="47">
                  <c:v>522.4982</c:v>
                </c:pt>
                <c:pt idx="48">
                  <c:v>522.51679999999999</c:v>
                </c:pt>
                <c:pt idx="49">
                  <c:v>522.53629999999998</c:v>
                </c:pt>
                <c:pt idx="50">
                  <c:v>522.55719999999997</c:v>
                </c:pt>
                <c:pt idx="51">
                  <c:v>522.57979999999998</c:v>
                </c:pt>
                <c:pt idx="52">
                  <c:v>522.60500000000002</c:v>
                </c:pt>
                <c:pt idx="53">
                  <c:v>522.63369999999998</c:v>
                </c:pt>
                <c:pt idx="54">
                  <c:v>522.66840000000002</c:v>
                </c:pt>
                <c:pt idx="55">
                  <c:v>522.71169999999995</c:v>
                </c:pt>
                <c:pt idx="56">
                  <c:v>522.76509999999996</c:v>
                </c:pt>
                <c:pt idx="57">
                  <c:v>522.82989999999995</c:v>
                </c:pt>
                <c:pt idx="58">
                  <c:v>522.90679999999998</c:v>
                </c:pt>
                <c:pt idx="59">
                  <c:v>522.99620000000004</c:v>
                </c:pt>
                <c:pt idx="60">
                  <c:v>523.09829999999999</c:v>
                </c:pt>
                <c:pt idx="61">
                  <c:v>523.21310000000005</c:v>
                </c:pt>
                <c:pt idx="62">
                  <c:v>523.34050000000002</c:v>
                </c:pt>
                <c:pt idx="63">
                  <c:v>523.48019999999997</c:v>
                </c:pt>
                <c:pt idx="64">
                  <c:v>523.6318</c:v>
                </c:pt>
                <c:pt idx="65">
                  <c:v>523.79470000000003</c:v>
                </c:pt>
                <c:pt idx="66">
                  <c:v>523.96780000000001</c:v>
                </c:pt>
                <c:pt idx="67">
                  <c:v>524.15009999999995</c:v>
                </c:pt>
                <c:pt idx="68">
                  <c:v>524.34</c:v>
                </c:pt>
                <c:pt idx="69">
                  <c:v>524.53629999999998</c:v>
                </c:pt>
                <c:pt idx="70">
                  <c:v>524.73749999999995</c:v>
                </c:pt>
                <c:pt idx="71">
                  <c:v>524.94230000000005</c:v>
                </c:pt>
                <c:pt idx="72">
                  <c:v>525.14930000000004</c:v>
                </c:pt>
                <c:pt idx="73">
                  <c:v>525.35739999999998</c:v>
                </c:pt>
                <c:pt idx="74">
                  <c:v>525.56510000000003</c:v>
                </c:pt>
                <c:pt idx="75">
                  <c:v>525.77099999999996</c:v>
                </c:pt>
                <c:pt idx="76">
                  <c:v>525.97410000000002</c:v>
                </c:pt>
                <c:pt idx="77">
                  <c:v>526.17330000000004</c:v>
                </c:pt>
                <c:pt idx="78">
                  <c:v>526.36770000000001</c:v>
                </c:pt>
                <c:pt idx="79">
                  <c:v>526.55650000000003</c:v>
                </c:pt>
                <c:pt idx="80">
                  <c:v>526.7396</c:v>
                </c:pt>
                <c:pt idx="81">
                  <c:v>526.91690000000006</c:v>
                </c:pt>
                <c:pt idx="82">
                  <c:v>527.09059999999999</c:v>
                </c:pt>
                <c:pt idx="83">
                  <c:v>527.26279999999997</c:v>
                </c:pt>
                <c:pt idx="84">
                  <c:v>527.43939999999998</c:v>
                </c:pt>
                <c:pt idx="85">
                  <c:v>527.62649999999996</c:v>
                </c:pt>
                <c:pt idx="86">
                  <c:v>527.82479999999998</c:v>
                </c:pt>
                <c:pt idx="87">
                  <c:v>528.03530000000001</c:v>
                </c:pt>
                <c:pt idx="88">
                  <c:v>528.25310000000002</c:v>
                </c:pt>
                <c:pt idx="89">
                  <c:v>528.47360000000003</c:v>
                </c:pt>
                <c:pt idx="90">
                  <c:v>528.69320000000005</c:v>
                </c:pt>
                <c:pt idx="91">
                  <c:v>528.90830000000005</c:v>
                </c:pt>
                <c:pt idx="92">
                  <c:v>529.11760000000004</c:v>
                </c:pt>
                <c:pt idx="93">
                  <c:v>529.31920000000002</c:v>
                </c:pt>
                <c:pt idx="94">
                  <c:v>529.51260000000002</c:v>
                </c:pt>
                <c:pt idx="95">
                  <c:v>529.69709999999998</c:v>
                </c:pt>
                <c:pt idx="96">
                  <c:v>529.87239999999997</c:v>
                </c:pt>
                <c:pt idx="97">
                  <c:v>530.02850000000001</c:v>
                </c:pt>
                <c:pt idx="98">
                  <c:v>530.14520000000005</c:v>
                </c:pt>
                <c:pt idx="99">
                  <c:v>530.25490000000002</c:v>
                </c:pt>
                <c:pt idx="100">
                  <c:v>530.35820000000001</c:v>
                </c:pt>
                <c:pt idx="101">
                  <c:v>530.45529999999997</c:v>
                </c:pt>
                <c:pt idx="102">
                  <c:v>530.5471</c:v>
                </c:pt>
                <c:pt idx="103">
                  <c:v>530.63409999999999</c:v>
                </c:pt>
                <c:pt idx="104">
                  <c:v>530.71799999999996</c:v>
                </c:pt>
                <c:pt idx="105">
                  <c:v>530.80039999999997</c:v>
                </c:pt>
                <c:pt idx="106">
                  <c:v>530.88310000000001</c:v>
                </c:pt>
                <c:pt idx="107">
                  <c:v>530.96780000000001</c:v>
                </c:pt>
                <c:pt idx="108">
                  <c:v>531.05409999999995</c:v>
                </c:pt>
                <c:pt idx="109">
                  <c:v>531.14160000000004</c:v>
                </c:pt>
                <c:pt idx="110">
                  <c:v>531.22969999999998</c:v>
                </c:pt>
                <c:pt idx="111">
                  <c:v>531.31769999999995</c:v>
                </c:pt>
                <c:pt idx="112">
                  <c:v>531.40539999999999</c:v>
                </c:pt>
                <c:pt idx="113">
                  <c:v>531.49210000000005</c:v>
                </c:pt>
                <c:pt idx="114">
                  <c:v>531.577</c:v>
                </c:pt>
                <c:pt idx="115">
                  <c:v>531.65959999999995</c:v>
                </c:pt>
                <c:pt idx="116">
                  <c:v>531.73929999999996</c:v>
                </c:pt>
                <c:pt idx="117">
                  <c:v>531.81560000000002</c:v>
                </c:pt>
                <c:pt idx="118">
                  <c:v>531.88819999999998</c:v>
                </c:pt>
                <c:pt idx="119">
                  <c:v>531.95730000000003</c:v>
                </c:pt>
                <c:pt idx="120">
                  <c:v>532.02250000000004</c:v>
                </c:pt>
                <c:pt idx="121">
                  <c:v>532.08399999999995</c:v>
                </c:pt>
                <c:pt idx="122">
                  <c:v>532.14179999999999</c:v>
                </c:pt>
                <c:pt idx="123">
                  <c:v>532.19629999999995</c:v>
                </c:pt>
                <c:pt idx="124">
                  <c:v>532.24760000000003</c:v>
                </c:pt>
                <c:pt idx="125">
                  <c:v>532.29570000000001</c:v>
                </c:pt>
                <c:pt idx="126">
                  <c:v>532.34090000000003</c:v>
                </c:pt>
                <c:pt idx="127">
                  <c:v>532.38340000000005</c:v>
                </c:pt>
                <c:pt idx="128">
                  <c:v>532.42330000000004</c:v>
                </c:pt>
                <c:pt idx="129">
                  <c:v>532.46079999999995</c:v>
                </c:pt>
                <c:pt idx="130">
                  <c:v>532.49580000000003</c:v>
                </c:pt>
                <c:pt idx="131">
                  <c:v>532.52859999999998</c:v>
                </c:pt>
                <c:pt idx="132">
                  <c:v>532.55930000000001</c:v>
                </c:pt>
                <c:pt idx="133">
                  <c:v>532.58799999999997</c:v>
                </c:pt>
                <c:pt idx="134">
                  <c:v>532.61479999999995</c:v>
                </c:pt>
                <c:pt idx="135">
                  <c:v>532.63990000000001</c:v>
                </c:pt>
                <c:pt idx="136">
                  <c:v>532.66330000000005</c:v>
                </c:pt>
                <c:pt idx="137">
                  <c:v>532.68520000000001</c:v>
                </c:pt>
                <c:pt idx="138">
                  <c:v>532.69579999999996</c:v>
                </c:pt>
                <c:pt idx="139">
                  <c:v>532.69579999999996</c:v>
                </c:pt>
                <c:pt idx="140">
                  <c:v>532.69579999999996</c:v>
                </c:pt>
                <c:pt idx="141">
                  <c:v>532.69579999999996</c:v>
                </c:pt>
                <c:pt idx="142">
                  <c:v>532.69039999999995</c:v>
                </c:pt>
                <c:pt idx="143">
                  <c:v>532.67920000000004</c:v>
                </c:pt>
                <c:pt idx="144">
                  <c:v>532.66700000000003</c:v>
                </c:pt>
                <c:pt idx="145">
                  <c:v>532.65390000000002</c:v>
                </c:pt>
                <c:pt idx="146">
                  <c:v>532.64009999999996</c:v>
                </c:pt>
                <c:pt idx="147">
                  <c:v>532.62549999999999</c:v>
                </c:pt>
                <c:pt idx="148">
                  <c:v>532.61030000000005</c:v>
                </c:pt>
                <c:pt idx="149">
                  <c:v>532.59439999999995</c:v>
                </c:pt>
                <c:pt idx="150">
                  <c:v>532.57780000000002</c:v>
                </c:pt>
                <c:pt idx="151">
                  <c:v>532.56060000000002</c:v>
                </c:pt>
                <c:pt idx="152">
                  <c:v>532.54290000000003</c:v>
                </c:pt>
                <c:pt idx="153">
                  <c:v>532.52480000000003</c:v>
                </c:pt>
                <c:pt idx="154">
                  <c:v>532.50620000000004</c:v>
                </c:pt>
                <c:pt idx="155">
                  <c:v>532.48710000000005</c:v>
                </c:pt>
                <c:pt idx="156">
                  <c:v>532.46749999999997</c:v>
                </c:pt>
                <c:pt idx="157">
                  <c:v>532.44740000000002</c:v>
                </c:pt>
                <c:pt idx="158">
                  <c:v>532.42700000000002</c:v>
                </c:pt>
                <c:pt idx="159">
                  <c:v>532.40629999999999</c:v>
                </c:pt>
                <c:pt idx="160">
                  <c:v>532.38520000000005</c:v>
                </c:pt>
                <c:pt idx="161">
                  <c:v>532.36379999999997</c:v>
                </c:pt>
                <c:pt idx="162">
                  <c:v>532.34220000000005</c:v>
                </c:pt>
                <c:pt idx="163">
                  <c:v>532.32029999999997</c:v>
                </c:pt>
                <c:pt idx="164">
                  <c:v>532.298</c:v>
                </c:pt>
                <c:pt idx="165">
                  <c:v>532.27560000000005</c:v>
                </c:pt>
                <c:pt idx="166">
                  <c:v>532.25289999999995</c:v>
                </c:pt>
                <c:pt idx="167">
                  <c:v>532.23</c:v>
                </c:pt>
                <c:pt idx="168">
                  <c:v>532.20699999999999</c:v>
                </c:pt>
                <c:pt idx="169">
                  <c:v>532.18370000000004</c:v>
                </c:pt>
                <c:pt idx="170">
                  <c:v>532.16020000000003</c:v>
                </c:pt>
                <c:pt idx="171">
                  <c:v>532.13660000000004</c:v>
                </c:pt>
                <c:pt idx="172">
                  <c:v>532.11279999999999</c:v>
                </c:pt>
                <c:pt idx="173">
                  <c:v>532.08879999999999</c:v>
                </c:pt>
                <c:pt idx="174">
                  <c:v>532.06470000000002</c:v>
                </c:pt>
                <c:pt idx="175">
                  <c:v>532.04049999999995</c:v>
                </c:pt>
                <c:pt idx="176">
                  <c:v>532.01620000000003</c:v>
                </c:pt>
                <c:pt idx="177">
                  <c:v>531.99170000000004</c:v>
                </c:pt>
                <c:pt idx="178">
                  <c:v>531.96709999999996</c:v>
                </c:pt>
                <c:pt idx="179">
                  <c:v>531.94240000000002</c:v>
                </c:pt>
                <c:pt idx="180">
                  <c:v>531.91759999999999</c:v>
                </c:pt>
                <c:pt idx="181">
                  <c:v>531.89269999999999</c:v>
                </c:pt>
                <c:pt idx="182">
                  <c:v>531.86770000000001</c:v>
                </c:pt>
                <c:pt idx="183">
                  <c:v>531.84249999999997</c:v>
                </c:pt>
                <c:pt idx="184">
                  <c:v>531.81719999999996</c:v>
                </c:pt>
                <c:pt idx="185">
                  <c:v>531.79179999999997</c:v>
                </c:pt>
                <c:pt idx="186">
                  <c:v>531.76639999999998</c:v>
                </c:pt>
                <c:pt idx="187">
                  <c:v>531.74080000000004</c:v>
                </c:pt>
                <c:pt idx="188">
                  <c:v>531.71510000000001</c:v>
                </c:pt>
                <c:pt idx="189">
                  <c:v>531.6893</c:v>
                </c:pt>
                <c:pt idx="190">
                  <c:v>531.66359999999997</c:v>
                </c:pt>
                <c:pt idx="191">
                  <c:v>531.63779999999997</c:v>
                </c:pt>
                <c:pt idx="192">
                  <c:v>531.61199999999997</c:v>
                </c:pt>
                <c:pt idx="193">
                  <c:v>531.58619999999996</c:v>
                </c:pt>
                <c:pt idx="194">
                  <c:v>531.56039999999996</c:v>
                </c:pt>
                <c:pt idx="195">
                  <c:v>531.53449999999998</c:v>
                </c:pt>
                <c:pt idx="196">
                  <c:v>531.50850000000003</c:v>
                </c:pt>
                <c:pt idx="197">
                  <c:v>531.48249999999996</c:v>
                </c:pt>
                <c:pt idx="198">
                  <c:v>531.45659999999998</c:v>
                </c:pt>
                <c:pt idx="199">
                  <c:v>531.43060000000003</c:v>
                </c:pt>
                <c:pt idx="200">
                  <c:v>531.40470000000005</c:v>
                </c:pt>
                <c:pt idx="201">
                  <c:v>531.37869999999998</c:v>
                </c:pt>
                <c:pt idx="202">
                  <c:v>531.35270000000003</c:v>
                </c:pt>
                <c:pt idx="203">
                  <c:v>531.32680000000005</c:v>
                </c:pt>
                <c:pt idx="204">
                  <c:v>531.30079999999998</c:v>
                </c:pt>
                <c:pt idx="205">
                  <c:v>531.27480000000003</c:v>
                </c:pt>
                <c:pt idx="206">
                  <c:v>531.24890000000005</c:v>
                </c:pt>
                <c:pt idx="207">
                  <c:v>531.22299999999996</c:v>
                </c:pt>
                <c:pt idx="208">
                  <c:v>531.197</c:v>
                </c:pt>
                <c:pt idx="209">
                  <c:v>531.17100000000005</c:v>
                </c:pt>
                <c:pt idx="210">
                  <c:v>531.14509999999996</c:v>
                </c:pt>
                <c:pt idx="211">
                  <c:v>531.1191</c:v>
                </c:pt>
                <c:pt idx="212">
                  <c:v>531.09310000000005</c:v>
                </c:pt>
                <c:pt idx="213">
                  <c:v>531.06719999999996</c:v>
                </c:pt>
                <c:pt idx="214">
                  <c:v>531.0412</c:v>
                </c:pt>
                <c:pt idx="215">
                  <c:v>531.01530000000002</c:v>
                </c:pt>
                <c:pt idx="216">
                  <c:v>530.98929999999996</c:v>
                </c:pt>
                <c:pt idx="217">
                  <c:v>530.9633</c:v>
                </c:pt>
                <c:pt idx="218">
                  <c:v>530.93740000000003</c:v>
                </c:pt>
                <c:pt idx="219">
                  <c:v>530.91139999999996</c:v>
                </c:pt>
                <c:pt idx="220">
                  <c:v>530.8854</c:v>
                </c:pt>
                <c:pt idx="221">
                  <c:v>530.85950000000003</c:v>
                </c:pt>
                <c:pt idx="222">
                  <c:v>530.83349999999996</c:v>
                </c:pt>
                <c:pt idx="223">
                  <c:v>530.80759999999998</c:v>
                </c:pt>
                <c:pt idx="224">
                  <c:v>530.78160000000003</c:v>
                </c:pt>
                <c:pt idx="225">
                  <c:v>530.75559999999996</c:v>
                </c:pt>
                <c:pt idx="226">
                  <c:v>530.72969999999998</c:v>
                </c:pt>
                <c:pt idx="227">
                  <c:v>530.70370000000003</c:v>
                </c:pt>
                <c:pt idx="228">
                  <c:v>530.67769999999996</c:v>
                </c:pt>
                <c:pt idx="229">
                  <c:v>530.65179999999998</c:v>
                </c:pt>
                <c:pt idx="230">
                  <c:v>530.6259</c:v>
                </c:pt>
                <c:pt idx="231">
                  <c:v>530.59990000000005</c:v>
                </c:pt>
                <c:pt idx="232">
                  <c:v>530.57389999999998</c:v>
                </c:pt>
                <c:pt idx="233">
                  <c:v>530.548</c:v>
                </c:pt>
                <c:pt idx="234">
                  <c:v>530.52200000000005</c:v>
                </c:pt>
                <c:pt idx="235">
                  <c:v>530.49599999999998</c:v>
                </c:pt>
                <c:pt idx="236">
                  <c:v>530.4701</c:v>
                </c:pt>
                <c:pt idx="237">
                  <c:v>530.44410000000005</c:v>
                </c:pt>
                <c:pt idx="238">
                  <c:v>530.41819999999996</c:v>
                </c:pt>
                <c:pt idx="239">
                  <c:v>530.3922</c:v>
                </c:pt>
                <c:pt idx="240">
                  <c:v>530.36620000000005</c:v>
                </c:pt>
                <c:pt idx="241">
                  <c:v>530.34029999999996</c:v>
                </c:pt>
                <c:pt idx="242">
                  <c:v>530.3143</c:v>
                </c:pt>
                <c:pt idx="243">
                  <c:v>530.28830000000005</c:v>
                </c:pt>
                <c:pt idx="244">
                  <c:v>530.26239999999996</c:v>
                </c:pt>
                <c:pt idx="245">
                  <c:v>530.23649999999998</c:v>
                </c:pt>
                <c:pt idx="246">
                  <c:v>530.21040000000005</c:v>
                </c:pt>
                <c:pt idx="247">
                  <c:v>530.18449999999996</c:v>
                </c:pt>
                <c:pt idx="248">
                  <c:v>530.15859999999998</c:v>
                </c:pt>
                <c:pt idx="249">
                  <c:v>530.13260000000002</c:v>
                </c:pt>
                <c:pt idx="250">
                  <c:v>530.10659999999996</c:v>
                </c:pt>
                <c:pt idx="251">
                  <c:v>530.08069999999998</c:v>
                </c:pt>
                <c:pt idx="252">
                  <c:v>530.05470000000003</c:v>
                </c:pt>
                <c:pt idx="253">
                  <c:v>530.02869999999996</c:v>
                </c:pt>
                <c:pt idx="254">
                  <c:v>530.00279999999998</c:v>
                </c:pt>
                <c:pt idx="255">
                  <c:v>529.96889999999996</c:v>
                </c:pt>
                <c:pt idx="256">
                  <c:v>529.93409999999994</c:v>
                </c:pt>
                <c:pt idx="257">
                  <c:v>529.89919999999995</c:v>
                </c:pt>
                <c:pt idx="258">
                  <c:v>529.86440000000005</c:v>
                </c:pt>
                <c:pt idx="259">
                  <c:v>529.82950000000005</c:v>
                </c:pt>
                <c:pt idx="260">
                  <c:v>529.79470000000003</c:v>
                </c:pt>
                <c:pt idx="261">
                  <c:v>529.75990000000002</c:v>
                </c:pt>
                <c:pt idx="262">
                  <c:v>529.72500000000002</c:v>
                </c:pt>
                <c:pt idx="263">
                  <c:v>529.6902</c:v>
                </c:pt>
                <c:pt idx="264">
                  <c:v>529.65539999999999</c:v>
                </c:pt>
                <c:pt idx="265">
                  <c:v>529.62049999999999</c:v>
                </c:pt>
                <c:pt idx="266">
                  <c:v>529.58569999999997</c:v>
                </c:pt>
                <c:pt idx="267">
                  <c:v>529.55079999999998</c:v>
                </c:pt>
                <c:pt idx="268">
                  <c:v>529.51610000000005</c:v>
                </c:pt>
                <c:pt idx="269">
                  <c:v>529.48119999999994</c:v>
                </c:pt>
                <c:pt idx="270">
                  <c:v>529.44640000000004</c:v>
                </c:pt>
                <c:pt idx="271">
                  <c:v>529.41150000000005</c:v>
                </c:pt>
                <c:pt idx="272">
                  <c:v>529.37660000000005</c:v>
                </c:pt>
                <c:pt idx="273">
                  <c:v>529.34190000000001</c:v>
                </c:pt>
                <c:pt idx="274">
                  <c:v>529.30700000000002</c:v>
                </c:pt>
                <c:pt idx="275">
                  <c:v>529.2722</c:v>
                </c:pt>
                <c:pt idx="276">
                  <c:v>529.2373</c:v>
                </c:pt>
                <c:pt idx="277">
                  <c:v>529.20249999999999</c:v>
                </c:pt>
                <c:pt idx="278">
                  <c:v>529.16769999999997</c:v>
                </c:pt>
                <c:pt idx="279">
                  <c:v>529.13279999999997</c:v>
                </c:pt>
                <c:pt idx="280">
                  <c:v>529.09799999999996</c:v>
                </c:pt>
                <c:pt idx="281">
                  <c:v>529.06309999999996</c:v>
                </c:pt>
                <c:pt idx="282">
                  <c:v>529.02829999999994</c:v>
                </c:pt>
                <c:pt idx="283">
                  <c:v>528.99350000000004</c:v>
                </c:pt>
                <c:pt idx="284">
                  <c:v>528.95860000000005</c:v>
                </c:pt>
                <c:pt idx="285">
                  <c:v>528.92380000000003</c:v>
                </c:pt>
                <c:pt idx="286">
                  <c:v>528.88900000000001</c:v>
                </c:pt>
                <c:pt idx="287">
                  <c:v>528.85410000000002</c:v>
                </c:pt>
                <c:pt idx="288">
                  <c:v>528.8193</c:v>
                </c:pt>
                <c:pt idx="289">
                  <c:v>528.78440000000001</c:v>
                </c:pt>
                <c:pt idx="290">
                  <c:v>528.74959999999999</c:v>
                </c:pt>
                <c:pt idx="291">
                  <c:v>528.71479999999997</c:v>
                </c:pt>
                <c:pt idx="292">
                  <c:v>528.67989999999998</c:v>
                </c:pt>
                <c:pt idx="293">
                  <c:v>528.64509999999996</c:v>
                </c:pt>
                <c:pt idx="294">
                  <c:v>528.61019999999996</c:v>
                </c:pt>
                <c:pt idx="295">
                  <c:v>528.57539999999995</c:v>
                </c:pt>
                <c:pt idx="296">
                  <c:v>528.54060000000004</c:v>
                </c:pt>
                <c:pt idx="297">
                  <c:v>528.50570000000005</c:v>
                </c:pt>
                <c:pt idx="298">
                  <c:v>528.47090000000003</c:v>
                </c:pt>
                <c:pt idx="299">
                  <c:v>528.43610000000001</c:v>
                </c:pt>
                <c:pt idx="300">
                  <c:v>528.40120000000002</c:v>
                </c:pt>
                <c:pt idx="301">
                  <c:v>528.3664</c:v>
                </c:pt>
                <c:pt idx="302">
                  <c:v>528.33150000000001</c:v>
                </c:pt>
                <c:pt idx="303">
                  <c:v>528.29669999999999</c:v>
                </c:pt>
                <c:pt idx="304">
                  <c:v>528.26189999999997</c:v>
                </c:pt>
                <c:pt idx="305">
                  <c:v>528.22709999999995</c:v>
                </c:pt>
                <c:pt idx="306">
                  <c:v>528.19219999999996</c:v>
                </c:pt>
                <c:pt idx="307">
                  <c:v>528.15729999999996</c:v>
                </c:pt>
                <c:pt idx="308">
                  <c:v>528.12260000000003</c:v>
                </c:pt>
                <c:pt idx="309">
                  <c:v>528.08770000000004</c:v>
                </c:pt>
                <c:pt idx="310">
                  <c:v>528.05290000000002</c:v>
                </c:pt>
                <c:pt idx="311">
                  <c:v>528.01800000000003</c:v>
                </c:pt>
                <c:pt idx="312">
                  <c:v>527.98320000000001</c:v>
                </c:pt>
                <c:pt idx="313">
                  <c:v>527.94839999999999</c:v>
                </c:pt>
                <c:pt idx="314">
                  <c:v>527.9135</c:v>
                </c:pt>
                <c:pt idx="315">
                  <c:v>527.87869999999998</c:v>
                </c:pt>
                <c:pt idx="316">
                  <c:v>527.84379999999999</c:v>
                </c:pt>
                <c:pt idx="317">
                  <c:v>527.80899999999997</c:v>
                </c:pt>
                <c:pt idx="318">
                  <c:v>527.77419999999995</c:v>
                </c:pt>
                <c:pt idx="319">
                  <c:v>527.73929999999996</c:v>
                </c:pt>
                <c:pt idx="320">
                  <c:v>527.70450000000005</c:v>
                </c:pt>
                <c:pt idx="321">
                  <c:v>527.66959999999995</c:v>
                </c:pt>
                <c:pt idx="322">
                  <c:v>527.63480000000004</c:v>
                </c:pt>
                <c:pt idx="323">
                  <c:v>527.6</c:v>
                </c:pt>
                <c:pt idx="324">
                  <c:v>527.56510000000003</c:v>
                </c:pt>
                <c:pt idx="325">
                  <c:v>527.53030000000001</c:v>
                </c:pt>
                <c:pt idx="326">
                  <c:v>527.49549999999999</c:v>
                </c:pt>
                <c:pt idx="327">
                  <c:v>527.4606</c:v>
                </c:pt>
                <c:pt idx="328">
                  <c:v>527.42579999999998</c:v>
                </c:pt>
                <c:pt idx="329">
                  <c:v>527.39089999999999</c:v>
                </c:pt>
                <c:pt idx="330">
                  <c:v>527.35609999999997</c:v>
                </c:pt>
                <c:pt idx="331">
                  <c:v>527.32129999999995</c:v>
                </c:pt>
                <c:pt idx="332">
                  <c:v>527.28639999999996</c:v>
                </c:pt>
                <c:pt idx="333">
                  <c:v>527.25160000000005</c:v>
                </c:pt>
                <c:pt idx="334">
                  <c:v>527.21669999999995</c:v>
                </c:pt>
                <c:pt idx="335">
                  <c:v>527.18190000000004</c:v>
                </c:pt>
                <c:pt idx="336">
                  <c:v>527.14710000000002</c:v>
                </c:pt>
                <c:pt idx="337">
                  <c:v>527.11220000000003</c:v>
                </c:pt>
                <c:pt idx="338">
                  <c:v>527.07740000000001</c:v>
                </c:pt>
                <c:pt idx="339">
                  <c:v>527.04259999999999</c:v>
                </c:pt>
                <c:pt idx="340">
                  <c:v>527.00779999999997</c:v>
                </c:pt>
                <c:pt idx="341">
                  <c:v>526.97289999999998</c:v>
                </c:pt>
                <c:pt idx="342">
                  <c:v>526.93799999999999</c:v>
                </c:pt>
                <c:pt idx="343">
                  <c:v>526.90319999999997</c:v>
                </c:pt>
                <c:pt idx="344">
                  <c:v>526.86839999999995</c:v>
                </c:pt>
                <c:pt idx="345">
                  <c:v>526.83360000000005</c:v>
                </c:pt>
                <c:pt idx="346">
                  <c:v>526.79870000000005</c:v>
                </c:pt>
                <c:pt idx="347">
                  <c:v>526.76390000000004</c:v>
                </c:pt>
                <c:pt idx="348">
                  <c:v>526.72910000000002</c:v>
                </c:pt>
                <c:pt idx="349">
                  <c:v>526.69420000000002</c:v>
                </c:pt>
                <c:pt idx="350">
                  <c:v>526.65940000000001</c:v>
                </c:pt>
                <c:pt idx="351">
                  <c:v>526.62450000000001</c:v>
                </c:pt>
                <c:pt idx="352">
                  <c:v>526.58969999999999</c:v>
                </c:pt>
                <c:pt idx="353">
                  <c:v>526.55489999999998</c:v>
                </c:pt>
                <c:pt idx="354">
                  <c:v>526.52</c:v>
                </c:pt>
                <c:pt idx="355">
                  <c:v>526.48519999999996</c:v>
                </c:pt>
                <c:pt idx="356">
                  <c:v>526.45029999999997</c:v>
                </c:pt>
                <c:pt idx="357">
                  <c:v>526.41549999999995</c:v>
                </c:pt>
                <c:pt idx="358">
                  <c:v>526.38070000000005</c:v>
                </c:pt>
                <c:pt idx="359">
                  <c:v>526.34580000000005</c:v>
                </c:pt>
                <c:pt idx="360">
                  <c:v>526.31100000000004</c:v>
                </c:pt>
                <c:pt idx="361">
                  <c:v>526.27620000000002</c:v>
                </c:pt>
                <c:pt idx="362">
                  <c:v>526.24130000000002</c:v>
                </c:pt>
                <c:pt idx="363">
                  <c:v>526.20650000000001</c:v>
                </c:pt>
                <c:pt idx="364">
                  <c:v>526.17160000000001</c:v>
                </c:pt>
                <c:pt idx="365">
                  <c:v>526.14710000000002</c:v>
                </c:pt>
                <c:pt idx="366">
                  <c:v>526.14</c:v>
                </c:pt>
                <c:pt idx="367">
                  <c:v>526.14</c:v>
                </c:pt>
                <c:pt idx="368">
                  <c:v>526.14</c:v>
                </c:pt>
                <c:pt idx="369">
                  <c:v>526.14</c:v>
                </c:pt>
                <c:pt idx="370">
                  <c:v>526.14</c:v>
                </c:pt>
                <c:pt idx="371">
                  <c:v>526.14</c:v>
                </c:pt>
                <c:pt idx="372">
                  <c:v>526.14</c:v>
                </c:pt>
                <c:pt idx="373">
                  <c:v>526.14</c:v>
                </c:pt>
                <c:pt idx="374">
                  <c:v>526.14</c:v>
                </c:pt>
                <c:pt idx="375">
                  <c:v>526.14</c:v>
                </c:pt>
                <c:pt idx="376">
                  <c:v>526.14</c:v>
                </c:pt>
                <c:pt idx="377">
                  <c:v>526.14</c:v>
                </c:pt>
                <c:pt idx="378">
                  <c:v>526.14</c:v>
                </c:pt>
                <c:pt idx="379">
                  <c:v>526.14</c:v>
                </c:pt>
                <c:pt idx="380">
                  <c:v>526.14</c:v>
                </c:pt>
                <c:pt idx="381">
                  <c:v>526.14</c:v>
                </c:pt>
                <c:pt idx="382">
                  <c:v>526.14</c:v>
                </c:pt>
                <c:pt idx="383">
                  <c:v>526.14</c:v>
                </c:pt>
                <c:pt idx="384">
                  <c:v>526.14</c:v>
                </c:pt>
                <c:pt idx="385">
                  <c:v>526.14</c:v>
                </c:pt>
                <c:pt idx="386">
                  <c:v>526.14</c:v>
                </c:pt>
                <c:pt idx="387">
                  <c:v>526.14</c:v>
                </c:pt>
                <c:pt idx="388">
                  <c:v>526.14</c:v>
                </c:pt>
                <c:pt idx="389">
                  <c:v>526.14</c:v>
                </c:pt>
                <c:pt idx="390">
                  <c:v>526.14</c:v>
                </c:pt>
                <c:pt idx="391">
                  <c:v>526.14</c:v>
                </c:pt>
                <c:pt idx="392">
                  <c:v>526.14</c:v>
                </c:pt>
                <c:pt idx="393">
                  <c:v>526.14</c:v>
                </c:pt>
                <c:pt idx="394">
                  <c:v>526.14</c:v>
                </c:pt>
                <c:pt idx="395">
                  <c:v>526.14</c:v>
                </c:pt>
                <c:pt idx="396">
                  <c:v>526.14</c:v>
                </c:pt>
                <c:pt idx="397">
                  <c:v>526.14</c:v>
                </c:pt>
                <c:pt idx="398">
                  <c:v>526.14</c:v>
                </c:pt>
                <c:pt idx="399">
                  <c:v>526.14</c:v>
                </c:pt>
                <c:pt idx="400">
                  <c:v>526.14</c:v>
                </c:pt>
                <c:pt idx="401">
                  <c:v>526.14</c:v>
                </c:pt>
                <c:pt idx="402">
                  <c:v>526.14</c:v>
                </c:pt>
                <c:pt idx="403">
                  <c:v>526.14</c:v>
                </c:pt>
                <c:pt idx="404">
                  <c:v>526.14</c:v>
                </c:pt>
                <c:pt idx="405">
                  <c:v>526.14</c:v>
                </c:pt>
                <c:pt idx="406">
                  <c:v>526.14</c:v>
                </c:pt>
                <c:pt idx="407">
                  <c:v>526.14</c:v>
                </c:pt>
                <c:pt idx="408">
                  <c:v>526.14</c:v>
                </c:pt>
                <c:pt idx="409">
                  <c:v>526.14</c:v>
                </c:pt>
                <c:pt idx="410">
                  <c:v>526.14</c:v>
                </c:pt>
                <c:pt idx="411">
                  <c:v>526.14</c:v>
                </c:pt>
                <c:pt idx="412">
                  <c:v>526.14</c:v>
                </c:pt>
                <c:pt idx="413">
                  <c:v>526.14</c:v>
                </c:pt>
                <c:pt idx="414">
                  <c:v>526.14</c:v>
                </c:pt>
                <c:pt idx="415">
                  <c:v>526.14</c:v>
                </c:pt>
                <c:pt idx="416">
                  <c:v>526.14</c:v>
                </c:pt>
                <c:pt idx="417">
                  <c:v>526.14</c:v>
                </c:pt>
                <c:pt idx="418">
                  <c:v>526.14</c:v>
                </c:pt>
                <c:pt idx="419">
                  <c:v>526.14</c:v>
                </c:pt>
                <c:pt idx="420">
                  <c:v>526.14</c:v>
                </c:pt>
                <c:pt idx="421">
                  <c:v>526.14</c:v>
                </c:pt>
                <c:pt idx="422">
                  <c:v>526.14</c:v>
                </c:pt>
                <c:pt idx="423">
                  <c:v>526.14</c:v>
                </c:pt>
                <c:pt idx="424">
                  <c:v>526.14</c:v>
                </c:pt>
                <c:pt idx="425">
                  <c:v>526.14</c:v>
                </c:pt>
                <c:pt idx="426">
                  <c:v>526.14</c:v>
                </c:pt>
                <c:pt idx="427">
                  <c:v>526.14</c:v>
                </c:pt>
                <c:pt idx="428">
                  <c:v>526.14</c:v>
                </c:pt>
                <c:pt idx="429">
                  <c:v>526.14</c:v>
                </c:pt>
                <c:pt idx="430">
                  <c:v>526.14</c:v>
                </c:pt>
                <c:pt idx="431">
                  <c:v>526.14</c:v>
                </c:pt>
                <c:pt idx="432">
                  <c:v>526.14</c:v>
                </c:pt>
                <c:pt idx="433">
                  <c:v>526.14</c:v>
                </c:pt>
                <c:pt idx="434">
                  <c:v>526.14</c:v>
                </c:pt>
                <c:pt idx="435">
                  <c:v>526.14</c:v>
                </c:pt>
                <c:pt idx="436">
                  <c:v>526.14</c:v>
                </c:pt>
                <c:pt idx="437">
                  <c:v>526.14</c:v>
                </c:pt>
                <c:pt idx="438">
                  <c:v>526.14</c:v>
                </c:pt>
                <c:pt idx="439">
                  <c:v>526.14</c:v>
                </c:pt>
                <c:pt idx="440">
                  <c:v>526.14</c:v>
                </c:pt>
                <c:pt idx="441">
                  <c:v>526.14</c:v>
                </c:pt>
                <c:pt idx="442">
                  <c:v>526.14</c:v>
                </c:pt>
                <c:pt idx="443">
                  <c:v>526.14</c:v>
                </c:pt>
                <c:pt idx="444">
                  <c:v>526.14</c:v>
                </c:pt>
                <c:pt idx="445">
                  <c:v>526.14</c:v>
                </c:pt>
                <c:pt idx="446">
                  <c:v>526.14</c:v>
                </c:pt>
                <c:pt idx="447">
                  <c:v>526.14</c:v>
                </c:pt>
                <c:pt idx="448">
                  <c:v>526.14</c:v>
                </c:pt>
                <c:pt idx="449">
                  <c:v>526.14</c:v>
                </c:pt>
                <c:pt idx="450">
                  <c:v>526.14</c:v>
                </c:pt>
                <c:pt idx="451">
                  <c:v>526.14</c:v>
                </c:pt>
                <c:pt idx="452">
                  <c:v>526.14</c:v>
                </c:pt>
                <c:pt idx="453">
                  <c:v>526.14</c:v>
                </c:pt>
                <c:pt idx="454">
                  <c:v>526.14</c:v>
                </c:pt>
                <c:pt idx="455">
                  <c:v>526.14</c:v>
                </c:pt>
                <c:pt idx="456">
                  <c:v>526.14</c:v>
                </c:pt>
                <c:pt idx="457">
                  <c:v>526.14</c:v>
                </c:pt>
                <c:pt idx="458">
                  <c:v>526.14</c:v>
                </c:pt>
                <c:pt idx="459">
                  <c:v>526.14</c:v>
                </c:pt>
                <c:pt idx="460">
                  <c:v>526.14</c:v>
                </c:pt>
                <c:pt idx="461">
                  <c:v>526.14</c:v>
                </c:pt>
                <c:pt idx="462">
                  <c:v>526.14</c:v>
                </c:pt>
                <c:pt idx="463">
                  <c:v>526.14</c:v>
                </c:pt>
                <c:pt idx="464">
                  <c:v>526.14</c:v>
                </c:pt>
                <c:pt idx="465">
                  <c:v>526.14</c:v>
                </c:pt>
                <c:pt idx="466">
                  <c:v>526.14</c:v>
                </c:pt>
                <c:pt idx="467">
                  <c:v>526.14</c:v>
                </c:pt>
                <c:pt idx="468">
                  <c:v>526.14</c:v>
                </c:pt>
                <c:pt idx="469">
                  <c:v>526.14</c:v>
                </c:pt>
                <c:pt idx="470">
                  <c:v>526.14</c:v>
                </c:pt>
                <c:pt idx="471">
                  <c:v>526.14</c:v>
                </c:pt>
                <c:pt idx="472">
                  <c:v>526.14</c:v>
                </c:pt>
                <c:pt idx="473">
                  <c:v>526.14</c:v>
                </c:pt>
                <c:pt idx="474">
                  <c:v>526.14</c:v>
                </c:pt>
                <c:pt idx="475">
                  <c:v>526.14</c:v>
                </c:pt>
                <c:pt idx="476">
                  <c:v>526.14</c:v>
                </c:pt>
                <c:pt idx="477">
                  <c:v>526.14</c:v>
                </c:pt>
                <c:pt idx="478">
                  <c:v>526.14</c:v>
                </c:pt>
                <c:pt idx="479">
                  <c:v>526.14</c:v>
                </c:pt>
                <c:pt idx="480">
                  <c:v>526.14</c:v>
                </c:pt>
                <c:pt idx="481">
                  <c:v>526.14</c:v>
                </c:pt>
                <c:pt idx="482">
                  <c:v>526.14</c:v>
                </c:pt>
                <c:pt idx="483">
                  <c:v>526.14</c:v>
                </c:pt>
                <c:pt idx="484">
                  <c:v>526.14</c:v>
                </c:pt>
                <c:pt idx="485">
                  <c:v>526.14</c:v>
                </c:pt>
                <c:pt idx="486">
                  <c:v>526.14</c:v>
                </c:pt>
                <c:pt idx="487">
                  <c:v>526.14</c:v>
                </c:pt>
                <c:pt idx="488">
                  <c:v>526.14</c:v>
                </c:pt>
                <c:pt idx="489">
                  <c:v>526.14</c:v>
                </c:pt>
                <c:pt idx="490">
                  <c:v>526.14</c:v>
                </c:pt>
                <c:pt idx="491">
                  <c:v>526.14</c:v>
                </c:pt>
                <c:pt idx="492">
                  <c:v>526.14</c:v>
                </c:pt>
                <c:pt idx="493">
                  <c:v>526.14</c:v>
                </c:pt>
                <c:pt idx="494">
                  <c:v>526.14</c:v>
                </c:pt>
                <c:pt idx="495">
                  <c:v>526.14</c:v>
                </c:pt>
                <c:pt idx="496">
                  <c:v>526.14</c:v>
                </c:pt>
                <c:pt idx="497">
                  <c:v>526.14</c:v>
                </c:pt>
                <c:pt idx="498">
                  <c:v>526.14</c:v>
                </c:pt>
                <c:pt idx="499">
                  <c:v>526.14</c:v>
                </c:pt>
                <c:pt idx="500">
                  <c:v>526.14</c:v>
                </c:pt>
                <c:pt idx="501">
                  <c:v>526.14</c:v>
                </c:pt>
                <c:pt idx="502">
                  <c:v>526.14</c:v>
                </c:pt>
                <c:pt idx="503">
                  <c:v>526.14</c:v>
                </c:pt>
                <c:pt idx="504">
                  <c:v>526.14</c:v>
                </c:pt>
                <c:pt idx="505">
                  <c:v>526.14</c:v>
                </c:pt>
                <c:pt idx="506">
                  <c:v>526.14</c:v>
                </c:pt>
                <c:pt idx="507">
                  <c:v>526.14</c:v>
                </c:pt>
                <c:pt idx="508">
                  <c:v>526.14</c:v>
                </c:pt>
                <c:pt idx="509">
                  <c:v>526.14</c:v>
                </c:pt>
                <c:pt idx="510">
                  <c:v>526.14</c:v>
                </c:pt>
                <c:pt idx="511">
                  <c:v>526.14</c:v>
                </c:pt>
                <c:pt idx="512">
                  <c:v>526.14</c:v>
                </c:pt>
                <c:pt idx="513">
                  <c:v>526.14</c:v>
                </c:pt>
                <c:pt idx="514">
                  <c:v>526.14</c:v>
                </c:pt>
                <c:pt idx="515">
                  <c:v>526.14</c:v>
                </c:pt>
                <c:pt idx="516">
                  <c:v>526.14</c:v>
                </c:pt>
                <c:pt idx="517">
                  <c:v>526.14</c:v>
                </c:pt>
                <c:pt idx="518">
                  <c:v>526.14</c:v>
                </c:pt>
                <c:pt idx="519">
                  <c:v>526.14</c:v>
                </c:pt>
                <c:pt idx="520">
                  <c:v>526.14</c:v>
                </c:pt>
                <c:pt idx="521">
                  <c:v>526.14</c:v>
                </c:pt>
                <c:pt idx="522">
                  <c:v>526.14</c:v>
                </c:pt>
                <c:pt idx="523">
                  <c:v>526.14</c:v>
                </c:pt>
                <c:pt idx="524">
                  <c:v>526.14</c:v>
                </c:pt>
                <c:pt idx="525">
                  <c:v>526.14</c:v>
                </c:pt>
                <c:pt idx="526">
                  <c:v>526.14</c:v>
                </c:pt>
                <c:pt idx="527">
                  <c:v>526.14</c:v>
                </c:pt>
                <c:pt idx="528">
                  <c:v>526.14</c:v>
                </c:pt>
                <c:pt idx="529">
                  <c:v>526.14</c:v>
                </c:pt>
                <c:pt idx="530">
                  <c:v>526.14</c:v>
                </c:pt>
                <c:pt idx="531">
                  <c:v>526.14</c:v>
                </c:pt>
                <c:pt idx="532">
                  <c:v>526.14</c:v>
                </c:pt>
                <c:pt idx="533">
                  <c:v>526.14</c:v>
                </c:pt>
                <c:pt idx="534">
                  <c:v>526.14</c:v>
                </c:pt>
                <c:pt idx="535">
                  <c:v>526.14</c:v>
                </c:pt>
                <c:pt idx="536">
                  <c:v>526.14</c:v>
                </c:pt>
                <c:pt idx="537">
                  <c:v>526.14</c:v>
                </c:pt>
                <c:pt idx="538">
                  <c:v>526.14</c:v>
                </c:pt>
                <c:pt idx="539">
                  <c:v>526.14</c:v>
                </c:pt>
                <c:pt idx="540">
                  <c:v>526.14</c:v>
                </c:pt>
                <c:pt idx="541">
                  <c:v>526.14</c:v>
                </c:pt>
                <c:pt idx="542">
                  <c:v>526.14</c:v>
                </c:pt>
                <c:pt idx="543">
                  <c:v>526.14</c:v>
                </c:pt>
                <c:pt idx="544">
                  <c:v>526.14</c:v>
                </c:pt>
                <c:pt idx="545">
                  <c:v>526.14</c:v>
                </c:pt>
                <c:pt idx="546">
                  <c:v>526.14</c:v>
                </c:pt>
                <c:pt idx="547">
                  <c:v>526.14</c:v>
                </c:pt>
                <c:pt idx="548">
                  <c:v>526.14</c:v>
                </c:pt>
                <c:pt idx="549">
                  <c:v>526.14</c:v>
                </c:pt>
                <c:pt idx="550">
                  <c:v>526.14</c:v>
                </c:pt>
                <c:pt idx="551">
                  <c:v>526.14</c:v>
                </c:pt>
                <c:pt idx="552">
                  <c:v>526.14</c:v>
                </c:pt>
                <c:pt idx="553">
                  <c:v>526.14</c:v>
                </c:pt>
                <c:pt idx="554">
                  <c:v>526.14</c:v>
                </c:pt>
                <c:pt idx="555">
                  <c:v>526.14</c:v>
                </c:pt>
                <c:pt idx="556">
                  <c:v>526.14</c:v>
                </c:pt>
                <c:pt idx="557">
                  <c:v>526.14</c:v>
                </c:pt>
                <c:pt idx="558">
                  <c:v>526.14</c:v>
                </c:pt>
                <c:pt idx="559">
                  <c:v>526.14</c:v>
                </c:pt>
                <c:pt idx="560">
                  <c:v>526.14</c:v>
                </c:pt>
                <c:pt idx="561">
                  <c:v>526.14</c:v>
                </c:pt>
                <c:pt idx="562">
                  <c:v>526.14</c:v>
                </c:pt>
                <c:pt idx="563">
                  <c:v>526.14</c:v>
                </c:pt>
                <c:pt idx="564">
                  <c:v>526.14</c:v>
                </c:pt>
                <c:pt idx="565">
                  <c:v>526.14</c:v>
                </c:pt>
                <c:pt idx="566">
                  <c:v>526.14</c:v>
                </c:pt>
                <c:pt idx="567">
                  <c:v>526.14</c:v>
                </c:pt>
                <c:pt idx="568">
                  <c:v>526.14</c:v>
                </c:pt>
                <c:pt idx="569">
                  <c:v>526.14</c:v>
                </c:pt>
                <c:pt idx="570">
                  <c:v>526.14</c:v>
                </c:pt>
                <c:pt idx="571">
                  <c:v>526.14</c:v>
                </c:pt>
                <c:pt idx="572">
                  <c:v>526.14</c:v>
                </c:pt>
                <c:pt idx="573">
                  <c:v>526.14</c:v>
                </c:pt>
                <c:pt idx="574">
                  <c:v>526.14</c:v>
                </c:pt>
                <c:pt idx="575">
                  <c:v>526.14</c:v>
                </c:pt>
                <c:pt idx="576">
                  <c:v>526.14</c:v>
                </c:pt>
                <c:pt idx="577">
                  <c:v>526.14</c:v>
                </c:pt>
                <c:pt idx="578">
                  <c:v>526.14</c:v>
                </c:pt>
                <c:pt idx="579">
                  <c:v>526.14</c:v>
                </c:pt>
                <c:pt idx="580">
                  <c:v>526.14</c:v>
                </c:pt>
                <c:pt idx="581">
                  <c:v>526.14</c:v>
                </c:pt>
                <c:pt idx="582">
                  <c:v>526.14</c:v>
                </c:pt>
                <c:pt idx="583">
                  <c:v>526.14</c:v>
                </c:pt>
                <c:pt idx="584">
                  <c:v>526.14</c:v>
                </c:pt>
                <c:pt idx="585">
                  <c:v>526.14</c:v>
                </c:pt>
                <c:pt idx="586">
                  <c:v>526.14</c:v>
                </c:pt>
                <c:pt idx="587">
                  <c:v>526.14</c:v>
                </c:pt>
                <c:pt idx="588">
                  <c:v>526.14</c:v>
                </c:pt>
                <c:pt idx="589">
                  <c:v>526.14</c:v>
                </c:pt>
                <c:pt idx="590">
                  <c:v>526.14</c:v>
                </c:pt>
                <c:pt idx="591">
                  <c:v>526.14</c:v>
                </c:pt>
                <c:pt idx="592">
                  <c:v>526.14</c:v>
                </c:pt>
                <c:pt idx="593">
                  <c:v>526.14</c:v>
                </c:pt>
                <c:pt idx="594">
                  <c:v>526.14</c:v>
                </c:pt>
                <c:pt idx="595">
                  <c:v>526.14</c:v>
                </c:pt>
                <c:pt idx="596">
                  <c:v>526.14</c:v>
                </c:pt>
                <c:pt idx="597">
                  <c:v>526.14</c:v>
                </c:pt>
                <c:pt idx="598">
                  <c:v>526.14</c:v>
                </c:pt>
                <c:pt idx="599">
                  <c:v>526.14</c:v>
                </c:pt>
                <c:pt idx="600">
                  <c:v>526.14</c:v>
                </c:pt>
                <c:pt idx="601">
                  <c:v>526.14</c:v>
                </c:pt>
                <c:pt idx="602">
                  <c:v>526.14</c:v>
                </c:pt>
                <c:pt idx="603">
                  <c:v>526.14</c:v>
                </c:pt>
                <c:pt idx="604">
                  <c:v>526.14</c:v>
                </c:pt>
                <c:pt idx="605">
                  <c:v>526.14</c:v>
                </c:pt>
                <c:pt idx="606">
                  <c:v>526.14</c:v>
                </c:pt>
                <c:pt idx="607">
                  <c:v>526.14</c:v>
                </c:pt>
                <c:pt idx="608">
                  <c:v>526.14</c:v>
                </c:pt>
                <c:pt idx="609">
                  <c:v>526.14</c:v>
                </c:pt>
                <c:pt idx="610">
                  <c:v>526.14</c:v>
                </c:pt>
                <c:pt idx="611">
                  <c:v>526.14</c:v>
                </c:pt>
                <c:pt idx="612">
                  <c:v>526.14</c:v>
                </c:pt>
                <c:pt idx="613">
                  <c:v>526.14</c:v>
                </c:pt>
                <c:pt idx="614">
                  <c:v>526.14</c:v>
                </c:pt>
                <c:pt idx="615">
                  <c:v>526.14</c:v>
                </c:pt>
                <c:pt idx="616">
                  <c:v>526.14</c:v>
                </c:pt>
                <c:pt idx="617">
                  <c:v>526.14</c:v>
                </c:pt>
                <c:pt idx="618">
                  <c:v>526.14</c:v>
                </c:pt>
                <c:pt idx="619">
                  <c:v>526.14</c:v>
                </c:pt>
                <c:pt idx="620">
                  <c:v>526.14</c:v>
                </c:pt>
                <c:pt idx="621">
                  <c:v>526.14</c:v>
                </c:pt>
                <c:pt idx="622">
                  <c:v>526.14</c:v>
                </c:pt>
                <c:pt idx="623">
                  <c:v>526.14</c:v>
                </c:pt>
                <c:pt idx="624">
                  <c:v>526.14</c:v>
                </c:pt>
                <c:pt idx="625">
                  <c:v>526.14</c:v>
                </c:pt>
                <c:pt idx="626">
                  <c:v>526.14</c:v>
                </c:pt>
                <c:pt idx="627">
                  <c:v>526.14</c:v>
                </c:pt>
                <c:pt idx="628">
                  <c:v>526.14</c:v>
                </c:pt>
                <c:pt idx="629">
                  <c:v>526.14</c:v>
                </c:pt>
                <c:pt idx="630">
                  <c:v>526.14</c:v>
                </c:pt>
                <c:pt idx="631">
                  <c:v>526.14</c:v>
                </c:pt>
                <c:pt idx="632">
                  <c:v>526.14</c:v>
                </c:pt>
                <c:pt idx="633">
                  <c:v>526.14</c:v>
                </c:pt>
                <c:pt idx="634">
                  <c:v>526.14</c:v>
                </c:pt>
                <c:pt idx="635">
                  <c:v>526.14</c:v>
                </c:pt>
                <c:pt idx="636">
                  <c:v>526.14</c:v>
                </c:pt>
                <c:pt idx="637">
                  <c:v>526.14</c:v>
                </c:pt>
                <c:pt idx="638">
                  <c:v>526.14</c:v>
                </c:pt>
                <c:pt idx="639">
                  <c:v>526.14</c:v>
                </c:pt>
                <c:pt idx="640">
                  <c:v>526.14</c:v>
                </c:pt>
                <c:pt idx="641">
                  <c:v>526.14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034944"/>
        <c:axId val="212907648"/>
      </c:lineChart>
      <c:catAx>
        <c:axId val="213825024"/>
        <c:scaling>
          <c:orientation val="minMax"/>
        </c:scaling>
        <c:delete val="0"/>
        <c:axPos val="b"/>
        <c:majorTickMark val="out"/>
        <c:minorTickMark val="none"/>
        <c:tickLblPos val="nextTo"/>
        <c:crossAx val="212907072"/>
        <c:crosses val="autoZero"/>
        <c:auto val="1"/>
        <c:lblAlgn val="ctr"/>
        <c:lblOffset val="100"/>
        <c:noMultiLvlLbl val="0"/>
      </c:catAx>
      <c:valAx>
        <c:axId val="212907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3825024"/>
        <c:crosses val="autoZero"/>
        <c:crossBetween val="between"/>
      </c:valAx>
      <c:valAx>
        <c:axId val="2129076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14034944"/>
        <c:crosses val="max"/>
        <c:crossBetween val="between"/>
      </c:valAx>
      <c:catAx>
        <c:axId val="214034944"/>
        <c:scaling>
          <c:orientation val="minMax"/>
        </c:scaling>
        <c:delete val="1"/>
        <c:axPos val="b"/>
        <c:majorTickMark val="out"/>
        <c:minorTickMark val="none"/>
        <c:tickLblPos val="nextTo"/>
        <c:crossAx val="212907648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56944444444444442"/>
          <c:y val="8.2757363662875491E-2"/>
          <c:w val="0.1388888888888889"/>
          <c:h val="0.2511515748031495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15507436570428"/>
          <c:y val="5.1400554097404488E-2"/>
          <c:w val="0.80821762904636907"/>
          <c:h val="0.81870771361913097"/>
        </c:manualLayout>
      </c:layout>
      <c:lineChart>
        <c:grouping val="standard"/>
        <c:varyColors val="0"/>
        <c:ser>
          <c:idx val="0"/>
          <c:order val="0"/>
          <c:tx>
            <c:strRef>
              <c:f>河口村!$C$1</c:f>
              <c:strCache>
                <c:ptCount val="1"/>
                <c:pt idx="0">
                  <c:v>入库</c:v>
                </c:pt>
              </c:strCache>
            </c:strRef>
          </c:tx>
          <c:marker>
            <c:symbol val="none"/>
          </c:marker>
          <c:val>
            <c:numRef>
              <c:f>河口村!$C$2:$C$746</c:f>
              <c:numCache>
                <c:formatCode>General</c:formatCode>
                <c:ptCount val="7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0.5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5</c:v>
                </c:pt>
                <c:pt idx="15">
                  <c:v>7</c:v>
                </c:pt>
                <c:pt idx="16">
                  <c:v>9</c:v>
                </c:pt>
                <c:pt idx="17">
                  <c:v>11</c:v>
                </c:pt>
                <c:pt idx="18">
                  <c:v>13.5</c:v>
                </c:pt>
                <c:pt idx="19">
                  <c:v>16</c:v>
                </c:pt>
                <c:pt idx="20">
                  <c:v>27</c:v>
                </c:pt>
                <c:pt idx="21">
                  <c:v>38</c:v>
                </c:pt>
                <c:pt idx="22">
                  <c:v>68</c:v>
                </c:pt>
                <c:pt idx="23">
                  <c:v>98</c:v>
                </c:pt>
                <c:pt idx="24">
                  <c:v>162.5</c:v>
                </c:pt>
                <c:pt idx="25">
                  <c:v>227</c:v>
                </c:pt>
                <c:pt idx="26">
                  <c:v>365.5</c:v>
                </c:pt>
                <c:pt idx="27">
                  <c:v>504</c:v>
                </c:pt>
                <c:pt idx="28">
                  <c:v>685.5</c:v>
                </c:pt>
                <c:pt idx="29">
                  <c:v>867</c:v>
                </c:pt>
                <c:pt idx="30">
                  <c:v>967</c:v>
                </c:pt>
                <c:pt idx="31">
                  <c:v>1067</c:v>
                </c:pt>
                <c:pt idx="32">
                  <c:v>1105.5</c:v>
                </c:pt>
                <c:pt idx="33">
                  <c:v>1144</c:v>
                </c:pt>
                <c:pt idx="34">
                  <c:v>1170</c:v>
                </c:pt>
                <c:pt idx="35">
                  <c:v>1196</c:v>
                </c:pt>
                <c:pt idx="36">
                  <c:v>1210.5</c:v>
                </c:pt>
                <c:pt idx="37">
                  <c:v>1225</c:v>
                </c:pt>
                <c:pt idx="38">
                  <c:v>1214.5</c:v>
                </c:pt>
                <c:pt idx="39">
                  <c:v>1204</c:v>
                </c:pt>
                <c:pt idx="40">
                  <c:v>1166.5</c:v>
                </c:pt>
                <c:pt idx="41">
                  <c:v>1129</c:v>
                </c:pt>
                <c:pt idx="42">
                  <c:v>1077.5</c:v>
                </c:pt>
                <c:pt idx="43">
                  <c:v>1026</c:v>
                </c:pt>
                <c:pt idx="44">
                  <c:v>972</c:v>
                </c:pt>
                <c:pt idx="45">
                  <c:v>918</c:v>
                </c:pt>
                <c:pt idx="46">
                  <c:v>867.5</c:v>
                </c:pt>
                <c:pt idx="47">
                  <c:v>817</c:v>
                </c:pt>
                <c:pt idx="48">
                  <c:v>774.5</c:v>
                </c:pt>
                <c:pt idx="49">
                  <c:v>732</c:v>
                </c:pt>
                <c:pt idx="50">
                  <c:v>699.5</c:v>
                </c:pt>
                <c:pt idx="51">
                  <c:v>667</c:v>
                </c:pt>
                <c:pt idx="52">
                  <c:v>648.5</c:v>
                </c:pt>
                <c:pt idx="53">
                  <c:v>630</c:v>
                </c:pt>
                <c:pt idx="54">
                  <c:v>634</c:v>
                </c:pt>
                <c:pt idx="55">
                  <c:v>638</c:v>
                </c:pt>
                <c:pt idx="56">
                  <c:v>657</c:v>
                </c:pt>
                <c:pt idx="57">
                  <c:v>676</c:v>
                </c:pt>
                <c:pt idx="58">
                  <c:v>1968.5</c:v>
                </c:pt>
                <c:pt idx="59">
                  <c:v>3261</c:v>
                </c:pt>
                <c:pt idx="60">
                  <c:v>2754.5</c:v>
                </c:pt>
                <c:pt idx="61">
                  <c:v>2248</c:v>
                </c:pt>
                <c:pt idx="62">
                  <c:v>1796.5</c:v>
                </c:pt>
                <c:pt idx="63">
                  <c:v>1345</c:v>
                </c:pt>
                <c:pt idx="64">
                  <c:v>1686.5</c:v>
                </c:pt>
                <c:pt idx="65">
                  <c:v>2028</c:v>
                </c:pt>
                <c:pt idx="66">
                  <c:v>2363</c:v>
                </c:pt>
                <c:pt idx="67">
                  <c:v>2698</c:v>
                </c:pt>
                <c:pt idx="68">
                  <c:v>3091</c:v>
                </c:pt>
                <c:pt idx="69">
                  <c:v>3484</c:v>
                </c:pt>
                <c:pt idx="70">
                  <c:v>3844.5</c:v>
                </c:pt>
                <c:pt idx="71">
                  <c:v>4205</c:v>
                </c:pt>
                <c:pt idx="72">
                  <c:v>4353.5</c:v>
                </c:pt>
                <c:pt idx="73">
                  <c:v>4502</c:v>
                </c:pt>
                <c:pt idx="74">
                  <c:v>4482</c:v>
                </c:pt>
                <c:pt idx="75">
                  <c:v>4462</c:v>
                </c:pt>
                <c:pt idx="76">
                  <c:v>4331.5</c:v>
                </c:pt>
                <c:pt idx="77">
                  <c:v>4201</c:v>
                </c:pt>
                <c:pt idx="78">
                  <c:v>4004</c:v>
                </c:pt>
                <c:pt idx="79">
                  <c:v>3807</c:v>
                </c:pt>
                <c:pt idx="80">
                  <c:v>3591.5</c:v>
                </c:pt>
                <c:pt idx="81">
                  <c:v>3376</c:v>
                </c:pt>
                <c:pt idx="82">
                  <c:v>3190</c:v>
                </c:pt>
                <c:pt idx="83">
                  <c:v>3004</c:v>
                </c:pt>
                <c:pt idx="84">
                  <c:v>2884.5</c:v>
                </c:pt>
                <c:pt idx="85">
                  <c:v>2765</c:v>
                </c:pt>
                <c:pt idx="86">
                  <c:v>2912</c:v>
                </c:pt>
                <c:pt idx="87">
                  <c:v>3059</c:v>
                </c:pt>
                <c:pt idx="88">
                  <c:v>3298</c:v>
                </c:pt>
                <c:pt idx="89">
                  <c:v>3537</c:v>
                </c:pt>
                <c:pt idx="90">
                  <c:v>3750.5</c:v>
                </c:pt>
                <c:pt idx="91">
                  <c:v>3964</c:v>
                </c:pt>
                <c:pt idx="92">
                  <c:v>4099</c:v>
                </c:pt>
                <c:pt idx="93">
                  <c:v>4234</c:v>
                </c:pt>
                <c:pt idx="94">
                  <c:v>4102</c:v>
                </c:pt>
                <c:pt idx="95">
                  <c:v>3970</c:v>
                </c:pt>
                <c:pt idx="96">
                  <c:v>3756</c:v>
                </c:pt>
                <c:pt idx="97">
                  <c:v>3542</c:v>
                </c:pt>
                <c:pt idx="98">
                  <c:v>3363</c:v>
                </c:pt>
                <c:pt idx="99">
                  <c:v>3184</c:v>
                </c:pt>
                <c:pt idx="100">
                  <c:v>3033.5</c:v>
                </c:pt>
                <c:pt idx="101">
                  <c:v>2883</c:v>
                </c:pt>
                <c:pt idx="102">
                  <c:v>2756.5</c:v>
                </c:pt>
                <c:pt idx="103">
                  <c:v>2630</c:v>
                </c:pt>
                <c:pt idx="104">
                  <c:v>2524.5</c:v>
                </c:pt>
                <c:pt idx="105">
                  <c:v>2419</c:v>
                </c:pt>
                <c:pt idx="106">
                  <c:v>2346.5</c:v>
                </c:pt>
                <c:pt idx="107">
                  <c:v>2274</c:v>
                </c:pt>
                <c:pt idx="108">
                  <c:v>2254</c:v>
                </c:pt>
                <c:pt idx="109">
                  <c:v>2234</c:v>
                </c:pt>
                <c:pt idx="110">
                  <c:v>2225</c:v>
                </c:pt>
                <c:pt idx="111">
                  <c:v>2216</c:v>
                </c:pt>
                <c:pt idx="112">
                  <c:v>2190.5</c:v>
                </c:pt>
                <c:pt idx="113">
                  <c:v>2165</c:v>
                </c:pt>
                <c:pt idx="114">
                  <c:v>2137.5</c:v>
                </c:pt>
                <c:pt idx="115">
                  <c:v>2110</c:v>
                </c:pt>
                <c:pt idx="116">
                  <c:v>2069.5</c:v>
                </c:pt>
                <c:pt idx="117">
                  <c:v>2029</c:v>
                </c:pt>
                <c:pt idx="118">
                  <c:v>1969.5</c:v>
                </c:pt>
                <c:pt idx="119">
                  <c:v>1910</c:v>
                </c:pt>
                <c:pt idx="120">
                  <c:v>1843</c:v>
                </c:pt>
                <c:pt idx="121">
                  <c:v>1776</c:v>
                </c:pt>
                <c:pt idx="122">
                  <c:v>1709.5</c:v>
                </c:pt>
                <c:pt idx="123">
                  <c:v>1643</c:v>
                </c:pt>
                <c:pt idx="124">
                  <c:v>1582.5</c:v>
                </c:pt>
                <c:pt idx="125">
                  <c:v>1522</c:v>
                </c:pt>
                <c:pt idx="126">
                  <c:v>1461.5</c:v>
                </c:pt>
                <c:pt idx="127">
                  <c:v>1401</c:v>
                </c:pt>
                <c:pt idx="128">
                  <c:v>1336</c:v>
                </c:pt>
                <c:pt idx="129">
                  <c:v>1271</c:v>
                </c:pt>
                <c:pt idx="130">
                  <c:v>1205</c:v>
                </c:pt>
                <c:pt idx="131">
                  <c:v>1139</c:v>
                </c:pt>
                <c:pt idx="132">
                  <c:v>1074.5</c:v>
                </c:pt>
                <c:pt idx="133">
                  <c:v>1010</c:v>
                </c:pt>
                <c:pt idx="134">
                  <c:v>950.5</c:v>
                </c:pt>
                <c:pt idx="135">
                  <c:v>891</c:v>
                </c:pt>
                <c:pt idx="136">
                  <c:v>837</c:v>
                </c:pt>
                <c:pt idx="137">
                  <c:v>783</c:v>
                </c:pt>
                <c:pt idx="138">
                  <c:v>736</c:v>
                </c:pt>
                <c:pt idx="139">
                  <c:v>689</c:v>
                </c:pt>
                <c:pt idx="140">
                  <c:v>648</c:v>
                </c:pt>
                <c:pt idx="141">
                  <c:v>607</c:v>
                </c:pt>
                <c:pt idx="142">
                  <c:v>571.5</c:v>
                </c:pt>
                <c:pt idx="143">
                  <c:v>536</c:v>
                </c:pt>
                <c:pt idx="144">
                  <c:v>506</c:v>
                </c:pt>
                <c:pt idx="145">
                  <c:v>476</c:v>
                </c:pt>
                <c:pt idx="146">
                  <c:v>450</c:v>
                </c:pt>
                <c:pt idx="147">
                  <c:v>424</c:v>
                </c:pt>
                <c:pt idx="148">
                  <c:v>400.5</c:v>
                </c:pt>
                <c:pt idx="149">
                  <c:v>377</c:v>
                </c:pt>
                <c:pt idx="150">
                  <c:v>357</c:v>
                </c:pt>
                <c:pt idx="151">
                  <c:v>337</c:v>
                </c:pt>
                <c:pt idx="152">
                  <c:v>319</c:v>
                </c:pt>
                <c:pt idx="153">
                  <c:v>301</c:v>
                </c:pt>
                <c:pt idx="154">
                  <c:v>285</c:v>
                </c:pt>
                <c:pt idx="155">
                  <c:v>269</c:v>
                </c:pt>
                <c:pt idx="156">
                  <c:v>254.5</c:v>
                </c:pt>
                <c:pt idx="157">
                  <c:v>240</c:v>
                </c:pt>
                <c:pt idx="158">
                  <c:v>227</c:v>
                </c:pt>
                <c:pt idx="159">
                  <c:v>214</c:v>
                </c:pt>
                <c:pt idx="160">
                  <c:v>201.5</c:v>
                </c:pt>
                <c:pt idx="161">
                  <c:v>189</c:v>
                </c:pt>
                <c:pt idx="162">
                  <c:v>177.5</c:v>
                </c:pt>
                <c:pt idx="163">
                  <c:v>166</c:v>
                </c:pt>
                <c:pt idx="164">
                  <c:v>156</c:v>
                </c:pt>
                <c:pt idx="165">
                  <c:v>146</c:v>
                </c:pt>
                <c:pt idx="166">
                  <c:v>137.5</c:v>
                </c:pt>
                <c:pt idx="167">
                  <c:v>129</c:v>
                </c:pt>
                <c:pt idx="168">
                  <c:v>121</c:v>
                </c:pt>
                <c:pt idx="169">
                  <c:v>113</c:v>
                </c:pt>
                <c:pt idx="170">
                  <c:v>106.5</c:v>
                </c:pt>
                <c:pt idx="171">
                  <c:v>100</c:v>
                </c:pt>
                <c:pt idx="172">
                  <c:v>93.5</c:v>
                </c:pt>
                <c:pt idx="173">
                  <c:v>87</c:v>
                </c:pt>
                <c:pt idx="174">
                  <c:v>81.5</c:v>
                </c:pt>
                <c:pt idx="175">
                  <c:v>76</c:v>
                </c:pt>
                <c:pt idx="176">
                  <c:v>71</c:v>
                </c:pt>
                <c:pt idx="177">
                  <c:v>66</c:v>
                </c:pt>
                <c:pt idx="178">
                  <c:v>62</c:v>
                </c:pt>
                <c:pt idx="179">
                  <c:v>58</c:v>
                </c:pt>
                <c:pt idx="180">
                  <c:v>54.5</c:v>
                </c:pt>
                <c:pt idx="181">
                  <c:v>51</c:v>
                </c:pt>
                <c:pt idx="182">
                  <c:v>48</c:v>
                </c:pt>
                <c:pt idx="183">
                  <c:v>45</c:v>
                </c:pt>
                <c:pt idx="184">
                  <c:v>42.5</c:v>
                </c:pt>
                <c:pt idx="185">
                  <c:v>40</c:v>
                </c:pt>
                <c:pt idx="186">
                  <c:v>37.5</c:v>
                </c:pt>
                <c:pt idx="187">
                  <c:v>35</c:v>
                </c:pt>
                <c:pt idx="188">
                  <c:v>33</c:v>
                </c:pt>
                <c:pt idx="189">
                  <c:v>31</c:v>
                </c:pt>
                <c:pt idx="190">
                  <c:v>28.5</c:v>
                </c:pt>
                <c:pt idx="191">
                  <c:v>26</c:v>
                </c:pt>
                <c:pt idx="192">
                  <c:v>24.5</c:v>
                </c:pt>
                <c:pt idx="193">
                  <c:v>23</c:v>
                </c:pt>
                <c:pt idx="194">
                  <c:v>21</c:v>
                </c:pt>
                <c:pt idx="195">
                  <c:v>19</c:v>
                </c:pt>
                <c:pt idx="196">
                  <c:v>17</c:v>
                </c:pt>
                <c:pt idx="197">
                  <c:v>15</c:v>
                </c:pt>
                <c:pt idx="198">
                  <c:v>13.5</c:v>
                </c:pt>
                <c:pt idx="199">
                  <c:v>12</c:v>
                </c:pt>
                <c:pt idx="200">
                  <c:v>11</c:v>
                </c:pt>
                <c:pt idx="201">
                  <c:v>10</c:v>
                </c:pt>
                <c:pt idx="202">
                  <c:v>9</c:v>
                </c:pt>
                <c:pt idx="203">
                  <c:v>8</c:v>
                </c:pt>
                <c:pt idx="204">
                  <c:v>7</c:v>
                </c:pt>
                <c:pt idx="205">
                  <c:v>6</c:v>
                </c:pt>
                <c:pt idx="206">
                  <c:v>5</c:v>
                </c:pt>
                <c:pt idx="207">
                  <c:v>4</c:v>
                </c:pt>
                <c:pt idx="208">
                  <c:v>3.5</c:v>
                </c:pt>
                <c:pt idx="209">
                  <c:v>3</c:v>
                </c:pt>
                <c:pt idx="210">
                  <c:v>2.5</c:v>
                </c:pt>
                <c:pt idx="211">
                  <c:v>2</c:v>
                </c:pt>
                <c:pt idx="212">
                  <c:v>1.5</c:v>
                </c:pt>
                <c:pt idx="213">
                  <c:v>1</c:v>
                </c:pt>
                <c:pt idx="214">
                  <c:v>0.5</c:v>
                </c:pt>
                <c:pt idx="215" formatCode="0.00E+00">
                  <c:v>9.2599999999999999E-9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河口村!$D$1</c:f>
              <c:strCache>
                <c:ptCount val="1"/>
                <c:pt idx="0">
                  <c:v>出库</c:v>
                </c:pt>
              </c:strCache>
            </c:strRef>
          </c:tx>
          <c:marker>
            <c:symbol val="none"/>
          </c:marker>
          <c:val>
            <c:numRef>
              <c:f>河口村!$D$2:$D$746</c:f>
              <c:numCache>
                <c:formatCode>General</c:formatCode>
                <c:ptCount val="74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162.5</c:v>
                </c:pt>
                <c:pt idx="25">
                  <c:v>227</c:v>
                </c:pt>
                <c:pt idx="26">
                  <c:v>365.5</c:v>
                </c:pt>
                <c:pt idx="27">
                  <c:v>504</c:v>
                </c:pt>
                <c:pt idx="28">
                  <c:v>685.5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3023.9859999999999</c:v>
                </c:pt>
                <c:pt idx="70">
                  <c:v>3167.567</c:v>
                </c:pt>
                <c:pt idx="71">
                  <c:v>3311.1480000000001</c:v>
                </c:pt>
                <c:pt idx="72">
                  <c:v>3399.9960000000001</c:v>
                </c:pt>
                <c:pt idx="73">
                  <c:v>3488.8440000000001</c:v>
                </c:pt>
                <c:pt idx="74">
                  <c:v>3533.0369999999998</c:v>
                </c:pt>
                <c:pt idx="75">
                  <c:v>3577.2289999999998</c:v>
                </c:pt>
                <c:pt idx="76">
                  <c:v>3592.511</c:v>
                </c:pt>
                <c:pt idx="77">
                  <c:v>3607.7930000000001</c:v>
                </c:pt>
                <c:pt idx="78">
                  <c:v>3607.6889999999999</c:v>
                </c:pt>
                <c:pt idx="79">
                  <c:v>3607.5859999999998</c:v>
                </c:pt>
                <c:pt idx="80">
                  <c:v>3605.4650000000001</c:v>
                </c:pt>
                <c:pt idx="81">
                  <c:v>3603.3449999999998</c:v>
                </c:pt>
                <c:pt idx="82">
                  <c:v>3603.6750000000002</c:v>
                </c:pt>
                <c:pt idx="83">
                  <c:v>3604.0039999999999</c:v>
                </c:pt>
                <c:pt idx="84">
                  <c:v>3604.913</c:v>
                </c:pt>
                <c:pt idx="85">
                  <c:v>3605.8209999999999</c:v>
                </c:pt>
                <c:pt idx="86">
                  <c:v>3604.6129999999998</c:v>
                </c:pt>
                <c:pt idx="87">
                  <c:v>3603.4050000000002</c:v>
                </c:pt>
                <c:pt idx="88">
                  <c:v>3584.346</c:v>
                </c:pt>
                <c:pt idx="89">
                  <c:v>3565.2869999999998</c:v>
                </c:pt>
                <c:pt idx="90">
                  <c:v>3475.4609999999998</c:v>
                </c:pt>
                <c:pt idx="91">
                  <c:v>3385.636</c:v>
                </c:pt>
                <c:pt idx="92">
                  <c:v>3056.6390000000001</c:v>
                </c:pt>
                <c:pt idx="93">
                  <c:v>2727.643</c:v>
                </c:pt>
                <c:pt idx="94">
                  <c:v>2619.462</c:v>
                </c:pt>
                <c:pt idx="95">
                  <c:v>2511.2809999999999</c:v>
                </c:pt>
                <c:pt idx="96">
                  <c:v>2595.7660000000001</c:v>
                </c:pt>
                <c:pt idx="97">
                  <c:v>2680.25</c:v>
                </c:pt>
                <c:pt idx="98">
                  <c:v>2825.27</c:v>
                </c:pt>
                <c:pt idx="99">
                  <c:v>2970.2890000000002</c:v>
                </c:pt>
                <c:pt idx="100">
                  <c:v>3111.335</c:v>
                </c:pt>
                <c:pt idx="101">
                  <c:v>3252.3809999999999</c:v>
                </c:pt>
                <c:pt idx="102">
                  <c:v>3362.6709999999998</c:v>
                </c:pt>
                <c:pt idx="103">
                  <c:v>3472.9609999999998</c:v>
                </c:pt>
                <c:pt idx="104">
                  <c:v>3550.2750000000001</c:v>
                </c:pt>
                <c:pt idx="105">
                  <c:v>3627.5880000000002</c:v>
                </c:pt>
                <c:pt idx="106">
                  <c:v>3679.7260000000001</c:v>
                </c:pt>
                <c:pt idx="107">
                  <c:v>3731.8629999999998</c:v>
                </c:pt>
                <c:pt idx="108">
                  <c:v>3766.3589999999999</c:v>
                </c:pt>
                <c:pt idx="109">
                  <c:v>3800.855</c:v>
                </c:pt>
                <c:pt idx="110">
                  <c:v>3824.357</c:v>
                </c:pt>
                <c:pt idx="111">
                  <c:v>3847.86</c:v>
                </c:pt>
                <c:pt idx="112">
                  <c:v>2190.5</c:v>
                </c:pt>
                <c:pt idx="113">
                  <c:v>2165</c:v>
                </c:pt>
                <c:pt idx="114">
                  <c:v>2137.5</c:v>
                </c:pt>
                <c:pt idx="115">
                  <c:v>2110</c:v>
                </c:pt>
                <c:pt idx="116">
                  <c:v>2069.5</c:v>
                </c:pt>
                <c:pt idx="117">
                  <c:v>2029</c:v>
                </c:pt>
                <c:pt idx="118">
                  <c:v>1969.5</c:v>
                </c:pt>
                <c:pt idx="119">
                  <c:v>1910</c:v>
                </c:pt>
                <c:pt idx="120">
                  <c:v>1843</c:v>
                </c:pt>
                <c:pt idx="121">
                  <c:v>1776</c:v>
                </c:pt>
                <c:pt idx="122">
                  <c:v>1709.5</c:v>
                </c:pt>
                <c:pt idx="123">
                  <c:v>1643</c:v>
                </c:pt>
                <c:pt idx="124">
                  <c:v>1582.5</c:v>
                </c:pt>
                <c:pt idx="125">
                  <c:v>1522</c:v>
                </c:pt>
                <c:pt idx="126">
                  <c:v>1461.5</c:v>
                </c:pt>
                <c:pt idx="127">
                  <c:v>1401</c:v>
                </c:pt>
                <c:pt idx="128">
                  <c:v>1336</c:v>
                </c:pt>
                <c:pt idx="129">
                  <c:v>1271</c:v>
                </c:pt>
                <c:pt idx="130">
                  <c:v>1205</c:v>
                </c:pt>
                <c:pt idx="131">
                  <c:v>1139</c:v>
                </c:pt>
                <c:pt idx="132">
                  <c:v>1074.5</c:v>
                </c:pt>
                <c:pt idx="133">
                  <c:v>1010</c:v>
                </c:pt>
                <c:pt idx="134">
                  <c:v>950.5</c:v>
                </c:pt>
                <c:pt idx="135">
                  <c:v>891</c:v>
                </c:pt>
                <c:pt idx="136">
                  <c:v>837</c:v>
                </c:pt>
                <c:pt idx="137">
                  <c:v>783</c:v>
                </c:pt>
                <c:pt idx="138">
                  <c:v>736</c:v>
                </c:pt>
                <c:pt idx="139">
                  <c:v>689</c:v>
                </c:pt>
                <c:pt idx="140">
                  <c:v>648</c:v>
                </c:pt>
                <c:pt idx="141">
                  <c:v>607</c:v>
                </c:pt>
                <c:pt idx="142">
                  <c:v>571.5</c:v>
                </c:pt>
                <c:pt idx="143">
                  <c:v>536</c:v>
                </c:pt>
                <c:pt idx="144">
                  <c:v>506</c:v>
                </c:pt>
                <c:pt idx="145">
                  <c:v>500</c:v>
                </c:pt>
                <c:pt idx="146">
                  <c:v>500</c:v>
                </c:pt>
                <c:pt idx="147">
                  <c:v>500</c:v>
                </c:pt>
                <c:pt idx="148">
                  <c:v>500</c:v>
                </c:pt>
                <c:pt idx="149">
                  <c:v>500</c:v>
                </c:pt>
                <c:pt idx="150">
                  <c:v>500</c:v>
                </c:pt>
                <c:pt idx="151">
                  <c:v>500</c:v>
                </c:pt>
                <c:pt idx="152">
                  <c:v>500</c:v>
                </c:pt>
                <c:pt idx="153">
                  <c:v>500</c:v>
                </c:pt>
                <c:pt idx="154">
                  <c:v>500</c:v>
                </c:pt>
                <c:pt idx="155">
                  <c:v>500</c:v>
                </c:pt>
                <c:pt idx="156">
                  <c:v>500</c:v>
                </c:pt>
                <c:pt idx="157">
                  <c:v>500</c:v>
                </c:pt>
                <c:pt idx="158">
                  <c:v>500</c:v>
                </c:pt>
                <c:pt idx="159">
                  <c:v>500</c:v>
                </c:pt>
                <c:pt idx="160">
                  <c:v>500</c:v>
                </c:pt>
                <c:pt idx="161">
                  <c:v>500</c:v>
                </c:pt>
                <c:pt idx="162">
                  <c:v>500</c:v>
                </c:pt>
                <c:pt idx="163">
                  <c:v>500</c:v>
                </c:pt>
                <c:pt idx="164">
                  <c:v>500</c:v>
                </c:pt>
                <c:pt idx="165">
                  <c:v>500</c:v>
                </c:pt>
                <c:pt idx="166">
                  <c:v>500</c:v>
                </c:pt>
                <c:pt idx="167">
                  <c:v>500</c:v>
                </c:pt>
                <c:pt idx="168">
                  <c:v>500</c:v>
                </c:pt>
                <c:pt idx="169">
                  <c:v>500</c:v>
                </c:pt>
                <c:pt idx="170">
                  <c:v>500</c:v>
                </c:pt>
                <c:pt idx="171">
                  <c:v>500</c:v>
                </c:pt>
                <c:pt idx="172">
                  <c:v>500</c:v>
                </c:pt>
                <c:pt idx="173">
                  <c:v>500</c:v>
                </c:pt>
                <c:pt idx="174">
                  <c:v>500</c:v>
                </c:pt>
                <c:pt idx="175">
                  <c:v>500</c:v>
                </c:pt>
                <c:pt idx="176">
                  <c:v>500</c:v>
                </c:pt>
                <c:pt idx="177">
                  <c:v>500</c:v>
                </c:pt>
                <c:pt idx="178">
                  <c:v>500</c:v>
                </c:pt>
                <c:pt idx="179">
                  <c:v>500</c:v>
                </c:pt>
                <c:pt idx="180">
                  <c:v>500</c:v>
                </c:pt>
                <c:pt idx="181">
                  <c:v>500</c:v>
                </c:pt>
                <c:pt idx="182">
                  <c:v>500</c:v>
                </c:pt>
                <c:pt idx="183">
                  <c:v>500</c:v>
                </c:pt>
                <c:pt idx="184">
                  <c:v>500</c:v>
                </c:pt>
                <c:pt idx="185">
                  <c:v>500</c:v>
                </c:pt>
                <c:pt idx="186">
                  <c:v>500</c:v>
                </c:pt>
                <c:pt idx="187">
                  <c:v>500</c:v>
                </c:pt>
                <c:pt idx="188">
                  <c:v>500</c:v>
                </c:pt>
                <c:pt idx="189">
                  <c:v>500</c:v>
                </c:pt>
                <c:pt idx="190">
                  <c:v>500</c:v>
                </c:pt>
                <c:pt idx="191">
                  <c:v>500</c:v>
                </c:pt>
                <c:pt idx="192">
                  <c:v>500</c:v>
                </c:pt>
                <c:pt idx="193">
                  <c:v>500</c:v>
                </c:pt>
                <c:pt idx="194">
                  <c:v>500</c:v>
                </c:pt>
                <c:pt idx="195">
                  <c:v>500</c:v>
                </c:pt>
                <c:pt idx="196">
                  <c:v>500</c:v>
                </c:pt>
                <c:pt idx="197">
                  <c:v>500</c:v>
                </c:pt>
                <c:pt idx="198">
                  <c:v>500</c:v>
                </c:pt>
                <c:pt idx="199">
                  <c:v>500</c:v>
                </c:pt>
                <c:pt idx="200">
                  <c:v>500</c:v>
                </c:pt>
                <c:pt idx="201">
                  <c:v>500</c:v>
                </c:pt>
                <c:pt idx="202">
                  <c:v>500</c:v>
                </c:pt>
                <c:pt idx="203">
                  <c:v>500</c:v>
                </c:pt>
                <c:pt idx="204">
                  <c:v>500</c:v>
                </c:pt>
                <c:pt idx="205">
                  <c:v>500</c:v>
                </c:pt>
                <c:pt idx="206">
                  <c:v>500</c:v>
                </c:pt>
                <c:pt idx="207">
                  <c:v>500</c:v>
                </c:pt>
                <c:pt idx="208">
                  <c:v>500</c:v>
                </c:pt>
                <c:pt idx="209">
                  <c:v>500</c:v>
                </c:pt>
                <c:pt idx="210">
                  <c:v>500</c:v>
                </c:pt>
                <c:pt idx="211">
                  <c:v>500</c:v>
                </c:pt>
                <c:pt idx="212">
                  <c:v>500</c:v>
                </c:pt>
                <c:pt idx="213">
                  <c:v>500</c:v>
                </c:pt>
                <c:pt idx="214">
                  <c:v>500</c:v>
                </c:pt>
                <c:pt idx="215">
                  <c:v>500</c:v>
                </c:pt>
                <c:pt idx="216">
                  <c:v>500</c:v>
                </c:pt>
                <c:pt idx="217">
                  <c:v>500</c:v>
                </c:pt>
                <c:pt idx="218">
                  <c:v>500</c:v>
                </c:pt>
                <c:pt idx="219">
                  <c:v>500</c:v>
                </c:pt>
                <c:pt idx="220">
                  <c:v>500</c:v>
                </c:pt>
                <c:pt idx="221">
                  <c:v>500</c:v>
                </c:pt>
                <c:pt idx="222">
                  <c:v>500</c:v>
                </c:pt>
                <c:pt idx="223">
                  <c:v>500</c:v>
                </c:pt>
                <c:pt idx="224">
                  <c:v>500</c:v>
                </c:pt>
                <c:pt idx="225">
                  <c:v>500</c:v>
                </c:pt>
                <c:pt idx="226">
                  <c:v>500</c:v>
                </c:pt>
                <c:pt idx="227">
                  <c:v>500</c:v>
                </c:pt>
                <c:pt idx="228">
                  <c:v>500</c:v>
                </c:pt>
                <c:pt idx="229">
                  <c:v>500</c:v>
                </c:pt>
                <c:pt idx="230">
                  <c:v>500</c:v>
                </c:pt>
                <c:pt idx="231">
                  <c:v>500</c:v>
                </c:pt>
                <c:pt idx="232">
                  <c:v>500</c:v>
                </c:pt>
                <c:pt idx="233">
                  <c:v>500</c:v>
                </c:pt>
                <c:pt idx="234">
                  <c:v>500</c:v>
                </c:pt>
                <c:pt idx="235">
                  <c:v>500</c:v>
                </c:pt>
                <c:pt idx="236">
                  <c:v>500</c:v>
                </c:pt>
                <c:pt idx="237">
                  <c:v>500</c:v>
                </c:pt>
                <c:pt idx="238">
                  <c:v>500</c:v>
                </c:pt>
                <c:pt idx="239">
                  <c:v>500</c:v>
                </c:pt>
                <c:pt idx="240">
                  <c:v>500</c:v>
                </c:pt>
                <c:pt idx="241">
                  <c:v>500</c:v>
                </c:pt>
                <c:pt idx="242">
                  <c:v>500</c:v>
                </c:pt>
                <c:pt idx="243">
                  <c:v>500</c:v>
                </c:pt>
                <c:pt idx="244">
                  <c:v>500</c:v>
                </c:pt>
                <c:pt idx="245">
                  <c:v>500</c:v>
                </c:pt>
                <c:pt idx="246">
                  <c:v>500</c:v>
                </c:pt>
                <c:pt idx="247">
                  <c:v>500</c:v>
                </c:pt>
                <c:pt idx="248">
                  <c:v>500</c:v>
                </c:pt>
                <c:pt idx="249">
                  <c:v>500</c:v>
                </c:pt>
                <c:pt idx="250">
                  <c:v>500</c:v>
                </c:pt>
                <c:pt idx="251">
                  <c:v>500</c:v>
                </c:pt>
                <c:pt idx="252">
                  <c:v>500</c:v>
                </c:pt>
                <c:pt idx="253">
                  <c:v>500</c:v>
                </c:pt>
                <c:pt idx="254">
                  <c:v>122.65779999999999</c:v>
                </c:pt>
                <c:pt idx="255">
                  <c:v>8.4800000000000001E-4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778496"/>
        <c:axId val="214302720"/>
      </c:lineChart>
      <c:lineChart>
        <c:grouping val="standard"/>
        <c:varyColors val="0"/>
        <c:ser>
          <c:idx val="2"/>
          <c:order val="2"/>
          <c:tx>
            <c:strRef>
              <c:f>河口村!$E$1</c:f>
              <c:strCache>
                <c:ptCount val="1"/>
                <c:pt idx="0">
                  <c:v>水位</c:v>
                </c:pt>
              </c:strCache>
            </c:strRef>
          </c:tx>
          <c:marker>
            <c:symbol val="none"/>
          </c:marker>
          <c:val>
            <c:numRef>
              <c:f>河口村!$E$2:$E$746</c:f>
              <c:numCache>
                <c:formatCode>General</c:formatCode>
                <c:ptCount val="745"/>
                <c:pt idx="0">
                  <c:v>234.20939999999999</c:v>
                </c:pt>
                <c:pt idx="1">
                  <c:v>234.0788</c:v>
                </c:pt>
                <c:pt idx="2">
                  <c:v>233.94820000000001</c:v>
                </c:pt>
                <c:pt idx="3">
                  <c:v>233.8176</c:v>
                </c:pt>
                <c:pt idx="4">
                  <c:v>233.68700000000001</c:v>
                </c:pt>
                <c:pt idx="5">
                  <c:v>233.5564</c:v>
                </c:pt>
                <c:pt idx="6">
                  <c:v>233.42580000000001</c:v>
                </c:pt>
                <c:pt idx="7">
                  <c:v>233.2953</c:v>
                </c:pt>
                <c:pt idx="8">
                  <c:v>233.16470000000001</c:v>
                </c:pt>
                <c:pt idx="9">
                  <c:v>233.0341</c:v>
                </c:pt>
                <c:pt idx="10">
                  <c:v>232.90379999999999</c:v>
                </c:pt>
                <c:pt idx="11">
                  <c:v>232.77420000000001</c:v>
                </c:pt>
                <c:pt idx="12">
                  <c:v>232.6456</c:v>
                </c:pt>
                <c:pt idx="13">
                  <c:v>232.51820000000001</c:v>
                </c:pt>
                <c:pt idx="14">
                  <c:v>232.3929</c:v>
                </c:pt>
                <c:pt idx="15">
                  <c:v>232.27010000000001</c:v>
                </c:pt>
                <c:pt idx="16">
                  <c:v>232.1499</c:v>
                </c:pt>
                <c:pt idx="17">
                  <c:v>232.0324</c:v>
                </c:pt>
                <c:pt idx="18">
                  <c:v>231.9178</c:v>
                </c:pt>
                <c:pt idx="19">
                  <c:v>231.8065</c:v>
                </c:pt>
                <c:pt idx="20">
                  <c:v>231.70400000000001</c:v>
                </c:pt>
                <c:pt idx="21">
                  <c:v>231.61580000000001</c:v>
                </c:pt>
                <c:pt idx="22">
                  <c:v>231.55439999999999</c:v>
                </c:pt>
                <c:pt idx="23">
                  <c:v>231.53219999999999</c:v>
                </c:pt>
                <c:pt idx="24">
                  <c:v>231.5309</c:v>
                </c:pt>
                <c:pt idx="25">
                  <c:v>231.5309</c:v>
                </c:pt>
                <c:pt idx="26">
                  <c:v>231.5309</c:v>
                </c:pt>
                <c:pt idx="27">
                  <c:v>231.5309</c:v>
                </c:pt>
                <c:pt idx="28">
                  <c:v>231.5309</c:v>
                </c:pt>
                <c:pt idx="29">
                  <c:v>232.09710000000001</c:v>
                </c:pt>
                <c:pt idx="30">
                  <c:v>233.2946</c:v>
                </c:pt>
                <c:pt idx="31">
                  <c:v>234.62270000000001</c:v>
                </c:pt>
                <c:pt idx="32">
                  <c:v>236.04130000000001</c:v>
                </c:pt>
                <c:pt idx="33">
                  <c:v>237.51009999999999</c:v>
                </c:pt>
                <c:pt idx="34">
                  <c:v>238.9118</c:v>
                </c:pt>
                <c:pt idx="35">
                  <c:v>240.2799</c:v>
                </c:pt>
                <c:pt idx="36">
                  <c:v>241.6276</c:v>
                </c:pt>
                <c:pt idx="37">
                  <c:v>242.95410000000001</c:v>
                </c:pt>
                <c:pt idx="38">
                  <c:v>244.25819999999999</c:v>
                </c:pt>
                <c:pt idx="39">
                  <c:v>245.51070000000001</c:v>
                </c:pt>
                <c:pt idx="40">
                  <c:v>246.70580000000001</c:v>
                </c:pt>
                <c:pt idx="41">
                  <c:v>247.84219999999999</c:v>
                </c:pt>
                <c:pt idx="42">
                  <c:v>248.88759999999999</c:v>
                </c:pt>
                <c:pt idx="43">
                  <c:v>249.8766</c:v>
                </c:pt>
                <c:pt idx="44">
                  <c:v>250.78100000000001</c:v>
                </c:pt>
                <c:pt idx="45">
                  <c:v>251.63149999999999</c:v>
                </c:pt>
                <c:pt idx="46">
                  <c:v>252.4187</c:v>
                </c:pt>
                <c:pt idx="47">
                  <c:v>253.14830000000001</c:v>
                </c:pt>
                <c:pt idx="48">
                  <c:v>253.83770000000001</c:v>
                </c:pt>
                <c:pt idx="49">
                  <c:v>254.4718</c:v>
                </c:pt>
                <c:pt idx="50">
                  <c:v>255.0686</c:v>
                </c:pt>
                <c:pt idx="51">
                  <c:v>255.63820000000001</c:v>
                </c:pt>
                <c:pt idx="52">
                  <c:v>256.18</c:v>
                </c:pt>
                <c:pt idx="53">
                  <c:v>256.69409999999999</c:v>
                </c:pt>
                <c:pt idx="54">
                  <c:v>257.20229999999998</c:v>
                </c:pt>
                <c:pt idx="55">
                  <c:v>257.71370000000002</c:v>
                </c:pt>
                <c:pt idx="56">
                  <c:v>258.2269</c:v>
                </c:pt>
                <c:pt idx="57">
                  <c:v>258.74560000000002</c:v>
                </c:pt>
                <c:pt idx="58">
                  <c:v>259.7747</c:v>
                </c:pt>
                <c:pt idx="59">
                  <c:v>261.75080000000003</c:v>
                </c:pt>
                <c:pt idx="60">
                  <c:v>263.96210000000002</c:v>
                </c:pt>
                <c:pt idx="61">
                  <c:v>265.74450000000002</c:v>
                </c:pt>
                <c:pt idx="62">
                  <c:v>267.14690000000002</c:v>
                </c:pt>
                <c:pt idx="63">
                  <c:v>268.2235</c:v>
                </c:pt>
                <c:pt idx="64">
                  <c:v>269.2396</c:v>
                </c:pt>
                <c:pt idx="65">
                  <c:v>270.47059999999999</c:v>
                </c:pt>
                <c:pt idx="66">
                  <c:v>271.89999999999998</c:v>
                </c:pt>
                <c:pt idx="67">
                  <c:v>273.50110000000001</c:v>
                </c:pt>
                <c:pt idx="68">
                  <c:v>275.28280000000001</c:v>
                </c:pt>
                <c:pt idx="69">
                  <c:v>276.35239999999999</c:v>
                </c:pt>
                <c:pt idx="70">
                  <c:v>276.68700000000001</c:v>
                </c:pt>
                <c:pt idx="71">
                  <c:v>277.14909999999998</c:v>
                </c:pt>
                <c:pt idx="72">
                  <c:v>277.6927</c:v>
                </c:pt>
                <c:pt idx="73">
                  <c:v>278.26339999999999</c:v>
                </c:pt>
                <c:pt idx="74">
                  <c:v>278.82380000000001</c:v>
                </c:pt>
                <c:pt idx="75">
                  <c:v>279.34750000000003</c:v>
                </c:pt>
                <c:pt idx="76">
                  <c:v>279.81119999999999</c:v>
                </c:pt>
                <c:pt idx="77">
                  <c:v>280.18599999999998</c:v>
                </c:pt>
                <c:pt idx="78">
                  <c:v>280.46030000000002</c:v>
                </c:pt>
                <c:pt idx="79">
                  <c:v>280.62540000000001</c:v>
                </c:pt>
                <c:pt idx="80">
                  <c:v>280.67680000000001</c:v>
                </c:pt>
                <c:pt idx="81">
                  <c:v>280.60989999999998</c:v>
                </c:pt>
                <c:pt idx="82">
                  <c:v>280.4323</c:v>
                </c:pt>
                <c:pt idx="83">
                  <c:v>280.15129999999999</c:v>
                </c:pt>
                <c:pt idx="84">
                  <c:v>279.77879999999999</c:v>
                </c:pt>
                <c:pt idx="85">
                  <c:v>279.3329</c:v>
                </c:pt>
                <c:pt idx="86">
                  <c:v>278.89499999999998</c:v>
                </c:pt>
                <c:pt idx="87">
                  <c:v>278.54169999999999</c:v>
                </c:pt>
                <c:pt idx="88">
                  <c:v>278.30439999999999</c:v>
                </c:pt>
                <c:pt idx="89">
                  <c:v>278.21449999999999</c:v>
                </c:pt>
                <c:pt idx="90">
                  <c:v>278.28500000000003</c:v>
                </c:pt>
                <c:pt idx="91">
                  <c:v>278.52870000000001</c:v>
                </c:pt>
                <c:pt idx="92">
                  <c:v>278.99160000000001</c:v>
                </c:pt>
                <c:pt idx="93">
                  <c:v>279.71949999999998</c:v>
                </c:pt>
                <c:pt idx="94">
                  <c:v>280.55619999999999</c:v>
                </c:pt>
                <c:pt idx="95">
                  <c:v>281.37150000000003</c:v>
                </c:pt>
                <c:pt idx="96">
                  <c:v>282.09390000000002</c:v>
                </c:pt>
                <c:pt idx="97">
                  <c:v>282.63420000000002</c:v>
                </c:pt>
                <c:pt idx="98">
                  <c:v>283.00810000000001</c:v>
                </c:pt>
                <c:pt idx="99">
                  <c:v>283.20890000000003</c:v>
                </c:pt>
                <c:pt idx="100">
                  <c:v>283.24520000000001</c:v>
                </c:pt>
                <c:pt idx="101">
                  <c:v>283.12569999999999</c:v>
                </c:pt>
                <c:pt idx="102">
                  <c:v>282.86509999999998</c:v>
                </c:pt>
                <c:pt idx="103">
                  <c:v>282.4778</c:v>
                </c:pt>
                <c:pt idx="104">
                  <c:v>281.97770000000003</c:v>
                </c:pt>
                <c:pt idx="105">
                  <c:v>281.35840000000002</c:v>
                </c:pt>
                <c:pt idx="106">
                  <c:v>280.65379999999999</c:v>
                </c:pt>
                <c:pt idx="107">
                  <c:v>279.8766</c:v>
                </c:pt>
                <c:pt idx="108">
                  <c:v>279.0283</c:v>
                </c:pt>
                <c:pt idx="109">
                  <c:v>278.14890000000003</c:v>
                </c:pt>
                <c:pt idx="110">
                  <c:v>277.22179999999997</c:v>
                </c:pt>
                <c:pt idx="111">
                  <c:v>276.27109999999999</c:v>
                </c:pt>
                <c:pt idx="112">
                  <c:v>275.78339999999997</c:v>
                </c:pt>
                <c:pt idx="113">
                  <c:v>275.78339999999997</c:v>
                </c:pt>
                <c:pt idx="114">
                  <c:v>275.78339999999997</c:v>
                </c:pt>
                <c:pt idx="115">
                  <c:v>275.78339999999997</c:v>
                </c:pt>
                <c:pt idx="116">
                  <c:v>275.78339999999997</c:v>
                </c:pt>
                <c:pt idx="117">
                  <c:v>275.78339999999997</c:v>
                </c:pt>
                <c:pt idx="118">
                  <c:v>275.78339999999997</c:v>
                </c:pt>
                <c:pt idx="119">
                  <c:v>275.78339999999997</c:v>
                </c:pt>
                <c:pt idx="120">
                  <c:v>275.78339999999997</c:v>
                </c:pt>
                <c:pt idx="121">
                  <c:v>275.78339999999997</c:v>
                </c:pt>
                <c:pt idx="122">
                  <c:v>275.78339999999997</c:v>
                </c:pt>
                <c:pt idx="123">
                  <c:v>275.78339999999997</c:v>
                </c:pt>
                <c:pt idx="124">
                  <c:v>275.78339999999997</c:v>
                </c:pt>
                <c:pt idx="125">
                  <c:v>275.78339999999997</c:v>
                </c:pt>
                <c:pt idx="126">
                  <c:v>275.78339999999997</c:v>
                </c:pt>
                <c:pt idx="127">
                  <c:v>275.78339999999997</c:v>
                </c:pt>
                <c:pt idx="128">
                  <c:v>275.78339999999997</c:v>
                </c:pt>
                <c:pt idx="129">
                  <c:v>275.78339999999997</c:v>
                </c:pt>
                <c:pt idx="130">
                  <c:v>275.78339999999997</c:v>
                </c:pt>
                <c:pt idx="131">
                  <c:v>275.78339999999997</c:v>
                </c:pt>
                <c:pt idx="132">
                  <c:v>275.78339999999997</c:v>
                </c:pt>
                <c:pt idx="133">
                  <c:v>275.78339999999997</c:v>
                </c:pt>
                <c:pt idx="134">
                  <c:v>275.78339999999997</c:v>
                </c:pt>
                <c:pt idx="135">
                  <c:v>275.78339999999997</c:v>
                </c:pt>
                <c:pt idx="136">
                  <c:v>275.78339999999997</c:v>
                </c:pt>
                <c:pt idx="137">
                  <c:v>275.78339999999997</c:v>
                </c:pt>
                <c:pt idx="138">
                  <c:v>275.78339999999997</c:v>
                </c:pt>
                <c:pt idx="139">
                  <c:v>275.78339999999997</c:v>
                </c:pt>
                <c:pt idx="140">
                  <c:v>275.78339999999997</c:v>
                </c:pt>
                <c:pt idx="141">
                  <c:v>275.78339999999997</c:v>
                </c:pt>
                <c:pt idx="142">
                  <c:v>275.78339999999997</c:v>
                </c:pt>
                <c:pt idx="143">
                  <c:v>275.78339999999997</c:v>
                </c:pt>
                <c:pt idx="144">
                  <c:v>275.78339999999997</c:v>
                </c:pt>
                <c:pt idx="145">
                  <c:v>275.77609999999999</c:v>
                </c:pt>
                <c:pt idx="146">
                  <c:v>275.75349999999997</c:v>
                </c:pt>
                <c:pt idx="147">
                  <c:v>275.71510000000001</c:v>
                </c:pt>
                <c:pt idx="148">
                  <c:v>275.6617</c:v>
                </c:pt>
                <c:pt idx="149">
                  <c:v>275.59379999999999</c:v>
                </c:pt>
                <c:pt idx="150">
                  <c:v>275.51280000000003</c:v>
                </c:pt>
                <c:pt idx="151">
                  <c:v>275.41950000000003</c:v>
                </c:pt>
                <c:pt idx="152">
                  <c:v>275.31470000000002</c:v>
                </c:pt>
                <c:pt idx="153">
                  <c:v>275.19889999999998</c:v>
                </c:pt>
                <c:pt idx="154">
                  <c:v>275.0727</c:v>
                </c:pt>
                <c:pt idx="155">
                  <c:v>274.93680000000001</c:v>
                </c:pt>
                <c:pt idx="156">
                  <c:v>274.79149999999998</c:v>
                </c:pt>
                <c:pt idx="157">
                  <c:v>274.63749999999999</c:v>
                </c:pt>
                <c:pt idx="158">
                  <c:v>274.47500000000002</c:v>
                </c:pt>
                <c:pt idx="159">
                  <c:v>274.30470000000003</c:v>
                </c:pt>
                <c:pt idx="160">
                  <c:v>274.12650000000002</c:v>
                </c:pt>
                <c:pt idx="161">
                  <c:v>273.93860000000001</c:v>
                </c:pt>
                <c:pt idx="162">
                  <c:v>273.73860000000002</c:v>
                </c:pt>
                <c:pt idx="163">
                  <c:v>273.53129999999999</c:v>
                </c:pt>
                <c:pt idx="164">
                  <c:v>273.31720000000001</c:v>
                </c:pt>
                <c:pt idx="165">
                  <c:v>273.09679999999997</c:v>
                </c:pt>
                <c:pt idx="166">
                  <c:v>272.87049999999999</c:v>
                </c:pt>
                <c:pt idx="167">
                  <c:v>272.63889999999998</c:v>
                </c:pt>
                <c:pt idx="168">
                  <c:v>272.40210000000002</c:v>
                </c:pt>
                <c:pt idx="169">
                  <c:v>272.16019999999997</c:v>
                </c:pt>
                <c:pt idx="170">
                  <c:v>271.91109999999998</c:v>
                </c:pt>
                <c:pt idx="171">
                  <c:v>271.65280000000001</c:v>
                </c:pt>
                <c:pt idx="172">
                  <c:v>271.39019999999999</c:v>
                </c:pt>
                <c:pt idx="173">
                  <c:v>271.12349999999998</c:v>
                </c:pt>
                <c:pt idx="174">
                  <c:v>270.8528</c:v>
                </c:pt>
                <c:pt idx="175">
                  <c:v>270.57859999999999</c:v>
                </c:pt>
                <c:pt idx="176">
                  <c:v>270.30090000000001</c:v>
                </c:pt>
                <c:pt idx="177">
                  <c:v>270.01990000000001</c:v>
                </c:pt>
                <c:pt idx="178">
                  <c:v>269.72829999999999</c:v>
                </c:pt>
                <c:pt idx="179">
                  <c:v>269.43329999999997</c:v>
                </c:pt>
                <c:pt idx="180">
                  <c:v>269.13580000000002</c:v>
                </c:pt>
                <c:pt idx="181">
                  <c:v>268.83600000000001</c:v>
                </c:pt>
                <c:pt idx="182">
                  <c:v>268.53410000000002</c:v>
                </c:pt>
                <c:pt idx="183">
                  <c:v>268.23</c:v>
                </c:pt>
                <c:pt idx="184">
                  <c:v>267.92200000000003</c:v>
                </c:pt>
                <c:pt idx="185">
                  <c:v>267.60570000000001</c:v>
                </c:pt>
                <c:pt idx="186">
                  <c:v>267.28769999999997</c:v>
                </c:pt>
                <c:pt idx="187">
                  <c:v>266.96800000000002</c:v>
                </c:pt>
                <c:pt idx="188">
                  <c:v>266.64670000000001</c:v>
                </c:pt>
                <c:pt idx="189">
                  <c:v>266.32400000000001</c:v>
                </c:pt>
                <c:pt idx="190">
                  <c:v>265.99979999999999</c:v>
                </c:pt>
                <c:pt idx="191">
                  <c:v>265.66309999999999</c:v>
                </c:pt>
                <c:pt idx="192">
                  <c:v>265.32499999999999</c:v>
                </c:pt>
                <c:pt idx="193">
                  <c:v>264.98590000000002</c:v>
                </c:pt>
                <c:pt idx="194">
                  <c:v>264.64550000000003</c:v>
                </c:pt>
                <c:pt idx="195">
                  <c:v>264.30360000000002</c:v>
                </c:pt>
                <c:pt idx="196">
                  <c:v>263.95920000000001</c:v>
                </c:pt>
                <c:pt idx="197">
                  <c:v>263.6044</c:v>
                </c:pt>
                <c:pt idx="198">
                  <c:v>263.2484</c:v>
                </c:pt>
                <c:pt idx="199">
                  <c:v>262.89120000000003</c:v>
                </c:pt>
                <c:pt idx="200">
                  <c:v>262.53309999999999</c:v>
                </c:pt>
                <c:pt idx="201">
                  <c:v>262.17430000000002</c:v>
                </c:pt>
                <c:pt idx="202">
                  <c:v>261.8098</c:v>
                </c:pt>
                <c:pt idx="203">
                  <c:v>261.43970000000002</c:v>
                </c:pt>
                <c:pt idx="204">
                  <c:v>261.06889999999999</c:v>
                </c:pt>
                <c:pt idx="205">
                  <c:v>260.69729999999998</c:v>
                </c:pt>
                <c:pt idx="206">
                  <c:v>260.32499999999999</c:v>
                </c:pt>
                <c:pt idx="207">
                  <c:v>259.95030000000003</c:v>
                </c:pt>
                <c:pt idx="208">
                  <c:v>259.5641</c:v>
                </c:pt>
                <c:pt idx="209">
                  <c:v>259.17739999999998</c:v>
                </c:pt>
                <c:pt idx="210">
                  <c:v>258.79039999999998</c:v>
                </c:pt>
                <c:pt idx="211">
                  <c:v>258.40300000000002</c:v>
                </c:pt>
                <c:pt idx="212">
                  <c:v>258.01519999999999</c:v>
                </c:pt>
                <c:pt idx="213">
                  <c:v>257.61470000000003</c:v>
                </c:pt>
                <c:pt idx="214">
                  <c:v>257.21319999999997</c:v>
                </c:pt>
                <c:pt idx="215">
                  <c:v>256.81130000000002</c:v>
                </c:pt>
                <c:pt idx="216">
                  <c:v>256.4092</c:v>
                </c:pt>
                <c:pt idx="217">
                  <c:v>256.00709999999998</c:v>
                </c:pt>
                <c:pt idx="218">
                  <c:v>255.59049999999999</c:v>
                </c:pt>
                <c:pt idx="219">
                  <c:v>255.17359999999999</c:v>
                </c:pt>
                <c:pt idx="220">
                  <c:v>254.7568</c:v>
                </c:pt>
                <c:pt idx="221">
                  <c:v>254.3399</c:v>
                </c:pt>
                <c:pt idx="222">
                  <c:v>253.92</c:v>
                </c:pt>
                <c:pt idx="223">
                  <c:v>253.48689999999999</c:v>
                </c:pt>
                <c:pt idx="224">
                  <c:v>253.05369999999999</c:v>
                </c:pt>
                <c:pt idx="225">
                  <c:v>252.6206</c:v>
                </c:pt>
                <c:pt idx="226">
                  <c:v>252.1875</c:v>
                </c:pt>
                <c:pt idx="227">
                  <c:v>251.74469999999999</c:v>
                </c:pt>
                <c:pt idx="228">
                  <c:v>251.29470000000001</c:v>
                </c:pt>
                <c:pt idx="229">
                  <c:v>250.84469999999999</c:v>
                </c:pt>
                <c:pt idx="230">
                  <c:v>250.3947</c:v>
                </c:pt>
                <c:pt idx="231">
                  <c:v>249.94220000000001</c:v>
                </c:pt>
                <c:pt idx="232">
                  <c:v>249.47200000000001</c:v>
                </c:pt>
                <c:pt idx="233">
                  <c:v>249.0018</c:v>
                </c:pt>
                <c:pt idx="234">
                  <c:v>248.5317</c:v>
                </c:pt>
                <c:pt idx="235">
                  <c:v>248.0615</c:v>
                </c:pt>
                <c:pt idx="236">
                  <c:v>247.56970000000001</c:v>
                </c:pt>
                <c:pt idx="237">
                  <c:v>247.0746</c:v>
                </c:pt>
                <c:pt idx="238">
                  <c:v>246.5795</c:v>
                </c:pt>
                <c:pt idx="239">
                  <c:v>246.08449999999999</c:v>
                </c:pt>
                <c:pt idx="240">
                  <c:v>245.57050000000001</c:v>
                </c:pt>
                <c:pt idx="241">
                  <c:v>245.05260000000001</c:v>
                </c:pt>
                <c:pt idx="242">
                  <c:v>244.53479999999999</c:v>
                </c:pt>
                <c:pt idx="243">
                  <c:v>244.01689999999999</c:v>
                </c:pt>
                <c:pt idx="244">
                  <c:v>243.4787</c:v>
                </c:pt>
                <c:pt idx="245">
                  <c:v>242.93979999999999</c:v>
                </c:pt>
                <c:pt idx="246">
                  <c:v>242.40090000000001</c:v>
                </c:pt>
                <c:pt idx="247">
                  <c:v>241.85659999999999</c:v>
                </c:pt>
                <c:pt idx="248">
                  <c:v>241.29660000000001</c:v>
                </c:pt>
                <c:pt idx="249">
                  <c:v>240.73660000000001</c:v>
                </c:pt>
                <c:pt idx="250">
                  <c:v>240.17660000000001</c:v>
                </c:pt>
                <c:pt idx="251">
                  <c:v>239.60079999999999</c:v>
                </c:pt>
                <c:pt idx="252">
                  <c:v>239.01769999999999</c:v>
                </c:pt>
                <c:pt idx="253">
                  <c:v>238.43459999999999</c:v>
                </c:pt>
                <c:pt idx="254">
                  <c:v>238.07149999999999</c:v>
                </c:pt>
                <c:pt idx="255">
                  <c:v>238</c:v>
                </c:pt>
                <c:pt idx="256">
                  <c:v>238</c:v>
                </c:pt>
                <c:pt idx="257">
                  <c:v>238</c:v>
                </c:pt>
                <c:pt idx="258">
                  <c:v>238</c:v>
                </c:pt>
                <c:pt idx="259">
                  <c:v>238</c:v>
                </c:pt>
                <c:pt idx="260">
                  <c:v>238</c:v>
                </c:pt>
                <c:pt idx="261">
                  <c:v>238</c:v>
                </c:pt>
                <c:pt idx="262">
                  <c:v>238</c:v>
                </c:pt>
                <c:pt idx="263">
                  <c:v>238</c:v>
                </c:pt>
                <c:pt idx="264">
                  <c:v>238</c:v>
                </c:pt>
                <c:pt idx="265">
                  <c:v>238</c:v>
                </c:pt>
                <c:pt idx="266">
                  <c:v>238</c:v>
                </c:pt>
                <c:pt idx="267">
                  <c:v>238</c:v>
                </c:pt>
                <c:pt idx="268">
                  <c:v>238</c:v>
                </c:pt>
                <c:pt idx="269">
                  <c:v>238</c:v>
                </c:pt>
                <c:pt idx="270">
                  <c:v>238</c:v>
                </c:pt>
                <c:pt idx="271">
                  <c:v>238</c:v>
                </c:pt>
                <c:pt idx="272">
                  <c:v>238</c:v>
                </c:pt>
                <c:pt idx="273">
                  <c:v>238</c:v>
                </c:pt>
                <c:pt idx="274">
                  <c:v>238</c:v>
                </c:pt>
                <c:pt idx="275">
                  <c:v>238</c:v>
                </c:pt>
                <c:pt idx="276">
                  <c:v>238</c:v>
                </c:pt>
                <c:pt idx="277">
                  <c:v>238</c:v>
                </c:pt>
                <c:pt idx="278">
                  <c:v>238</c:v>
                </c:pt>
                <c:pt idx="279">
                  <c:v>238</c:v>
                </c:pt>
                <c:pt idx="280">
                  <c:v>238</c:v>
                </c:pt>
                <c:pt idx="281">
                  <c:v>238</c:v>
                </c:pt>
                <c:pt idx="282">
                  <c:v>238</c:v>
                </c:pt>
                <c:pt idx="283">
                  <c:v>238</c:v>
                </c:pt>
                <c:pt idx="284">
                  <c:v>238</c:v>
                </c:pt>
                <c:pt idx="285">
                  <c:v>238</c:v>
                </c:pt>
                <c:pt idx="286">
                  <c:v>238</c:v>
                </c:pt>
                <c:pt idx="287">
                  <c:v>238</c:v>
                </c:pt>
                <c:pt idx="288">
                  <c:v>238</c:v>
                </c:pt>
                <c:pt idx="289">
                  <c:v>238</c:v>
                </c:pt>
                <c:pt idx="290">
                  <c:v>238</c:v>
                </c:pt>
                <c:pt idx="291">
                  <c:v>238</c:v>
                </c:pt>
                <c:pt idx="292">
                  <c:v>238</c:v>
                </c:pt>
                <c:pt idx="293">
                  <c:v>238</c:v>
                </c:pt>
                <c:pt idx="294">
                  <c:v>238</c:v>
                </c:pt>
                <c:pt idx="295">
                  <c:v>238</c:v>
                </c:pt>
                <c:pt idx="296">
                  <c:v>238</c:v>
                </c:pt>
                <c:pt idx="297">
                  <c:v>238</c:v>
                </c:pt>
                <c:pt idx="298">
                  <c:v>238</c:v>
                </c:pt>
                <c:pt idx="299">
                  <c:v>238</c:v>
                </c:pt>
                <c:pt idx="300">
                  <c:v>238</c:v>
                </c:pt>
                <c:pt idx="301">
                  <c:v>238</c:v>
                </c:pt>
                <c:pt idx="302">
                  <c:v>238</c:v>
                </c:pt>
                <c:pt idx="303">
                  <c:v>238</c:v>
                </c:pt>
                <c:pt idx="304">
                  <c:v>238</c:v>
                </c:pt>
                <c:pt idx="305">
                  <c:v>238</c:v>
                </c:pt>
                <c:pt idx="306">
                  <c:v>238</c:v>
                </c:pt>
                <c:pt idx="307">
                  <c:v>238</c:v>
                </c:pt>
                <c:pt idx="308">
                  <c:v>238</c:v>
                </c:pt>
                <c:pt idx="309">
                  <c:v>238</c:v>
                </c:pt>
                <c:pt idx="310">
                  <c:v>238</c:v>
                </c:pt>
                <c:pt idx="311">
                  <c:v>238</c:v>
                </c:pt>
                <c:pt idx="312">
                  <c:v>238</c:v>
                </c:pt>
                <c:pt idx="313">
                  <c:v>238</c:v>
                </c:pt>
                <c:pt idx="314">
                  <c:v>238</c:v>
                </c:pt>
                <c:pt idx="315">
                  <c:v>238</c:v>
                </c:pt>
                <c:pt idx="316">
                  <c:v>238</c:v>
                </c:pt>
                <c:pt idx="317">
                  <c:v>238</c:v>
                </c:pt>
                <c:pt idx="318">
                  <c:v>238</c:v>
                </c:pt>
                <c:pt idx="319">
                  <c:v>238</c:v>
                </c:pt>
                <c:pt idx="320">
                  <c:v>238</c:v>
                </c:pt>
                <c:pt idx="321">
                  <c:v>238</c:v>
                </c:pt>
                <c:pt idx="322">
                  <c:v>238</c:v>
                </c:pt>
                <c:pt idx="323">
                  <c:v>238</c:v>
                </c:pt>
                <c:pt idx="324">
                  <c:v>238</c:v>
                </c:pt>
                <c:pt idx="325">
                  <c:v>238</c:v>
                </c:pt>
                <c:pt idx="326">
                  <c:v>238</c:v>
                </c:pt>
                <c:pt idx="327">
                  <c:v>238</c:v>
                </c:pt>
                <c:pt idx="328">
                  <c:v>238</c:v>
                </c:pt>
                <c:pt idx="329">
                  <c:v>238</c:v>
                </c:pt>
                <c:pt idx="330">
                  <c:v>238</c:v>
                </c:pt>
                <c:pt idx="331">
                  <c:v>238</c:v>
                </c:pt>
                <c:pt idx="332">
                  <c:v>238</c:v>
                </c:pt>
                <c:pt idx="333">
                  <c:v>238</c:v>
                </c:pt>
                <c:pt idx="334">
                  <c:v>238</c:v>
                </c:pt>
                <c:pt idx="335">
                  <c:v>238</c:v>
                </c:pt>
                <c:pt idx="336">
                  <c:v>238</c:v>
                </c:pt>
                <c:pt idx="337">
                  <c:v>238</c:v>
                </c:pt>
                <c:pt idx="338">
                  <c:v>238</c:v>
                </c:pt>
                <c:pt idx="339">
                  <c:v>238</c:v>
                </c:pt>
                <c:pt idx="340">
                  <c:v>238</c:v>
                </c:pt>
                <c:pt idx="341">
                  <c:v>238</c:v>
                </c:pt>
                <c:pt idx="342">
                  <c:v>238</c:v>
                </c:pt>
                <c:pt idx="343">
                  <c:v>238</c:v>
                </c:pt>
                <c:pt idx="344">
                  <c:v>238</c:v>
                </c:pt>
                <c:pt idx="345">
                  <c:v>238</c:v>
                </c:pt>
                <c:pt idx="346">
                  <c:v>238</c:v>
                </c:pt>
                <c:pt idx="347">
                  <c:v>238</c:v>
                </c:pt>
                <c:pt idx="348">
                  <c:v>238</c:v>
                </c:pt>
                <c:pt idx="349">
                  <c:v>238</c:v>
                </c:pt>
                <c:pt idx="350">
                  <c:v>238</c:v>
                </c:pt>
                <c:pt idx="351">
                  <c:v>238</c:v>
                </c:pt>
                <c:pt idx="352">
                  <c:v>238</c:v>
                </c:pt>
                <c:pt idx="353">
                  <c:v>238</c:v>
                </c:pt>
                <c:pt idx="354">
                  <c:v>238</c:v>
                </c:pt>
                <c:pt idx="355">
                  <c:v>238</c:v>
                </c:pt>
                <c:pt idx="356">
                  <c:v>238</c:v>
                </c:pt>
                <c:pt idx="357">
                  <c:v>238</c:v>
                </c:pt>
                <c:pt idx="358">
                  <c:v>238</c:v>
                </c:pt>
                <c:pt idx="359">
                  <c:v>238</c:v>
                </c:pt>
                <c:pt idx="360">
                  <c:v>238</c:v>
                </c:pt>
                <c:pt idx="361">
                  <c:v>238</c:v>
                </c:pt>
                <c:pt idx="362">
                  <c:v>238</c:v>
                </c:pt>
                <c:pt idx="363">
                  <c:v>238</c:v>
                </c:pt>
                <c:pt idx="364">
                  <c:v>238</c:v>
                </c:pt>
                <c:pt idx="365">
                  <c:v>238</c:v>
                </c:pt>
                <c:pt idx="366">
                  <c:v>238</c:v>
                </c:pt>
                <c:pt idx="367">
                  <c:v>238</c:v>
                </c:pt>
                <c:pt idx="368">
                  <c:v>238</c:v>
                </c:pt>
                <c:pt idx="369">
                  <c:v>238</c:v>
                </c:pt>
                <c:pt idx="370">
                  <c:v>238</c:v>
                </c:pt>
                <c:pt idx="371">
                  <c:v>238</c:v>
                </c:pt>
                <c:pt idx="372">
                  <c:v>238</c:v>
                </c:pt>
                <c:pt idx="373">
                  <c:v>238</c:v>
                </c:pt>
                <c:pt idx="374">
                  <c:v>238</c:v>
                </c:pt>
                <c:pt idx="375">
                  <c:v>238</c:v>
                </c:pt>
                <c:pt idx="376">
                  <c:v>238</c:v>
                </c:pt>
                <c:pt idx="377">
                  <c:v>238</c:v>
                </c:pt>
                <c:pt idx="378">
                  <c:v>238</c:v>
                </c:pt>
                <c:pt idx="379">
                  <c:v>238</c:v>
                </c:pt>
                <c:pt idx="380">
                  <c:v>238</c:v>
                </c:pt>
                <c:pt idx="381">
                  <c:v>238</c:v>
                </c:pt>
                <c:pt idx="382">
                  <c:v>238</c:v>
                </c:pt>
                <c:pt idx="383">
                  <c:v>238</c:v>
                </c:pt>
                <c:pt idx="384">
                  <c:v>238</c:v>
                </c:pt>
                <c:pt idx="385">
                  <c:v>238</c:v>
                </c:pt>
                <c:pt idx="386">
                  <c:v>238</c:v>
                </c:pt>
                <c:pt idx="387">
                  <c:v>238</c:v>
                </c:pt>
                <c:pt idx="388">
                  <c:v>238</c:v>
                </c:pt>
                <c:pt idx="389">
                  <c:v>238</c:v>
                </c:pt>
                <c:pt idx="390">
                  <c:v>238</c:v>
                </c:pt>
                <c:pt idx="391">
                  <c:v>238</c:v>
                </c:pt>
                <c:pt idx="392">
                  <c:v>238</c:v>
                </c:pt>
                <c:pt idx="393">
                  <c:v>238</c:v>
                </c:pt>
                <c:pt idx="394">
                  <c:v>238</c:v>
                </c:pt>
                <c:pt idx="395">
                  <c:v>238</c:v>
                </c:pt>
                <c:pt idx="396">
                  <c:v>238</c:v>
                </c:pt>
                <c:pt idx="397">
                  <c:v>238</c:v>
                </c:pt>
                <c:pt idx="398">
                  <c:v>238</c:v>
                </c:pt>
                <c:pt idx="399">
                  <c:v>238</c:v>
                </c:pt>
                <c:pt idx="400">
                  <c:v>238</c:v>
                </c:pt>
                <c:pt idx="401">
                  <c:v>238</c:v>
                </c:pt>
                <c:pt idx="402">
                  <c:v>238</c:v>
                </c:pt>
                <c:pt idx="403">
                  <c:v>238</c:v>
                </c:pt>
                <c:pt idx="404">
                  <c:v>238</c:v>
                </c:pt>
                <c:pt idx="405">
                  <c:v>238</c:v>
                </c:pt>
                <c:pt idx="406">
                  <c:v>238</c:v>
                </c:pt>
                <c:pt idx="407">
                  <c:v>238</c:v>
                </c:pt>
                <c:pt idx="408">
                  <c:v>238</c:v>
                </c:pt>
                <c:pt idx="409">
                  <c:v>238</c:v>
                </c:pt>
                <c:pt idx="410">
                  <c:v>238</c:v>
                </c:pt>
                <c:pt idx="411">
                  <c:v>238</c:v>
                </c:pt>
                <c:pt idx="412">
                  <c:v>238</c:v>
                </c:pt>
                <c:pt idx="413">
                  <c:v>238</c:v>
                </c:pt>
                <c:pt idx="414">
                  <c:v>238</c:v>
                </c:pt>
                <c:pt idx="415">
                  <c:v>238</c:v>
                </c:pt>
                <c:pt idx="416">
                  <c:v>238</c:v>
                </c:pt>
                <c:pt idx="417">
                  <c:v>238</c:v>
                </c:pt>
                <c:pt idx="418">
                  <c:v>238</c:v>
                </c:pt>
                <c:pt idx="419">
                  <c:v>238</c:v>
                </c:pt>
                <c:pt idx="420">
                  <c:v>238</c:v>
                </c:pt>
                <c:pt idx="421">
                  <c:v>238</c:v>
                </c:pt>
                <c:pt idx="422">
                  <c:v>238</c:v>
                </c:pt>
                <c:pt idx="423">
                  <c:v>238</c:v>
                </c:pt>
                <c:pt idx="424">
                  <c:v>238</c:v>
                </c:pt>
                <c:pt idx="425">
                  <c:v>238</c:v>
                </c:pt>
                <c:pt idx="426">
                  <c:v>238</c:v>
                </c:pt>
                <c:pt idx="427">
                  <c:v>238</c:v>
                </c:pt>
                <c:pt idx="428">
                  <c:v>238</c:v>
                </c:pt>
                <c:pt idx="429">
                  <c:v>238</c:v>
                </c:pt>
                <c:pt idx="430">
                  <c:v>238</c:v>
                </c:pt>
                <c:pt idx="431">
                  <c:v>238</c:v>
                </c:pt>
                <c:pt idx="432">
                  <c:v>238</c:v>
                </c:pt>
                <c:pt idx="433">
                  <c:v>238</c:v>
                </c:pt>
                <c:pt idx="434">
                  <c:v>238</c:v>
                </c:pt>
                <c:pt idx="435">
                  <c:v>238</c:v>
                </c:pt>
                <c:pt idx="436">
                  <c:v>238</c:v>
                </c:pt>
                <c:pt idx="437">
                  <c:v>238</c:v>
                </c:pt>
                <c:pt idx="438">
                  <c:v>238</c:v>
                </c:pt>
                <c:pt idx="439">
                  <c:v>238</c:v>
                </c:pt>
                <c:pt idx="440">
                  <c:v>238</c:v>
                </c:pt>
                <c:pt idx="441">
                  <c:v>238</c:v>
                </c:pt>
                <c:pt idx="442">
                  <c:v>238</c:v>
                </c:pt>
                <c:pt idx="443">
                  <c:v>238</c:v>
                </c:pt>
                <c:pt idx="444">
                  <c:v>238</c:v>
                </c:pt>
                <c:pt idx="445">
                  <c:v>238</c:v>
                </c:pt>
                <c:pt idx="446">
                  <c:v>238</c:v>
                </c:pt>
                <c:pt idx="447">
                  <c:v>238</c:v>
                </c:pt>
                <c:pt idx="448">
                  <c:v>238</c:v>
                </c:pt>
                <c:pt idx="449">
                  <c:v>238</c:v>
                </c:pt>
                <c:pt idx="450">
                  <c:v>238</c:v>
                </c:pt>
                <c:pt idx="451">
                  <c:v>238</c:v>
                </c:pt>
                <c:pt idx="452">
                  <c:v>238</c:v>
                </c:pt>
                <c:pt idx="453">
                  <c:v>238</c:v>
                </c:pt>
                <c:pt idx="454">
                  <c:v>238</c:v>
                </c:pt>
                <c:pt idx="455">
                  <c:v>238</c:v>
                </c:pt>
                <c:pt idx="456">
                  <c:v>238</c:v>
                </c:pt>
                <c:pt idx="457">
                  <c:v>238</c:v>
                </c:pt>
                <c:pt idx="458">
                  <c:v>238</c:v>
                </c:pt>
                <c:pt idx="459">
                  <c:v>238</c:v>
                </c:pt>
                <c:pt idx="460">
                  <c:v>238</c:v>
                </c:pt>
                <c:pt idx="461">
                  <c:v>238</c:v>
                </c:pt>
                <c:pt idx="462">
                  <c:v>238</c:v>
                </c:pt>
                <c:pt idx="463">
                  <c:v>238</c:v>
                </c:pt>
                <c:pt idx="464">
                  <c:v>238</c:v>
                </c:pt>
                <c:pt idx="465">
                  <c:v>238</c:v>
                </c:pt>
                <c:pt idx="466">
                  <c:v>238</c:v>
                </c:pt>
                <c:pt idx="467">
                  <c:v>238</c:v>
                </c:pt>
                <c:pt idx="468">
                  <c:v>238</c:v>
                </c:pt>
                <c:pt idx="469">
                  <c:v>238</c:v>
                </c:pt>
                <c:pt idx="470">
                  <c:v>238</c:v>
                </c:pt>
                <c:pt idx="471">
                  <c:v>238</c:v>
                </c:pt>
                <c:pt idx="472">
                  <c:v>238</c:v>
                </c:pt>
                <c:pt idx="473">
                  <c:v>238</c:v>
                </c:pt>
                <c:pt idx="474">
                  <c:v>238</c:v>
                </c:pt>
                <c:pt idx="475">
                  <c:v>238</c:v>
                </c:pt>
                <c:pt idx="476">
                  <c:v>238</c:v>
                </c:pt>
                <c:pt idx="477">
                  <c:v>238</c:v>
                </c:pt>
                <c:pt idx="478">
                  <c:v>238</c:v>
                </c:pt>
                <c:pt idx="479">
                  <c:v>238</c:v>
                </c:pt>
                <c:pt idx="480">
                  <c:v>238</c:v>
                </c:pt>
                <c:pt idx="481">
                  <c:v>238</c:v>
                </c:pt>
                <c:pt idx="482">
                  <c:v>238</c:v>
                </c:pt>
                <c:pt idx="483">
                  <c:v>238</c:v>
                </c:pt>
                <c:pt idx="484">
                  <c:v>238</c:v>
                </c:pt>
                <c:pt idx="485">
                  <c:v>238</c:v>
                </c:pt>
                <c:pt idx="486">
                  <c:v>238</c:v>
                </c:pt>
                <c:pt idx="487">
                  <c:v>238</c:v>
                </c:pt>
                <c:pt idx="488">
                  <c:v>238</c:v>
                </c:pt>
                <c:pt idx="489">
                  <c:v>238</c:v>
                </c:pt>
                <c:pt idx="490">
                  <c:v>238</c:v>
                </c:pt>
                <c:pt idx="491">
                  <c:v>238</c:v>
                </c:pt>
                <c:pt idx="492">
                  <c:v>238</c:v>
                </c:pt>
                <c:pt idx="493">
                  <c:v>238</c:v>
                </c:pt>
                <c:pt idx="494">
                  <c:v>238</c:v>
                </c:pt>
                <c:pt idx="495">
                  <c:v>238</c:v>
                </c:pt>
                <c:pt idx="496">
                  <c:v>238</c:v>
                </c:pt>
                <c:pt idx="497">
                  <c:v>238</c:v>
                </c:pt>
                <c:pt idx="498">
                  <c:v>238</c:v>
                </c:pt>
                <c:pt idx="499">
                  <c:v>238</c:v>
                </c:pt>
                <c:pt idx="500">
                  <c:v>238</c:v>
                </c:pt>
                <c:pt idx="501">
                  <c:v>238</c:v>
                </c:pt>
                <c:pt idx="502">
                  <c:v>238</c:v>
                </c:pt>
                <c:pt idx="503">
                  <c:v>238</c:v>
                </c:pt>
                <c:pt idx="504">
                  <c:v>238</c:v>
                </c:pt>
                <c:pt idx="505">
                  <c:v>238</c:v>
                </c:pt>
                <c:pt idx="506">
                  <c:v>238</c:v>
                </c:pt>
                <c:pt idx="507">
                  <c:v>238</c:v>
                </c:pt>
                <c:pt idx="508">
                  <c:v>238</c:v>
                </c:pt>
                <c:pt idx="509">
                  <c:v>238</c:v>
                </c:pt>
                <c:pt idx="510">
                  <c:v>238</c:v>
                </c:pt>
                <c:pt idx="511">
                  <c:v>238</c:v>
                </c:pt>
                <c:pt idx="512">
                  <c:v>238</c:v>
                </c:pt>
                <c:pt idx="513">
                  <c:v>238</c:v>
                </c:pt>
                <c:pt idx="514">
                  <c:v>238</c:v>
                </c:pt>
                <c:pt idx="515">
                  <c:v>238</c:v>
                </c:pt>
                <c:pt idx="516">
                  <c:v>238</c:v>
                </c:pt>
                <c:pt idx="517">
                  <c:v>238</c:v>
                </c:pt>
                <c:pt idx="518">
                  <c:v>238</c:v>
                </c:pt>
                <c:pt idx="519">
                  <c:v>238</c:v>
                </c:pt>
                <c:pt idx="520">
                  <c:v>238</c:v>
                </c:pt>
                <c:pt idx="521">
                  <c:v>238</c:v>
                </c:pt>
                <c:pt idx="522">
                  <c:v>238</c:v>
                </c:pt>
                <c:pt idx="523">
                  <c:v>238</c:v>
                </c:pt>
                <c:pt idx="524">
                  <c:v>238</c:v>
                </c:pt>
                <c:pt idx="525">
                  <c:v>238</c:v>
                </c:pt>
                <c:pt idx="526">
                  <c:v>238</c:v>
                </c:pt>
                <c:pt idx="527">
                  <c:v>238</c:v>
                </c:pt>
                <c:pt idx="528">
                  <c:v>238</c:v>
                </c:pt>
                <c:pt idx="529">
                  <c:v>238</c:v>
                </c:pt>
                <c:pt idx="530">
                  <c:v>238</c:v>
                </c:pt>
                <c:pt idx="531">
                  <c:v>238</c:v>
                </c:pt>
                <c:pt idx="532">
                  <c:v>238</c:v>
                </c:pt>
                <c:pt idx="533">
                  <c:v>238</c:v>
                </c:pt>
                <c:pt idx="534">
                  <c:v>238</c:v>
                </c:pt>
                <c:pt idx="535">
                  <c:v>238</c:v>
                </c:pt>
                <c:pt idx="536">
                  <c:v>238</c:v>
                </c:pt>
                <c:pt idx="537">
                  <c:v>238</c:v>
                </c:pt>
                <c:pt idx="538">
                  <c:v>238</c:v>
                </c:pt>
                <c:pt idx="539">
                  <c:v>238</c:v>
                </c:pt>
                <c:pt idx="540">
                  <c:v>238</c:v>
                </c:pt>
                <c:pt idx="541">
                  <c:v>238</c:v>
                </c:pt>
                <c:pt idx="542">
                  <c:v>238</c:v>
                </c:pt>
                <c:pt idx="543">
                  <c:v>238</c:v>
                </c:pt>
                <c:pt idx="544">
                  <c:v>238</c:v>
                </c:pt>
                <c:pt idx="545">
                  <c:v>238</c:v>
                </c:pt>
                <c:pt idx="546">
                  <c:v>238</c:v>
                </c:pt>
                <c:pt idx="547">
                  <c:v>238</c:v>
                </c:pt>
                <c:pt idx="548">
                  <c:v>238</c:v>
                </c:pt>
                <c:pt idx="549">
                  <c:v>238</c:v>
                </c:pt>
                <c:pt idx="550">
                  <c:v>238</c:v>
                </c:pt>
                <c:pt idx="551">
                  <c:v>238</c:v>
                </c:pt>
                <c:pt idx="552">
                  <c:v>238</c:v>
                </c:pt>
                <c:pt idx="553">
                  <c:v>238</c:v>
                </c:pt>
                <c:pt idx="554">
                  <c:v>238</c:v>
                </c:pt>
                <c:pt idx="555">
                  <c:v>238</c:v>
                </c:pt>
                <c:pt idx="556">
                  <c:v>238</c:v>
                </c:pt>
                <c:pt idx="557">
                  <c:v>238</c:v>
                </c:pt>
                <c:pt idx="558">
                  <c:v>238</c:v>
                </c:pt>
                <c:pt idx="559">
                  <c:v>238</c:v>
                </c:pt>
                <c:pt idx="560">
                  <c:v>238</c:v>
                </c:pt>
                <c:pt idx="561">
                  <c:v>238</c:v>
                </c:pt>
                <c:pt idx="562">
                  <c:v>238</c:v>
                </c:pt>
                <c:pt idx="563">
                  <c:v>238</c:v>
                </c:pt>
                <c:pt idx="564">
                  <c:v>238</c:v>
                </c:pt>
                <c:pt idx="565">
                  <c:v>238</c:v>
                </c:pt>
                <c:pt idx="566">
                  <c:v>238</c:v>
                </c:pt>
                <c:pt idx="567">
                  <c:v>238</c:v>
                </c:pt>
                <c:pt idx="568">
                  <c:v>238</c:v>
                </c:pt>
                <c:pt idx="569">
                  <c:v>238</c:v>
                </c:pt>
                <c:pt idx="570">
                  <c:v>238</c:v>
                </c:pt>
                <c:pt idx="571">
                  <c:v>238</c:v>
                </c:pt>
                <c:pt idx="572">
                  <c:v>238</c:v>
                </c:pt>
                <c:pt idx="573">
                  <c:v>238</c:v>
                </c:pt>
                <c:pt idx="574">
                  <c:v>238</c:v>
                </c:pt>
                <c:pt idx="575">
                  <c:v>238</c:v>
                </c:pt>
                <c:pt idx="576">
                  <c:v>238</c:v>
                </c:pt>
                <c:pt idx="577">
                  <c:v>238</c:v>
                </c:pt>
                <c:pt idx="578">
                  <c:v>238</c:v>
                </c:pt>
                <c:pt idx="579">
                  <c:v>238</c:v>
                </c:pt>
                <c:pt idx="580">
                  <c:v>238</c:v>
                </c:pt>
                <c:pt idx="581">
                  <c:v>238</c:v>
                </c:pt>
                <c:pt idx="582">
                  <c:v>238</c:v>
                </c:pt>
                <c:pt idx="583">
                  <c:v>238</c:v>
                </c:pt>
                <c:pt idx="584">
                  <c:v>238</c:v>
                </c:pt>
                <c:pt idx="585">
                  <c:v>238</c:v>
                </c:pt>
                <c:pt idx="586">
                  <c:v>238</c:v>
                </c:pt>
                <c:pt idx="587">
                  <c:v>238</c:v>
                </c:pt>
                <c:pt idx="588">
                  <c:v>238</c:v>
                </c:pt>
                <c:pt idx="589">
                  <c:v>238</c:v>
                </c:pt>
                <c:pt idx="590">
                  <c:v>238</c:v>
                </c:pt>
                <c:pt idx="591">
                  <c:v>238</c:v>
                </c:pt>
                <c:pt idx="592">
                  <c:v>238</c:v>
                </c:pt>
                <c:pt idx="593">
                  <c:v>238</c:v>
                </c:pt>
                <c:pt idx="594">
                  <c:v>238</c:v>
                </c:pt>
                <c:pt idx="595">
                  <c:v>238</c:v>
                </c:pt>
                <c:pt idx="596">
                  <c:v>238</c:v>
                </c:pt>
                <c:pt idx="597">
                  <c:v>238</c:v>
                </c:pt>
                <c:pt idx="598">
                  <c:v>238</c:v>
                </c:pt>
                <c:pt idx="599">
                  <c:v>238</c:v>
                </c:pt>
                <c:pt idx="600">
                  <c:v>238</c:v>
                </c:pt>
                <c:pt idx="601">
                  <c:v>238</c:v>
                </c:pt>
                <c:pt idx="602">
                  <c:v>238</c:v>
                </c:pt>
                <c:pt idx="603">
                  <c:v>238</c:v>
                </c:pt>
                <c:pt idx="604">
                  <c:v>238</c:v>
                </c:pt>
                <c:pt idx="605">
                  <c:v>238</c:v>
                </c:pt>
                <c:pt idx="606">
                  <c:v>238</c:v>
                </c:pt>
                <c:pt idx="607">
                  <c:v>238</c:v>
                </c:pt>
                <c:pt idx="608">
                  <c:v>238</c:v>
                </c:pt>
                <c:pt idx="609">
                  <c:v>238</c:v>
                </c:pt>
                <c:pt idx="610">
                  <c:v>238</c:v>
                </c:pt>
                <c:pt idx="611">
                  <c:v>238</c:v>
                </c:pt>
                <c:pt idx="612">
                  <c:v>238</c:v>
                </c:pt>
                <c:pt idx="613">
                  <c:v>238</c:v>
                </c:pt>
                <c:pt idx="614">
                  <c:v>238</c:v>
                </c:pt>
                <c:pt idx="615">
                  <c:v>238</c:v>
                </c:pt>
                <c:pt idx="616">
                  <c:v>238</c:v>
                </c:pt>
                <c:pt idx="617">
                  <c:v>238</c:v>
                </c:pt>
                <c:pt idx="618">
                  <c:v>238</c:v>
                </c:pt>
                <c:pt idx="619">
                  <c:v>238</c:v>
                </c:pt>
                <c:pt idx="620">
                  <c:v>238</c:v>
                </c:pt>
                <c:pt idx="621">
                  <c:v>238</c:v>
                </c:pt>
                <c:pt idx="622">
                  <c:v>238</c:v>
                </c:pt>
                <c:pt idx="623">
                  <c:v>238</c:v>
                </c:pt>
                <c:pt idx="624">
                  <c:v>238</c:v>
                </c:pt>
                <c:pt idx="625">
                  <c:v>238</c:v>
                </c:pt>
                <c:pt idx="626">
                  <c:v>238</c:v>
                </c:pt>
                <c:pt idx="627">
                  <c:v>238</c:v>
                </c:pt>
                <c:pt idx="628">
                  <c:v>238</c:v>
                </c:pt>
                <c:pt idx="629">
                  <c:v>238</c:v>
                </c:pt>
                <c:pt idx="630">
                  <c:v>238</c:v>
                </c:pt>
                <c:pt idx="631">
                  <c:v>238</c:v>
                </c:pt>
                <c:pt idx="632">
                  <c:v>238</c:v>
                </c:pt>
                <c:pt idx="633">
                  <c:v>238</c:v>
                </c:pt>
                <c:pt idx="634">
                  <c:v>238</c:v>
                </c:pt>
                <c:pt idx="635">
                  <c:v>238</c:v>
                </c:pt>
                <c:pt idx="636">
                  <c:v>238</c:v>
                </c:pt>
                <c:pt idx="637">
                  <c:v>238</c:v>
                </c:pt>
                <c:pt idx="638">
                  <c:v>238</c:v>
                </c:pt>
                <c:pt idx="639">
                  <c:v>238</c:v>
                </c:pt>
                <c:pt idx="640">
                  <c:v>238</c:v>
                </c:pt>
                <c:pt idx="641">
                  <c:v>238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094848"/>
        <c:axId val="214303296"/>
      </c:lineChart>
      <c:catAx>
        <c:axId val="204778496"/>
        <c:scaling>
          <c:orientation val="minMax"/>
        </c:scaling>
        <c:delete val="0"/>
        <c:axPos val="b"/>
        <c:majorTickMark val="out"/>
        <c:minorTickMark val="none"/>
        <c:tickLblPos val="nextTo"/>
        <c:crossAx val="214302720"/>
        <c:crosses val="autoZero"/>
        <c:auto val="1"/>
        <c:lblAlgn val="ctr"/>
        <c:lblOffset val="100"/>
        <c:noMultiLvlLbl val="0"/>
      </c:catAx>
      <c:valAx>
        <c:axId val="2143027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4778496"/>
        <c:crosses val="autoZero"/>
        <c:crossBetween val="between"/>
      </c:valAx>
      <c:valAx>
        <c:axId val="2143032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14094848"/>
        <c:crosses val="max"/>
        <c:crossBetween val="between"/>
      </c:valAx>
      <c:catAx>
        <c:axId val="214094848"/>
        <c:scaling>
          <c:orientation val="minMax"/>
        </c:scaling>
        <c:delete val="1"/>
        <c:axPos val="b"/>
        <c:majorTickMark val="out"/>
        <c:minorTickMark val="none"/>
        <c:tickLblPos val="nextTo"/>
        <c:crossAx val="214303296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67500000000000004"/>
          <c:y val="0.25868328958880138"/>
          <c:w val="0.1388888888888889"/>
          <c:h val="0.2511515748031495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花园口以上洪水!$F$1</c:f>
              <c:strCache>
                <c:ptCount val="1"/>
                <c:pt idx="0">
                  <c:v>龙门镇</c:v>
                </c:pt>
              </c:strCache>
            </c:strRef>
          </c:tx>
          <c:marker>
            <c:symbol val="none"/>
          </c:marker>
          <c:val>
            <c:numRef>
              <c:f>花园口以上洪水!$F$2:$F$746</c:f>
              <c:numCache>
                <c:formatCode>General</c:formatCode>
                <c:ptCount val="745"/>
                <c:pt idx="0">
                  <c:v>302</c:v>
                </c:pt>
                <c:pt idx="1">
                  <c:v>303</c:v>
                </c:pt>
                <c:pt idx="2">
                  <c:v>305</c:v>
                </c:pt>
                <c:pt idx="3">
                  <c:v>307</c:v>
                </c:pt>
                <c:pt idx="4">
                  <c:v>309.5</c:v>
                </c:pt>
                <c:pt idx="5">
                  <c:v>312</c:v>
                </c:pt>
                <c:pt idx="6">
                  <c:v>316</c:v>
                </c:pt>
                <c:pt idx="7">
                  <c:v>320</c:v>
                </c:pt>
                <c:pt idx="8">
                  <c:v>325.5</c:v>
                </c:pt>
                <c:pt idx="9">
                  <c:v>331.09230000000002</c:v>
                </c:pt>
                <c:pt idx="10">
                  <c:v>352.5027</c:v>
                </c:pt>
                <c:pt idx="11">
                  <c:v>374.28829999999999</c:v>
                </c:pt>
                <c:pt idx="12">
                  <c:v>560.57100000000003</c:v>
                </c:pt>
                <c:pt idx="13">
                  <c:v>731.1653</c:v>
                </c:pt>
                <c:pt idx="14">
                  <c:v>1595.8150000000001</c:v>
                </c:pt>
                <c:pt idx="15">
                  <c:v>2309.1019999999999</c:v>
                </c:pt>
                <c:pt idx="16">
                  <c:v>3913.6109999999999</c:v>
                </c:pt>
                <c:pt idx="17">
                  <c:v>5127.5209999999997</c:v>
                </c:pt>
                <c:pt idx="18">
                  <c:v>5572.1390000000001</c:v>
                </c:pt>
                <c:pt idx="19">
                  <c:v>5964.9440000000004</c:v>
                </c:pt>
                <c:pt idx="20">
                  <c:v>5473.1030000000001</c:v>
                </c:pt>
                <c:pt idx="21">
                  <c:v>4976.625</c:v>
                </c:pt>
                <c:pt idx="22">
                  <c:v>4301.973</c:v>
                </c:pt>
                <c:pt idx="23">
                  <c:v>3626.9749999999999</c:v>
                </c:pt>
                <c:pt idx="24">
                  <c:v>3161.998</c:v>
                </c:pt>
                <c:pt idx="25">
                  <c:v>2696.998</c:v>
                </c:pt>
                <c:pt idx="26">
                  <c:v>2468.5</c:v>
                </c:pt>
                <c:pt idx="27">
                  <c:v>2240</c:v>
                </c:pt>
                <c:pt idx="28">
                  <c:v>2143</c:v>
                </c:pt>
                <c:pt idx="29">
                  <c:v>2043.8530000000001</c:v>
                </c:pt>
                <c:pt idx="30">
                  <c:v>1988.3530000000001</c:v>
                </c:pt>
                <c:pt idx="31">
                  <c:v>1891.327</c:v>
                </c:pt>
                <c:pt idx="32">
                  <c:v>1849.327</c:v>
                </c:pt>
                <c:pt idx="33">
                  <c:v>1537.693</c:v>
                </c:pt>
                <c:pt idx="34">
                  <c:v>1507.693</c:v>
                </c:pt>
                <c:pt idx="35">
                  <c:v>877.98490000000004</c:v>
                </c:pt>
                <c:pt idx="36">
                  <c:v>862.48490000000004</c:v>
                </c:pt>
                <c:pt idx="37">
                  <c:v>767.65840000000003</c:v>
                </c:pt>
                <c:pt idx="38">
                  <c:v>779.15840000000003</c:v>
                </c:pt>
                <c:pt idx="39">
                  <c:v>783.56809999999996</c:v>
                </c:pt>
                <c:pt idx="40">
                  <c:v>823.56809999999996</c:v>
                </c:pt>
                <c:pt idx="41">
                  <c:v>863.03809999999999</c:v>
                </c:pt>
                <c:pt idx="42">
                  <c:v>910.03809999999999</c:v>
                </c:pt>
                <c:pt idx="43">
                  <c:v>957.00239999999997</c:v>
                </c:pt>
                <c:pt idx="44">
                  <c:v>987.50239999999997</c:v>
                </c:pt>
                <c:pt idx="45">
                  <c:v>1018</c:v>
                </c:pt>
                <c:pt idx="46">
                  <c:v>1021</c:v>
                </c:pt>
                <c:pt idx="47">
                  <c:v>1024</c:v>
                </c:pt>
                <c:pt idx="48">
                  <c:v>1012</c:v>
                </c:pt>
                <c:pt idx="49">
                  <c:v>1000</c:v>
                </c:pt>
                <c:pt idx="50">
                  <c:v>990.5</c:v>
                </c:pt>
                <c:pt idx="51">
                  <c:v>985.88170000000002</c:v>
                </c:pt>
                <c:pt idx="52">
                  <c:v>996.1123</c:v>
                </c:pt>
                <c:pt idx="53">
                  <c:v>1100.335</c:v>
                </c:pt>
                <c:pt idx="54">
                  <c:v>1143.2909999999999</c:v>
                </c:pt>
                <c:pt idx="55">
                  <c:v>1790.866</c:v>
                </c:pt>
                <c:pt idx="56">
                  <c:v>1925.4580000000001</c:v>
                </c:pt>
                <c:pt idx="57">
                  <c:v>3368.3150000000001</c:v>
                </c:pt>
                <c:pt idx="58">
                  <c:v>3662.4340000000002</c:v>
                </c:pt>
                <c:pt idx="59">
                  <c:v>4013.1909999999998</c:v>
                </c:pt>
                <c:pt idx="60">
                  <c:v>4323.2969999999996</c:v>
                </c:pt>
                <c:pt idx="61">
                  <c:v>4628</c:v>
                </c:pt>
                <c:pt idx="62">
                  <c:v>5091.0879999999997</c:v>
                </c:pt>
                <c:pt idx="63">
                  <c:v>5520.2470000000003</c:v>
                </c:pt>
                <c:pt idx="64">
                  <c:v>5724.0060000000003</c:v>
                </c:pt>
                <c:pt idx="65">
                  <c:v>5854.4530000000004</c:v>
                </c:pt>
                <c:pt idx="66">
                  <c:v>5706.7020000000002</c:v>
                </c:pt>
                <c:pt idx="67">
                  <c:v>5562.9809999999998</c:v>
                </c:pt>
                <c:pt idx="68">
                  <c:v>5221.4520000000002</c:v>
                </c:pt>
                <c:pt idx="69">
                  <c:v>4913.7820000000002</c:v>
                </c:pt>
                <c:pt idx="70">
                  <c:v>4584.2809999999999</c:v>
                </c:pt>
                <c:pt idx="71">
                  <c:v>4259.32</c:v>
                </c:pt>
                <c:pt idx="72">
                  <c:v>3922.6089999999999</c:v>
                </c:pt>
                <c:pt idx="73">
                  <c:v>3586.3049999999998</c:v>
                </c:pt>
                <c:pt idx="74">
                  <c:v>3265.9560000000001</c:v>
                </c:pt>
                <c:pt idx="75">
                  <c:v>2945.6370000000002</c:v>
                </c:pt>
                <c:pt idx="76">
                  <c:v>2681.9920000000002</c:v>
                </c:pt>
                <c:pt idx="77">
                  <c:v>2418.35</c:v>
                </c:pt>
                <c:pt idx="78">
                  <c:v>2235.3330000000001</c:v>
                </c:pt>
                <c:pt idx="79">
                  <c:v>2052.3159999999998</c:v>
                </c:pt>
                <c:pt idx="80">
                  <c:v>1930.0419999999999</c:v>
                </c:pt>
                <c:pt idx="81">
                  <c:v>1807.768</c:v>
                </c:pt>
                <c:pt idx="82">
                  <c:v>1885.2660000000001</c:v>
                </c:pt>
                <c:pt idx="83">
                  <c:v>1962.7639999999999</c:v>
                </c:pt>
                <c:pt idx="84">
                  <c:v>2038.654</c:v>
                </c:pt>
                <c:pt idx="85">
                  <c:v>2114.5430000000001</c:v>
                </c:pt>
                <c:pt idx="86">
                  <c:v>2026.1110000000001</c:v>
                </c:pt>
                <c:pt idx="87">
                  <c:v>1937.6780000000001</c:v>
                </c:pt>
                <c:pt idx="88">
                  <c:v>1768.1089999999999</c:v>
                </c:pt>
                <c:pt idx="89">
                  <c:v>1598.539</c:v>
                </c:pt>
                <c:pt idx="90">
                  <c:v>1429.56</c:v>
                </c:pt>
                <c:pt idx="91">
                  <c:v>1260.5820000000001</c:v>
                </c:pt>
                <c:pt idx="92">
                  <c:v>1121.174</c:v>
                </c:pt>
                <c:pt idx="93">
                  <c:v>981.76700000000005</c:v>
                </c:pt>
                <c:pt idx="94">
                  <c:v>876.47799999999995</c:v>
                </c:pt>
                <c:pt idx="95">
                  <c:v>771.18910000000005</c:v>
                </c:pt>
                <c:pt idx="96">
                  <c:v>710.38170000000002</c:v>
                </c:pt>
                <c:pt idx="97">
                  <c:v>649.57439999999997</c:v>
                </c:pt>
                <c:pt idx="98">
                  <c:v>676.00900000000001</c:v>
                </c:pt>
                <c:pt idx="99">
                  <c:v>702.44370000000004</c:v>
                </c:pt>
                <c:pt idx="100">
                  <c:v>826.76469999999995</c:v>
                </c:pt>
                <c:pt idx="101">
                  <c:v>951.08579999999995</c:v>
                </c:pt>
                <c:pt idx="102">
                  <c:v>1061.9960000000001</c:v>
                </c:pt>
                <c:pt idx="103">
                  <c:v>1172.9059999999999</c:v>
                </c:pt>
                <c:pt idx="104">
                  <c:v>1145.9169999999999</c:v>
                </c:pt>
                <c:pt idx="105">
                  <c:v>1118.9280000000001</c:v>
                </c:pt>
                <c:pt idx="106">
                  <c:v>1012.174</c:v>
                </c:pt>
                <c:pt idx="107">
                  <c:v>905.41899999999998</c:v>
                </c:pt>
                <c:pt idx="108">
                  <c:v>799.6431</c:v>
                </c:pt>
                <c:pt idx="109">
                  <c:v>693.86710000000005</c:v>
                </c:pt>
                <c:pt idx="110">
                  <c:v>615.82799999999997</c:v>
                </c:pt>
                <c:pt idx="111">
                  <c:v>537.78890000000001</c:v>
                </c:pt>
                <c:pt idx="112">
                  <c:v>484.33620000000002</c:v>
                </c:pt>
                <c:pt idx="113">
                  <c:v>430.8836</c:v>
                </c:pt>
                <c:pt idx="114">
                  <c:v>394.15320000000003</c:v>
                </c:pt>
                <c:pt idx="115">
                  <c:v>357.4228</c:v>
                </c:pt>
                <c:pt idx="116">
                  <c:v>332.06709999999998</c:v>
                </c:pt>
                <c:pt idx="117">
                  <c:v>306.71140000000003</c:v>
                </c:pt>
                <c:pt idx="118">
                  <c:v>287.57499999999999</c:v>
                </c:pt>
                <c:pt idx="119">
                  <c:v>268.43849999999998</c:v>
                </c:pt>
                <c:pt idx="120">
                  <c:v>253.06100000000001</c:v>
                </c:pt>
                <c:pt idx="121">
                  <c:v>237.68340000000001</c:v>
                </c:pt>
                <c:pt idx="122">
                  <c:v>224.56829999999999</c:v>
                </c:pt>
                <c:pt idx="123">
                  <c:v>211.45320000000001</c:v>
                </c:pt>
                <c:pt idx="124">
                  <c:v>200.51490000000001</c:v>
                </c:pt>
                <c:pt idx="125">
                  <c:v>189.57650000000001</c:v>
                </c:pt>
                <c:pt idx="126">
                  <c:v>179.85599999999999</c:v>
                </c:pt>
                <c:pt idx="127">
                  <c:v>170.13550000000001</c:v>
                </c:pt>
                <c:pt idx="128">
                  <c:v>162.20259999999999</c:v>
                </c:pt>
                <c:pt idx="129">
                  <c:v>154.2697</c:v>
                </c:pt>
                <c:pt idx="130">
                  <c:v>146.7629</c:v>
                </c:pt>
                <c:pt idx="131">
                  <c:v>139.25620000000001</c:v>
                </c:pt>
                <c:pt idx="132">
                  <c:v>133.08580000000001</c:v>
                </c:pt>
                <c:pt idx="133">
                  <c:v>126.91549999999999</c:v>
                </c:pt>
                <c:pt idx="134">
                  <c:v>121.96510000000001</c:v>
                </c:pt>
                <c:pt idx="135">
                  <c:v>117.01479999999999</c:v>
                </c:pt>
                <c:pt idx="136">
                  <c:v>111.8507</c:v>
                </c:pt>
                <c:pt idx="137">
                  <c:v>106.6865</c:v>
                </c:pt>
                <c:pt idx="138">
                  <c:v>102.60550000000001</c:v>
                </c:pt>
                <c:pt idx="139">
                  <c:v>98.789869999999993</c:v>
                </c:pt>
                <c:pt idx="140">
                  <c:v>96.795360000000002</c:v>
                </c:pt>
                <c:pt idx="141">
                  <c:v>99.935169999999999</c:v>
                </c:pt>
                <c:pt idx="142">
                  <c:v>110.6405</c:v>
                </c:pt>
                <c:pt idx="143">
                  <c:v>154.66030000000001</c:v>
                </c:pt>
                <c:pt idx="144">
                  <c:v>207.58969999999999</c:v>
                </c:pt>
                <c:pt idx="145">
                  <c:v>334.21710000000002</c:v>
                </c:pt>
                <c:pt idx="146">
                  <c:v>421.17649999999998</c:v>
                </c:pt>
                <c:pt idx="147">
                  <c:v>515.02059999999994</c:v>
                </c:pt>
                <c:pt idx="148">
                  <c:v>530.23689999999999</c:v>
                </c:pt>
                <c:pt idx="149">
                  <c:v>539.82809999999995</c:v>
                </c:pt>
                <c:pt idx="150">
                  <c:v>539.6875</c:v>
                </c:pt>
                <c:pt idx="151">
                  <c:v>538.75229999999999</c:v>
                </c:pt>
                <c:pt idx="152">
                  <c:v>536.90380000000005</c:v>
                </c:pt>
                <c:pt idx="153">
                  <c:v>534.9828</c:v>
                </c:pt>
                <c:pt idx="154">
                  <c:v>533.49350000000004</c:v>
                </c:pt>
                <c:pt idx="155">
                  <c:v>531.99879999999996</c:v>
                </c:pt>
                <c:pt idx="156">
                  <c:v>529.99959999999999</c:v>
                </c:pt>
                <c:pt idx="157">
                  <c:v>527.99990000000003</c:v>
                </c:pt>
                <c:pt idx="158">
                  <c:v>526.49990000000003</c:v>
                </c:pt>
                <c:pt idx="159">
                  <c:v>524.99990000000003</c:v>
                </c:pt>
                <c:pt idx="160">
                  <c:v>523.49990000000003</c:v>
                </c:pt>
                <c:pt idx="161">
                  <c:v>521.99990000000003</c:v>
                </c:pt>
                <c:pt idx="162">
                  <c:v>520.99990000000003</c:v>
                </c:pt>
                <c:pt idx="163">
                  <c:v>519.99990000000003</c:v>
                </c:pt>
                <c:pt idx="164">
                  <c:v>518.49990000000003</c:v>
                </c:pt>
                <c:pt idx="165">
                  <c:v>516.99990000000003</c:v>
                </c:pt>
                <c:pt idx="166">
                  <c:v>515.99990000000003</c:v>
                </c:pt>
                <c:pt idx="167">
                  <c:v>514.99990000000003</c:v>
                </c:pt>
                <c:pt idx="168">
                  <c:v>513.99990000000003</c:v>
                </c:pt>
                <c:pt idx="169">
                  <c:v>512.99990000000003</c:v>
                </c:pt>
                <c:pt idx="170">
                  <c:v>511.99990000000003</c:v>
                </c:pt>
                <c:pt idx="171">
                  <c:v>510.99990000000003</c:v>
                </c:pt>
                <c:pt idx="172">
                  <c:v>510.49990000000003</c:v>
                </c:pt>
                <c:pt idx="173">
                  <c:v>509.99990000000003</c:v>
                </c:pt>
                <c:pt idx="174">
                  <c:v>509.49990000000003</c:v>
                </c:pt>
                <c:pt idx="175">
                  <c:v>508.99990000000003</c:v>
                </c:pt>
                <c:pt idx="176">
                  <c:v>507.99990000000003</c:v>
                </c:pt>
                <c:pt idx="177">
                  <c:v>506.99990000000003</c:v>
                </c:pt>
                <c:pt idx="178">
                  <c:v>506.49990000000003</c:v>
                </c:pt>
                <c:pt idx="179">
                  <c:v>505.99990000000003</c:v>
                </c:pt>
                <c:pt idx="180">
                  <c:v>505.49990000000003</c:v>
                </c:pt>
                <c:pt idx="181">
                  <c:v>504.99990000000003</c:v>
                </c:pt>
                <c:pt idx="182">
                  <c:v>504.49990000000003</c:v>
                </c:pt>
                <c:pt idx="183">
                  <c:v>503.99990000000003</c:v>
                </c:pt>
                <c:pt idx="184">
                  <c:v>503.49990000000003</c:v>
                </c:pt>
                <c:pt idx="185">
                  <c:v>502.99990000000003</c:v>
                </c:pt>
                <c:pt idx="186">
                  <c:v>502.49990000000003</c:v>
                </c:pt>
                <c:pt idx="187">
                  <c:v>501.99990000000003</c:v>
                </c:pt>
                <c:pt idx="188">
                  <c:v>501.99990000000003</c:v>
                </c:pt>
                <c:pt idx="189">
                  <c:v>501.99990000000003</c:v>
                </c:pt>
                <c:pt idx="190">
                  <c:v>501.49990000000003</c:v>
                </c:pt>
                <c:pt idx="191">
                  <c:v>500.99990000000003</c:v>
                </c:pt>
                <c:pt idx="192">
                  <c:v>500.99990000000003</c:v>
                </c:pt>
                <c:pt idx="193">
                  <c:v>500.99990000000003</c:v>
                </c:pt>
                <c:pt idx="194">
                  <c:v>500.49990000000003</c:v>
                </c:pt>
                <c:pt idx="195">
                  <c:v>499.99990000000003</c:v>
                </c:pt>
                <c:pt idx="196">
                  <c:v>499.99990000000003</c:v>
                </c:pt>
                <c:pt idx="197">
                  <c:v>499.99990000000003</c:v>
                </c:pt>
                <c:pt idx="198">
                  <c:v>499.99990000000003</c:v>
                </c:pt>
                <c:pt idx="199">
                  <c:v>499.99990000000003</c:v>
                </c:pt>
                <c:pt idx="200">
                  <c:v>499.99990000000003</c:v>
                </c:pt>
                <c:pt idx="201">
                  <c:v>499.99990000000003</c:v>
                </c:pt>
                <c:pt idx="202">
                  <c:v>499.99990000000003</c:v>
                </c:pt>
                <c:pt idx="203">
                  <c:v>499.99990000000003</c:v>
                </c:pt>
                <c:pt idx="204">
                  <c:v>499.99990000000003</c:v>
                </c:pt>
                <c:pt idx="205">
                  <c:v>499.99990000000003</c:v>
                </c:pt>
                <c:pt idx="206">
                  <c:v>499.99990000000003</c:v>
                </c:pt>
                <c:pt idx="207">
                  <c:v>499.99990000000003</c:v>
                </c:pt>
                <c:pt idx="208">
                  <c:v>499.99990000000003</c:v>
                </c:pt>
                <c:pt idx="209">
                  <c:v>499.99990000000003</c:v>
                </c:pt>
                <c:pt idx="210">
                  <c:v>499.99990000000003</c:v>
                </c:pt>
                <c:pt idx="211">
                  <c:v>499.99990000000003</c:v>
                </c:pt>
                <c:pt idx="212">
                  <c:v>499.99990000000003</c:v>
                </c:pt>
                <c:pt idx="213">
                  <c:v>499.99990000000003</c:v>
                </c:pt>
                <c:pt idx="214">
                  <c:v>499.99990000000003</c:v>
                </c:pt>
                <c:pt idx="215">
                  <c:v>499.99990000000003</c:v>
                </c:pt>
                <c:pt idx="216">
                  <c:v>499.99990000000003</c:v>
                </c:pt>
                <c:pt idx="217">
                  <c:v>499.99990000000003</c:v>
                </c:pt>
                <c:pt idx="218">
                  <c:v>499.99990000000003</c:v>
                </c:pt>
                <c:pt idx="219">
                  <c:v>499.99990000000003</c:v>
                </c:pt>
                <c:pt idx="220">
                  <c:v>499.99990000000003</c:v>
                </c:pt>
                <c:pt idx="221">
                  <c:v>499.99990000000003</c:v>
                </c:pt>
                <c:pt idx="222">
                  <c:v>499.99990000000003</c:v>
                </c:pt>
                <c:pt idx="223">
                  <c:v>499.99990000000003</c:v>
                </c:pt>
                <c:pt idx="224">
                  <c:v>499.99990000000003</c:v>
                </c:pt>
                <c:pt idx="225">
                  <c:v>499.99990000000003</c:v>
                </c:pt>
                <c:pt idx="226">
                  <c:v>499.99990000000003</c:v>
                </c:pt>
                <c:pt idx="227">
                  <c:v>499.99990000000003</c:v>
                </c:pt>
                <c:pt idx="228">
                  <c:v>499.99990000000003</c:v>
                </c:pt>
                <c:pt idx="229">
                  <c:v>499.99990000000003</c:v>
                </c:pt>
                <c:pt idx="230">
                  <c:v>499.99990000000003</c:v>
                </c:pt>
                <c:pt idx="231">
                  <c:v>499.99990000000003</c:v>
                </c:pt>
                <c:pt idx="232">
                  <c:v>499.99990000000003</c:v>
                </c:pt>
                <c:pt idx="233">
                  <c:v>499.99990000000003</c:v>
                </c:pt>
                <c:pt idx="234">
                  <c:v>499.99990000000003</c:v>
                </c:pt>
                <c:pt idx="235">
                  <c:v>499.99990000000003</c:v>
                </c:pt>
                <c:pt idx="236">
                  <c:v>499.99990000000003</c:v>
                </c:pt>
                <c:pt idx="237">
                  <c:v>499.99990000000003</c:v>
                </c:pt>
                <c:pt idx="238">
                  <c:v>499.99990000000003</c:v>
                </c:pt>
                <c:pt idx="239">
                  <c:v>499.99990000000003</c:v>
                </c:pt>
                <c:pt idx="240">
                  <c:v>499.99990000000003</c:v>
                </c:pt>
                <c:pt idx="241">
                  <c:v>499.99990000000003</c:v>
                </c:pt>
                <c:pt idx="242">
                  <c:v>499.99990000000003</c:v>
                </c:pt>
                <c:pt idx="243">
                  <c:v>499.99990000000003</c:v>
                </c:pt>
                <c:pt idx="244">
                  <c:v>499.99990000000003</c:v>
                </c:pt>
                <c:pt idx="245">
                  <c:v>499.99990000000003</c:v>
                </c:pt>
                <c:pt idx="246">
                  <c:v>499.99990000000003</c:v>
                </c:pt>
                <c:pt idx="247">
                  <c:v>499.99990000000003</c:v>
                </c:pt>
                <c:pt idx="248">
                  <c:v>499.99990000000003</c:v>
                </c:pt>
                <c:pt idx="249">
                  <c:v>499.99990000000003</c:v>
                </c:pt>
                <c:pt idx="250">
                  <c:v>499.99990000000003</c:v>
                </c:pt>
                <c:pt idx="251">
                  <c:v>499.99990000000003</c:v>
                </c:pt>
                <c:pt idx="252">
                  <c:v>499.99990000000003</c:v>
                </c:pt>
                <c:pt idx="253">
                  <c:v>499.99990000000003</c:v>
                </c:pt>
                <c:pt idx="254">
                  <c:v>499.99990000000003</c:v>
                </c:pt>
                <c:pt idx="255">
                  <c:v>499.99990000000003</c:v>
                </c:pt>
                <c:pt idx="256">
                  <c:v>499.99990000000003</c:v>
                </c:pt>
                <c:pt idx="257">
                  <c:v>499.99990000000003</c:v>
                </c:pt>
                <c:pt idx="258">
                  <c:v>499.99990000000003</c:v>
                </c:pt>
                <c:pt idx="259">
                  <c:v>499.99990000000003</c:v>
                </c:pt>
                <c:pt idx="260">
                  <c:v>499.99990000000003</c:v>
                </c:pt>
                <c:pt idx="261">
                  <c:v>499.99990000000003</c:v>
                </c:pt>
                <c:pt idx="262">
                  <c:v>499.99990000000003</c:v>
                </c:pt>
                <c:pt idx="263">
                  <c:v>499.99990000000003</c:v>
                </c:pt>
                <c:pt idx="264">
                  <c:v>499.99990000000003</c:v>
                </c:pt>
                <c:pt idx="265">
                  <c:v>499.99990000000003</c:v>
                </c:pt>
                <c:pt idx="266">
                  <c:v>499.99990000000003</c:v>
                </c:pt>
                <c:pt idx="267">
                  <c:v>499.99990000000003</c:v>
                </c:pt>
                <c:pt idx="268">
                  <c:v>499.99990000000003</c:v>
                </c:pt>
                <c:pt idx="269">
                  <c:v>499.99990000000003</c:v>
                </c:pt>
                <c:pt idx="270" formatCode="0.00E+00">
                  <c:v>499.99990000000003</c:v>
                </c:pt>
                <c:pt idx="271" formatCode="0.00E+00">
                  <c:v>499.99990000000003</c:v>
                </c:pt>
                <c:pt idx="272" formatCode="0.00E+00">
                  <c:v>499.99990000000003</c:v>
                </c:pt>
                <c:pt idx="273" formatCode="0.00E+00">
                  <c:v>499.99990000000003</c:v>
                </c:pt>
                <c:pt idx="274" formatCode="0.00E+00">
                  <c:v>499.99990000000003</c:v>
                </c:pt>
                <c:pt idx="275" formatCode="0.00E+00">
                  <c:v>499.99990000000003</c:v>
                </c:pt>
                <c:pt idx="276" formatCode="0.00E+00">
                  <c:v>499.99990000000003</c:v>
                </c:pt>
                <c:pt idx="277" formatCode="0.00E+00">
                  <c:v>499.99990000000003</c:v>
                </c:pt>
                <c:pt idx="278" formatCode="0.00E+00">
                  <c:v>499.99990000000003</c:v>
                </c:pt>
                <c:pt idx="279" formatCode="0.00E+00">
                  <c:v>499.99990000000003</c:v>
                </c:pt>
                <c:pt idx="280" formatCode="0.00E+00">
                  <c:v>499.02379999999999</c:v>
                </c:pt>
                <c:pt idx="281" formatCode="0.00E+00">
                  <c:v>498.92660000000001</c:v>
                </c:pt>
                <c:pt idx="282" formatCode="0.00E+00">
                  <c:v>480.04500000000002</c:v>
                </c:pt>
                <c:pt idx="283" formatCode="0.00E+00">
                  <c:v>478.1635</c:v>
                </c:pt>
                <c:pt idx="284" formatCode="0.00E+00">
                  <c:v>355.56330000000003</c:v>
                </c:pt>
                <c:pt idx="285" formatCode="0.00E+00">
                  <c:v>343.34660000000002</c:v>
                </c:pt>
                <c:pt idx="286" formatCode="0.00E+00">
                  <c:v>70.664259999999999</c:v>
                </c:pt>
                <c:pt idx="287" formatCode="0.00E+00">
                  <c:v>43.492420000000003</c:v>
                </c:pt>
                <c:pt idx="288" formatCode="0.00E+00">
                  <c:v>7.4233729999999998</c:v>
                </c:pt>
                <c:pt idx="289" formatCode="0.00E+00">
                  <c:v>3.829218</c:v>
                </c:pt>
                <c:pt idx="290" formatCode="0.00E+00">
                  <c:v>0.605271</c:v>
                </c:pt>
                <c:pt idx="291" formatCode="0.00E+00">
                  <c:v>0.28401599999999999</c:v>
                </c:pt>
                <c:pt idx="292" formatCode="0.00E+00">
                  <c:v>4.3054000000000002E-2</c:v>
                </c:pt>
                <c:pt idx="293" formatCode="0.00E+00">
                  <c:v>1.9043000000000001E-2</c:v>
                </c:pt>
                <c:pt idx="294" formatCode="0.00E+00">
                  <c:v>2.8119999999999998E-3</c:v>
                </c:pt>
                <c:pt idx="295" formatCode="0.00E+00">
                  <c:v>1.194E-3</c:v>
                </c:pt>
                <c:pt idx="296" formatCode="0.00E+00">
                  <c:v>1.73E-4</c:v>
                </c:pt>
                <c:pt idx="297" formatCode="0.00E+00">
                  <c:v>7.1400000000000001E-5</c:v>
                </c:pt>
                <c:pt idx="298" formatCode="0.00E+00">
                  <c:v>1.0200000000000001E-5</c:v>
                </c:pt>
                <c:pt idx="299" formatCode="0.00E+00">
                  <c:v>4.1200000000000004E-6</c:v>
                </c:pt>
                <c:pt idx="300" formatCode="0.00E+00">
                  <c:v>5.8400000000000004E-7</c:v>
                </c:pt>
                <c:pt idx="301" formatCode="0.00E+00">
                  <c:v>2.3099999999999999E-7</c:v>
                </c:pt>
                <c:pt idx="302" formatCode="0.00E+00">
                  <c:v>3.25E-8</c:v>
                </c:pt>
                <c:pt idx="303" formatCode="0.00E+00">
                  <c:v>1.27E-8</c:v>
                </c:pt>
                <c:pt idx="304" formatCode="0.00E+00">
                  <c:v>1.7800000000000001E-9</c:v>
                </c:pt>
                <c:pt idx="305" formatCode="0.00E+00">
                  <c:v>6.8600000000000001E-10</c:v>
                </c:pt>
                <c:pt idx="306" formatCode="0.00E+00">
                  <c:v>9.5200000000000005E-11</c:v>
                </c:pt>
                <c:pt idx="307" formatCode="0.00E+00">
                  <c:v>3.6399999999999998E-11</c:v>
                </c:pt>
                <c:pt idx="308" formatCode="0.00E+00">
                  <c:v>5.0400000000000003E-12</c:v>
                </c:pt>
                <c:pt idx="309" formatCode="0.00E+00">
                  <c:v>1.9100000000000001E-12</c:v>
                </c:pt>
                <c:pt idx="310" formatCode="0.00E+00">
                  <c:v>2.6299999999999999E-13</c:v>
                </c:pt>
                <c:pt idx="311" formatCode="0.00E+00">
                  <c:v>9.9100000000000002E-14</c:v>
                </c:pt>
                <c:pt idx="312" formatCode="0.00E+00">
                  <c:v>1.36E-14</c:v>
                </c:pt>
                <c:pt idx="313" formatCode="0.00E+00">
                  <c:v>5.0900000000000003E-15</c:v>
                </c:pt>
                <c:pt idx="314" formatCode="0.00E+00">
                  <c:v>6.98E-16</c:v>
                </c:pt>
                <c:pt idx="315" formatCode="0.00E+00">
                  <c:v>2.5999999999999998E-16</c:v>
                </c:pt>
                <c:pt idx="316" formatCode="0.00E+00">
                  <c:v>3.5499999999999998E-17</c:v>
                </c:pt>
                <c:pt idx="317" formatCode="0.00E+00">
                  <c:v>1.31E-17</c:v>
                </c:pt>
                <c:pt idx="318" formatCode="0.00E+00">
                  <c:v>1.7900000000000001E-18</c:v>
                </c:pt>
                <c:pt idx="319" formatCode="0.00E+00">
                  <c:v>6.6099999999999999E-19</c:v>
                </c:pt>
                <c:pt idx="320" formatCode="0.00E+00">
                  <c:v>8.9899999999999999E-20</c:v>
                </c:pt>
                <c:pt idx="321" formatCode="0.00E+00">
                  <c:v>3.3E-20</c:v>
                </c:pt>
                <c:pt idx="322" formatCode="0.00E+00">
                  <c:v>4.4799999999999999E-21</c:v>
                </c:pt>
                <c:pt idx="323" formatCode="0.00E+00">
                  <c:v>1.64E-21</c:v>
                </c:pt>
                <c:pt idx="324" formatCode="0.00E+00">
                  <c:v>2.2300000000000001E-22</c:v>
                </c:pt>
                <c:pt idx="325" formatCode="0.00E+00">
                  <c:v>8.1200000000000002E-23</c:v>
                </c:pt>
                <c:pt idx="326" formatCode="0.00E+00">
                  <c:v>1.1E-23</c:v>
                </c:pt>
                <c:pt idx="327" formatCode="0.00E+00">
                  <c:v>3.9999999999999997E-24</c:v>
                </c:pt>
                <c:pt idx="328" formatCode="0.00E+00">
                  <c:v>5.4100000000000003E-25</c:v>
                </c:pt>
                <c:pt idx="329" formatCode="0.00E+00">
                  <c:v>1.96E-25</c:v>
                </c:pt>
                <c:pt idx="330" formatCode="0.00E+00">
                  <c:v>2.65E-26</c:v>
                </c:pt>
                <c:pt idx="331" formatCode="0.00E+00">
                  <c:v>9.6100000000000003E-27</c:v>
                </c:pt>
                <c:pt idx="332" formatCode="0.00E+00">
                  <c:v>1.3000000000000001E-27</c:v>
                </c:pt>
                <c:pt idx="333" formatCode="0.00E+00">
                  <c:v>4.6800000000000002E-28</c:v>
                </c:pt>
                <c:pt idx="334" formatCode="0.00E+00">
                  <c:v>6.3099999999999997E-29</c:v>
                </c:pt>
                <c:pt idx="335" formatCode="0.00E+00">
                  <c:v>2.2699999999999999E-29</c:v>
                </c:pt>
                <c:pt idx="336" formatCode="0.00E+00">
                  <c:v>3.0599999999999998E-30</c:v>
                </c:pt>
                <c:pt idx="337" formatCode="0.00E+00">
                  <c:v>1.0999999999999999E-30</c:v>
                </c:pt>
                <c:pt idx="338" formatCode="0.00E+00">
                  <c:v>1.48E-31</c:v>
                </c:pt>
                <c:pt idx="339" formatCode="0.00E+00">
                  <c:v>5.3299999999999996E-32</c:v>
                </c:pt>
                <c:pt idx="340" formatCode="0.00E+00">
                  <c:v>7.1599999999999994E-33</c:v>
                </c:pt>
                <c:pt idx="341" formatCode="0.00E+00">
                  <c:v>2.57E-33</c:v>
                </c:pt>
                <c:pt idx="342" formatCode="0.00E+00">
                  <c:v>3.45E-34</c:v>
                </c:pt>
                <c:pt idx="343" formatCode="0.00E+00">
                  <c:v>1.23E-34</c:v>
                </c:pt>
                <c:pt idx="344" formatCode="0.00E+00">
                  <c:v>1.66E-35</c:v>
                </c:pt>
                <c:pt idx="345" formatCode="0.00E+00">
                  <c:v>5.9299999999999997E-36</c:v>
                </c:pt>
                <c:pt idx="346" formatCode="0.00E+00">
                  <c:v>7.9500000000000003E-37</c:v>
                </c:pt>
                <c:pt idx="347" formatCode="0.00E+00">
                  <c:v>2.8400000000000001E-37</c:v>
                </c:pt>
                <c:pt idx="348" formatCode="0.00E+00">
                  <c:v>3.8100000000000002E-38</c:v>
                </c:pt>
                <c:pt idx="349" formatCode="0.00E+00">
                  <c:v>1.36E-38</c:v>
                </c:pt>
                <c:pt idx="350" formatCode="0.00E+00">
                  <c:v>1.8199999999999999E-39</c:v>
                </c:pt>
                <c:pt idx="351" formatCode="0.00E+00">
                  <c:v>6.4800000000000001E-40</c:v>
                </c:pt>
                <c:pt idx="352" formatCode="0.00E+00">
                  <c:v>8.6699999999999999E-41</c:v>
                </c:pt>
                <c:pt idx="353" formatCode="0.00E+00">
                  <c:v>3.0900000000000002E-41</c:v>
                </c:pt>
                <c:pt idx="354" formatCode="0.00E+00">
                  <c:v>4.1300000000000001E-42</c:v>
                </c:pt>
                <c:pt idx="355" formatCode="0.00E+00">
                  <c:v>1.4699999999999999E-42</c:v>
                </c:pt>
                <c:pt idx="356" formatCode="0.00E+00">
                  <c:v>1.9600000000000001E-43</c:v>
                </c:pt>
                <c:pt idx="357" formatCode="0.00E+00">
                  <c:v>7.0099999999999999E-44</c:v>
                </c:pt>
                <c:pt idx="358" formatCode="0.00E+00">
                  <c:v>8.4099999999999999E-45</c:v>
                </c:pt>
                <c:pt idx="359" formatCode="0.00E+00">
                  <c:v>2.8000000000000001E-45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花园口以上洪水!$G$1</c:f>
              <c:strCache>
                <c:ptCount val="1"/>
                <c:pt idx="0">
                  <c:v>白马寺</c:v>
                </c:pt>
              </c:strCache>
            </c:strRef>
          </c:tx>
          <c:marker>
            <c:symbol val="none"/>
          </c:marker>
          <c:val>
            <c:numRef>
              <c:f>花园口以上洪水!$G$2:$G$746</c:f>
              <c:numCache>
                <c:formatCode>General</c:formatCode>
                <c:ptCount val="745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300.00009999999997</c:v>
                </c:pt>
                <c:pt idx="7">
                  <c:v>300.00020000000001</c:v>
                </c:pt>
                <c:pt idx="8">
                  <c:v>300.00290000000001</c:v>
                </c:pt>
                <c:pt idx="9">
                  <c:v>300.00560000000002</c:v>
                </c:pt>
                <c:pt idx="10">
                  <c:v>300.06299999999999</c:v>
                </c:pt>
                <c:pt idx="11">
                  <c:v>300.12040000000002</c:v>
                </c:pt>
                <c:pt idx="12">
                  <c:v>307.4511</c:v>
                </c:pt>
                <c:pt idx="13">
                  <c:v>314.78179999999998</c:v>
                </c:pt>
                <c:pt idx="14">
                  <c:v>418.06880000000001</c:v>
                </c:pt>
                <c:pt idx="15">
                  <c:v>521.35569999999996</c:v>
                </c:pt>
                <c:pt idx="16">
                  <c:v>1041.4090000000001</c:v>
                </c:pt>
                <c:pt idx="17">
                  <c:v>1561.462</c:v>
                </c:pt>
                <c:pt idx="18">
                  <c:v>2650.1640000000002</c:v>
                </c:pt>
                <c:pt idx="19">
                  <c:v>3738.866</c:v>
                </c:pt>
                <c:pt idx="20">
                  <c:v>4988.41</c:v>
                </c:pt>
                <c:pt idx="21">
                  <c:v>6237.9539999999997</c:v>
                </c:pt>
                <c:pt idx="22">
                  <c:v>6265.8490000000002</c:v>
                </c:pt>
                <c:pt idx="23">
                  <c:v>6293.7449999999999</c:v>
                </c:pt>
                <c:pt idx="24">
                  <c:v>6066.3909999999996</c:v>
                </c:pt>
                <c:pt idx="25">
                  <c:v>5839.0379999999996</c:v>
                </c:pt>
                <c:pt idx="26">
                  <c:v>5859.78</c:v>
                </c:pt>
                <c:pt idx="27">
                  <c:v>5880.5230000000001</c:v>
                </c:pt>
                <c:pt idx="28">
                  <c:v>6321.36</c:v>
                </c:pt>
                <c:pt idx="29">
                  <c:v>6762.1980000000003</c:v>
                </c:pt>
                <c:pt idx="30">
                  <c:v>6215.6310000000003</c:v>
                </c:pt>
                <c:pt idx="31">
                  <c:v>5669.0519999999997</c:v>
                </c:pt>
                <c:pt idx="32">
                  <c:v>4940.5309999999999</c:v>
                </c:pt>
                <c:pt idx="33">
                  <c:v>4211.7110000000002</c:v>
                </c:pt>
                <c:pt idx="34">
                  <c:v>3723.326</c:v>
                </c:pt>
                <c:pt idx="35">
                  <c:v>3231.7959999999998</c:v>
                </c:pt>
                <c:pt idx="36">
                  <c:v>2948.92</c:v>
                </c:pt>
                <c:pt idx="37">
                  <c:v>2648.643</c:v>
                </c:pt>
                <c:pt idx="38">
                  <c:v>2480.2759999999998</c:v>
                </c:pt>
                <c:pt idx="39">
                  <c:v>2257.5650000000001</c:v>
                </c:pt>
                <c:pt idx="40">
                  <c:v>2144.4989999999998</c:v>
                </c:pt>
                <c:pt idx="41">
                  <c:v>1936.7929999999999</c:v>
                </c:pt>
                <c:pt idx="42">
                  <c:v>1856.0219999999999</c:v>
                </c:pt>
                <c:pt idx="43">
                  <c:v>1690.759</c:v>
                </c:pt>
                <c:pt idx="44">
                  <c:v>1635.115</c:v>
                </c:pt>
                <c:pt idx="45">
                  <c:v>1545.9179999999999</c:v>
                </c:pt>
                <c:pt idx="46">
                  <c:v>1510.8679999999999</c:v>
                </c:pt>
                <c:pt idx="47">
                  <c:v>1466.424</c:v>
                </c:pt>
                <c:pt idx="48">
                  <c:v>1459.2570000000001</c:v>
                </c:pt>
                <c:pt idx="49">
                  <c:v>1449.9179999999999</c:v>
                </c:pt>
                <c:pt idx="50">
                  <c:v>1480.087</c:v>
                </c:pt>
                <c:pt idx="51">
                  <c:v>1509.81</c:v>
                </c:pt>
                <c:pt idx="52">
                  <c:v>1577.325</c:v>
                </c:pt>
                <c:pt idx="53">
                  <c:v>1644.7560000000001</c:v>
                </c:pt>
                <c:pt idx="54">
                  <c:v>1751.9359999999999</c:v>
                </c:pt>
                <c:pt idx="55">
                  <c:v>1859.1</c:v>
                </c:pt>
                <c:pt idx="56">
                  <c:v>1952.5229999999999</c:v>
                </c:pt>
                <c:pt idx="57">
                  <c:v>2045.943</c:v>
                </c:pt>
                <c:pt idx="58">
                  <c:v>2109.748</c:v>
                </c:pt>
                <c:pt idx="59">
                  <c:v>2173.5509999999999</c:v>
                </c:pt>
                <c:pt idx="60">
                  <c:v>2291.2199999999998</c:v>
                </c:pt>
                <c:pt idx="61">
                  <c:v>2408.8890000000001</c:v>
                </c:pt>
                <c:pt idx="62">
                  <c:v>2621.393</c:v>
                </c:pt>
                <c:pt idx="63">
                  <c:v>2833.8980000000001</c:v>
                </c:pt>
                <c:pt idx="64">
                  <c:v>3083.3580000000002</c:v>
                </c:pt>
                <c:pt idx="65">
                  <c:v>3332.82</c:v>
                </c:pt>
                <c:pt idx="66">
                  <c:v>3607.4169999999999</c:v>
                </c:pt>
                <c:pt idx="67">
                  <c:v>3882.0160000000001</c:v>
                </c:pt>
                <c:pt idx="68">
                  <c:v>4327.9920000000002</c:v>
                </c:pt>
                <c:pt idx="69">
                  <c:v>4773.9679999999998</c:v>
                </c:pt>
                <c:pt idx="70">
                  <c:v>4918.4210000000003</c:v>
                </c:pt>
                <c:pt idx="71">
                  <c:v>5062.875</c:v>
                </c:pt>
                <c:pt idx="72">
                  <c:v>4926.3450000000003</c:v>
                </c:pt>
                <c:pt idx="73">
                  <c:v>4789.8140000000003</c:v>
                </c:pt>
                <c:pt idx="74">
                  <c:v>4590.24</c:v>
                </c:pt>
                <c:pt idx="75">
                  <c:v>4390.6670000000004</c:v>
                </c:pt>
                <c:pt idx="76">
                  <c:v>4187.7</c:v>
                </c:pt>
                <c:pt idx="77">
                  <c:v>3984.7339999999999</c:v>
                </c:pt>
                <c:pt idx="78">
                  <c:v>3794.7910000000002</c:v>
                </c:pt>
                <c:pt idx="79">
                  <c:v>3604.848</c:v>
                </c:pt>
                <c:pt idx="80">
                  <c:v>3482.1210000000001</c:v>
                </c:pt>
                <c:pt idx="81">
                  <c:v>3359.3939999999998</c:v>
                </c:pt>
                <c:pt idx="82">
                  <c:v>3397.3850000000002</c:v>
                </c:pt>
                <c:pt idx="83">
                  <c:v>3435.377</c:v>
                </c:pt>
                <c:pt idx="84">
                  <c:v>3590.48</c:v>
                </c:pt>
                <c:pt idx="85">
                  <c:v>3745.5830000000001</c:v>
                </c:pt>
                <c:pt idx="86">
                  <c:v>3728.1120000000001</c:v>
                </c:pt>
                <c:pt idx="87">
                  <c:v>3710.6419999999998</c:v>
                </c:pt>
                <c:pt idx="88">
                  <c:v>3492.752</c:v>
                </c:pt>
                <c:pt idx="89">
                  <c:v>3274.8629999999998</c:v>
                </c:pt>
                <c:pt idx="90">
                  <c:v>2999.692</c:v>
                </c:pt>
                <c:pt idx="91">
                  <c:v>2724.5210000000002</c:v>
                </c:pt>
                <c:pt idx="92">
                  <c:v>2456.2080000000001</c:v>
                </c:pt>
                <c:pt idx="93">
                  <c:v>2187.8960000000002</c:v>
                </c:pt>
                <c:pt idx="94">
                  <c:v>1951.8150000000001</c:v>
                </c:pt>
                <c:pt idx="95">
                  <c:v>1715.7349999999999</c:v>
                </c:pt>
                <c:pt idx="96">
                  <c:v>1537.1959999999999</c:v>
                </c:pt>
                <c:pt idx="97">
                  <c:v>1358.6569999999999</c:v>
                </c:pt>
                <c:pt idx="98">
                  <c:v>1251.9390000000001</c:v>
                </c:pt>
                <c:pt idx="99">
                  <c:v>1145.221</c:v>
                </c:pt>
                <c:pt idx="100">
                  <c:v>1106.1279999999999</c:v>
                </c:pt>
                <c:pt idx="101">
                  <c:v>1067.0350000000001</c:v>
                </c:pt>
                <c:pt idx="102">
                  <c:v>1078.828</c:v>
                </c:pt>
                <c:pt idx="103">
                  <c:v>1090.6210000000001</c:v>
                </c:pt>
                <c:pt idx="104">
                  <c:v>1112.617</c:v>
                </c:pt>
                <c:pt idx="105">
                  <c:v>1134.614</c:v>
                </c:pt>
                <c:pt idx="106">
                  <c:v>1127.5730000000001</c:v>
                </c:pt>
                <c:pt idx="107">
                  <c:v>1120.5309999999999</c:v>
                </c:pt>
                <c:pt idx="108">
                  <c:v>1307.7529999999999</c:v>
                </c:pt>
                <c:pt idx="109">
                  <c:v>1494.9749999999999</c:v>
                </c:pt>
                <c:pt idx="110">
                  <c:v>2089.6550000000002</c:v>
                </c:pt>
                <c:pt idx="111">
                  <c:v>2684.3339999999998</c:v>
                </c:pt>
                <c:pt idx="112">
                  <c:v>3348.8009999999999</c:v>
                </c:pt>
                <c:pt idx="113">
                  <c:v>4013.268</c:v>
                </c:pt>
                <c:pt idx="114">
                  <c:v>4309.3329999999996</c:v>
                </c:pt>
                <c:pt idx="115">
                  <c:v>4605.3980000000001</c:v>
                </c:pt>
                <c:pt idx="116">
                  <c:v>4726.5280000000002</c:v>
                </c:pt>
                <c:pt idx="117">
                  <c:v>4847.6580000000004</c:v>
                </c:pt>
                <c:pt idx="118">
                  <c:v>4000.0859999999998</c:v>
                </c:pt>
                <c:pt idx="119">
                  <c:v>3152.5140000000001</c:v>
                </c:pt>
                <c:pt idx="120">
                  <c:v>2506.7269999999999</c:v>
                </c:pt>
                <c:pt idx="121">
                  <c:v>1860.9390000000001</c:v>
                </c:pt>
                <c:pt idx="122">
                  <c:v>1560.3520000000001</c:v>
                </c:pt>
                <c:pt idx="123">
                  <c:v>1259.7639999999999</c:v>
                </c:pt>
                <c:pt idx="124">
                  <c:v>1131.3720000000001</c:v>
                </c:pt>
                <c:pt idx="125">
                  <c:v>1002.979</c:v>
                </c:pt>
                <c:pt idx="126">
                  <c:v>937.73969999999997</c:v>
                </c:pt>
                <c:pt idx="127">
                  <c:v>872.50019999999995</c:v>
                </c:pt>
                <c:pt idx="128">
                  <c:v>827.66800000000001</c:v>
                </c:pt>
                <c:pt idx="129">
                  <c:v>782.83590000000004</c:v>
                </c:pt>
                <c:pt idx="130">
                  <c:v>742.88130000000001</c:v>
                </c:pt>
                <c:pt idx="131">
                  <c:v>702.92679999999996</c:v>
                </c:pt>
                <c:pt idx="132">
                  <c:v>665.18100000000004</c:v>
                </c:pt>
                <c:pt idx="133">
                  <c:v>627.43520000000001</c:v>
                </c:pt>
                <c:pt idx="134">
                  <c:v>593.02959999999996</c:v>
                </c:pt>
                <c:pt idx="135">
                  <c:v>558.62400000000002</c:v>
                </c:pt>
                <c:pt idx="136">
                  <c:v>527.63</c:v>
                </c:pt>
                <c:pt idx="137">
                  <c:v>496.63589999999999</c:v>
                </c:pt>
                <c:pt idx="138">
                  <c:v>468.87869999999998</c:v>
                </c:pt>
                <c:pt idx="139">
                  <c:v>441.12150000000003</c:v>
                </c:pt>
                <c:pt idx="140">
                  <c:v>417.3494</c:v>
                </c:pt>
                <c:pt idx="141">
                  <c:v>393.57260000000002</c:v>
                </c:pt>
                <c:pt idx="142">
                  <c:v>372.44940000000003</c:v>
                </c:pt>
                <c:pt idx="143">
                  <c:v>351.20440000000002</c:v>
                </c:pt>
                <c:pt idx="144">
                  <c:v>333.8184</c:v>
                </c:pt>
                <c:pt idx="145">
                  <c:v>315.15129999999999</c:v>
                </c:pt>
                <c:pt idx="146">
                  <c:v>304.37939999999998</c:v>
                </c:pt>
                <c:pt idx="147">
                  <c:v>286.47449999999998</c:v>
                </c:pt>
                <c:pt idx="148">
                  <c:v>292.24369999999999</c:v>
                </c:pt>
                <c:pt idx="149">
                  <c:v>275.32600000000002</c:v>
                </c:pt>
                <c:pt idx="150">
                  <c:v>300.01799999999997</c:v>
                </c:pt>
                <c:pt idx="151">
                  <c:v>282.97469999999998</c:v>
                </c:pt>
                <c:pt idx="152">
                  <c:v>310.57459999999998</c:v>
                </c:pt>
                <c:pt idx="153">
                  <c:v>293.67020000000002</c:v>
                </c:pt>
                <c:pt idx="154">
                  <c:v>310.01420000000002</c:v>
                </c:pt>
                <c:pt idx="155">
                  <c:v>295.04700000000003</c:v>
                </c:pt>
                <c:pt idx="156">
                  <c:v>302.96800000000002</c:v>
                </c:pt>
                <c:pt idx="157">
                  <c:v>291.29739999999998</c:v>
                </c:pt>
                <c:pt idx="158">
                  <c:v>287.81670000000003</c:v>
                </c:pt>
                <c:pt idx="159">
                  <c:v>277.18979999999999</c:v>
                </c:pt>
                <c:pt idx="160">
                  <c:v>270.75</c:v>
                </c:pt>
                <c:pt idx="161">
                  <c:v>262.37569999999999</c:v>
                </c:pt>
                <c:pt idx="162">
                  <c:v>255.39709999999999</c:v>
                </c:pt>
                <c:pt idx="163">
                  <c:v>247.97890000000001</c:v>
                </c:pt>
                <c:pt idx="164">
                  <c:v>242.69450000000001</c:v>
                </c:pt>
                <c:pt idx="165">
                  <c:v>237.32079999999999</c:v>
                </c:pt>
                <c:pt idx="166">
                  <c:v>232.37180000000001</c:v>
                </c:pt>
                <c:pt idx="167">
                  <c:v>227.4059</c:v>
                </c:pt>
                <c:pt idx="168">
                  <c:v>223.30699999999999</c:v>
                </c:pt>
                <c:pt idx="169">
                  <c:v>219.20519999999999</c:v>
                </c:pt>
                <c:pt idx="170">
                  <c:v>215.47020000000001</c:v>
                </c:pt>
                <c:pt idx="171">
                  <c:v>211.7347</c:v>
                </c:pt>
                <c:pt idx="172">
                  <c:v>208.44739999999999</c:v>
                </c:pt>
                <c:pt idx="173">
                  <c:v>205.16</c:v>
                </c:pt>
                <c:pt idx="174">
                  <c:v>202.3622</c:v>
                </c:pt>
                <c:pt idx="175">
                  <c:v>199.5643</c:v>
                </c:pt>
                <c:pt idx="176">
                  <c:v>197.5275</c:v>
                </c:pt>
                <c:pt idx="177">
                  <c:v>195.49080000000001</c:v>
                </c:pt>
                <c:pt idx="178">
                  <c:v>192.595</c:v>
                </c:pt>
                <c:pt idx="179">
                  <c:v>189.69929999999999</c:v>
                </c:pt>
                <c:pt idx="180">
                  <c:v>186.1216</c:v>
                </c:pt>
                <c:pt idx="181">
                  <c:v>182.54390000000001</c:v>
                </c:pt>
                <c:pt idx="182">
                  <c:v>179.95359999999999</c:v>
                </c:pt>
                <c:pt idx="183">
                  <c:v>177.36330000000001</c:v>
                </c:pt>
                <c:pt idx="184">
                  <c:v>175.9042</c:v>
                </c:pt>
                <c:pt idx="185">
                  <c:v>174.4451</c:v>
                </c:pt>
                <c:pt idx="186">
                  <c:v>173.22550000000001</c:v>
                </c:pt>
                <c:pt idx="187">
                  <c:v>172.00579999999999</c:v>
                </c:pt>
                <c:pt idx="188">
                  <c:v>170.12090000000001</c:v>
                </c:pt>
                <c:pt idx="189">
                  <c:v>168.23609999999999</c:v>
                </c:pt>
                <c:pt idx="190">
                  <c:v>166.99019999999999</c:v>
                </c:pt>
                <c:pt idx="191">
                  <c:v>165.74449999999999</c:v>
                </c:pt>
                <c:pt idx="192">
                  <c:v>163.71129999999999</c:v>
                </c:pt>
                <c:pt idx="193">
                  <c:v>161.6782</c:v>
                </c:pt>
                <c:pt idx="194">
                  <c:v>160.27959999999999</c:v>
                </c:pt>
                <c:pt idx="195">
                  <c:v>158.881</c:v>
                </c:pt>
                <c:pt idx="196">
                  <c:v>157.374</c:v>
                </c:pt>
                <c:pt idx="197">
                  <c:v>155.86709999999999</c:v>
                </c:pt>
                <c:pt idx="198">
                  <c:v>154.69829999999999</c:v>
                </c:pt>
                <c:pt idx="199">
                  <c:v>153.52950000000001</c:v>
                </c:pt>
                <c:pt idx="200">
                  <c:v>153.2028</c:v>
                </c:pt>
                <c:pt idx="201">
                  <c:v>152.87610000000001</c:v>
                </c:pt>
                <c:pt idx="202">
                  <c:v>152.57859999999999</c:v>
                </c:pt>
                <c:pt idx="203">
                  <c:v>152.28120000000001</c:v>
                </c:pt>
                <c:pt idx="204">
                  <c:v>151.38239999999999</c:v>
                </c:pt>
                <c:pt idx="205">
                  <c:v>150.4836</c:v>
                </c:pt>
                <c:pt idx="206">
                  <c:v>150.26609999999999</c:v>
                </c:pt>
                <c:pt idx="207">
                  <c:v>150.04849999999999</c:v>
                </c:pt>
                <c:pt idx="208">
                  <c:v>150.02600000000001</c:v>
                </c:pt>
                <c:pt idx="209">
                  <c:v>150.0035</c:v>
                </c:pt>
                <c:pt idx="210">
                  <c:v>150.0018</c:v>
                </c:pt>
                <c:pt idx="211">
                  <c:v>150.00020000000001</c:v>
                </c:pt>
                <c:pt idx="212">
                  <c:v>150.0001</c:v>
                </c:pt>
                <c:pt idx="213">
                  <c:v>150</c:v>
                </c:pt>
                <c:pt idx="214">
                  <c:v>150</c:v>
                </c:pt>
                <c:pt idx="215">
                  <c:v>150</c:v>
                </c:pt>
                <c:pt idx="216">
                  <c:v>150</c:v>
                </c:pt>
                <c:pt idx="217">
                  <c:v>150</c:v>
                </c:pt>
                <c:pt idx="218">
                  <c:v>150</c:v>
                </c:pt>
                <c:pt idx="219">
                  <c:v>150</c:v>
                </c:pt>
                <c:pt idx="220">
                  <c:v>150</c:v>
                </c:pt>
                <c:pt idx="221">
                  <c:v>150</c:v>
                </c:pt>
                <c:pt idx="222">
                  <c:v>150</c:v>
                </c:pt>
                <c:pt idx="223">
                  <c:v>150</c:v>
                </c:pt>
                <c:pt idx="224">
                  <c:v>150</c:v>
                </c:pt>
                <c:pt idx="225">
                  <c:v>150</c:v>
                </c:pt>
                <c:pt idx="226">
                  <c:v>150</c:v>
                </c:pt>
                <c:pt idx="227">
                  <c:v>150</c:v>
                </c:pt>
                <c:pt idx="228">
                  <c:v>150</c:v>
                </c:pt>
                <c:pt idx="229">
                  <c:v>150</c:v>
                </c:pt>
                <c:pt idx="230">
                  <c:v>150</c:v>
                </c:pt>
                <c:pt idx="231">
                  <c:v>150</c:v>
                </c:pt>
                <c:pt idx="232">
                  <c:v>150</c:v>
                </c:pt>
                <c:pt idx="233">
                  <c:v>150</c:v>
                </c:pt>
                <c:pt idx="234">
                  <c:v>150</c:v>
                </c:pt>
                <c:pt idx="235">
                  <c:v>150</c:v>
                </c:pt>
                <c:pt idx="236">
                  <c:v>150</c:v>
                </c:pt>
                <c:pt idx="237">
                  <c:v>150</c:v>
                </c:pt>
                <c:pt idx="238">
                  <c:v>150</c:v>
                </c:pt>
                <c:pt idx="239">
                  <c:v>150</c:v>
                </c:pt>
                <c:pt idx="240">
                  <c:v>150</c:v>
                </c:pt>
                <c:pt idx="241">
                  <c:v>150</c:v>
                </c:pt>
                <c:pt idx="242">
                  <c:v>150</c:v>
                </c:pt>
                <c:pt idx="243">
                  <c:v>150</c:v>
                </c:pt>
                <c:pt idx="244">
                  <c:v>150</c:v>
                </c:pt>
                <c:pt idx="245">
                  <c:v>150</c:v>
                </c:pt>
                <c:pt idx="246">
                  <c:v>150</c:v>
                </c:pt>
                <c:pt idx="247">
                  <c:v>150</c:v>
                </c:pt>
                <c:pt idx="248">
                  <c:v>150</c:v>
                </c:pt>
                <c:pt idx="249">
                  <c:v>150</c:v>
                </c:pt>
                <c:pt idx="250">
                  <c:v>150</c:v>
                </c:pt>
                <c:pt idx="251">
                  <c:v>150</c:v>
                </c:pt>
                <c:pt idx="252">
                  <c:v>150</c:v>
                </c:pt>
                <c:pt idx="253">
                  <c:v>150</c:v>
                </c:pt>
                <c:pt idx="254">
                  <c:v>150</c:v>
                </c:pt>
                <c:pt idx="255">
                  <c:v>150</c:v>
                </c:pt>
                <c:pt idx="256">
                  <c:v>150</c:v>
                </c:pt>
                <c:pt idx="257">
                  <c:v>150</c:v>
                </c:pt>
                <c:pt idx="258">
                  <c:v>150</c:v>
                </c:pt>
                <c:pt idx="259">
                  <c:v>150</c:v>
                </c:pt>
                <c:pt idx="260">
                  <c:v>150</c:v>
                </c:pt>
                <c:pt idx="261">
                  <c:v>150</c:v>
                </c:pt>
                <c:pt idx="262">
                  <c:v>150</c:v>
                </c:pt>
                <c:pt idx="263">
                  <c:v>150</c:v>
                </c:pt>
                <c:pt idx="264">
                  <c:v>150</c:v>
                </c:pt>
                <c:pt idx="265">
                  <c:v>150</c:v>
                </c:pt>
                <c:pt idx="266">
                  <c:v>150</c:v>
                </c:pt>
                <c:pt idx="267">
                  <c:v>150</c:v>
                </c:pt>
                <c:pt idx="268">
                  <c:v>150</c:v>
                </c:pt>
                <c:pt idx="269">
                  <c:v>150</c:v>
                </c:pt>
                <c:pt idx="270">
                  <c:v>150</c:v>
                </c:pt>
                <c:pt idx="271">
                  <c:v>150</c:v>
                </c:pt>
                <c:pt idx="272">
                  <c:v>150</c:v>
                </c:pt>
                <c:pt idx="273">
                  <c:v>150</c:v>
                </c:pt>
                <c:pt idx="274">
                  <c:v>150</c:v>
                </c:pt>
                <c:pt idx="275">
                  <c:v>150</c:v>
                </c:pt>
                <c:pt idx="276">
                  <c:v>150</c:v>
                </c:pt>
                <c:pt idx="277">
                  <c:v>150</c:v>
                </c:pt>
                <c:pt idx="278">
                  <c:v>150</c:v>
                </c:pt>
                <c:pt idx="279">
                  <c:v>150</c:v>
                </c:pt>
                <c:pt idx="280">
                  <c:v>150</c:v>
                </c:pt>
                <c:pt idx="281">
                  <c:v>150</c:v>
                </c:pt>
                <c:pt idx="282">
                  <c:v>150</c:v>
                </c:pt>
                <c:pt idx="283" formatCode="0.00E+00">
                  <c:v>150</c:v>
                </c:pt>
                <c:pt idx="284" formatCode="0.00E+00">
                  <c:v>150</c:v>
                </c:pt>
                <c:pt idx="285" formatCode="0.00E+00">
                  <c:v>150</c:v>
                </c:pt>
                <c:pt idx="286" formatCode="0.00E+00">
                  <c:v>150</c:v>
                </c:pt>
                <c:pt idx="287" formatCode="0.00E+00">
                  <c:v>150</c:v>
                </c:pt>
                <c:pt idx="288" formatCode="0.00E+00">
                  <c:v>150</c:v>
                </c:pt>
                <c:pt idx="289" formatCode="0.00E+00">
                  <c:v>150</c:v>
                </c:pt>
                <c:pt idx="290" formatCode="0.00E+00">
                  <c:v>150</c:v>
                </c:pt>
                <c:pt idx="291" formatCode="0.00E+00">
                  <c:v>150</c:v>
                </c:pt>
                <c:pt idx="292" formatCode="0.00E+00">
                  <c:v>150</c:v>
                </c:pt>
                <c:pt idx="293" formatCode="0.00E+00">
                  <c:v>150</c:v>
                </c:pt>
                <c:pt idx="294" formatCode="0.00E+00">
                  <c:v>150</c:v>
                </c:pt>
                <c:pt idx="295" formatCode="0.00E+00">
                  <c:v>150</c:v>
                </c:pt>
                <c:pt idx="296" formatCode="0.00E+00">
                  <c:v>150</c:v>
                </c:pt>
                <c:pt idx="297" formatCode="0.00E+00">
                  <c:v>150</c:v>
                </c:pt>
                <c:pt idx="298" formatCode="0.00E+00">
                  <c:v>150</c:v>
                </c:pt>
                <c:pt idx="299" formatCode="0.00E+00">
                  <c:v>150</c:v>
                </c:pt>
                <c:pt idx="300" formatCode="0.00E+00">
                  <c:v>150</c:v>
                </c:pt>
                <c:pt idx="301" formatCode="0.00E+00">
                  <c:v>150</c:v>
                </c:pt>
                <c:pt idx="302" formatCode="0.00E+00">
                  <c:v>150</c:v>
                </c:pt>
                <c:pt idx="303" formatCode="0.00E+00">
                  <c:v>150</c:v>
                </c:pt>
                <c:pt idx="304" formatCode="0.00E+00">
                  <c:v>150</c:v>
                </c:pt>
                <c:pt idx="305" formatCode="0.00E+00">
                  <c:v>150</c:v>
                </c:pt>
                <c:pt idx="306" formatCode="0.00E+00">
                  <c:v>150</c:v>
                </c:pt>
                <c:pt idx="307" formatCode="0.00E+00">
                  <c:v>150</c:v>
                </c:pt>
                <c:pt idx="308" formatCode="0.00E+00">
                  <c:v>150</c:v>
                </c:pt>
                <c:pt idx="309" formatCode="0.00E+00">
                  <c:v>150</c:v>
                </c:pt>
                <c:pt idx="310" formatCode="0.00E+00">
                  <c:v>150</c:v>
                </c:pt>
                <c:pt idx="311" formatCode="0.00E+00">
                  <c:v>150</c:v>
                </c:pt>
                <c:pt idx="312" formatCode="0.00E+00">
                  <c:v>150</c:v>
                </c:pt>
                <c:pt idx="313" formatCode="0.00E+00">
                  <c:v>150</c:v>
                </c:pt>
                <c:pt idx="314" formatCode="0.00E+00">
                  <c:v>150</c:v>
                </c:pt>
                <c:pt idx="315" formatCode="0.00E+00">
                  <c:v>150</c:v>
                </c:pt>
                <c:pt idx="316" formatCode="0.00E+00">
                  <c:v>150</c:v>
                </c:pt>
                <c:pt idx="317" formatCode="0.00E+00">
                  <c:v>150</c:v>
                </c:pt>
                <c:pt idx="318" formatCode="0.00E+00">
                  <c:v>150</c:v>
                </c:pt>
                <c:pt idx="319" formatCode="0.00E+00">
                  <c:v>150</c:v>
                </c:pt>
                <c:pt idx="320" formatCode="0.00E+00">
                  <c:v>150</c:v>
                </c:pt>
                <c:pt idx="321" formatCode="0.00E+00">
                  <c:v>150</c:v>
                </c:pt>
                <c:pt idx="322" formatCode="0.00E+00">
                  <c:v>150</c:v>
                </c:pt>
                <c:pt idx="323" formatCode="0.00E+00">
                  <c:v>150</c:v>
                </c:pt>
                <c:pt idx="324" formatCode="0.00E+00">
                  <c:v>150</c:v>
                </c:pt>
                <c:pt idx="325" formatCode="0.00E+00">
                  <c:v>150</c:v>
                </c:pt>
                <c:pt idx="326" formatCode="0.00E+00">
                  <c:v>150</c:v>
                </c:pt>
                <c:pt idx="327" formatCode="0.00E+00">
                  <c:v>150</c:v>
                </c:pt>
                <c:pt idx="328" formatCode="0.00E+00">
                  <c:v>150</c:v>
                </c:pt>
                <c:pt idx="329" formatCode="0.00E+00">
                  <c:v>150</c:v>
                </c:pt>
                <c:pt idx="330" formatCode="0.00E+00">
                  <c:v>150</c:v>
                </c:pt>
                <c:pt idx="331" formatCode="0.00E+00">
                  <c:v>150</c:v>
                </c:pt>
                <c:pt idx="332" formatCode="0.00E+00">
                  <c:v>150</c:v>
                </c:pt>
                <c:pt idx="333" formatCode="0.00E+00">
                  <c:v>150</c:v>
                </c:pt>
                <c:pt idx="334" formatCode="0.00E+00">
                  <c:v>150</c:v>
                </c:pt>
                <c:pt idx="335" formatCode="0.00E+00">
                  <c:v>150</c:v>
                </c:pt>
                <c:pt idx="336" formatCode="0.00E+00">
                  <c:v>150</c:v>
                </c:pt>
                <c:pt idx="337" formatCode="0.00E+00">
                  <c:v>150</c:v>
                </c:pt>
                <c:pt idx="338" formatCode="0.00E+00">
                  <c:v>150</c:v>
                </c:pt>
                <c:pt idx="339" formatCode="0.00E+00">
                  <c:v>150</c:v>
                </c:pt>
                <c:pt idx="340" formatCode="0.00E+00">
                  <c:v>150</c:v>
                </c:pt>
                <c:pt idx="341" formatCode="0.00E+00">
                  <c:v>150</c:v>
                </c:pt>
                <c:pt idx="342" formatCode="0.00E+00">
                  <c:v>150</c:v>
                </c:pt>
                <c:pt idx="343" formatCode="0.00E+00">
                  <c:v>150</c:v>
                </c:pt>
                <c:pt idx="344" formatCode="0.00E+00">
                  <c:v>150</c:v>
                </c:pt>
                <c:pt idx="345" formatCode="0.00E+00">
                  <c:v>150</c:v>
                </c:pt>
                <c:pt idx="346" formatCode="0.00E+00">
                  <c:v>150</c:v>
                </c:pt>
                <c:pt idx="347" formatCode="0.00E+00">
                  <c:v>150</c:v>
                </c:pt>
                <c:pt idx="348" formatCode="0.00E+00">
                  <c:v>150</c:v>
                </c:pt>
                <c:pt idx="349" formatCode="0.00E+00">
                  <c:v>150</c:v>
                </c:pt>
                <c:pt idx="350" formatCode="0.00E+00">
                  <c:v>150</c:v>
                </c:pt>
                <c:pt idx="351" formatCode="0.00E+00">
                  <c:v>150</c:v>
                </c:pt>
                <c:pt idx="352" formatCode="0.00E+00">
                  <c:v>150</c:v>
                </c:pt>
                <c:pt idx="353" formatCode="0.00E+00">
                  <c:v>150</c:v>
                </c:pt>
                <c:pt idx="354" formatCode="0.00E+00">
                  <c:v>150</c:v>
                </c:pt>
                <c:pt idx="355" formatCode="0.00E+00">
                  <c:v>150</c:v>
                </c:pt>
                <c:pt idx="356" formatCode="0.00E+00">
                  <c:v>150</c:v>
                </c:pt>
                <c:pt idx="357" formatCode="0.00E+00">
                  <c:v>150</c:v>
                </c:pt>
                <c:pt idx="358" formatCode="0.00E+00">
                  <c:v>150</c:v>
                </c:pt>
                <c:pt idx="359" formatCode="0.00E+00">
                  <c:v>150</c:v>
                </c:pt>
                <c:pt idx="360" formatCode="0.00E+00">
                  <c:v>150</c:v>
                </c:pt>
                <c:pt idx="361" formatCode="0.00E+00">
                  <c:v>150</c:v>
                </c:pt>
                <c:pt idx="362" formatCode="0.00E+00">
                  <c:v>150</c:v>
                </c:pt>
                <c:pt idx="363" formatCode="0.00E+00">
                  <c:v>150</c:v>
                </c:pt>
                <c:pt idx="364" formatCode="0.00E+00">
                  <c:v>150</c:v>
                </c:pt>
                <c:pt idx="365" formatCode="0.00E+00">
                  <c:v>150</c:v>
                </c:pt>
                <c:pt idx="366" formatCode="0.00E+00">
                  <c:v>150</c:v>
                </c:pt>
                <c:pt idx="367" formatCode="0.00E+00">
                  <c:v>149.9965</c:v>
                </c:pt>
                <c:pt idx="368" formatCode="0.00E+00">
                  <c:v>149.9941</c:v>
                </c:pt>
                <c:pt idx="369" formatCode="0.00E+00">
                  <c:v>149.90539999999999</c:v>
                </c:pt>
                <c:pt idx="370" formatCode="0.00E+00">
                  <c:v>149.8443</c:v>
                </c:pt>
                <c:pt idx="371" formatCode="0.00E+00">
                  <c:v>148.91329999999999</c:v>
                </c:pt>
                <c:pt idx="372" formatCode="0.00E+00">
                  <c:v>148.27209999999999</c:v>
                </c:pt>
                <c:pt idx="373" formatCode="0.00E+00">
                  <c:v>143.11959999999999</c:v>
                </c:pt>
                <c:pt idx="374" formatCode="0.00E+00">
                  <c:v>139.57079999999999</c:v>
                </c:pt>
                <c:pt idx="375" formatCode="0.00E+00">
                  <c:v>123.4807</c:v>
                </c:pt>
                <c:pt idx="376" formatCode="0.00E+00">
                  <c:v>112.39879999999999</c:v>
                </c:pt>
                <c:pt idx="377" formatCode="0.00E+00">
                  <c:v>84.377920000000003</c:v>
                </c:pt>
                <c:pt idx="378" formatCode="0.00E+00">
                  <c:v>65.078900000000004</c:v>
                </c:pt>
                <c:pt idx="379">
                  <c:v>40.062640000000002</c:v>
                </c:pt>
                <c:pt idx="380">
                  <c:v>22.833020000000001</c:v>
                </c:pt>
                <c:pt idx="381">
                  <c:v>12.898580000000001</c:v>
                </c:pt>
                <c:pt idx="382">
                  <c:v>6.0563599999999997</c:v>
                </c:pt>
                <c:pt idx="383">
                  <c:v>3.2751980000000001</c:v>
                </c:pt>
                <c:pt idx="384">
                  <c:v>1.3597090000000001</c:v>
                </c:pt>
                <c:pt idx="385">
                  <c:v>0.71684099999999995</c:v>
                </c:pt>
                <c:pt idx="386">
                  <c:v>0.27407399999999998</c:v>
                </c:pt>
                <c:pt idx="387">
                  <c:v>0.142152</c:v>
                </c:pt>
                <c:pt idx="388">
                  <c:v>5.1292999999999998E-2</c:v>
                </c:pt>
                <c:pt idx="389">
                  <c:v>2.6306E-2</c:v>
                </c:pt>
                <c:pt idx="390">
                  <c:v>9.0980000000000002E-3</c:v>
                </c:pt>
                <c:pt idx="391">
                  <c:v>4.6280000000000002E-3</c:v>
                </c:pt>
                <c:pt idx="392">
                  <c:v>1.5499999999999999E-3</c:v>
                </c:pt>
                <c:pt idx="393">
                  <c:v>7.8399999999999997E-4</c:v>
                </c:pt>
                <c:pt idx="394">
                  <c:v>2.5599999999999999E-4</c:v>
                </c:pt>
                <c:pt idx="395">
                  <c:v>1.2899999999999999E-4</c:v>
                </c:pt>
                <c:pt idx="396" formatCode="0.00E+00">
                  <c:v>4.1199999999999999E-5</c:v>
                </c:pt>
                <c:pt idx="397" formatCode="0.00E+00">
                  <c:v>2.0599999999999999E-5</c:v>
                </c:pt>
                <c:pt idx="398" formatCode="0.00E+00">
                  <c:v>6.4999999999999996E-6</c:v>
                </c:pt>
                <c:pt idx="399" formatCode="0.00E+00">
                  <c:v>3.2499999999999998E-6</c:v>
                </c:pt>
                <c:pt idx="400" formatCode="0.00E+00">
                  <c:v>1.0100000000000001E-6</c:v>
                </c:pt>
                <c:pt idx="401" formatCode="0.00E+00">
                  <c:v>5.0299999999999999E-7</c:v>
                </c:pt>
                <c:pt idx="402" formatCode="0.00E+00">
                  <c:v>1.54E-7</c:v>
                </c:pt>
                <c:pt idx="403" formatCode="0.00E+00">
                  <c:v>7.6700000000000005E-8</c:v>
                </c:pt>
                <c:pt idx="404" formatCode="0.00E+00">
                  <c:v>2.33E-8</c:v>
                </c:pt>
                <c:pt idx="405" formatCode="0.00E+00">
                  <c:v>1.16E-8</c:v>
                </c:pt>
                <c:pt idx="406" formatCode="0.00E+00">
                  <c:v>3.4900000000000001E-9</c:v>
                </c:pt>
                <c:pt idx="407" formatCode="0.00E+00">
                  <c:v>1.73E-9</c:v>
                </c:pt>
                <c:pt idx="408" formatCode="0.00E+00">
                  <c:v>5.1599999999999998E-10</c:v>
                </c:pt>
                <c:pt idx="409" formatCode="0.00E+00">
                  <c:v>2.5599999999999999E-10</c:v>
                </c:pt>
                <c:pt idx="410" formatCode="0.00E+00">
                  <c:v>7.5900000000000004E-11</c:v>
                </c:pt>
                <c:pt idx="411" formatCode="0.00E+00">
                  <c:v>3.75E-11</c:v>
                </c:pt>
                <c:pt idx="412" formatCode="0.00E+00">
                  <c:v>1.1100000000000001E-11</c:v>
                </c:pt>
                <c:pt idx="413" formatCode="0.00E+00">
                  <c:v>5.4699999999999999E-12</c:v>
                </c:pt>
                <c:pt idx="414" formatCode="0.00E+00">
                  <c:v>1.61E-12</c:v>
                </c:pt>
                <c:pt idx="415" formatCode="0.00E+00">
                  <c:v>7.9299999999999995E-13</c:v>
                </c:pt>
                <c:pt idx="416" formatCode="0.00E+00">
                  <c:v>2.3200000000000002E-13</c:v>
                </c:pt>
                <c:pt idx="417" formatCode="0.00E+00">
                  <c:v>1.1399999999999999E-13</c:v>
                </c:pt>
                <c:pt idx="418" formatCode="0.00E+00">
                  <c:v>3.3300000000000001E-14</c:v>
                </c:pt>
                <c:pt idx="419" formatCode="0.00E+00">
                  <c:v>1.6400000000000001E-14</c:v>
                </c:pt>
                <c:pt idx="420" formatCode="0.00E+00">
                  <c:v>4.7500000000000003E-15</c:v>
                </c:pt>
                <c:pt idx="421" formatCode="0.00E+00">
                  <c:v>2.3400000000000002E-15</c:v>
                </c:pt>
                <c:pt idx="422" formatCode="0.00E+00">
                  <c:v>6.7600000000000004E-16</c:v>
                </c:pt>
                <c:pt idx="423" formatCode="0.00E+00">
                  <c:v>3.3200000000000002E-16</c:v>
                </c:pt>
                <c:pt idx="424" formatCode="0.00E+00">
                  <c:v>9.5799999999999999E-17</c:v>
                </c:pt>
                <c:pt idx="425" formatCode="0.00E+00">
                  <c:v>4.7099999999999997E-17</c:v>
                </c:pt>
                <c:pt idx="426" formatCode="0.00E+00">
                  <c:v>1.3500000000000001E-17</c:v>
                </c:pt>
                <c:pt idx="427" formatCode="0.00E+00">
                  <c:v>6.6400000000000001E-18</c:v>
                </c:pt>
                <c:pt idx="428" formatCode="0.00E+00">
                  <c:v>1.8999999999999999E-18</c:v>
                </c:pt>
                <c:pt idx="429" formatCode="0.00E+00">
                  <c:v>9.34E-19</c:v>
                </c:pt>
                <c:pt idx="430" formatCode="0.00E+00">
                  <c:v>2.67E-19</c:v>
                </c:pt>
                <c:pt idx="431" formatCode="0.00E+00">
                  <c:v>1.3099999999999999E-19</c:v>
                </c:pt>
                <c:pt idx="432" formatCode="0.00E+00">
                  <c:v>3.7400000000000002E-20</c:v>
                </c:pt>
                <c:pt idx="433" formatCode="0.00E+00">
                  <c:v>1.83E-20</c:v>
                </c:pt>
                <c:pt idx="434" formatCode="0.00E+00">
                  <c:v>5.2100000000000002E-21</c:v>
                </c:pt>
                <c:pt idx="435" formatCode="0.00E+00">
                  <c:v>2.5599999999999999E-21</c:v>
                </c:pt>
                <c:pt idx="436" formatCode="0.00E+00">
                  <c:v>7.2599999999999996E-22</c:v>
                </c:pt>
                <c:pt idx="437" formatCode="0.00E+00">
                  <c:v>3.5600000000000001E-22</c:v>
                </c:pt>
                <c:pt idx="438" formatCode="0.00E+00">
                  <c:v>1.01E-22</c:v>
                </c:pt>
                <c:pt idx="439" formatCode="0.00E+00">
                  <c:v>4.94E-23</c:v>
                </c:pt>
                <c:pt idx="440" formatCode="0.00E+00">
                  <c:v>1.3999999999999999E-23</c:v>
                </c:pt>
                <c:pt idx="441" formatCode="0.00E+00">
                  <c:v>6.8399999999999997E-24</c:v>
                </c:pt>
                <c:pt idx="442" formatCode="0.00E+00">
                  <c:v>1.93E-24</c:v>
                </c:pt>
                <c:pt idx="443" formatCode="0.00E+00">
                  <c:v>9.4600000000000008E-25</c:v>
                </c:pt>
                <c:pt idx="444" formatCode="0.00E+00">
                  <c:v>2.6699999999999998E-25</c:v>
                </c:pt>
                <c:pt idx="445" formatCode="0.00E+00">
                  <c:v>1.31E-25</c:v>
                </c:pt>
                <c:pt idx="446" formatCode="0.00E+00">
                  <c:v>3.6799999999999999E-26</c:v>
                </c:pt>
                <c:pt idx="447" formatCode="0.00E+00">
                  <c:v>1.8000000000000001E-26</c:v>
                </c:pt>
                <c:pt idx="448" formatCode="0.00E+00">
                  <c:v>5.0600000000000003E-27</c:v>
                </c:pt>
                <c:pt idx="449" formatCode="0.00E+00">
                  <c:v>2.4799999999999999E-27</c:v>
                </c:pt>
                <c:pt idx="450" formatCode="0.00E+00">
                  <c:v>6.9500000000000004E-28</c:v>
                </c:pt>
                <c:pt idx="451" formatCode="0.00E+00">
                  <c:v>3.4000000000000001E-28</c:v>
                </c:pt>
                <c:pt idx="452" formatCode="0.00E+00">
                  <c:v>9.5400000000000002E-29</c:v>
                </c:pt>
                <c:pt idx="453" formatCode="0.00E+00">
                  <c:v>4.6599999999999998E-29</c:v>
                </c:pt>
                <c:pt idx="454" formatCode="0.00E+00">
                  <c:v>1.3100000000000001E-29</c:v>
                </c:pt>
                <c:pt idx="455" formatCode="0.00E+00">
                  <c:v>6.3900000000000003E-30</c:v>
                </c:pt>
                <c:pt idx="456" formatCode="0.00E+00">
                  <c:v>1.7899999999999999E-30</c:v>
                </c:pt>
                <c:pt idx="457" formatCode="0.00E+00">
                  <c:v>8.7300000000000002E-31</c:v>
                </c:pt>
                <c:pt idx="458" formatCode="0.00E+00">
                  <c:v>2.4399999999999998E-31</c:v>
                </c:pt>
                <c:pt idx="459" formatCode="0.00E+00">
                  <c:v>1.19E-31</c:v>
                </c:pt>
                <c:pt idx="460" formatCode="0.00E+00">
                  <c:v>3.3299999999999998E-32</c:v>
                </c:pt>
                <c:pt idx="461" formatCode="0.00E+00">
                  <c:v>1.6299999999999999E-32</c:v>
                </c:pt>
                <c:pt idx="462" formatCode="0.00E+00">
                  <c:v>4.5399999999999998E-33</c:v>
                </c:pt>
                <c:pt idx="463" formatCode="0.00E+00">
                  <c:v>2.22E-33</c:v>
                </c:pt>
                <c:pt idx="464" formatCode="0.00E+00">
                  <c:v>6.18E-34</c:v>
                </c:pt>
                <c:pt idx="465" formatCode="0.00E+00">
                  <c:v>3.02E-34</c:v>
                </c:pt>
                <c:pt idx="466" formatCode="0.00E+00">
                  <c:v>8.4100000000000001E-35</c:v>
                </c:pt>
                <c:pt idx="467" formatCode="0.00E+00">
                  <c:v>4.11E-35</c:v>
                </c:pt>
                <c:pt idx="468" formatCode="0.00E+00">
                  <c:v>1.14E-35</c:v>
                </c:pt>
                <c:pt idx="469" formatCode="0.00E+00">
                  <c:v>5.5800000000000001E-36</c:v>
                </c:pt>
                <c:pt idx="470" formatCode="0.00E+00">
                  <c:v>1.5499999999999999E-36</c:v>
                </c:pt>
                <c:pt idx="471" formatCode="0.00E+00">
                  <c:v>7.5699999999999993E-37</c:v>
                </c:pt>
                <c:pt idx="472" formatCode="0.00E+00">
                  <c:v>2.1000000000000001E-37</c:v>
                </c:pt>
                <c:pt idx="473" formatCode="0.00E+00">
                  <c:v>1.03E-37</c:v>
                </c:pt>
                <c:pt idx="474" formatCode="0.00E+00">
                  <c:v>2.85E-38</c:v>
                </c:pt>
                <c:pt idx="475" formatCode="0.00E+00">
                  <c:v>1.3900000000000001E-38</c:v>
                </c:pt>
                <c:pt idx="476" formatCode="0.00E+00">
                  <c:v>3.86E-39</c:v>
                </c:pt>
                <c:pt idx="477" formatCode="0.00E+00">
                  <c:v>1.88E-39</c:v>
                </c:pt>
                <c:pt idx="478" formatCode="0.00E+00">
                  <c:v>5.2200000000000001E-40</c:v>
                </c:pt>
                <c:pt idx="479" formatCode="0.00E+00">
                  <c:v>2.5500000000000002E-40</c:v>
                </c:pt>
                <c:pt idx="480" formatCode="0.00E+00">
                  <c:v>7.0599999999999998E-41</c:v>
                </c:pt>
                <c:pt idx="481" formatCode="0.00E+00">
                  <c:v>3.4400000000000001E-41</c:v>
                </c:pt>
                <c:pt idx="482" formatCode="0.00E+00">
                  <c:v>9.5400000000000002E-42</c:v>
                </c:pt>
                <c:pt idx="483" formatCode="0.00E+00">
                  <c:v>4.6499999999999998E-42</c:v>
                </c:pt>
                <c:pt idx="484" formatCode="0.00E+00">
                  <c:v>1.29E-42</c:v>
                </c:pt>
                <c:pt idx="485" formatCode="0.00E+00">
                  <c:v>6.2899999999999997E-43</c:v>
                </c:pt>
                <c:pt idx="486" formatCode="0.00E+00">
                  <c:v>1.7200000000000001E-43</c:v>
                </c:pt>
                <c:pt idx="487" formatCode="0.00E+00">
                  <c:v>8.4100000000000004E-44</c:v>
                </c:pt>
                <c:pt idx="488" formatCode="0.00E+00">
                  <c:v>2.2400000000000001E-44</c:v>
                </c:pt>
                <c:pt idx="489" formatCode="0.00E+00">
                  <c:v>9.8099999999999996E-45</c:v>
                </c:pt>
                <c:pt idx="490" formatCode="0.00E+00">
                  <c:v>2.8000000000000001E-45</c:v>
                </c:pt>
                <c:pt idx="491" formatCode="0.00E+00">
                  <c:v>1.4000000000000001E-45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花园口以上洪水!$H$1</c:f>
              <c:strCache>
                <c:ptCount val="1"/>
                <c:pt idx="0">
                  <c:v>黑石关</c:v>
                </c:pt>
              </c:strCache>
            </c:strRef>
          </c:tx>
          <c:marker>
            <c:symbol val="none"/>
          </c:marker>
          <c:val>
            <c:numRef>
              <c:f>花园口以上洪水!$H$2:$H$746</c:f>
              <c:numCache>
                <c:formatCode>General</c:formatCode>
                <c:ptCount val="745"/>
                <c:pt idx="0">
                  <c:v>602</c:v>
                </c:pt>
                <c:pt idx="1">
                  <c:v>603</c:v>
                </c:pt>
                <c:pt idx="2">
                  <c:v>602.00009999999997</c:v>
                </c:pt>
                <c:pt idx="3">
                  <c:v>603.00009999999997</c:v>
                </c:pt>
                <c:pt idx="4">
                  <c:v>605.50509999999997</c:v>
                </c:pt>
                <c:pt idx="5">
                  <c:v>610.0068</c:v>
                </c:pt>
                <c:pt idx="6">
                  <c:v>613.58240000000001</c:v>
                </c:pt>
                <c:pt idx="7">
                  <c:v>619.10820000000001</c:v>
                </c:pt>
                <c:pt idx="8">
                  <c:v>623.57600000000002</c:v>
                </c:pt>
                <c:pt idx="9">
                  <c:v>629.74210000000005</c:v>
                </c:pt>
                <c:pt idx="10">
                  <c:v>634.67899999999997</c:v>
                </c:pt>
                <c:pt idx="11">
                  <c:v>640.73540000000003</c:v>
                </c:pt>
                <c:pt idx="12">
                  <c:v>645.83519999999999</c:v>
                </c:pt>
                <c:pt idx="13">
                  <c:v>651.55050000000006</c:v>
                </c:pt>
                <c:pt idx="14">
                  <c:v>658.77970000000005</c:v>
                </c:pt>
                <c:pt idx="15">
                  <c:v>666.29859999999996</c:v>
                </c:pt>
                <c:pt idx="16">
                  <c:v>693.09270000000004</c:v>
                </c:pt>
                <c:pt idx="17">
                  <c:v>719.47109999999998</c:v>
                </c:pt>
                <c:pt idx="18">
                  <c:v>852.03070000000002</c:v>
                </c:pt>
                <c:pt idx="19">
                  <c:v>978.6377</c:v>
                </c:pt>
                <c:pt idx="20">
                  <c:v>1495.981</c:v>
                </c:pt>
                <c:pt idx="21">
                  <c:v>1980.684</c:v>
                </c:pt>
                <c:pt idx="22">
                  <c:v>3196.4140000000002</c:v>
                </c:pt>
                <c:pt idx="23">
                  <c:v>4313.9960000000001</c:v>
                </c:pt>
                <c:pt idx="24">
                  <c:v>6037.915</c:v>
                </c:pt>
                <c:pt idx="25">
                  <c:v>7601.4170000000004</c:v>
                </c:pt>
                <c:pt idx="26">
                  <c:v>8770.3919999999998</c:v>
                </c:pt>
                <c:pt idx="27">
                  <c:v>9000</c:v>
                </c:pt>
                <c:pt idx="28">
                  <c:v>9000</c:v>
                </c:pt>
                <c:pt idx="29">
                  <c:v>9000</c:v>
                </c:pt>
                <c:pt idx="30">
                  <c:v>9000</c:v>
                </c:pt>
                <c:pt idx="31">
                  <c:v>9000</c:v>
                </c:pt>
                <c:pt idx="32">
                  <c:v>9000</c:v>
                </c:pt>
                <c:pt idx="33">
                  <c:v>9000</c:v>
                </c:pt>
                <c:pt idx="34">
                  <c:v>9000</c:v>
                </c:pt>
                <c:pt idx="35">
                  <c:v>9000</c:v>
                </c:pt>
                <c:pt idx="36">
                  <c:v>8607.3529999999992</c:v>
                </c:pt>
                <c:pt idx="37">
                  <c:v>7953.48</c:v>
                </c:pt>
                <c:pt idx="38">
                  <c:v>7334.0439999999999</c:v>
                </c:pt>
                <c:pt idx="39">
                  <c:v>6650.2380000000003</c:v>
                </c:pt>
                <c:pt idx="40">
                  <c:v>6161.7470000000003</c:v>
                </c:pt>
                <c:pt idx="41">
                  <c:v>5496.0209999999997</c:v>
                </c:pt>
                <c:pt idx="42">
                  <c:v>5152.7960000000003</c:v>
                </c:pt>
                <c:pt idx="43">
                  <c:v>4518.424</c:v>
                </c:pt>
                <c:pt idx="44">
                  <c:v>4289.2809999999999</c:v>
                </c:pt>
                <c:pt idx="45">
                  <c:v>3775.9780000000001</c:v>
                </c:pt>
                <c:pt idx="46">
                  <c:v>3630.4920000000002</c:v>
                </c:pt>
                <c:pt idx="47">
                  <c:v>3270.607</c:v>
                </c:pt>
                <c:pt idx="48">
                  <c:v>3222.47</c:v>
                </c:pt>
                <c:pt idx="49">
                  <c:v>3043.4859999999999</c:v>
                </c:pt>
                <c:pt idx="50">
                  <c:v>3042.0680000000002</c:v>
                </c:pt>
                <c:pt idx="51">
                  <c:v>2972.0369999999998</c:v>
                </c:pt>
                <c:pt idx="52">
                  <c:v>2994.0059999999999</c:v>
                </c:pt>
                <c:pt idx="53">
                  <c:v>2983.5079999999998</c:v>
                </c:pt>
                <c:pt idx="54">
                  <c:v>3026.7530000000002</c:v>
                </c:pt>
                <c:pt idx="55">
                  <c:v>3055.922</c:v>
                </c:pt>
                <c:pt idx="56">
                  <c:v>3137.4360000000001</c:v>
                </c:pt>
                <c:pt idx="57">
                  <c:v>3216.7139999999999</c:v>
                </c:pt>
                <c:pt idx="58">
                  <c:v>3504.3789999999999</c:v>
                </c:pt>
                <c:pt idx="59">
                  <c:v>3819.0329999999999</c:v>
                </c:pt>
                <c:pt idx="60">
                  <c:v>4029.76</c:v>
                </c:pt>
                <c:pt idx="61">
                  <c:v>4374.6059999999998</c:v>
                </c:pt>
                <c:pt idx="62">
                  <c:v>4496.1369999999997</c:v>
                </c:pt>
                <c:pt idx="63">
                  <c:v>4983.0330000000004</c:v>
                </c:pt>
                <c:pt idx="64">
                  <c:v>5154.4790000000003</c:v>
                </c:pt>
                <c:pt idx="65">
                  <c:v>5879.5410000000002</c:v>
                </c:pt>
                <c:pt idx="66">
                  <c:v>6175.143</c:v>
                </c:pt>
                <c:pt idx="67">
                  <c:v>6919.4939999999997</c:v>
                </c:pt>
                <c:pt idx="68">
                  <c:v>7337.1229999999996</c:v>
                </c:pt>
                <c:pt idx="69">
                  <c:v>8020.3379999999997</c:v>
                </c:pt>
                <c:pt idx="70">
                  <c:v>8515.232</c:v>
                </c:pt>
                <c:pt idx="71">
                  <c:v>9000</c:v>
                </c:pt>
                <c:pt idx="72">
                  <c:v>9000</c:v>
                </c:pt>
                <c:pt idx="73">
                  <c:v>9000</c:v>
                </c:pt>
                <c:pt idx="74">
                  <c:v>9000</c:v>
                </c:pt>
                <c:pt idx="75">
                  <c:v>9000</c:v>
                </c:pt>
                <c:pt idx="76">
                  <c:v>9000</c:v>
                </c:pt>
                <c:pt idx="77">
                  <c:v>9000</c:v>
                </c:pt>
                <c:pt idx="78">
                  <c:v>9000</c:v>
                </c:pt>
                <c:pt idx="79">
                  <c:v>9000</c:v>
                </c:pt>
                <c:pt idx="80">
                  <c:v>9000</c:v>
                </c:pt>
                <c:pt idx="81">
                  <c:v>8948.9339999999993</c:v>
                </c:pt>
                <c:pt idx="82">
                  <c:v>8444.7180000000008</c:v>
                </c:pt>
                <c:pt idx="83">
                  <c:v>7943.549</c:v>
                </c:pt>
                <c:pt idx="84">
                  <c:v>7511.62</c:v>
                </c:pt>
                <c:pt idx="85">
                  <c:v>7081.1880000000001</c:v>
                </c:pt>
                <c:pt idx="86">
                  <c:v>6838.8630000000003</c:v>
                </c:pt>
                <c:pt idx="87">
                  <c:v>6597.22</c:v>
                </c:pt>
                <c:pt idx="88">
                  <c:v>6578.9570000000003</c:v>
                </c:pt>
                <c:pt idx="89">
                  <c:v>6560.9880000000003</c:v>
                </c:pt>
                <c:pt idx="90">
                  <c:v>6609.9650000000001</c:v>
                </c:pt>
                <c:pt idx="91">
                  <c:v>6659.0630000000001</c:v>
                </c:pt>
                <c:pt idx="92">
                  <c:v>6581.7709999999997</c:v>
                </c:pt>
                <c:pt idx="93">
                  <c:v>6504.5280000000002</c:v>
                </c:pt>
                <c:pt idx="94">
                  <c:v>6235.5079999999998</c:v>
                </c:pt>
                <c:pt idx="95">
                  <c:v>5966.5079999999998</c:v>
                </c:pt>
                <c:pt idx="96">
                  <c:v>5605.1019999999999</c:v>
                </c:pt>
                <c:pt idx="97">
                  <c:v>5243.7030000000004</c:v>
                </c:pt>
                <c:pt idx="98">
                  <c:v>4850.79</c:v>
                </c:pt>
                <c:pt idx="99">
                  <c:v>4457.8789999999999</c:v>
                </c:pt>
                <c:pt idx="100">
                  <c:v>4078.1120000000001</c:v>
                </c:pt>
                <c:pt idx="101">
                  <c:v>3698.3449999999998</c:v>
                </c:pt>
                <c:pt idx="102">
                  <c:v>3372.2280000000001</c:v>
                </c:pt>
                <c:pt idx="103">
                  <c:v>3046.1109999999999</c:v>
                </c:pt>
                <c:pt idx="104">
                  <c:v>2805.2310000000002</c:v>
                </c:pt>
                <c:pt idx="105">
                  <c:v>2564.3519999999999</c:v>
                </c:pt>
                <c:pt idx="106">
                  <c:v>2440.7600000000002</c:v>
                </c:pt>
                <c:pt idx="107">
                  <c:v>2317.1680000000001</c:v>
                </c:pt>
                <c:pt idx="108">
                  <c:v>2295.6210000000001</c:v>
                </c:pt>
                <c:pt idx="109">
                  <c:v>2274.0729999999999</c:v>
                </c:pt>
                <c:pt idx="110">
                  <c:v>2293.3969999999999</c:v>
                </c:pt>
                <c:pt idx="111">
                  <c:v>2312.721</c:v>
                </c:pt>
                <c:pt idx="112">
                  <c:v>2409.127</c:v>
                </c:pt>
                <c:pt idx="113">
                  <c:v>2505.5340000000001</c:v>
                </c:pt>
                <c:pt idx="114">
                  <c:v>2797.77</c:v>
                </c:pt>
                <c:pt idx="115">
                  <c:v>3090.0059999999999</c:v>
                </c:pt>
                <c:pt idx="116">
                  <c:v>3517.4549999999999</c:v>
                </c:pt>
                <c:pt idx="117">
                  <c:v>3944.904</c:v>
                </c:pt>
                <c:pt idx="118">
                  <c:v>4284.0230000000001</c:v>
                </c:pt>
                <c:pt idx="119">
                  <c:v>4623.143</c:v>
                </c:pt>
                <c:pt idx="120">
                  <c:v>4800.2299999999996</c:v>
                </c:pt>
                <c:pt idx="121">
                  <c:v>4977.3190000000004</c:v>
                </c:pt>
                <c:pt idx="122">
                  <c:v>4657.0810000000001</c:v>
                </c:pt>
                <c:pt idx="123">
                  <c:v>4336.8429999999998</c:v>
                </c:pt>
                <c:pt idx="124">
                  <c:v>3813.5529999999999</c:v>
                </c:pt>
                <c:pt idx="125">
                  <c:v>3290.2629999999999</c:v>
                </c:pt>
                <c:pt idx="126">
                  <c:v>2842.0920000000001</c:v>
                </c:pt>
                <c:pt idx="127">
                  <c:v>2393.92</c:v>
                </c:pt>
                <c:pt idx="128">
                  <c:v>2092.3110000000001</c:v>
                </c:pt>
                <c:pt idx="129">
                  <c:v>1790.701</c:v>
                </c:pt>
                <c:pt idx="130">
                  <c:v>1604.865</c:v>
                </c:pt>
                <c:pt idx="131">
                  <c:v>1419.029</c:v>
                </c:pt>
                <c:pt idx="132">
                  <c:v>1303.2729999999999</c:v>
                </c:pt>
                <c:pt idx="133">
                  <c:v>1187.518</c:v>
                </c:pt>
                <c:pt idx="134">
                  <c:v>1107.971</c:v>
                </c:pt>
                <c:pt idx="135">
                  <c:v>1028.424</c:v>
                </c:pt>
                <c:pt idx="136">
                  <c:v>967.42719999999997</c:v>
                </c:pt>
                <c:pt idx="137">
                  <c:v>906.43</c:v>
                </c:pt>
                <c:pt idx="138">
                  <c:v>855.92679999999996</c:v>
                </c:pt>
                <c:pt idx="139">
                  <c:v>805.42370000000005</c:v>
                </c:pt>
                <c:pt idx="140">
                  <c:v>761.60950000000003</c:v>
                </c:pt>
                <c:pt idx="141">
                  <c:v>717.79579999999999</c:v>
                </c:pt>
                <c:pt idx="142">
                  <c:v>679.17790000000002</c:v>
                </c:pt>
                <c:pt idx="143">
                  <c:v>640.57529999999997</c:v>
                </c:pt>
                <c:pt idx="144">
                  <c:v>606.69449999999995</c:v>
                </c:pt>
                <c:pt idx="145">
                  <c:v>573.01760000000002</c:v>
                </c:pt>
                <c:pt idx="146">
                  <c:v>544.23900000000003</c:v>
                </c:pt>
                <c:pt idx="147">
                  <c:v>516.98850000000004</c:v>
                </c:pt>
                <c:pt idx="148">
                  <c:v>495.41699999999997</c:v>
                </c:pt>
                <c:pt idx="149">
                  <c:v>480.51639999999998</c:v>
                </c:pt>
                <c:pt idx="150">
                  <c:v>474.60590000000002</c:v>
                </c:pt>
                <c:pt idx="151">
                  <c:v>484.9384</c:v>
                </c:pt>
                <c:pt idx="152">
                  <c:v>507.61399999999998</c:v>
                </c:pt>
                <c:pt idx="153">
                  <c:v>548.15620000000001</c:v>
                </c:pt>
                <c:pt idx="154">
                  <c:v>599.68259999999998</c:v>
                </c:pt>
                <c:pt idx="155">
                  <c:v>649.45740000000001</c:v>
                </c:pt>
                <c:pt idx="156">
                  <c:v>703.36540000000002</c:v>
                </c:pt>
                <c:pt idx="157">
                  <c:v>735.61590000000001</c:v>
                </c:pt>
                <c:pt idx="158">
                  <c:v>775.49980000000005</c:v>
                </c:pt>
                <c:pt idx="159">
                  <c:v>787.68370000000004</c:v>
                </c:pt>
                <c:pt idx="160">
                  <c:v>811.40359999999998</c:v>
                </c:pt>
                <c:pt idx="161">
                  <c:v>810.79750000000001</c:v>
                </c:pt>
                <c:pt idx="162">
                  <c:v>819.71659999999997</c:v>
                </c:pt>
                <c:pt idx="163">
                  <c:v>812.58939999999996</c:v>
                </c:pt>
                <c:pt idx="164">
                  <c:v>812.56420000000003</c:v>
                </c:pt>
                <c:pt idx="165">
                  <c:v>803.77919999999995</c:v>
                </c:pt>
                <c:pt idx="166">
                  <c:v>798.49120000000005</c:v>
                </c:pt>
                <c:pt idx="167">
                  <c:v>788.96720000000005</c:v>
                </c:pt>
                <c:pt idx="168">
                  <c:v>782.85209999999995</c:v>
                </c:pt>
                <c:pt idx="169">
                  <c:v>774.84220000000005</c:v>
                </c:pt>
                <c:pt idx="170">
                  <c:v>768.08029999999997</c:v>
                </c:pt>
                <c:pt idx="171">
                  <c:v>760.5127</c:v>
                </c:pt>
                <c:pt idx="172">
                  <c:v>754.65470000000005</c:v>
                </c:pt>
                <c:pt idx="173">
                  <c:v>748.46510000000001</c:v>
                </c:pt>
                <c:pt idx="174">
                  <c:v>743.12829999999997</c:v>
                </c:pt>
                <c:pt idx="175">
                  <c:v>737.65800000000002</c:v>
                </c:pt>
                <c:pt idx="176">
                  <c:v>732.86400000000003</c:v>
                </c:pt>
                <c:pt idx="177">
                  <c:v>728.0172</c:v>
                </c:pt>
                <c:pt idx="178">
                  <c:v>723.81470000000002</c:v>
                </c:pt>
                <c:pt idx="179">
                  <c:v>719.59140000000002</c:v>
                </c:pt>
                <c:pt idx="180">
                  <c:v>715.61680000000001</c:v>
                </c:pt>
                <c:pt idx="181">
                  <c:v>711.63400000000001</c:v>
                </c:pt>
                <c:pt idx="182">
                  <c:v>708.17859999999996</c:v>
                </c:pt>
                <c:pt idx="183">
                  <c:v>704.72019999999998</c:v>
                </c:pt>
                <c:pt idx="184">
                  <c:v>700.90089999999998</c:v>
                </c:pt>
                <c:pt idx="185">
                  <c:v>697.08029999999997</c:v>
                </c:pt>
                <c:pt idx="186">
                  <c:v>693.54660000000001</c:v>
                </c:pt>
                <c:pt idx="187">
                  <c:v>690.01260000000002</c:v>
                </c:pt>
                <c:pt idx="188">
                  <c:v>687.2192</c:v>
                </c:pt>
                <c:pt idx="189">
                  <c:v>684.42570000000001</c:v>
                </c:pt>
                <c:pt idx="190">
                  <c:v>682.17550000000006</c:v>
                </c:pt>
                <c:pt idx="191">
                  <c:v>679.92520000000002</c:v>
                </c:pt>
                <c:pt idx="192">
                  <c:v>677.69489999999996</c:v>
                </c:pt>
                <c:pt idx="193">
                  <c:v>675.46460000000002</c:v>
                </c:pt>
                <c:pt idx="194">
                  <c:v>673.49249999999995</c:v>
                </c:pt>
                <c:pt idx="195">
                  <c:v>671.5204</c:v>
                </c:pt>
                <c:pt idx="196">
                  <c:v>669.45169999999996</c:v>
                </c:pt>
                <c:pt idx="197">
                  <c:v>667.38289999999995</c:v>
                </c:pt>
                <c:pt idx="198">
                  <c:v>665.47529999999995</c:v>
                </c:pt>
                <c:pt idx="199">
                  <c:v>663.56780000000003</c:v>
                </c:pt>
                <c:pt idx="200">
                  <c:v>661.76900000000001</c:v>
                </c:pt>
                <c:pt idx="201">
                  <c:v>659.97019999999998</c:v>
                </c:pt>
                <c:pt idx="202">
                  <c:v>658.3741</c:v>
                </c:pt>
                <c:pt idx="203">
                  <c:v>656.77809999999999</c:v>
                </c:pt>
                <c:pt idx="204">
                  <c:v>655.73829999999998</c:v>
                </c:pt>
                <c:pt idx="205">
                  <c:v>654.69849999999997</c:v>
                </c:pt>
                <c:pt idx="206">
                  <c:v>654.02419999999995</c:v>
                </c:pt>
                <c:pt idx="207">
                  <c:v>653.35</c:v>
                </c:pt>
                <c:pt idx="208">
                  <c:v>652.62490000000003</c:v>
                </c:pt>
                <c:pt idx="209">
                  <c:v>651.9</c:v>
                </c:pt>
                <c:pt idx="210">
                  <c:v>651.40549999999996</c:v>
                </c:pt>
                <c:pt idx="211">
                  <c:v>650.91120000000001</c:v>
                </c:pt>
                <c:pt idx="212">
                  <c:v>650.65520000000004</c:v>
                </c:pt>
                <c:pt idx="213">
                  <c:v>650.39909999999998</c:v>
                </c:pt>
                <c:pt idx="214">
                  <c:v>650.28269999999998</c:v>
                </c:pt>
                <c:pt idx="215">
                  <c:v>650.16629999999998</c:v>
                </c:pt>
                <c:pt idx="216">
                  <c:v>650.11680000000001</c:v>
                </c:pt>
                <c:pt idx="217">
                  <c:v>650.06730000000005</c:v>
                </c:pt>
                <c:pt idx="218">
                  <c:v>650.04700000000003</c:v>
                </c:pt>
                <c:pt idx="219">
                  <c:v>650.02670000000001</c:v>
                </c:pt>
                <c:pt idx="220">
                  <c:v>650.01859999999999</c:v>
                </c:pt>
                <c:pt idx="221">
                  <c:v>650.0104</c:v>
                </c:pt>
                <c:pt idx="222">
                  <c:v>650.00720000000001</c:v>
                </c:pt>
                <c:pt idx="223">
                  <c:v>650.00400000000002</c:v>
                </c:pt>
                <c:pt idx="224">
                  <c:v>650.0027</c:v>
                </c:pt>
                <c:pt idx="225">
                  <c:v>650.00149999999996</c:v>
                </c:pt>
                <c:pt idx="226">
                  <c:v>650.00099999999998</c:v>
                </c:pt>
                <c:pt idx="227">
                  <c:v>650.00049999999999</c:v>
                </c:pt>
                <c:pt idx="228">
                  <c:v>650.00030000000004</c:v>
                </c:pt>
                <c:pt idx="229">
                  <c:v>650.00009999999997</c:v>
                </c:pt>
                <c:pt idx="230">
                  <c:v>650.00009999999997</c:v>
                </c:pt>
                <c:pt idx="231">
                  <c:v>650</c:v>
                </c:pt>
                <c:pt idx="232">
                  <c:v>650</c:v>
                </c:pt>
                <c:pt idx="233">
                  <c:v>649.99990000000003</c:v>
                </c:pt>
                <c:pt idx="234">
                  <c:v>649.99990000000003</c:v>
                </c:pt>
                <c:pt idx="235">
                  <c:v>649.99990000000003</c:v>
                </c:pt>
                <c:pt idx="236">
                  <c:v>649.99990000000003</c:v>
                </c:pt>
                <c:pt idx="237">
                  <c:v>649.99990000000003</c:v>
                </c:pt>
                <c:pt idx="238">
                  <c:v>649.99990000000003</c:v>
                </c:pt>
                <c:pt idx="239">
                  <c:v>649.99990000000003</c:v>
                </c:pt>
                <c:pt idx="240">
                  <c:v>649.99990000000003</c:v>
                </c:pt>
                <c:pt idx="241">
                  <c:v>649.99990000000003</c:v>
                </c:pt>
                <c:pt idx="242">
                  <c:v>649.99990000000003</c:v>
                </c:pt>
                <c:pt idx="243">
                  <c:v>649.99990000000003</c:v>
                </c:pt>
                <c:pt idx="244">
                  <c:v>649.99990000000003</c:v>
                </c:pt>
                <c:pt idx="245">
                  <c:v>649.99990000000003</c:v>
                </c:pt>
                <c:pt idx="246">
                  <c:v>649.99990000000003</c:v>
                </c:pt>
                <c:pt idx="247">
                  <c:v>649.99990000000003</c:v>
                </c:pt>
                <c:pt idx="248">
                  <c:v>649.99990000000003</c:v>
                </c:pt>
                <c:pt idx="249">
                  <c:v>649.99990000000003</c:v>
                </c:pt>
                <c:pt idx="250">
                  <c:v>649.99990000000003</c:v>
                </c:pt>
                <c:pt idx="251">
                  <c:v>649.99990000000003</c:v>
                </c:pt>
                <c:pt idx="252">
                  <c:v>649.99990000000003</c:v>
                </c:pt>
                <c:pt idx="253">
                  <c:v>649.99990000000003</c:v>
                </c:pt>
                <c:pt idx="254">
                  <c:v>649.99990000000003</c:v>
                </c:pt>
                <c:pt idx="255">
                  <c:v>649.99990000000003</c:v>
                </c:pt>
                <c:pt idx="256">
                  <c:v>649.99990000000003</c:v>
                </c:pt>
                <c:pt idx="257">
                  <c:v>649.99990000000003</c:v>
                </c:pt>
                <c:pt idx="258">
                  <c:v>649.99990000000003</c:v>
                </c:pt>
                <c:pt idx="259">
                  <c:v>649.99990000000003</c:v>
                </c:pt>
                <c:pt idx="260">
                  <c:v>649.99990000000003</c:v>
                </c:pt>
                <c:pt idx="261">
                  <c:v>649.99990000000003</c:v>
                </c:pt>
                <c:pt idx="262">
                  <c:v>649.99990000000003</c:v>
                </c:pt>
                <c:pt idx="263">
                  <c:v>649.99990000000003</c:v>
                </c:pt>
                <c:pt idx="264">
                  <c:v>649.99990000000003</c:v>
                </c:pt>
                <c:pt idx="265">
                  <c:v>649.99990000000003</c:v>
                </c:pt>
                <c:pt idx="266">
                  <c:v>649.99990000000003</c:v>
                </c:pt>
                <c:pt idx="267">
                  <c:v>649.99990000000003</c:v>
                </c:pt>
                <c:pt idx="268">
                  <c:v>649.99990000000003</c:v>
                </c:pt>
                <c:pt idx="269">
                  <c:v>649.99990000000003</c:v>
                </c:pt>
                <c:pt idx="270">
                  <c:v>649.99990000000003</c:v>
                </c:pt>
                <c:pt idx="271">
                  <c:v>649.99990000000003</c:v>
                </c:pt>
                <c:pt idx="272">
                  <c:v>649.99990000000003</c:v>
                </c:pt>
                <c:pt idx="273">
                  <c:v>649.99990000000003</c:v>
                </c:pt>
                <c:pt idx="274">
                  <c:v>649.99990000000003</c:v>
                </c:pt>
                <c:pt idx="275">
                  <c:v>649.99990000000003</c:v>
                </c:pt>
                <c:pt idx="276">
                  <c:v>649.99990000000003</c:v>
                </c:pt>
                <c:pt idx="277">
                  <c:v>649.99990000000003</c:v>
                </c:pt>
                <c:pt idx="278">
                  <c:v>649.99990000000003</c:v>
                </c:pt>
                <c:pt idx="279">
                  <c:v>649.99990000000003</c:v>
                </c:pt>
                <c:pt idx="280">
                  <c:v>649.99990000000003</c:v>
                </c:pt>
                <c:pt idx="281">
                  <c:v>649.99990000000003</c:v>
                </c:pt>
                <c:pt idx="282">
                  <c:v>649.99779999999998</c:v>
                </c:pt>
                <c:pt idx="283">
                  <c:v>649.99760000000003</c:v>
                </c:pt>
                <c:pt idx="284">
                  <c:v>649.94090000000006</c:v>
                </c:pt>
                <c:pt idx="285">
                  <c:v>649.93520000000001</c:v>
                </c:pt>
                <c:pt idx="286">
                  <c:v>649.16380000000004</c:v>
                </c:pt>
                <c:pt idx="287">
                  <c:v>649.08690000000001</c:v>
                </c:pt>
                <c:pt idx="288">
                  <c:v>643.12369999999999</c:v>
                </c:pt>
                <c:pt idx="289">
                  <c:v>642.52940000000001</c:v>
                </c:pt>
                <c:pt idx="290">
                  <c:v>614.97310000000004</c:v>
                </c:pt>
                <c:pt idx="291">
                  <c:v>612.22720000000004</c:v>
                </c:pt>
                <c:pt idx="292">
                  <c:v>536.59670000000006</c:v>
                </c:pt>
                <c:pt idx="293">
                  <c:v>529.06039999999996</c:v>
                </c:pt>
                <c:pt idx="294">
                  <c:v>411.44589999999999</c:v>
                </c:pt>
                <c:pt idx="295">
                  <c:v>399.726</c:v>
                </c:pt>
                <c:pt idx="296">
                  <c:v>299.01179999999999</c:v>
                </c:pt>
                <c:pt idx="297">
                  <c:v>288.976</c:v>
                </c:pt>
                <c:pt idx="298">
                  <c:v>225.2475</c:v>
                </c:pt>
                <c:pt idx="299">
                  <c:v>218.8972</c:v>
                </c:pt>
                <c:pt idx="300">
                  <c:v>184.9597</c:v>
                </c:pt>
                <c:pt idx="301">
                  <c:v>181.5779</c:v>
                </c:pt>
                <c:pt idx="302">
                  <c:v>165.3349</c:v>
                </c:pt>
                <c:pt idx="303" formatCode="0.00E+00">
                  <c:v>163.71639999999999</c:v>
                </c:pt>
                <c:pt idx="304" formatCode="0.00E+00">
                  <c:v>156.46379999999999</c:v>
                </c:pt>
                <c:pt idx="305" formatCode="0.00E+00">
                  <c:v>155.74109999999999</c:v>
                </c:pt>
                <c:pt idx="306" formatCode="0.00E+00">
                  <c:v>152.65010000000001</c:v>
                </c:pt>
                <c:pt idx="307" formatCode="0.00E+00">
                  <c:v>152.34209999999999</c:v>
                </c:pt>
                <c:pt idx="308" formatCode="0.00E+00">
                  <c:v>151.0658</c:v>
                </c:pt>
                <c:pt idx="309" formatCode="0.00E+00">
                  <c:v>150.93870000000001</c:v>
                </c:pt>
                <c:pt idx="310" formatCode="0.00E+00">
                  <c:v>150.423</c:v>
                </c:pt>
                <c:pt idx="311" formatCode="0.00E+00">
                  <c:v>150.3716</c:v>
                </c:pt>
                <c:pt idx="312" formatCode="0.00E+00">
                  <c:v>150.16640000000001</c:v>
                </c:pt>
                <c:pt idx="313" formatCode="0.00E+00">
                  <c:v>150.14590000000001</c:v>
                </c:pt>
                <c:pt idx="314" formatCode="0.00E+00">
                  <c:v>150.065</c:v>
                </c:pt>
                <c:pt idx="315" formatCode="0.00E+00">
                  <c:v>150.05690000000001</c:v>
                </c:pt>
                <c:pt idx="316" formatCode="0.00E+00">
                  <c:v>150.02529999999999</c:v>
                </c:pt>
                <c:pt idx="317" formatCode="0.00E+00">
                  <c:v>150.02209999999999</c:v>
                </c:pt>
                <c:pt idx="318" formatCode="0.00E+00">
                  <c:v>150.00980000000001</c:v>
                </c:pt>
                <c:pt idx="319" formatCode="0.00E+00">
                  <c:v>150.0086</c:v>
                </c:pt>
                <c:pt idx="320" formatCode="0.00E+00">
                  <c:v>150.00380000000001</c:v>
                </c:pt>
                <c:pt idx="321" formatCode="0.00E+00">
                  <c:v>150.0033</c:v>
                </c:pt>
                <c:pt idx="322" formatCode="0.00E+00">
                  <c:v>150.00149999999999</c:v>
                </c:pt>
                <c:pt idx="323" formatCode="0.00E+00">
                  <c:v>150.00129999999999</c:v>
                </c:pt>
                <c:pt idx="324" formatCode="0.00E+00">
                  <c:v>150.00059999999999</c:v>
                </c:pt>
                <c:pt idx="325" formatCode="0.00E+00">
                  <c:v>150.00049999999999</c:v>
                </c:pt>
                <c:pt idx="326" formatCode="0.00E+00">
                  <c:v>150.00020000000001</c:v>
                </c:pt>
                <c:pt idx="327" formatCode="0.00E+00">
                  <c:v>150.00020000000001</c:v>
                </c:pt>
                <c:pt idx="328" formatCode="0.00E+00">
                  <c:v>150.0001</c:v>
                </c:pt>
                <c:pt idx="329" formatCode="0.00E+00">
                  <c:v>150.0001</c:v>
                </c:pt>
                <c:pt idx="330" formatCode="0.00E+00">
                  <c:v>150</c:v>
                </c:pt>
                <c:pt idx="331" formatCode="0.00E+00">
                  <c:v>150</c:v>
                </c:pt>
                <c:pt idx="332" formatCode="0.00E+00">
                  <c:v>150</c:v>
                </c:pt>
                <c:pt idx="333" formatCode="0.00E+00">
                  <c:v>150</c:v>
                </c:pt>
                <c:pt idx="334" formatCode="0.00E+00">
                  <c:v>150</c:v>
                </c:pt>
                <c:pt idx="335" formatCode="0.00E+00">
                  <c:v>150</c:v>
                </c:pt>
                <c:pt idx="336" formatCode="0.00E+00">
                  <c:v>150</c:v>
                </c:pt>
                <c:pt idx="337" formatCode="0.00E+00">
                  <c:v>150</c:v>
                </c:pt>
                <c:pt idx="338" formatCode="0.00E+00">
                  <c:v>150</c:v>
                </c:pt>
                <c:pt idx="339" formatCode="0.00E+00">
                  <c:v>150</c:v>
                </c:pt>
                <c:pt idx="340" formatCode="0.00E+00">
                  <c:v>150</c:v>
                </c:pt>
                <c:pt idx="341" formatCode="0.00E+00">
                  <c:v>150</c:v>
                </c:pt>
                <c:pt idx="342" formatCode="0.00E+00">
                  <c:v>150</c:v>
                </c:pt>
                <c:pt idx="343" formatCode="0.00E+00">
                  <c:v>150</c:v>
                </c:pt>
                <c:pt idx="344" formatCode="0.00E+00">
                  <c:v>150</c:v>
                </c:pt>
                <c:pt idx="345" formatCode="0.00E+00">
                  <c:v>150</c:v>
                </c:pt>
                <c:pt idx="346" formatCode="0.00E+00">
                  <c:v>150</c:v>
                </c:pt>
                <c:pt idx="347" formatCode="0.00E+00">
                  <c:v>150</c:v>
                </c:pt>
                <c:pt idx="348" formatCode="0.00E+00">
                  <c:v>150</c:v>
                </c:pt>
                <c:pt idx="349" formatCode="0.00E+00">
                  <c:v>150</c:v>
                </c:pt>
                <c:pt idx="350" formatCode="0.00E+00">
                  <c:v>150</c:v>
                </c:pt>
                <c:pt idx="351" formatCode="0.00E+00">
                  <c:v>150</c:v>
                </c:pt>
                <c:pt idx="352" formatCode="0.00E+00">
                  <c:v>150</c:v>
                </c:pt>
                <c:pt idx="353" formatCode="0.00E+00">
                  <c:v>150</c:v>
                </c:pt>
                <c:pt idx="354" formatCode="0.00E+00">
                  <c:v>150</c:v>
                </c:pt>
                <c:pt idx="355" formatCode="0.00E+00">
                  <c:v>150</c:v>
                </c:pt>
                <c:pt idx="356" formatCode="0.00E+00">
                  <c:v>150</c:v>
                </c:pt>
                <c:pt idx="357" formatCode="0.00E+00">
                  <c:v>150</c:v>
                </c:pt>
                <c:pt idx="358" formatCode="0.00E+00">
                  <c:v>150</c:v>
                </c:pt>
                <c:pt idx="359" formatCode="0.00E+00">
                  <c:v>150</c:v>
                </c:pt>
                <c:pt idx="360" formatCode="0.00E+00">
                  <c:v>150</c:v>
                </c:pt>
                <c:pt idx="361" formatCode="0.00E+00">
                  <c:v>150</c:v>
                </c:pt>
                <c:pt idx="362" formatCode="0.00E+00">
                  <c:v>150</c:v>
                </c:pt>
                <c:pt idx="363" formatCode="0.00E+00">
                  <c:v>150</c:v>
                </c:pt>
                <c:pt idx="364" formatCode="0.00E+00">
                  <c:v>150</c:v>
                </c:pt>
                <c:pt idx="365" formatCode="0.00E+00">
                  <c:v>150</c:v>
                </c:pt>
                <c:pt idx="366" formatCode="0.00E+00">
                  <c:v>150</c:v>
                </c:pt>
                <c:pt idx="367" formatCode="0.00E+00">
                  <c:v>150</c:v>
                </c:pt>
                <c:pt idx="368" formatCode="0.00E+00">
                  <c:v>150</c:v>
                </c:pt>
                <c:pt idx="369" formatCode="0.00E+00">
                  <c:v>149.9999</c:v>
                </c:pt>
                <c:pt idx="370" formatCode="0.00E+00">
                  <c:v>149.99979999999999</c:v>
                </c:pt>
                <c:pt idx="371" formatCode="0.00E+00">
                  <c:v>149.9956</c:v>
                </c:pt>
                <c:pt idx="372" formatCode="0.00E+00">
                  <c:v>149.99270000000001</c:v>
                </c:pt>
                <c:pt idx="373" formatCode="0.00E+00">
                  <c:v>149.92570000000001</c:v>
                </c:pt>
                <c:pt idx="374" formatCode="0.00E+00">
                  <c:v>149.87950000000001</c:v>
                </c:pt>
                <c:pt idx="375" formatCode="0.00E+00">
                  <c:v>149.2962</c:v>
                </c:pt>
                <c:pt idx="376" formatCode="0.00E+00">
                  <c:v>148.89449999999999</c:v>
                </c:pt>
                <c:pt idx="377" formatCode="0.00E+00">
                  <c:v>145.8817</c:v>
                </c:pt>
                <c:pt idx="378" formatCode="0.00E+00">
                  <c:v>143.80670000000001</c:v>
                </c:pt>
                <c:pt idx="379" formatCode="0.00E+00">
                  <c:v>134.27590000000001</c:v>
                </c:pt>
                <c:pt idx="380" formatCode="0.00E+00">
                  <c:v>127.71169999999999</c:v>
                </c:pt>
                <c:pt idx="381" formatCode="0.00E+00">
                  <c:v>109.1931</c:v>
                </c:pt>
                <c:pt idx="382" formatCode="0.00E+00">
                  <c:v>96.438739999999996</c:v>
                </c:pt>
                <c:pt idx="383" formatCode="0.00E+00">
                  <c:v>74.470510000000004</c:v>
                </c:pt>
                <c:pt idx="384" formatCode="0.00E+00">
                  <c:v>59.34019</c:v>
                </c:pt>
                <c:pt idx="385" formatCode="0.00E+00">
                  <c:v>42.7029</c:v>
                </c:pt>
                <c:pt idx="386" formatCode="0.00E+00">
                  <c:v>31.24417</c:v>
                </c:pt>
                <c:pt idx="387" formatCode="0.00E+00">
                  <c:v>21.507819999999999</c:v>
                </c:pt>
                <c:pt idx="388" formatCode="0.00E+00">
                  <c:v>14.80204</c:v>
                </c:pt>
                <c:pt idx="389" formatCode="0.00E+00">
                  <c:v>9.909516</c:v>
                </c:pt>
                <c:pt idx="390" formatCode="0.00E+00">
                  <c:v>6.5398579999999997</c:v>
                </c:pt>
                <c:pt idx="391" formatCode="0.00E+00">
                  <c:v>4.3014650000000003</c:v>
                </c:pt>
                <c:pt idx="392" formatCode="0.00E+00">
                  <c:v>2.7598009999999999</c:v>
                </c:pt>
                <c:pt idx="393" formatCode="0.00E+00">
                  <c:v>1.794678</c:v>
                </c:pt>
                <c:pt idx="394" formatCode="0.00E+00">
                  <c:v>1.1299630000000001</c:v>
                </c:pt>
                <c:pt idx="395" formatCode="0.00E+00">
                  <c:v>0.72940400000000005</c:v>
                </c:pt>
                <c:pt idx="396" formatCode="0.00E+00">
                  <c:v>0.45352399999999998</c:v>
                </c:pt>
                <c:pt idx="397" formatCode="0.00E+00">
                  <c:v>0.29134700000000002</c:v>
                </c:pt>
                <c:pt idx="398" formatCode="0.00E+00">
                  <c:v>0.17965</c:v>
                </c:pt>
                <c:pt idx="399" formatCode="0.00E+00">
                  <c:v>0.11504300000000001</c:v>
                </c:pt>
                <c:pt idx="400" formatCode="0.00E+00">
                  <c:v>7.0546999999999999E-2</c:v>
                </c:pt>
                <c:pt idx="401" formatCode="0.00E+00">
                  <c:v>4.5081999999999997E-2</c:v>
                </c:pt>
                <c:pt idx="402" formatCode="0.00E+00">
                  <c:v>2.7543999999999999E-2</c:v>
                </c:pt>
                <c:pt idx="403" formatCode="0.00E+00">
                  <c:v>1.7576999999999999E-2</c:v>
                </c:pt>
                <c:pt idx="404" formatCode="0.00E+00">
                  <c:v>1.0713E-2</c:v>
                </c:pt>
                <c:pt idx="405" formatCode="0.00E+00">
                  <c:v>6.8300000000000001E-3</c:v>
                </c:pt>
                <c:pt idx="406" formatCode="0.00E+00">
                  <c:v>4.156E-3</c:v>
                </c:pt>
                <c:pt idx="407" formatCode="0.00E+00">
                  <c:v>2.6480000000000002E-3</c:v>
                </c:pt>
                <c:pt idx="408" formatCode="0.00E+00">
                  <c:v>1.6100000000000001E-3</c:v>
                </c:pt>
                <c:pt idx="409" formatCode="0.00E+00">
                  <c:v>1.0250000000000001E-3</c:v>
                </c:pt>
                <c:pt idx="410" formatCode="0.00E+00">
                  <c:v>6.2299999999999996E-4</c:v>
                </c:pt>
                <c:pt idx="411" formatCode="0.00E+00">
                  <c:v>3.97E-4</c:v>
                </c:pt>
                <c:pt idx="412" formatCode="0.00E+00">
                  <c:v>2.41E-4</c:v>
                </c:pt>
                <c:pt idx="413" formatCode="0.00E+00">
                  <c:v>1.5300000000000001E-4</c:v>
                </c:pt>
                <c:pt idx="414" formatCode="0.00E+00">
                  <c:v>9.2999999999999997E-5</c:v>
                </c:pt>
                <c:pt idx="415" formatCode="0.00E+00">
                  <c:v>5.9200000000000002E-5</c:v>
                </c:pt>
                <c:pt idx="416" formatCode="0.00E+00">
                  <c:v>3.5899999999999998E-5</c:v>
                </c:pt>
                <c:pt idx="417" formatCode="0.00E+00">
                  <c:v>2.2900000000000001E-5</c:v>
                </c:pt>
                <c:pt idx="418" formatCode="0.00E+00">
                  <c:v>1.3900000000000001E-5</c:v>
                </c:pt>
                <c:pt idx="419" formatCode="0.00E+00">
                  <c:v>8.8300000000000002E-6</c:v>
                </c:pt>
                <c:pt idx="420" formatCode="0.00E+00">
                  <c:v>5.3600000000000004E-6</c:v>
                </c:pt>
                <c:pt idx="421" formatCode="0.00E+00">
                  <c:v>3.41E-6</c:v>
                </c:pt>
                <c:pt idx="422" formatCode="0.00E+00">
                  <c:v>2.0700000000000001E-6</c:v>
                </c:pt>
                <c:pt idx="423" formatCode="0.00E+00">
                  <c:v>1.3200000000000001E-6</c:v>
                </c:pt>
                <c:pt idx="424" formatCode="0.00E+00">
                  <c:v>7.9899999999999999E-7</c:v>
                </c:pt>
                <c:pt idx="425" formatCode="0.00E+00">
                  <c:v>5.0800000000000005E-7</c:v>
                </c:pt>
                <c:pt idx="426" formatCode="0.00E+00">
                  <c:v>3.0800000000000001E-7</c:v>
                </c:pt>
                <c:pt idx="427" formatCode="0.00E+00">
                  <c:v>1.9600000000000001E-7</c:v>
                </c:pt>
                <c:pt idx="428" formatCode="0.00E+00">
                  <c:v>1.1899999999999999E-7</c:v>
                </c:pt>
                <c:pt idx="429" formatCode="0.00E+00">
                  <c:v>7.5699999999999996E-8</c:v>
                </c:pt>
                <c:pt idx="430" formatCode="0.00E+00">
                  <c:v>4.5900000000000001E-8</c:v>
                </c:pt>
                <c:pt idx="431" formatCode="0.00E+00">
                  <c:v>2.92E-8</c:v>
                </c:pt>
                <c:pt idx="432" formatCode="0.00E+00">
                  <c:v>1.77E-8</c:v>
                </c:pt>
                <c:pt idx="433" formatCode="0.00E+00">
                  <c:v>1.13E-8</c:v>
                </c:pt>
                <c:pt idx="434" formatCode="0.00E+00">
                  <c:v>6.8400000000000004E-9</c:v>
                </c:pt>
                <c:pt idx="435" formatCode="0.00E+00">
                  <c:v>4.3599999999999998E-9</c:v>
                </c:pt>
                <c:pt idx="436" formatCode="0.00E+00">
                  <c:v>2.64E-9</c:v>
                </c:pt>
                <c:pt idx="437" formatCode="0.00E+00">
                  <c:v>1.68E-9</c:v>
                </c:pt>
                <c:pt idx="438" formatCode="0.00E+00">
                  <c:v>1.02E-9</c:v>
                </c:pt>
                <c:pt idx="439" formatCode="0.00E+00">
                  <c:v>6.4900000000000003E-10</c:v>
                </c:pt>
                <c:pt idx="440" formatCode="0.00E+00">
                  <c:v>3.9399999999999998E-10</c:v>
                </c:pt>
                <c:pt idx="441" formatCode="0.00E+00">
                  <c:v>2.5100000000000001E-10</c:v>
                </c:pt>
                <c:pt idx="442" formatCode="0.00E+00">
                  <c:v>1.5199999999999999E-10</c:v>
                </c:pt>
                <c:pt idx="443" formatCode="0.00E+00">
                  <c:v>9.67E-11</c:v>
                </c:pt>
                <c:pt idx="444" formatCode="0.00E+00">
                  <c:v>5.8700000000000002E-11</c:v>
                </c:pt>
                <c:pt idx="445" formatCode="0.00E+00">
                  <c:v>3.7300000000000003E-11</c:v>
                </c:pt>
                <c:pt idx="446" formatCode="0.00E+00">
                  <c:v>2.2600000000000001E-11</c:v>
                </c:pt>
                <c:pt idx="447" formatCode="0.00E+00">
                  <c:v>1.44E-11</c:v>
                </c:pt>
                <c:pt idx="448" formatCode="0.00E+00">
                  <c:v>8.7400000000000003E-12</c:v>
                </c:pt>
                <c:pt idx="449" formatCode="0.00E+00">
                  <c:v>5.5599999999999997E-12</c:v>
                </c:pt>
                <c:pt idx="450" formatCode="0.00E+00">
                  <c:v>3.37E-12</c:v>
                </c:pt>
                <c:pt idx="451" formatCode="0.00E+00">
                  <c:v>2.1499999999999999E-12</c:v>
                </c:pt>
                <c:pt idx="452" formatCode="0.00E+00">
                  <c:v>1.2999999999999999E-12</c:v>
                </c:pt>
                <c:pt idx="453" formatCode="0.00E+00">
                  <c:v>8.29E-13</c:v>
                </c:pt>
                <c:pt idx="454" formatCode="0.00E+00">
                  <c:v>5.0299999999999998E-13</c:v>
                </c:pt>
                <c:pt idx="455" formatCode="0.00E+00">
                  <c:v>3.2E-13</c:v>
                </c:pt>
                <c:pt idx="456" formatCode="0.00E+00">
                  <c:v>1.9400000000000001E-13</c:v>
                </c:pt>
                <c:pt idx="457" formatCode="0.00E+00">
                  <c:v>1.2300000000000001E-13</c:v>
                </c:pt>
                <c:pt idx="458" formatCode="0.00E+00">
                  <c:v>7.4900000000000001E-14</c:v>
                </c:pt>
                <c:pt idx="459" formatCode="0.00E+00">
                  <c:v>4.7700000000000001E-14</c:v>
                </c:pt>
                <c:pt idx="460" formatCode="0.00E+00">
                  <c:v>2.8900000000000002E-14</c:v>
                </c:pt>
                <c:pt idx="461" formatCode="0.00E+00">
                  <c:v>1.8399999999999999E-14</c:v>
                </c:pt>
                <c:pt idx="462" formatCode="0.00E+00">
                  <c:v>1.1200000000000001E-14</c:v>
                </c:pt>
                <c:pt idx="463" formatCode="0.00E+00">
                  <c:v>7.1000000000000002E-15</c:v>
                </c:pt>
                <c:pt idx="464" formatCode="0.00E+00">
                  <c:v>4.3100000000000002E-15</c:v>
                </c:pt>
                <c:pt idx="465" formatCode="0.00E+00">
                  <c:v>2.74E-15</c:v>
                </c:pt>
                <c:pt idx="466" formatCode="0.00E+00">
                  <c:v>1.66E-15</c:v>
                </c:pt>
                <c:pt idx="467" formatCode="0.00E+00">
                  <c:v>1.0600000000000001E-15</c:v>
                </c:pt>
                <c:pt idx="468" formatCode="0.00E+00">
                  <c:v>6.4199999999999998E-16</c:v>
                </c:pt>
                <c:pt idx="469" formatCode="0.00E+00">
                  <c:v>4.0800000000000002E-16</c:v>
                </c:pt>
                <c:pt idx="470" formatCode="0.00E+00">
                  <c:v>2.4799999999999999E-16</c:v>
                </c:pt>
                <c:pt idx="471" formatCode="0.00E+00">
                  <c:v>1.58E-16</c:v>
                </c:pt>
                <c:pt idx="472" formatCode="0.00E+00">
                  <c:v>9.5600000000000003E-17</c:v>
                </c:pt>
                <c:pt idx="473" formatCode="0.00E+00">
                  <c:v>6.0799999999999997E-17</c:v>
                </c:pt>
                <c:pt idx="474" formatCode="0.00E+00">
                  <c:v>3.6899999999999999E-17</c:v>
                </c:pt>
                <c:pt idx="475" formatCode="0.00E+00">
                  <c:v>2.35E-17</c:v>
                </c:pt>
                <c:pt idx="476" formatCode="0.00E+00">
                  <c:v>1.4200000000000001E-17</c:v>
                </c:pt>
                <c:pt idx="477" formatCode="0.00E+00">
                  <c:v>9.0700000000000003E-18</c:v>
                </c:pt>
                <c:pt idx="478" formatCode="0.00E+00">
                  <c:v>5.5E-18</c:v>
                </c:pt>
                <c:pt idx="479" formatCode="0.00E+00">
                  <c:v>3.4999999999999999E-18</c:v>
                </c:pt>
                <c:pt idx="480" formatCode="0.00E+00">
                  <c:v>2.1199999999999999E-18</c:v>
                </c:pt>
                <c:pt idx="481" formatCode="0.00E+00">
                  <c:v>1.3499999999999999E-18</c:v>
                </c:pt>
                <c:pt idx="482" formatCode="0.00E+00">
                  <c:v>8.1900000000000003E-19</c:v>
                </c:pt>
                <c:pt idx="483" formatCode="0.00E+00">
                  <c:v>5.2099999999999996E-19</c:v>
                </c:pt>
                <c:pt idx="484" formatCode="0.00E+00">
                  <c:v>3.1599999999999999E-19</c:v>
                </c:pt>
                <c:pt idx="485" formatCode="0.00E+00">
                  <c:v>2.01E-19</c:v>
                </c:pt>
                <c:pt idx="486" formatCode="0.00E+00">
                  <c:v>1.2200000000000001E-19</c:v>
                </c:pt>
                <c:pt idx="487" formatCode="0.00E+00">
                  <c:v>7.7700000000000004E-20</c:v>
                </c:pt>
                <c:pt idx="488" formatCode="0.00E+00">
                  <c:v>4.7099999999999999E-20</c:v>
                </c:pt>
                <c:pt idx="489" formatCode="0.00E+00">
                  <c:v>3.0000000000000003E-20</c:v>
                </c:pt>
                <c:pt idx="490" formatCode="0.00E+00">
                  <c:v>1.8199999999999999E-20</c:v>
                </c:pt>
                <c:pt idx="491" formatCode="0.00E+00">
                  <c:v>1.16E-20</c:v>
                </c:pt>
                <c:pt idx="492" formatCode="0.00E+00">
                  <c:v>7.0200000000000004E-21</c:v>
                </c:pt>
                <c:pt idx="493" formatCode="0.00E+00">
                  <c:v>4.47E-21</c:v>
                </c:pt>
                <c:pt idx="494" formatCode="0.00E+00">
                  <c:v>2.71E-21</c:v>
                </c:pt>
                <c:pt idx="495" formatCode="0.00E+00">
                  <c:v>1.7200000000000001E-21</c:v>
                </c:pt>
                <c:pt idx="496" formatCode="0.00E+00">
                  <c:v>1.0500000000000001E-21</c:v>
                </c:pt>
                <c:pt idx="497" formatCode="0.00E+00">
                  <c:v>6.6600000000000002E-22</c:v>
                </c:pt>
                <c:pt idx="498" formatCode="0.00E+00">
                  <c:v>4.0399999999999999E-22</c:v>
                </c:pt>
                <c:pt idx="499" formatCode="0.00E+00">
                  <c:v>2.57E-22</c:v>
                </c:pt>
                <c:pt idx="500" formatCode="0.00E+00">
                  <c:v>1.56E-22</c:v>
                </c:pt>
                <c:pt idx="501" formatCode="0.00E+00">
                  <c:v>9.9200000000000001E-23</c:v>
                </c:pt>
                <c:pt idx="502" formatCode="0.00E+00">
                  <c:v>6.0200000000000001E-23</c:v>
                </c:pt>
                <c:pt idx="503" formatCode="0.00E+00">
                  <c:v>3.8300000000000002E-23</c:v>
                </c:pt>
                <c:pt idx="504" formatCode="0.00E+00">
                  <c:v>2.3199999999999999E-23</c:v>
                </c:pt>
                <c:pt idx="505" formatCode="0.00E+00">
                  <c:v>1.4799999999999999E-23</c:v>
                </c:pt>
                <c:pt idx="506" formatCode="0.00E+00">
                  <c:v>8.9599999999999996E-24</c:v>
                </c:pt>
                <c:pt idx="507" formatCode="0.00E+00">
                  <c:v>5.7E-24</c:v>
                </c:pt>
                <c:pt idx="508" formatCode="0.00E+00">
                  <c:v>3.4599999999999998E-24</c:v>
                </c:pt>
                <c:pt idx="509" formatCode="0.00E+00">
                  <c:v>2.2E-24</c:v>
                </c:pt>
                <c:pt idx="510" formatCode="0.00E+00">
                  <c:v>1.3400000000000001E-24</c:v>
                </c:pt>
                <c:pt idx="511" formatCode="0.00E+00">
                  <c:v>8.4999999999999998E-25</c:v>
                </c:pt>
                <c:pt idx="512" formatCode="0.00E+00">
                  <c:v>5.1600000000000001E-25</c:v>
                </c:pt>
                <c:pt idx="513" formatCode="0.00E+00">
                  <c:v>3.2799999999999999E-25</c:v>
                </c:pt>
                <c:pt idx="514" formatCode="0.00E+00">
                  <c:v>1.9900000000000001E-25</c:v>
                </c:pt>
                <c:pt idx="515" formatCode="0.00E+00">
                  <c:v>1.2700000000000001E-25</c:v>
                </c:pt>
                <c:pt idx="516" formatCode="0.00E+00">
                  <c:v>7.6800000000000001E-26</c:v>
                </c:pt>
                <c:pt idx="517" formatCode="0.00E+00">
                  <c:v>4.8899999999999999E-26</c:v>
                </c:pt>
                <c:pt idx="518" formatCode="0.00E+00">
                  <c:v>2.9600000000000002E-26</c:v>
                </c:pt>
                <c:pt idx="519" formatCode="0.00E+00">
                  <c:v>1.8900000000000001E-26</c:v>
                </c:pt>
                <c:pt idx="520" formatCode="0.00E+00">
                  <c:v>1.1399999999999999E-26</c:v>
                </c:pt>
                <c:pt idx="521" formatCode="0.00E+00">
                  <c:v>7.2800000000000003E-27</c:v>
                </c:pt>
                <c:pt idx="522" formatCode="0.00E+00">
                  <c:v>4.4200000000000003E-27</c:v>
                </c:pt>
                <c:pt idx="523" formatCode="0.00E+00">
                  <c:v>2.8099999999999999E-27</c:v>
                </c:pt>
                <c:pt idx="524" formatCode="0.00E+00">
                  <c:v>1.7100000000000001E-27</c:v>
                </c:pt>
                <c:pt idx="525" formatCode="0.00E+00">
                  <c:v>1.09E-27</c:v>
                </c:pt>
                <c:pt idx="526" formatCode="0.00E+00">
                  <c:v>6.58E-28</c:v>
                </c:pt>
                <c:pt idx="527" formatCode="0.00E+00">
                  <c:v>4.1900000000000004E-28</c:v>
                </c:pt>
                <c:pt idx="528" formatCode="0.00E+00">
                  <c:v>2.5399999999999999E-28</c:v>
                </c:pt>
                <c:pt idx="529" formatCode="0.00E+00">
                  <c:v>1.62E-28</c:v>
                </c:pt>
                <c:pt idx="530" formatCode="0.00E+00">
                  <c:v>9.8100000000000005E-29</c:v>
                </c:pt>
                <c:pt idx="531" formatCode="0.00E+00">
                  <c:v>6.2400000000000005E-29</c:v>
                </c:pt>
                <c:pt idx="532" formatCode="0.00E+00">
                  <c:v>3.79E-29</c:v>
                </c:pt>
                <c:pt idx="533" formatCode="0.00E+00">
                  <c:v>2.4099999999999999E-29</c:v>
                </c:pt>
                <c:pt idx="534" formatCode="0.00E+00">
                  <c:v>1.4600000000000001E-29</c:v>
                </c:pt>
                <c:pt idx="535" formatCode="0.00E+00">
                  <c:v>9.2999999999999994E-30</c:v>
                </c:pt>
                <c:pt idx="536" formatCode="0.00E+00">
                  <c:v>5.6400000000000002E-30</c:v>
                </c:pt>
                <c:pt idx="537" formatCode="0.00E+00">
                  <c:v>3.59E-30</c:v>
                </c:pt>
                <c:pt idx="538" formatCode="0.00E+00">
                  <c:v>2.18E-30</c:v>
                </c:pt>
                <c:pt idx="539" formatCode="0.00E+00">
                  <c:v>1.39E-30</c:v>
                </c:pt>
                <c:pt idx="540" formatCode="0.00E+00">
                  <c:v>8.3999999999999996E-31</c:v>
                </c:pt>
                <c:pt idx="541" formatCode="0.00E+00">
                  <c:v>5.3499999999999997E-31</c:v>
                </c:pt>
                <c:pt idx="542" formatCode="0.00E+00">
                  <c:v>3.24E-31</c:v>
                </c:pt>
                <c:pt idx="543" formatCode="0.00E+00">
                  <c:v>2.0600000000000001E-31</c:v>
                </c:pt>
                <c:pt idx="544" formatCode="0.00E+00">
                  <c:v>1.2500000000000001E-31</c:v>
                </c:pt>
                <c:pt idx="545" formatCode="0.00E+00">
                  <c:v>7.9699999999999998E-32</c:v>
                </c:pt>
                <c:pt idx="546" formatCode="0.00E+00">
                  <c:v>4.8299999999999998E-32</c:v>
                </c:pt>
                <c:pt idx="547" formatCode="0.00E+00">
                  <c:v>3.0799999999999999E-32</c:v>
                </c:pt>
                <c:pt idx="548" formatCode="0.00E+00">
                  <c:v>1.87E-32</c:v>
                </c:pt>
                <c:pt idx="549" formatCode="0.00E+00">
                  <c:v>1.19E-32</c:v>
                </c:pt>
                <c:pt idx="550" formatCode="0.00E+00">
                  <c:v>7.2000000000000007E-33</c:v>
                </c:pt>
                <c:pt idx="551" formatCode="0.00E+00">
                  <c:v>4.5799999999999998E-33</c:v>
                </c:pt>
                <c:pt idx="552" formatCode="0.00E+00">
                  <c:v>2.7799999999999999E-33</c:v>
                </c:pt>
                <c:pt idx="553" formatCode="0.00E+00">
                  <c:v>1.7699999999999999E-33</c:v>
                </c:pt>
                <c:pt idx="554" formatCode="0.00E+00">
                  <c:v>1.0699999999999999E-33</c:v>
                </c:pt>
                <c:pt idx="555" formatCode="0.00E+00">
                  <c:v>6.8300000000000004E-34</c:v>
                </c:pt>
                <c:pt idx="556" formatCode="0.00E+00">
                  <c:v>4.1399999999999996E-34</c:v>
                </c:pt>
                <c:pt idx="557" formatCode="0.00E+00">
                  <c:v>2.64E-34</c:v>
                </c:pt>
                <c:pt idx="558" formatCode="0.00E+00">
                  <c:v>1.6E-34</c:v>
                </c:pt>
                <c:pt idx="559" formatCode="0.00E+00">
                  <c:v>1.02E-34</c:v>
                </c:pt>
                <c:pt idx="560" formatCode="0.00E+00">
                  <c:v>6.1699999999999995E-35</c:v>
                </c:pt>
                <c:pt idx="561" formatCode="0.00E+00">
                  <c:v>3.93E-35</c:v>
                </c:pt>
                <c:pt idx="562" formatCode="0.00E+00">
                  <c:v>2.3799999999999999E-35</c:v>
                </c:pt>
                <c:pt idx="563" formatCode="0.00E+00">
                  <c:v>1.5199999999999999E-35</c:v>
                </c:pt>
                <c:pt idx="564" formatCode="0.00E+00">
                  <c:v>9.1900000000000002E-36</c:v>
                </c:pt>
                <c:pt idx="565" formatCode="0.00E+00">
                  <c:v>5.8500000000000001E-36</c:v>
                </c:pt>
                <c:pt idx="566" formatCode="0.00E+00">
                  <c:v>3.5499999999999998E-36</c:v>
                </c:pt>
                <c:pt idx="567" formatCode="0.00E+00">
                  <c:v>2.2600000000000002E-36</c:v>
                </c:pt>
                <c:pt idx="568" formatCode="0.00E+00">
                  <c:v>1.3699999999999999E-36</c:v>
                </c:pt>
                <c:pt idx="569" formatCode="0.00E+00">
                  <c:v>8.7200000000000001E-37</c:v>
                </c:pt>
                <c:pt idx="570" formatCode="0.00E+00">
                  <c:v>5.2899999999999998E-37</c:v>
                </c:pt>
                <c:pt idx="571" formatCode="0.00E+00">
                  <c:v>3.37E-37</c:v>
                </c:pt>
                <c:pt idx="572" formatCode="0.00E+00">
                  <c:v>2.0400000000000001E-37</c:v>
                </c:pt>
                <c:pt idx="573" formatCode="0.00E+00">
                  <c:v>1.2999999999999999E-37</c:v>
                </c:pt>
                <c:pt idx="574" formatCode="0.00E+00">
                  <c:v>7.8800000000000004E-38</c:v>
                </c:pt>
                <c:pt idx="575" formatCode="0.00E+00">
                  <c:v>5.0099999999999995E-38</c:v>
                </c:pt>
                <c:pt idx="576" formatCode="0.00E+00">
                  <c:v>3.0400000000000002E-38</c:v>
                </c:pt>
                <c:pt idx="577" formatCode="0.00E+00">
                  <c:v>1.94E-38</c:v>
                </c:pt>
                <c:pt idx="578" formatCode="0.00E+00">
                  <c:v>1.17E-38</c:v>
                </c:pt>
                <c:pt idx="579" formatCode="0.00E+00">
                  <c:v>7.4700000000000001E-39</c:v>
                </c:pt>
                <c:pt idx="580" formatCode="0.00E+00">
                  <c:v>4.5300000000000003E-39</c:v>
                </c:pt>
                <c:pt idx="581" formatCode="0.00E+00">
                  <c:v>2.8800000000000001E-39</c:v>
                </c:pt>
                <c:pt idx="582" formatCode="0.00E+00">
                  <c:v>1.75E-39</c:v>
                </c:pt>
                <c:pt idx="583" formatCode="0.00E+00">
                  <c:v>1.1100000000000001E-39</c:v>
                </c:pt>
                <c:pt idx="584" formatCode="0.00E+00">
                  <c:v>6.7500000000000001E-40</c:v>
                </c:pt>
                <c:pt idx="585" formatCode="0.00E+00">
                  <c:v>4.3000000000000003E-40</c:v>
                </c:pt>
                <c:pt idx="586" formatCode="0.00E+00">
                  <c:v>2.6100000000000001E-40</c:v>
                </c:pt>
                <c:pt idx="587" formatCode="0.00E+00">
                  <c:v>1.6600000000000001E-40</c:v>
                </c:pt>
                <c:pt idx="588" formatCode="0.00E+00">
                  <c:v>1.01E-40</c:v>
                </c:pt>
                <c:pt idx="589" formatCode="0.00E+00">
                  <c:v>6.4000000000000002E-41</c:v>
                </c:pt>
                <c:pt idx="590" formatCode="0.00E+00">
                  <c:v>3.8799999999999998E-41</c:v>
                </c:pt>
                <c:pt idx="591" formatCode="0.00E+00">
                  <c:v>2.4699999999999999E-41</c:v>
                </c:pt>
                <c:pt idx="592" formatCode="0.00E+00">
                  <c:v>1.4999999999999999E-41</c:v>
                </c:pt>
                <c:pt idx="593" formatCode="0.00E+00">
                  <c:v>9.5400000000000002E-42</c:v>
                </c:pt>
                <c:pt idx="594" formatCode="0.00E+00">
                  <c:v>5.7899999999999997E-42</c:v>
                </c:pt>
                <c:pt idx="595" formatCode="0.00E+00">
                  <c:v>3.6799999999999998E-42</c:v>
                </c:pt>
                <c:pt idx="596" formatCode="0.00E+00">
                  <c:v>2.23E-42</c:v>
                </c:pt>
                <c:pt idx="597" formatCode="0.00E+00">
                  <c:v>1.4200000000000001E-42</c:v>
                </c:pt>
                <c:pt idx="598" formatCode="0.00E+00">
                  <c:v>8.6200000000000003E-43</c:v>
                </c:pt>
                <c:pt idx="599" formatCode="0.00E+00">
                  <c:v>5.4799999999999999E-43</c:v>
                </c:pt>
                <c:pt idx="600" formatCode="0.00E+00">
                  <c:v>3.32E-43</c:v>
                </c:pt>
                <c:pt idx="601" formatCode="0.00E+00">
                  <c:v>2.1199999999999999E-43</c:v>
                </c:pt>
                <c:pt idx="602" formatCode="0.00E+00">
                  <c:v>1.28E-43</c:v>
                </c:pt>
                <c:pt idx="603" formatCode="0.00E+00">
                  <c:v>8.1299999999999997E-44</c:v>
                </c:pt>
                <c:pt idx="604" formatCode="0.00E+00">
                  <c:v>4.9000000000000003E-44</c:v>
                </c:pt>
                <c:pt idx="605" formatCode="0.00E+00">
                  <c:v>3.0800000000000002E-44</c:v>
                </c:pt>
                <c:pt idx="606" formatCode="0.00E+00">
                  <c:v>1.9599999999999999E-44</c:v>
                </c:pt>
                <c:pt idx="607" formatCode="0.00E+00">
                  <c:v>1.1200000000000001E-44</c:v>
                </c:pt>
                <c:pt idx="608" formatCode="0.00E+00">
                  <c:v>7.0100000000000001E-45</c:v>
                </c:pt>
                <c:pt idx="609" formatCode="0.00E+00">
                  <c:v>4.1999999999999999E-45</c:v>
                </c:pt>
                <c:pt idx="610" formatCode="0.00E+00">
                  <c:v>2.8000000000000001E-45</c:v>
                </c:pt>
                <c:pt idx="611" formatCode="0.00E+00">
                  <c:v>1.4000000000000001E-45</c:v>
                </c:pt>
                <c:pt idx="612" formatCode="0.00E+00">
                  <c:v>1.4000000000000001E-45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095872"/>
        <c:axId val="214305600"/>
      </c:lineChart>
      <c:catAx>
        <c:axId val="214095872"/>
        <c:scaling>
          <c:orientation val="minMax"/>
        </c:scaling>
        <c:delete val="0"/>
        <c:axPos val="b"/>
        <c:majorTickMark val="out"/>
        <c:minorTickMark val="none"/>
        <c:tickLblPos val="nextTo"/>
        <c:crossAx val="214305600"/>
        <c:crosses val="autoZero"/>
        <c:auto val="1"/>
        <c:lblAlgn val="ctr"/>
        <c:lblOffset val="100"/>
        <c:noMultiLvlLbl val="0"/>
      </c:catAx>
      <c:valAx>
        <c:axId val="214305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40958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花园口以上洪水!$I$1</c:f>
              <c:strCache>
                <c:ptCount val="1"/>
                <c:pt idx="0">
                  <c:v>山路平</c:v>
                </c:pt>
              </c:strCache>
            </c:strRef>
          </c:tx>
          <c:marker>
            <c:symbol val="none"/>
          </c:marker>
          <c:val>
            <c:numRef>
              <c:f>花园口以上洪水!$I$2:$I$746</c:f>
              <c:numCache>
                <c:formatCode>General</c:formatCode>
                <c:ptCount val="7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0.5</c:v>
                </c:pt>
                <c:pt idx="9">
                  <c:v>1</c:v>
                </c:pt>
                <c:pt idx="10">
                  <c:v>2.5</c:v>
                </c:pt>
                <c:pt idx="11">
                  <c:v>4</c:v>
                </c:pt>
                <c:pt idx="12">
                  <c:v>6.5</c:v>
                </c:pt>
                <c:pt idx="13">
                  <c:v>9</c:v>
                </c:pt>
                <c:pt idx="14">
                  <c:v>11.5</c:v>
                </c:pt>
                <c:pt idx="15">
                  <c:v>14</c:v>
                </c:pt>
                <c:pt idx="16">
                  <c:v>15.5</c:v>
                </c:pt>
                <c:pt idx="17">
                  <c:v>17</c:v>
                </c:pt>
                <c:pt idx="18">
                  <c:v>18.5</c:v>
                </c:pt>
                <c:pt idx="19">
                  <c:v>20</c:v>
                </c:pt>
                <c:pt idx="20">
                  <c:v>23</c:v>
                </c:pt>
                <c:pt idx="21">
                  <c:v>26</c:v>
                </c:pt>
                <c:pt idx="22">
                  <c:v>31</c:v>
                </c:pt>
                <c:pt idx="23">
                  <c:v>36</c:v>
                </c:pt>
                <c:pt idx="24">
                  <c:v>42</c:v>
                </c:pt>
                <c:pt idx="25">
                  <c:v>48</c:v>
                </c:pt>
                <c:pt idx="26">
                  <c:v>52.5</c:v>
                </c:pt>
                <c:pt idx="27">
                  <c:v>57</c:v>
                </c:pt>
                <c:pt idx="28">
                  <c:v>750.5</c:v>
                </c:pt>
                <c:pt idx="29">
                  <c:v>1444</c:v>
                </c:pt>
                <c:pt idx="30">
                  <c:v>1560</c:v>
                </c:pt>
                <c:pt idx="31">
                  <c:v>1676</c:v>
                </c:pt>
                <c:pt idx="32">
                  <c:v>1601</c:v>
                </c:pt>
                <c:pt idx="33">
                  <c:v>1526</c:v>
                </c:pt>
                <c:pt idx="34">
                  <c:v>1422.5</c:v>
                </c:pt>
                <c:pt idx="35">
                  <c:v>1319</c:v>
                </c:pt>
                <c:pt idx="36">
                  <c:v>1191.5</c:v>
                </c:pt>
                <c:pt idx="37">
                  <c:v>1064</c:v>
                </c:pt>
                <c:pt idx="38">
                  <c:v>909</c:v>
                </c:pt>
                <c:pt idx="39">
                  <c:v>754</c:v>
                </c:pt>
                <c:pt idx="40">
                  <c:v>614.5</c:v>
                </c:pt>
                <c:pt idx="41">
                  <c:v>475</c:v>
                </c:pt>
                <c:pt idx="42">
                  <c:v>392</c:v>
                </c:pt>
                <c:pt idx="43">
                  <c:v>309</c:v>
                </c:pt>
                <c:pt idx="44">
                  <c:v>264</c:v>
                </c:pt>
                <c:pt idx="45">
                  <c:v>219</c:v>
                </c:pt>
                <c:pt idx="46">
                  <c:v>190.5</c:v>
                </c:pt>
                <c:pt idx="47">
                  <c:v>162</c:v>
                </c:pt>
                <c:pt idx="48">
                  <c:v>144</c:v>
                </c:pt>
                <c:pt idx="49">
                  <c:v>126</c:v>
                </c:pt>
                <c:pt idx="50">
                  <c:v>115.5</c:v>
                </c:pt>
                <c:pt idx="51">
                  <c:v>105</c:v>
                </c:pt>
                <c:pt idx="52">
                  <c:v>129.5</c:v>
                </c:pt>
                <c:pt idx="53">
                  <c:v>154</c:v>
                </c:pt>
                <c:pt idx="54">
                  <c:v>265.5</c:v>
                </c:pt>
                <c:pt idx="55">
                  <c:v>377</c:v>
                </c:pt>
                <c:pt idx="56">
                  <c:v>486.5</c:v>
                </c:pt>
                <c:pt idx="57">
                  <c:v>596</c:v>
                </c:pt>
                <c:pt idx="58">
                  <c:v>631</c:v>
                </c:pt>
                <c:pt idx="59">
                  <c:v>666</c:v>
                </c:pt>
                <c:pt idx="60">
                  <c:v>724.5</c:v>
                </c:pt>
                <c:pt idx="61">
                  <c:v>783</c:v>
                </c:pt>
                <c:pt idx="62">
                  <c:v>782.5</c:v>
                </c:pt>
                <c:pt idx="63">
                  <c:v>782</c:v>
                </c:pt>
                <c:pt idx="64">
                  <c:v>700.5</c:v>
                </c:pt>
                <c:pt idx="65">
                  <c:v>619</c:v>
                </c:pt>
                <c:pt idx="66">
                  <c:v>526</c:v>
                </c:pt>
                <c:pt idx="67">
                  <c:v>433</c:v>
                </c:pt>
                <c:pt idx="68">
                  <c:v>366</c:v>
                </c:pt>
                <c:pt idx="69">
                  <c:v>299</c:v>
                </c:pt>
                <c:pt idx="70">
                  <c:v>262.5</c:v>
                </c:pt>
                <c:pt idx="71">
                  <c:v>226</c:v>
                </c:pt>
                <c:pt idx="72">
                  <c:v>217.5</c:v>
                </c:pt>
                <c:pt idx="73">
                  <c:v>209</c:v>
                </c:pt>
                <c:pt idx="74">
                  <c:v>216.5</c:v>
                </c:pt>
                <c:pt idx="75">
                  <c:v>224</c:v>
                </c:pt>
                <c:pt idx="76">
                  <c:v>235</c:v>
                </c:pt>
                <c:pt idx="77">
                  <c:v>246</c:v>
                </c:pt>
                <c:pt idx="78">
                  <c:v>255.5</c:v>
                </c:pt>
                <c:pt idx="79">
                  <c:v>265</c:v>
                </c:pt>
                <c:pt idx="80">
                  <c:v>268.5</c:v>
                </c:pt>
                <c:pt idx="81">
                  <c:v>272</c:v>
                </c:pt>
                <c:pt idx="82">
                  <c:v>272.5</c:v>
                </c:pt>
                <c:pt idx="83">
                  <c:v>273</c:v>
                </c:pt>
                <c:pt idx="84">
                  <c:v>274</c:v>
                </c:pt>
                <c:pt idx="85">
                  <c:v>275</c:v>
                </c:pt>
                <c:pt idx="86">
                  <c:v>269.5</c:v>
                </c:pt>
                <c:pt idx="87">
                  <c:v>264</c:v>
                </c:pt>
                <c:pt idx="88">
                  <c:v>253.5</c:v>
                </c:pt>
                <c:pt idx="89">
                  <c:v>243</c:v>
                </c:pt>
                <c:pt idx="90">
                  <c:v>242</c:v>
                </c:pt>
                <c:pt idx="91">
                  <c:v>241</c:v>
                </c:pt>
                <c:pt idx="92">
                  <c:v>660</c:v>
                </c:pt>
                <c:pt idx="93">
                  <c:v>1079</c:v>
                </c:pt>
                <c:pt idx="94">
                  <c:v>1138</c:v>
                </c:pt>
                <c:pt idx="95">
                  <c:v>1197</c:v>
                </c:pt>
                <c:pt idx="96">
                  <c:v>1085</c:v>
                </c:pt>
                <c:pt idx="97">
                  <c:v>973</c:v>
                </c:pt>
                <c:pt idx="98">
                  <c:v>844.5</c:v>
                </c:pt>
                <c:pt idx="99">
                  <c:v>716</c:v>
                </c:pt>
                <c:pt idx="100">
                  <c:v>601.5</c:v>
                </c:pt>
                <c:pt idx="101">
                  <c:v>487</c:v>
                </c:pt>
                <c:pt idx="102">
                  <c:v>404.5</c:v>
                </c:pt>
                <c:pt idx="103">
                  <c:v>322</c:v>
                </c:pt>
                <c:pt idx="104">
                  <c:v>268</c:v>
                </c:pt>
                <c:pt idx="105">
                  <c:v>214</c:v>
                </c:pt>
                <c:pt idx="106">
                  <c:v>179.5</c:v>
                </c:pt>
                <c:pt idx="107">
                  <c:v>145</c:v>
                </c:pt>
                <c:pt idx="108">
                  <c:v>123.5</c:v>
                </c:pt>
                <c:pt idx="109">
                  <c:v>102</c:v>
                </c:pt>
                <c:pt idx="110">
                  <c:v>88.5</c:v>
                </c:pt>
                <c:pt idx="111">
                  <c:v>75</c:v>
                </c:pt>
                <c:pt idx="112">
                  <c:v>66</c:v>
                </c:pt>
                <c:pt idx="113">
                  <c:v>57</c:v>
                </c:pt>
                <c:pt idx="114">
                  <c:v>51</c:v>
                </c:pt>
                <c:pt idx="115">
                  <c:v>45</c:v>
                </c:pt>
                <c:pt idx="116">
                  <c:v>41</c:v>
                </c:pt>
                <c:pt idx="117">
                  <c:v>37</c:v>
                </c:pt>
                <c:pt idx="118">
                  <c:v>34</c:v>
                </c:pt>
                <c:pt idx="119">
                  <c:v>31</c:v>
                </c:pt>
                <c:pt idx="120">
                  <c:v>29</c:v>
                </c:pt>
                <c:pt idx="121">
                  <c:v>27</c:v>
                </c:pt>
                <c:pt idx="122">
                  <c:v>25</c:v>
                </c:pt>
                <c:pt idx="123">
                  <c:v>23</c:v>
                </c:pt>
                <c:pt idx="124">
                  <c:v>21.5</c:v>
                </c:pt>
                <c:pt idx="125">
                  <c:v>20</c:v>
                </c:pt>
                <c:pt idx="126">
                  <c:v>19</c:v>
                </c:pt>
                <c:pt idx="127">
                  <c:v>18</c:v>
                </c:pt>
                <c:pt idx="128">
                  <c:v>17</c:v>
                </c:pt>
                <c:pt idx="129">
                  <c:v>16</c:v>
                </c:pt>
                <c:pt idx="130">
                  <c:v>15</c:v>
                </c:pt>
                <c:pt idx="131">
                  <c:v>14</c:v>
                </c:pt>
                <c:pt idx="132">
                  <c:v>13.5</c:v>
                </c:pt>
                <c:pt idx="133">
                  <c:v>13</c:v>
                </c:pt>
                <c:pt idx="134">
                  <c:v>12</c:v>
                </c:pt>
                <c:pt idx="135">
                  <c:v>11</c:v>
                </c:pt>
                <c:pt idx="136">
                  <c:v>10.5</c:v>
                </c:pt>
                <c:pt idx="137">
                  <c:v>10</c:v>
                </c:pt>
                <c:pt idx="138">
                  <c:v>9.5</c:v>
                </c:pt>
                <c:pt idx="139">
                  <c:v>9</c:v>
                </c:pt>
                <c:pt idx="140">
                  <c:v>8.5</c:v>
                </c:pt>
                <c:pt idx="141">
                  <c:v>8</c:v>
                </c:pt>
                <c:pt idx="142">
                  <c:v>7.5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6.5</c:v>
                </c:pt>
                <c:pt idx="147">
                  <c:v>6</c:v>
                </c:pt>
                <c:pt idx="148">
                  <c:v>5.5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4.5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3.5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2.5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1.5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0.5</c:v>
                </c:pt>
                <c:pt idx="181" formatCode="0.00E+00">
                  <c:v>9.0799999999999993E-9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花园口以上洪水!$J$1</c:f>
              <c:strCache>
                <c:ptCount val="1"/>
                <c:pt idx="0">
                  <c:v>武陟</c:v>
                </c:pt>
              </c:strCache>
            </c:strRef>
          </c:tx>
          <c:marker>
            <c:symbol val="none"/>
          </c:marker>
          <c:val>
            <c:numRef>
              <c:f>花园口以上洪水!$J$2:$J$746</c:f>
              <c:numCache>
                <c:formatCode>General</c:formatCode>
                <c:ptCount val="74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101.0455</c:v>
                </c:pt>
                <c:pt idx="13">
                  <c:v>102.09099999999999</c:v>
                </c:pt>
                <c:pt idx="14">
                  <c:v>104.0579</c:v>
                </c:pt>
                <c:pt idx="15">
                  <c:v>106.0248</c:v>
                </c:pt>
                <c:pt idx="16">
                  <c:v>108.8338</c:v>
                </c:pt>
                <c:pt idx="17">
                  <c:v>111.64279999999999</c:v>
                </c:pt>
                <c:pt idx="18">
                  <c:v>114.8176</c:v>
                </c:pt>
                <c:pt idx="19">
                  <c:v>117.99250000000001</c:v>
                </c:pt>
                <c:pt idx="20">
                  <c:v>121.81270000000001</c:v>
                </c:pt>
                <c:pt idx="21">
                  <c:v>125.63290000000001</c:v>
                </c:pt>
                <c:pt idx="22">
                  <c:v>128.3569</c:v>
                </c:pt>
                <c:pt idx="23">
                  <c:v>131.08080000000001</c:v>
                </c:pt>
                <c:pt idx="24">
                  <c:v>134.28190000000001</c:v>
                </c:pt>
                <c:pt idx="25">
                  <c:v>137.48320000000001</c:v>
                </c:pt>
                <c:pt idx="26">
                  <c:v>144.9238</c:v>
                </c:pt>
                <c:pt idx="27">
                  <c:v>152.36789999999999</c:v>
                </c:pt>
                <c:pt idx="28">
                  <c:v>169.358</c:v>
                </c:pt>
                <c:pt idx="29">
                  <c:v>186.33949999999999</c:v>
                </c:pt>
                <c:pt idx="30">
                  <c:v>236.72929999999999</c:v>
                </c:pt>
                <c:pt idx="31">
                  <c:v>285.86189999999999</c:v>
                </c:pt>
                <c:pt idx="32">
                  <c:v>476.87279999999998</c:v>
                </c:pt>
                <c:pt idx="33">
                  <c:v>651.14480000000003</c:v>
                </c:pt>
                <c:pt idx="34">
                  <c:v>1325.894</c:v>
                </c:pt>
                <c:pt idx="35">
                  <c:v>1905.924</c:v>
                </c:pt>
                <c:pt idx="36">
                  <c:v>2296.4490000000001</c:v>
                </c:pt>
                <c:pt idx="37">
                  <c:v>2448.453</c:v>
                </c:pt>
                <c:pt idx="38">
                  <c:v>2525.9760000000001</c:v>
                </c:pt>
                <c:pt idx="39">
                  <c:v>2380.1</c:v>
                </c:pt>
                <c:pt idx="40">
                  <c:v>2281.0349999999999</c:v>
                </c:pt>
                <c:pt idx="41">
                  <c:v>2035.925</c:v>
                </c:pt>
                <c:pt idx="42">
                  <c:v>1856.0319999999999</c:v>
                </c:pt>
                <c:pt idx="43">
                  <c:v>1597.3409999999999</c:v>
                </c:pt>
                <c:pt idx="44">
                  <c:v>1390.7719999999999</c:v>
                </c:pt>
                <c:pt idx="45">
                  <c:v>1146.5119999999999</c:v>
                </c:pt>
                <c:pt idx="46">
                  <c:v>962.43769999999995</c:v>
                </c:pt>
                <c:pt idx="47">
                  <c:v>761.76940000000002</c:v>
                </c:pt>
                <c:pt idx="48">
                  <c:v>635.88710000000003</c:v>
                </c:pt>
                <c:pt idx="49">
                  <c:v>503.12819999999999</c:v>
                </c:pt>
                <c:pt idx="50">
                  <c:v>426.06180000000001</c:v>
                </c:pt>
                <c:pt idx="51">
                  <c:v>346.27480000000003</c:v>
                </c:pt>
                <c:pt idx="52">
                  <c:v>299.2851</c:v>
                </c:pt>
                <c:pt idx="53">
                  <c:v>251.2576</c:v>
                </c:pt>
                <c:pt idx="54">
                  <c:v>223.82929999999999</c:v>
                </c:pt>
                <c:pt idx="55">
                  <c:v>196.01660000000001</c:v>
                </c:pt>
                <c:pt idx="56">
                  <c:v>186.5909</c:v>
                </c:pt>
                <c:pt idx="57">
                  <c:v>177.02619999999999</c:v>
                </c:pt>
                <c:pt idx="58">
                  <c:v>210.41159999999999</c:v>
                </c:pt>
                <c:pt idx="59">
                  <c:v>243.74770000000001</c:v>
                </c:pt>
                <c:pt idx="60">
                  <c:v>359.87490000000003</c:v>
                </c:pt>
                <c:pt idx="61">
                  <c:v>475.98489999999998</c:v>
                </c:pt>
                <c:pt idx="62">
                  <c:v>642.09799999999996</c:v>
                </c:pt>
                <c:pt idx="63">
                  <c:v>808.20510000000002</c:v>
                </c:pt>
                <c:pt idx="64">
                  <c:v>993.66409999999996</c:v>
                </c:pt>
                <c:pt idx="65">
                  <c:v>1179.1210000000001</c:v>
                </c:pt>
                <c:pt idx="66">
                  <c:v>1397.5119999999999</c:v>
                </c:pt>
                <c:pt idx="67">
                  <c:v>1615.903</c:v>
                </c:pt>
                <c:pt idx="68">
                  <c:v>1730.835</c:v>
                </c:pt>
                <c:pt idx="69">
                  <c:v>1846.097</c:v>
                </c:pt>
                <c:pt idx="70">
                  <c:v>1776.0709999999999</c:v>
                </c:pt>
                <c:pt idx="71">
                  <c:v>1714.7929999999999</c:v>
                </c:pt>
                <c:pt idx="72">
                  <c:v>1536.992</c:v>
                </c:pt>
                <c:pt idx="73">
                  <c:v>1447.577</c:v>
                </c:pt>
                <c:pt idx="74">
                  <c:v>1265.3920000000001</c:v>
                </c:pt>
                <c:pt idx="75">
                  <c:v>1500.9010000000001</c:v>
                </c:pt>
                <c:pt idx="76">
                  <c:v>1379.3230000000001</c:v>
                </c:pt>
                <c:pt idx="77">
                  <c:v>2165.3589999999999</c:v>
                </c:pt>
                <c:pt idx="78">
                  <c:v>2130.1210000000001</c:v>
                </c:pt>
                <c:pt idx="79">
                  <c:v>2903.9389999999999</c:v>
                </c:pt>
                <c:pt idx="80">
                  <c:v>2924.0810000000001</c:v>
                </c:pt>
                <c:pt idx="81">
                  <c:v>3408.8539999999998</c:v>
                </c:pt>
                <c:pt idx="82">
                  <c:v>3447.3</c:v>
                </c:pt>
                <c:pt idx="83">
                  <c:v>3707.2750000000001</c:v>
                </c:pt>
                <c:pt idx="84">
                  <c:v>3742.4569999999999</c:v>
                </c:pt>
                <c:pt idx="85">
                  <c:v>3872.2179999999998</c:v>
                </c:pt>
                <c:pt idx="86">
                  <c:v>3892.9749999999999</c:v>
                </c:pt>
                <c:pt idx="87">
                  <c:v>3951.1909999999998</c:v>
                </c:pt>
                <c:pt idx="88">
                  <c:v>3959.2849999999999</c:v>
                </c:pt>
                <c:pt idx="89">
                  <c:v>3981.422</c:v>
                </c:pt>
                <c:pt idx="90">
                  <c:v>3983.8589999999999</c:v>
                </c:pt>
                <c:pt idx="91">
                  <c:v>3991.3429999999998</c:v>
                </c:pt>
                <c:pt idx="92">
                  <c:v>3992.0569999999998</c:v>
                </c:pt>
                <c:pt idx="93">
                  <c:v>3994.6709999999998</c:v>
                </c:pt>
                <c:pt idx="94">
                  <c:v>4000</c:v>
                </c:pt>
                <c:pt idx="95">
                  <c:v>4000</c:v>
                </c:pt>
                <c:pt idx="96">
                  <c:v>4000</c:v>
                </c:pt>
                <c:pt idx="97">
                  <c:v>4000</c:v>
                </c:pt>
                <c:pt idx="98">
                  <c:v>4000</c:v>
                </c:pt>
                <c:pt idx="99">
                  <c:v>4000</c:v>
                </c:pt>
                <c:pt idx="100">
                  <c:v>4000</c:v>
                </c:pt>
                <c:pt idx="101">
                  <c:v>4000</c:v>
                </c:pt>
                <c:pt idx="102">
                  <c:v>4000</c:v>
                </c:pt>
                <c:pt idx="103">
                  <c:v>4000</c:v>
                </c:pt>
                <c:pt idx="104">
                  <c:v>4000</c:v>
                </c:pt>
                <c:pt idx="105">
                  <c:v>3857.2809999999999</c:v>
                </c:pt>
                <c:pt idx="106">
                  <c:v>3777.5569999999998</c:v>
                </c:pt>
                <c:pt idx="107">
                  <c:v>3674.027</c:v>
                </c:pt>
                <c:pt idx="108">
                  <c:v>3665.0749999999998</c:v>
                </c:pt>
                <c:pt idx="109">
                  <c:v>3638.3589999999999</c:v>
                </c:pt>
                <c:pt idx="110">
                  <c:v>3665.279</c:v>
                </c:pt>
                <c:pt idx="111">
                  <c:v>3682.8020000000001</c:v>
                </c:pt>
                <c:pt idx="112">
                  <c:v>3719.6350000000002</c:v>
                </c:pt>
                <c:pt idx="113">
                  <c:v>3752.5929999999998</c:v>
                </c:pt>
                <c:pt idx="114">
                  <c:v>3780.3780000000002</c:v>
                </c:pt>
                <c:pt idx="115">
                  <c:v>3813.2429999999999</c:v>
                </c:pt>
                <c:pt idx="116">
                  <c:v>3791.45</c:v>
                </c:pt>
                <c:pt idx="117">
                  <c:v>3816.982</c:v>
                </c:pt>
                <c:pt idx="118">
                  <c:v>3649.203</c:v>
                </c:pt>
                <c:pt idx="119">
                  <c:v>3664.7710000000002</c:v>
                </c:pt>
                <c:pt idx="120">
                  <c:v>3211.51</c:v>
                </c:pt>
                <c:pt idx="121">
                  <c:v>3209.8670000000002</c:v>
                </c:pt>
                <c:pt idx="122">
                  <c:v>2771.0129999999999</c:v>
                </c:pt>
                <c:pt idx="123">
                  <c:v>2754.2</c:v>
                </c:pt>
                <c:pt idx="124">
                  <c:v>2446.4749999999999</c:v>
                </c:pt>
                <c:pt idx="125">
                  <c:v>2414.471</c:v>
                </c:pt>
                <c:pt idx="126">
                  <c:v>2220.6869999999999</c:v>
                </c:pt>
                <c:pt idx="127">
                  <c:v>2175.6219999999998</c:v>
                </c:pt>
                <c:pt idx="128">
                  <c:v>2048.0839999999998</c:v>
                </c:pt>
                <c:pt idx="129">
                  <c:v>1991.6690000000001</c:v>
                </c:pt>
                <c:pt idx="130">
                  <c:v>1898.1880000000001</c:v>
                </c:pt>
                <c:pt idx="131">
                  <c:v>1836.018</c:v>
                </c:pt>
                <c:pt idx="132">
                  <c:v>1759.4639999999999</c:v>
                </c:pt>
                <c:pt idx="133">
                  <c:v>1695.883</c:v>
                </c:pt>
                <c:pt idx="134">
                  <c:v>1626.961</c:v>
                </c:pt>
                <c:pt idx="135">
                  <c:v>1563.172</c:v>
                </c:pt>
                <c:pt idx="136">
                  <c:v>1496.383</c:v>
                </c:pt>
                <c:pt idx="137">
                  <c:v>1431.5519999999999</c:v>
                </c:pt>
                <c:pt idx="138">
                  <c:v>1365.3330000000001</c:v>
                </c:pt>
                <c:pt idx="139">
                  <c:v>1299.8389999999999</c:v>
                </c:pt>
                <c:pt idx="140">
                  <c:v>1234.586</c:v>
                </c:pt>
                <c:pt idx="141">
                  <c:v>1169.5940000000001</c:v>
                </c:pt>
                <c:pt idx="142">
                  <c:v>1106.279</c:v>
                </c:pt>
                <c:pt idx="143">
                  <c:v>1043.057</c:v>
                </c:pt>
                <c:pt idx="144">
                  <c:v>984.5729</c:v>
                </c:pt>
                <c:pt idx="145">
                  <c:v>926.12220000000002</c:v>
                </c:pt>
                <c:pt idx="146">
                  <c:v>872.16690000000006</c:v>
                </c:pt>
                <c:pt idx="147">
                  <c:v>818.2636</c:v>
                </c:pt>
                <c:pt idx="148">
                  <c:v>769.9864</c:v>
                </c:pt>
                <c:pt idx="149">
                  <c:v>722.19150000000002</c:v>
                </c:pt>
                <c:pt idx="150">
                  <c:v>680.37400000000002</c:v>
                </c:pt>
                <c:pt idx="151">
                  <c:v>641.19399999999996</c:v>
                </c:pt>
                <c:pt idx="152">
                  <c:v>607.85310000000004</c:v>
                </c:pt>
                <c:pt idx="153">
                  <c:v>581.12480000000005</c:v>
                </c:pt>
                <c:pt idx="154">
                  <c:v>558.87130000000002</c:v>
                </c:pt>
                <c:pt idx="155">
                  <c:v>542.80709999999999</c:v>
                </c:pt>
                <c:pt idx="156">
                  <c:v>530.9393</c:v>
                </c:pt>
                <c:pt idx="157">
                  <c:v>523.11670000000004</c:v>
                </c:pt>
                <c:pt idx="158">
                  <c:v>516.53909999999996</c:v>
                </c:pt>
                <c:pt idx="159">
                  <c:v>512.14380000000006</c:v>
                </c:pt>
                <c:pt idx="160">
                  <c:v>509.435</c:v>
                </c:pt>
                <c:pt idx="161">
                  <c:v>507.77010000000001</c:v>
                </c:pt>
                <c:pt idx="162">
                  <c:v>506.33249999999998</c:v>
                </c:pt>
                <c:pt idx="163">
                  <c:v>505.3544</c:v>
                </c:pt>
                <c:pt idx="164">
                  <c:v>504.77800000000002</c:v>
                </c:pt>
                <c:pt idx="165">
                  <c:v>504.392</c:v>
                </c:pt>
                <c:pt idx="166">
                  <c:v>503.36759999999998</c:v>
                </c:pt>
                <c:pt idx="167">
                  <c:v>502.41860000000003</c:v>
                </c:pt>
                <c:pt idx="168">
                  <c:v>502.25850000000003</c:v>
                </c:pt>
                <c:pt idx="169">
                  <c:v>502.12720000000002</c:v>
                </c:pt>
                <c:pt idx="170">
                  <c:v>502.07780000000002</c:v>
                </c:pt>
                <c:pt idx="171">
                  <c:v>502.03899999999999</c:v>
                </c:pt>
                <c:pt idx="172">
                  <c:v>501.97809999999998</c:v>
                </c:pt>
                <c:pt idx="173">
                  <c:v>501.92099999999999</c:v>
                </c:pt>
                <c:pt idx="174">
                  <c:v>501.58580000000001</c:v>
                </c:pt>
                <c:pt idx="175">
                  <c:v>501.25189999999998</c:v>
                </c:pt>
                <c:pt idx="176">
                  <c:v>501.16019999999997</c:v>
                </c:pt>
                <c:pt idx="177">
                  <c:v>501.06889999999999</c:v>
                </c:pt>
                <c:pt idx="178">
                  <c:v>501.04379999999998</c:v>
                </c:pt>
                <c:pt idx="179">
                  <c:v>501.0188</c:v>
                </c:pt>
                <c:pt idx="180">
                  <c:v>501.012</c:v>
                </c:pt>
                <c:pt idx="181">
                  <c:v>501.00510000000003</c:v>
                </c:pt>
                <c:pt idx="182">
                  <c:v>501.00330000000002</c:v>
                </c:pt>
                <c:pt idx="183">
                  <c:v>501.00139999999999</c:v>
                </c:pt>
                <c:pt idx="184">
                  <c:v>500.9554</c:v>
                </c:pt>
                <c:pt idx="185">
                  <c:v>500.90940000000001</c:v>
                </c:pt>
                <c:pt idx="186">
                  <c:v>500.5788</c:v>
                </c:pt>
                <c:pt idx="187">
                  <c:v>500.2482</c:v>
                </c:pt>
                <c:pt idx="188">
                  <c:v>500.15800000000002</c:v>
                </c:pt>
                <c:pt idx="189">
                  <c:v>500.0677</c:v>
                </c:pt>
                <c:pt idx="190">
                  <c:v>500.04309999999998</c:v>
                </c:pt>
                <c:pt idx="191">
                  <c:v>500.01850000000002</c:v>
                </c:pt>
                <c:pt idx="192">
                  <c:v>500.01170000000002</c:v>
                </c:pt>
                <c:pt idx="193">
                  <c:v>500.005</c:v>
                </c:pt>
                <c:pt idx="194">
                  <c:v>500.00319999999999</c:v>
                </c:pt>
                <c:pt idx="195">
                  <c:v>500.00139999999999</c:v>
                </c:pt>
                <c:pt idx="196">
                  <c:v>500.0009</c:v>
                </c:pt>
                <c:pt idx="197">
                  <c:v>500.00040000000001</c:v>
                </c:pt>
                <c:pt idx="198">
                  <c:v>500.00020000000001</c:v>
                </c:pt>
                <c:pt idx="199">
                  <c:v>500.00009999999997</c:v>
                </c:pt>
                <c:pt idx="200">
                  <c:v>500.00009999999997</c:v>
                </c:pt>
                <c:pt idx="201">
                  <c:v>500</c:v>
                </c:pt>
                <c:pt idx="202">
                  <c:v>500</c:v>
                </c:pt>
                <c:pt idx="203">
                  <c:v>500</c:v>
                </c:pt>
                <c:pt idx="204">
                  <c:v>500</c:v>
                </c:pt>
                <c:pt idx="205">
                  <c:v>500</c:v>
                </c:pt>
                <c:pt idx="206">
                  <c:v>500</c:v>
                </c:pt>
                <c:pt idx="207">
                  <c:v>500</c:v>
                </c:pt>
                <c:pt idx="208">
                  <c:v>500</c:v>
                </c:pt>
                <c:pt idx="209">
                  <c:v>500</c:v>
                </c:pt>
                <c:pt idx="210">
                  <c:v>500</c:v>
                </c:pt>
                <c:pt idx="211">
                  <c:v>500</c:v>
                </c:pt>
                <c:pt idx="212">
                  <c:v>500</c:v>
                </c:pt>
                <c:pt idx="213">
                  <c:v>500</c:v>
                </c:pt>
                <c:pt idx="214">
                  <c:v>500</c:v>
                </c:pt>
                <c:pt idx="215">
                  <c:v>500</c:v>
                </c:pt>
                <c:pt idx="216">
                  <c:v>500</c:v>
                </c:pt>
                <c:pt idx="217">
                  <c:v>500</c:v>
                </c:pt>
                <c:pt idx="218">
                  <c:v>500</c:v>
                </c:pt>
                <c:pt idx="219">
                  <c:v>500</c:v>
                </c:pt>
                <c:pt idx="220">
                  <c:v>500</c:v>
                </c:pt>
                <c:pt idx="221">
                  <c:v>500</c:v>
                </c:pt>
                <c:pt idx="222">
                  <c:v>500</c:v>
                </c:pt>
                <c:pt idx="223">
                  <c:v>500</c:v>
                </c:pt>
                <c:pt idx="224">
                  <c:v>500</c:v>
                </c:pt>
                <c:pt idx="225">
                  <c:v>500</c:v>
                </c:pt>
                <c:pt idx="226">
                  <c:v>500</c:v>
                </c:pt>
                <c:pt idx="227">
                  <c:v>500</c:v>
                </c:pt>
                <c:pt idx="228">
                  <c:v>500</c:v>
                </c:pt>
                <c:pt idx="229">
                  <c:v>500</c:v>
                </c:pt>
                <c:pt idx="230">
                  <c:v>500</c:v>
                </c:pt>
                <c:pt idx="231">
                  <c:v>500</c:v>
                </c:pt>
                <c:pt idx="232">
                  <c:v>500</c:v>
                </c:pt>
                <c:pt idx="233">
                  <c:v>500</c:v>
                </c:pt>
                <c:pt idx="234">
                  <c:v>500</c:v>
                </c:pt>
                <c:pt idx="235">
                  <c:v>500</c:v>
                </c:pt>
                <c:pt idx="236">
                  <c:v>500</c:v>
                </c:pt>
                <c:pt idx="237">
                  <c:v>500</c:v>
                </c:pt>
                <c:pt idx="238">
                  <c:v>500</c:v>
                </c:pt>
                <c:pt idx="239">
                  <c:v>500</c:v>
                </c:pt>
                <c:pt idx="240">
                  <c:v>500</c:v>
                </c:pt>
                <c:pt idx="241">
                  <c:v>500</c:v>
                </c:pt>
                <c:pt idx="242">
                  <c:v>500</c:v>
                </c:pt>
                <c:pt idx="243">
                  <c:v>500</c:v>
                </c:pt>
                <c:pt idx="244">
                  <c:v>500</c:v>
                </c:pt>
                <c:pt idx="245">
                  <c:v>500</c:v>
                </c:pt>
                <c:pt idx="246">
                  <c:v>500</c:v>
                </c:pt>
                <c:pt idx="247">
                  <c:v>500</c:v>
                </c:pt>
                <c:pt idx="248">
                  <c:v>500</c:v>
                </c:pt>
                <c:pt idx="249">
                  <c:v>500</c:v>
                </c:pt>
                <c:pt idx="250">
                  <c:v>500</c:v>
                </c:pt>
                <c:pt idx="251">
                  <c:v>500</c:v>
                </c:pt>
                <c:pt idx="252">
                  <c:v>500</c:v>
                </c:pt>
                <c:pt idx="253">
                  <c:v>500</c:v>
                </c:pt>
                <c:pt idx="254">
                  <c:v>499.97890000000001</c:v>
                </c:pt>
                <c:pt idx="255">
                  <c:v>499.97199999999998</c:v>
                </c:pt>
                <c:pt idx="256">
                  <c:v>499.32929999999999</c:v>
                </c:pt>
                <c:pt idx="257">
                  <c:v>499.12029999999999</c:v>
                </c:pt>
                <c:pt idx="258">
                  <c:v>491.59519999999998</c:v>
                </c:pt>
                <c:pt idx="259">
                  <c:v>489.14920000000001</c:v>
                </c:pt>
                <c:pt idx="260">
                  <c:v>447.7002</c:v>
                </c:pt>
                <c:pt idx="261">
                  <c:v>434.22699999999998</c:v>
                </c:pt>
                <c:pt idx="262">
                  <c:v>330.26949999999999</c:v>
                </c:pt>
                <c:pt idx="263">
                  <c:v>296.47770000000003</c:v>
                </c:pt>
                <c:pt idx="264">
                  <c:v>199.16890000000001</c:v>
                </c:pt>
                <c:pt idx="265">
                  <c:v>167.53829999999999</c:v>
                </c:pt>
                <c:pt idx="266">
                  <c:v>103.9375</c:v>
                </c:pt>
                <c:pt idx="267">
                  <c:v>83.263869999999997</c:v>
                </c:pt>
                <c:pt idx="268">
                  <c:v>48.95241</c:v>
                </c:pt>
                <c:pt idx="269">
                  <c:v>37.799349999999997</c:v>
                </c:pt>
                <c:pt idx="270">
                  <c:v>21.388459999999998</c:v>
                </c:pt>
                <c:pt idx="271">
                  <c:v>16.054040000000001</c:v>
                </c:pt>
                <c:pt idx="272">
                  <c:v>8.8289449999999992</c:v>
                </c:pt>
                <c:pt idx="273">
                  <c:v>6.4804040000000001</c:v>
                </c:pt>
                <c:pt idx="274" formatCode="0.00E+00">
                  <c:v>3.4865029999999999</c:v>
                </c:pt>
                <c:pt idx="275" formatCode="0.00E+00">
                  <c:v>2.513325</c:v>
                </c:pt>
                <c:pt idx="276" formatCode="0.00E+00">
                  <c:v>1.328843</c:v>
                </c:pt>
                <c:pt idx="277" formatCode="0.00E+00">
                  <c:v>0.943824</c:v>
                </c:pt>
                <c:pt idx="278" formatCode="0.00E+00">
                  <c:v>0.49201600000000001</c:v>
                </c:pt>
                <c:pt idx="279" formatCode="0.00E+00">
                  <c:v>0.34515400000000002</c:v>
                </c:pt>
                <c:pt idx="280" formatCode="0.00E+00">
                  <c:v>0.177838</c:v>
                </c:pt>
                <c:pt idx="281" formatCode="0.00E+00">
                  <c:v>0.12345100000000001</c:v>
                </c:pt>
                <c:pt idx="282" formatCode="0.00E+00">
                  <c:v>6.2984999999999999E-2</c:v>
                </c:pt>
                <c:pt idx="283" formatCode="0.00E+00">
                  <c:v>4.3331000000000001E-2</c:v>
                </c:pt>
                <c:pt idx="284" formatCode="0.00E+00">
                  <c:v>2.1923000000000002E-2</c:v>
                </c:pt>
                <c:pt idx="285" formatCode="0.00E+00">
                  <c:v>1.4964999999999999E-2</c:v>
                </c:pt>
                <c:pt idx="286" formatCode="0.00E+00">
                  <c:v>7.5170000000000002E-3</c:v>
                </c:pt>
                <c:pt idx="287" formatCode="0.00E+00">
                  <c:v>5.0959999999999998E-3</c:v>
                </c:pt>
                <c:pt idx="288" formatCode="0.00E+00">
                  <c:v>2.5439999999999998E-3</c:v>
                </c:pt>
                <c:pt idx="289" formatCode="0.00E+00">
                  <c:v>1.714E-3</c:v>
                </c:pt>
                <c:pt idx="290" formatCode="0.00E+00">
                  <c:v>8.5099999999999998E-4</c:v>
                </c:pt>
                <c:pt idx="291" formatCode="0.00E+00">
                  <c:v>5.6999999999999998E-4</c:v>
                </c:pt>
                <c:pt idx="292" formatCode="0.00E+00">
                  <c:v>2.8200000000000002E-4</c:v>
                </c:pt>
                <c:pt idx="293" formatCode="0.00E+00">
                  <c:v>1.8799999999999999E-4</c:v>
                </c:pt>
                <c:pt idx="294" formatCode="0.00E+00">
                  <c:v>9.2499999999999999E-5</c:v>
                </c:pt>
                <c:pt idx="295" formatCode="0.00E+00">
                  <c:v>6.1400000000000002E-5</c:v>
                </c:pt>
                <c:pt idx="296" formatCode="0.00E+00">
                  <c:v>3.01E-5</c:v>
                </c:pt>
                <c:pt idx="297" formatCode="0.00E+00">
                  <c:v>1.9899999999999999E-5</c:v>
                </c:pt>
                <c:pt idx="298" formatCode="0.00E+00">
                  <c:v>9.7200000000000001E-6</c:v>
                </c:pt>
                <c:pt idx="299" formatCode="0.00E+00">
                  <c:v>6.4099999999999996E-6</c:v>
                </c:pt>
                <c:pt idx="300" formatCode="0.00E+00">
                  <c:v>3.1200000000000002E-6</c:v>
                </c:pt>
                <c:pt idx="301" formatCode="0.00E+00">
                  <c:v>2.0499999999999999E-6</c:v>
                </c:pt>
                <c:pt idx="302" formatCode="0.00E+00">
                  <c:v>9.9399999999999993E-7</c:v>
                </c:pt>
                <c:pt idx="303" formatCode="0.00E+00">
                  <c:v>6.5199999999999996E-7</c:v>
                </c:pt>
                <c:pt idx="304" formatCode="0.00E+00">
                  <c:v>3.15E-7</c:v>
                </c:pt>
                <c:pt idx="305" formatCode="0.00E+00">
                  <c:v>2.0599999999999999E-7</c:v>
                </c:pt>
                <c:pt idx="306" formatCode="0.00E+00">
                  <c:v>9.9499999999999998E-8</c:v>
                </c:pt>
                <c:pt idx="307" formatCode="0.00E+00">
                  <c:v>6.4799999999999998E-8</c:v>
                </c:pt>
                <c:pt idx="308" formatCode="0.00E+00">
                  <c:v>3.1200000000000001E-8</c:v>
                </c:pt>
                <c:pt idx="309" formatCode="0.00E+00">
                  <c:v>2.03E-8</c:v>
                </c:pt>
                <c:pt idx="310" formatCode="0.00E+00">
                  <c:v>9.7599999999999994E-9</c:v>
                </c:pt>
                <c:pt idx="311" formatCode="0.00E+00">
                  <c:v>6.34E-9</c:v>
                </c:pt>
                <c:pt idx="312" formatCode="0.00E+00">
                  <c:v>3.0399999999999998E-9</c:v>
                </c:pt>
                <c:pt idx="313" formatCode="0.00E+00">
                  <c:v>1.97E-9</c:v>
                </c:pt>
                <c:pt idx="314" formatCode="0.00E+00">
                  <c:v>9.4299999999999995E-10</c:v>
                </c:pt>
                <c:pt idx="315" formatCode="0.00E+00">
                  <c:v>6.0899999999999996E-10</c:v>
                </c:pt>
                <c:pt idx="316" formatCode="0.00E+00">
                  <c:v>2.9099999999999998E-10</c:v>
                </c:pt>
                <c:pt idx="317" formatCode="0.00E+00">
                  <c:v>1.88E-10</c:v>
                </c:pt>
                <c:pt idx="318" formatCode="0.00E+00">
                  <c:v>8.9800000000000003E-11</c:v>
                </c:pt>
                <c:pt idx="319" formatCode="0.00E+00">
                  <c:v>5.7799999999999997E-11</c:v>
                </c:pt>
                <c:pt idx="320" formatCode="0.00E+00">
                  <c:v>2.76E-11</c:v>
                </c:pt>
                <c:pt idx="321" formatCode="0.00E+00">
                  <c:v>1.7700000000000001E-11</c:v>
                </c:pt>
                <c:pt idx="322" formatCode="0.00E+00">
                  <c:v>8.4400000000000004E-12</c:v>
                </c:pt>
                <c:pt idx="323" formatCode="0.00E+00">
                  <c:v>5.4199999999999999E-12</c:v>
                </c:pt>
                <c:pt idx="324" formatCode="0.00E+00">
                  <c:v>2.5799999999999999E-12</c:v>
                </c:pt>
                <c:pt idx="325" formatCode="0.00E+00">
                  <c:v>1.65E-12</c:v>
                </c:pt>
                <c:pt idx="326" formatCode="0.00E+00">
                  <c:v>7.8499999999999999E-13</c:v>
                </c:pt>
                <c:pt idx="327" formatCode="0.00E+00">
                  <c:v>5.0299999999999998E-13</c:v>
                </c:pt>
                <c:pt idx="328" formatCode="0.00E+00">
                  <c:v>2.3899999999999999E-13</c:v>
                </c:pt>
                <c:pt idx="329" formatCode="0.00E+00">
                  <c:v>1.53E-13</c:v>
                </c:pt>
                <c:pt idx="330" formatCode="0.00E+00">
                  <c:v>7.2300000000000005E-14</c:v>
                </c:pt>
                <c:pt idx="331" formatCode="0.00E+00">
                  <c:v>4.6200000000000001E-14</c:v>
                </c:pt>
                <c:pt idx="332" formatCode="0.00E+00">
                  <c:v>2.19E-14</c:v>
                </c:pt>
                <c:pt idx="333" formatCode="0.00E+00">
                  <c:v>1.4E-14</c:v>
                </c:pt>
                <c:pt idx="334" formatCode="0.00E+00">
                  <c:v>6.6099999999999997E-15</c:v>
                </c:pt>
                <c:pt idx="335" formatCode="0.00E+00">
                  <c:v>4.2100000000000002E-15</c:v>
                </c:pt>
                <c:pt idx="336" formatCode="0.00E+00">
                  <c:v>1.99E-15</c:v>
                </c:pt>
                <c:pt idx="337" formatCode="0.00E+00">
                  <c:v>1.2699999999999999E-15</c:v>
                </c:pt>
                <c:pt idx="338" formatCode="0.00E+00">
                  <c:v>5.9899999999999997E-16</c:v>
                </c:pt>
                <c:pt idx="339" formatCode="0.00E+00">
                  <c:v>3.8099999999999998E-16</c:v>
                </c:pt>
                <c:pt idx="340" formatCode="0.00E+00">
                  <c:v>1.7999999999999999E-16</c:v>
                </c:pt>
                <c:pt idx="341" formatCode="0.00E+00">
                  <c:v>1.14E-16</c:v>
                </c:pt>
                <c:pt idx="342" formatCode="0.00E+00">
                  <c:v>5.3899999999999998E-17</c:v>
                </c:pt>
                <c:pt idx="343" formatCode="0.00E+00">
                  <c:v>3.42E-17</c:v>
                </c:pt>
                <c:pt idx="344" formatCode="0.00E+00">
                  <c:v>1.6099999999999999E-17</c:v>
                </c:pt>
                <c:pt idx="345" formatCode="0.00E+00">
                  <c:v>1.02E-17</c:v>
                </c:pt>
                <c:pt idx="346" formatCode="0.00E+00">
                  <c:v>4.8199999999999998E-18</c:v>
                </c:pt>
                <c:pt idx="347" formatCode="0.00E+00">
                  <c:v>3.0599999999999999E-18</c:v>
                </c:pt>
                <c:pt idx="348" formatCode="0.00E+00">
                  <c:v>1.44E-18</c:v>
                </c:pt>
                <c:pt idx="349" formatCode="0.00E+00">
                  <c:v>9.1100000000000001E-19</c:v>
                </c:pt>
                <c:pt idx="350" formatCode="0.00E+00">
                  <c:v>4.28E-19</c:v>
                </c:pt>
                <c:pt idx="351" formatCode="0.00E+00">
                  <c:v>2.7099999999999999E-19</c:v>
                </c:pt>
                <c:pt idx="352" formatCode="0.00E+00">
                  <c:v>1.27E-19</c:v>
                </c:pt>
                <c:pt idx="353" formatCode="0.00E+00">
                  <c:v>8.0699999999999995E-20</c:v>
                </c:pt>
                <c:pt idx="354" formatCode="0.00E+00">
                  <c:v>3.79E-20</c:v>
                </c:pt>
                <c:pt idx="355" formatCode="0.00E+00">
                  <c:v>2.3999999999999999E-20</c:v>
                </c:pt>
                <c:pt idx="356" formatCode="0.00E+00">
                  <c:v>1.12E-20</c:v>
                </c:pt>
                <c:pt idx="357" formatCode="0.00E+00">
                  <c:v>7.1100000000000001E-21</c:v>
                </c:pt>
                <c:pt idx="358" formatCode="0.00E+00">
                  <c:v>3.3300000000000001E-21</c:v>
                </c:pt>
                <c:pt idx="359" formatCode="0.00E+00">
                  <c:v>2.11E-21</c:v>
                </c:pt>
                <c:pt idx="360" formatCode="0.00E+00">
                  <c:v>9.8700000000000003E-22</c:v>
                </c:pt>
                <c:pt idx="361" formatCode="0.00E+00">
                  <c:v>6.2300000000000003E-22</c:v>
                </c:pt>
                <c:pt idx="362" formatCode="0.00E+00">
                  <c:v>2.92E-22</c:v>
                </c:pt>
                <c:pt idx="363" formatCode="0.00E+00">
                  <c:v>1.8400000000000001E-22</c:v>
                </c:pt>
                <c:pt idx="364" formatCode="0.00E+00">
                  <c:v>8.6299999999999996E-23</c:v>
                </c:pt>
                <c:pt idx="365" formatCode="0.00E+00">
                  <c:v>5.4399999999999999E-23</c:v>
                </c:pt>
                <c:pt idx="366" formatCode="0.00E+00">
                  <c:v>2.5500000000000001E-23</c:v>
                </c:pt>
                <c:pt idx="367" formatCode="0.00E+00">
                  <c:v>1.6099999999999999E-23</c:v>
                </c:pt>
                <c:pt idx="368" formatCode="0.00E+00">
                  <c:v>7.5100000000000004E-24</c:v>
                </c:pt>
                <c:pt idx="369" formatCode="0.00E+00">
                  <c:v>4.7300000000000002E-24</c:v>
                </c:pt>
                <c:pt idx="370" formatCode="0.00E+00">
                  <c:v>2.21E-24</c:v>
                </c:pt>
                <c:pt idx="371" formatCode="0.00E+00">
                  <c:v>1.3899999999999999E-24</c:v>
                </c:pt>
                <c:pt idx="372" formatCode="0.00E+00">
                  <c:v>6.5099999999999999E-25</c:v>
                </c:pt>
                <c:pt idx="373" formatCode="0.00E+00">
                  <c:v>4.0999999999999999E-25</c:v>
                </c:pt>
                <c:pt idx="374" formatCode="0.00E+00">
                  <c:v>1.9200000000000001E-25</c:v>
                </c:pt>
                <c:pt idx="375" formatCode="0.00E+00">
                  <c:v>1.21E-25</c:v>
                </c:pt>
                <c:pt idx="376" formatCode="0.00E+00">
                  <c:v>5.6300000000000001E-26</c:v>
                </c:pt>
                <c:pt idx="377" formatCode="0.00E+00">
                  <c:v>3.5399999999999997E-26</c:v>
                </c:pt>
                <c:pt idx="378" formatCode="0.00E+00">
                  <c:v>1.6499999999999999E-26</c:v>
                </c:pt>
                <c:pt idx="379" formatCode="0.00E+00">
                  <c:v>1.0400000000000001E-26</c:v>
                </c:pt>
                <c:pt idx="380" formatCode="0.00E+00">
                  <c:v>4.8499999999999999E-27</c:v>
                </c:pt>
                <c:pt idx="381" formatCode="0.00E+00">
                  <c:v>3.05E-27</c:v>
                </c:pt>
                <c:pt idx="382" formatCode="0.00E+00">
                  <c:v>1.42E-27</c:v>
                </c:pt>
                <c:pt idx="383" formatCode="0.00E+00">
                  <c:v>8.9300000000000007E-28</c:v>
                </c:pt>
                <c:pt idx="384" formatCode="0.00E+00">
                  <c:v>4.1700000000000001E-28</c:v>
                </c:pt>
                <c:pt idx="385" formatCode="0.00E+00">
                  <c:v>2.6199999999999999E-28</c:v>
                </c:pt>
                <c:pt idx="386" formatCode="0.00E+00">
                  <c:v>1.22E-28</c:v>
                </c:pt>
                <c:pt idx="387" formatCode="0.00E+00">
                  <c:v>7.6600000000000001E-29</c:v>
                </c:pt>
                <c:pt idx="388" formatCode="0.00E+00">
                  <c:v>3.57E-29</c:v>
                </c:pt>
                <c:pt idx="389" formatCode="0.00E+00">
                  <c:v>2.2399999999999999E-29</c:v>
                </c:pt>
                <c:pt idx="390" formatCode="0.00E+00">
                  <c:v>1.0399999999999999E-29</c:v>
                </c:pt>
                <c:pt idx="391" formatCode="0.00E+00">
                  <c:v>6.5400000000000003E-30</c:v>
                </c:pt>
                <c:pt idx="392" formatCode="0.00E+00">
                  <c:v>3.0499999999999999E-30</c:v>
                </c:pt>
                <c:pt idx="393" formatCode="0.00E+00">
                  <c:v>1.9100000000000001E-30</c:v>
                </c:pt>
                <c:pt idx="394" formatCode="0.00E+00">
                  <c:v>8.8999999999999997E-31</c:v>
                </c:pt>
                <c:pt idx="395" formatCode="0.00E+00">
                  <c:v>5.5800000000000001E-31</c:v>
                </c:pt>
                <c:pt idx="396" formatCode="0.00E+00">
                  <c:v>2.6E-31</c:v>
                </c:pt>
                <c:pt idx="397" formatCode="0.00E+00">
                  <c:v>1.6300000000000001E-31</c:v>
                </c:pt>
                <c:pt idx="398" formatCode="0.00E+00">
                  <c:v>7.5699999999999995E-32</c:v>
                </c:pt>
                <c:pt idx="399" formatCode="0.00E+00">
                  <c:v>4.75E-32</c:v>
                </c:pt>
                <c:pt idx="400" formatCode="0.00E+00">
                  <c:v>2.2100000000000001E-32</c:v>
                </c:pt>
                <c:pt idx="401" formatCode="0.00E+00">
                  <c:v>1.38E-32</c:v>
                </c:pt>
                <c:pt idx="402" formatCode="0.00E+00">
                  <c:v>6.4300000000000002E-33</c:v>
                </c:pt>
                <c:pt idx="403" formatCode="0.00E+00">
                  <c:v>4.0300000000000002E-33</c:v>
                </c:pt>
                <c:pt idx="404" formatCode="0.00E+00">
                  <c:v>1.87E-33</c:v>
                </c:pt>
                <c:pt idx="405" formatCode="0.00E+00">
                  <c:v>1.1700000000000001E-33</c:v>
                </c:pt>
                <c:pt idx="406" formatCode="0.00E+00">
                  <c:v>5.4500000000000002E-34</c:v>
                </c:pt>
                <c:pt idx="407" formatCode="0.00E+00">
                  <c:v>3.4099999999999999E-34</c:v>
                </c:pt>
                <c:pt idx="408" formatCode="0.00E+00">
                  <c:v>1.58E-34</c:v>
                </c:pt>
                <c:pt idx="409" formatCode="0.00E+00">
                  <c:v>9.9199999999999995E-35</c:v>
                </c:pt>
                <c:pt idx="410" formatCode="0.00E+00">
                  <c:v>4.61E-35</c:v>
                </c:pt>
                <c:pt idx="411" formatCode="0.00E+00">
                  <c:v>2.8800000000000003E-35</c:v>
                </c:pt>
                <c:pt idx="412" formatCode="0.00E+00">
                  <c:v>1.3399999999999999E-35</c:v>
                </c:pt>
                <c:pt idx="413" formatCode="0.00E+00">
                  <c:v>8.3700000000000005E-36</c:v>
                </c:pt>
                <c:pt idx="414" formatCode="0.00E+00">
                  <c:v>3.8899999999999997E-36</c:v>
                </c:pt>
                <c:pt idx="415" formatCode="0.00E+00">
                  <c:v>2.4300000000000001E-36</c:v>
                </c:pt>
                <c:pt idx="416" formatCode="0.00E+00">
                  <c:v>1.1300000000000001E-36</c:v>
                </c:pt>
                <c:pt idx="417" formatCode="0.00E+00">
                  <c:v>7.0599999999999998E-37</c:v>
                </c:pt>
                <c:pt idx="418" formatCode="0.00E+00">
                  <c:v>3.2799999999999998E-37</c:v>
                </c:pt>
                <c:pt idx="419" formatCode="0.00E+00">
                  <c:v>2.0499999999999999E-37</c:v>
                </c:pt>
                <c:pt idx="420" formatCode="0.00E+00">
                  <c:v>9.5000000000000009E-38</c:v>
                </c:pt>
                <c:pt idx="421" formatCode="0.00E+00">
                  <c:v>5.9300000000000004E-38</c:v>
                </c:pt>
                <c:pt idx="422" formatCode="0.00E+00">
                  <c:v>2.75E-38</c:v>
                </c:pt>
                <c:pt idx="423" formatCode="0.00E+00">
                  <c:v>1.72E-38</c:v>
                </c:pt>
                <c:pt idx="424" formatCode="0.00E+00">
                  <c:v>7.9800000000000006E-39</c:v>
                </c:pt>
                <c:pt idx="425" formatCode="0.00E+00">
                  <c:v>4.9800000000000003E-39</c:v>
                </c:pt>
                <c:pt idx="426" formatCode="0.00E+00">
                  <c:v>2.3100000000000002E-39</c:v>
                </c:pt>
                <c:pt idx="427" formatCode="0.00E+00">
                  <c:v>1.44E-39</c:v>
                </c:pt>
                <c:pt idx="428" formatCode="0.00E+00">
                  <c:v>6.6899999999999999E-40</c:v>
                </c:pt>
                <c:pt idx="429" formatCode="0.00E+00">
                  <c:v>4.1799999999999997E-40</c:v>
                </c:pt>
                <c:pt idx="430" formatCode="0.00E+00">
                  <c:v>1.94E-40</c:v>
                </c:pt>
                <c:pt idx="431" formatCode="0.00E+00">
                  <c:v>1.2100000000000001E-40</c:v>
                </c:pt>
                <c:pt idx="432" formatCode="0.00E+00">
                  <c:v>5.6099999999999996E-41</c:v>
                </c:pt>
                <c:pt idx="433" formatCode="0.00E+00">
                  <c:v>3.5E-41</c:v>
                </c:pt>
                <c:pt idx="434" formatCode="0.00E+00">
                  <c:v>1.6199999999999999E-41</c:v>
                </c:pt>
                <c:pt idx="435" formatCode="0.00E+00">
                  <c:v>1.0099999999999999E-41</c:v>
                </c:pt>
                <c:pt idx="436" formatCode="0.00E+00">
                  <c:v>4.6899999999999999E-42</c:v>
                </c:pt>
                <c:pt idx="437" formatCode="0.00E+00">
                  <c:v>2.92E-42</c:v>
                </c:pt>
                <c:pt idx="438" formatCode="0.00E+00">
                  <c:v>1.36E-42</c:v>
                </c:pt>
                <c:pt idx="439" formatCode="0.00E+00">
                  <c:v>8.4600000000000001E-43</c:v>
                </c:pt>
                <c:pt idx="440" formatCode="0.00E+00">
                  <c:v>3.9099999999999997E-43</c:v>
                </c:pt>
                <c:pt idx="441" formatCode="0.00E+00">
                  <c:v>2.4499999999999999E-43</c:v>
                </c:pt>
                <c:pt idx="442" formatCode="0.00E+00">
                  <c:v>1.12E-43</c:v>
                </c:pt>
                <c:pt idx="443" formatCode="0.00E+00">
                  <c:v>7.0099999999999999E-44</c:v>
                </c:pt>
                <c:pt idx="444" formatCode="0.00E+00">
                  <c:v>3.2200000000000001E-44</c:v>
                </c:pt>
                <c:pt idx="445" formatCode="0.00E+00">
                  <c:v>1.9599999999999999E-44</c:v>
                </c:pt>
                <c:pt idx="446" formatCode="0.00E+00">
                  <c:v>9.8099999999999996E-45</c:v>
                </c:pt>
                <c:pt idx="447" formatCode="0.00E+00">
                  <c:v>5.6100000000000003E-45</c:v>
                </c:pt>
                <c:pt idx="448" formatCode="0.00E+00">
                  <c:v>2.8000000000000001E-45</c:v>
                </c:pt>
                <c:pt idx="449" formatCode="0.00E+00">
                  <c:v>1.4000000000000001E-45</c:v>
                </c:pt>
                <c:pt idx="450" formatCode="0.00E+00">
                  <c:v>1.4000000000000001E-45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499328"/>
        <c:axId val="214307904"/>
      </c:lineChart>
      <c:catAx>
        <c:axId val="214499328"/>
        <c:scaling>
          <c:orientation val="minMax"/>
        </c:scaling>
        <c:delete val="0"/>
        <c:axPos val="b"/>
        <c:majorTickMark val="out"/>
        <c:minorTickMark val="none"/>
        <c:tickLblPos val="nextTo"/>
        <c:crossAx val="214307904"/>
        <c:crosses val="autoZero"/>
        <c:auto val="1"/>
        <c:lblAlgn val="ctr"/>
        <c:lblOffset val="100"/>
        <c:noMultiLvlLbl val="0"/>
      </c:catAx>
      <c:valAx>
        <c:axId val="214307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44993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542925</xdr:colOff>
      <xdr:row>2</xdr:row>
      <xdr:rowOff>280987</xdr:rowOff>
    </xdr:from>
    <xdr:to>
      <xdr:col>16</xdr:col>
      <xdr:colOff>314325</xdr:colOff>
      <xdr:row>13</xdr:row>
      <xdr:rowOff>147637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438150</xdr:colOff>
      <xdr:row>10</xdr:row>
      <xdr:rowOff>14287</xdr:rowOff>
    </xdr:from>
    <xdr:to>
      <xdr:col>18</xdr:col>
      <xdr:colOff>251460</xdr:colOff>
      <xdr:row>26</xdr:row>
      <xdr:rowOff>14287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438150</xdr:colOff>
      <xdr:row>10</xdr:row>
      <xdr:rowOff>14287</xdr:rowOff>
    </xdr:from>
    <xdr:to>
      <xdr:col>14</xdr:col>
      <xdr:colOff>209550</xdr:colOff>
      <xdr:row>26</xdr:row>
      <xdr:rowOff>14287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293370</xdr:colOff>
      <xdr:row>10</xdr:row>
      <xdr:rowOff>105727</xdr:rowOff>
    </xdr:from>
    <xdr:to>
      <xdr:col>16</xdr:col>
      <xdr:colOff>533400</xdr:colOff>
      <xdr:row>26</xdr:row>
      <xdr:rowOff>105727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381000</xdr:colOff>
      <xdr:row>4</xdr:row>
      <xdr:rowOff>4762</xdr:rowOff>
    </xdr:from>
    <xdr:to>
      <xdr:col>19</xdr:col>
      <xdr:colOff>152400</xdr:colOff>
      <xdr:row>20</xdr:row>
      <xdr:rowOff>4762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609600</xdr:colOff>
      <xdr:row>22</xdr:row>
      <xdr:rowOff>119062</xdr:rowOff>
    </xdr:from>
    <xdr:to>
      <xdr:col>19</xdr:col>
      <xdr:colOff>381000</xdr:colOff>
      <xdr:row>38</xdr:row>
      <xdr:rowOff>119062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D1" sqref="D1:D35"/>
    </sheetView>
  </sheetViews>
  <sheetFormatPr defaultRowHeight="13.5"/>
  <cols>
    <col min="2" max="2" width="27.75" customWidth="1"/>
    <col min="3" max="3" width="14.375" customWidth="1"/>
    <col min="4" max="4" width="26.75" style="29" customWidth="1"/>
    <col min="5" max="5" width="16" customWidth="1"/>
  </cols>
  <sheetData>
    <row r="1" spans="1:7" ht="77.25" customHeight="1">
      <c r="A1" s="1" t="s">
        <v>0</v>
      </c>
      <c r="B1" s="1" t="s">
        <v>1</v>
      </c>
      <c r="C1" s="1" t="s">
        <v>37</v>
      </c>
      <c r="D1" s="1" t="s">
        <v>38</v>
      </c>
    </row>
    <row r="2" spans="1:7" ht="16.5" customHeight="1">
      <c r="A2" s="79" t="s">
        <v>2</v>
      </c>
      <c r="B2" s="2" t="s">
        <v>3</v>
      </c>
      <c r="C2" s="2">
        <f>三门峡!I2</f>
        <v>1420</v>
      </c>
      <c r="D2" s="41">
        <v>1420</v>
      </c>
    </row>
    <row r="3" spans="1:7" ht="16.5">
      <c r="A3" s="79"/>
      <c r="B3" s="3" t="s">
        <v>4</v>
      </c>
      <c r="C3" s="9">
        <f>三门峡!I3</f>
        <v>1420</v>
      </c>
      <c r="D3" s="9">
        <v>1420</v>
      </c>
      <c r="G3" s="29"/>
    </row>
    <row r="4" spans="1:7" ht="16.5">
      <c r="A4" s="79"/>
      <c r="B4" s="2" t="s">
        <v>5</v>
      </c>
      <c r="C4" s="10">
        <f>三门峡!I4</f>
        <v>0</v>
      </c>
      <c r="D4" s="10">
        <v>0</v>
      </c>
      <c r="G4" s="29"/>
    </row>
    <row r="5" spans="1:7" ht="16.5">
      <c r="A5" s="79"/>
      <c r="B5" s="2" t="s">
        <v>6</v>
      </c>
      <c r="C5" s="10">
        <f>三门峡!I5</f>
        <v>295</v>
      </c>
      <c r="D5" s="10">
        <v>295.22857056465506</v>
      </c>
      <c r="G5" s="29"/>
    </row>
    <row r="6" spans="1:7" ht="16.5">
      <c r="A6" s="79"/>
      <c r="B6" s="2" t="s">
        <v>7</v>
      </c>
      <c r="C6" s="4">
        <f>三门峡!I6</f>
        <v>3</v>
      </c>
      <c r="D6" s="4">
        <v>3.4571411293101567E-2</v>
      </c>
      <c r="G6" s="29"/>
    </row>
    <row r="7" spans="1:7" ht="16.5" customHeight="1">
      <c r="A7" s="79" t="s">
        <v>8</v>
      </c>
      <c r="B7" s="5" t="s">
        <v>3</v>
      </c>
      <c r="C7" s="5" t="e">
        <f>小浪底!#REF!</f>
        <v>#REF!</v>
      </c>
      <c r="D7" s="5">
        <v>6693.9999971522484</v>
      </c>
      <c r="E7" s="39" t="e">
        <f>C7-D7</f>
        <v>#REF!</v>
      </c>
      <c r="G7" s="29"/>
    </row>
    <row r="8" spans="1:7" ht="16.5">
      <c r="A8" s="79"/>
      <c r="B8" s="5" t="s">
        <v>4</v>
      </c>
      <c r="C8" s="5" t="e">
        <f>小浪底!#REF!</f>
        <v>#REF!</v>
      </c>
      <c r="D8" s="5">
        <v>4500</v>
      </c>
      <c r="E8" s="39" t="e">
        <f t="shared" ref="E8:E35" si="0">C8-D8</f>
        <v>#REF!</v>
      </c>
      <c r="G8" s="29"/>
    </row>
    <row r="9" spans="1:7" ht="16.5">
      <c r="A9" s="79"/>
      <c r="B9" s="2" t="s">
        <v>5</v>
      </c>
      <c r="C9" s="4" t="e">
        <f>小浪底!#REF!</f>
        <v>#REF!</v>
      </c>
      <c r="D9" s="4">
        <v>11.379578146772566</v>
      </c>
      <c r="E9" s="43" t="e">
        <f t="shared" si="0"/>
        <v>#REF!</v>
      </c>
      <c r="G9" s="29"/>
    </row>
    <row r="10" spans="1:7" ht="16.5">
      <c r="A10" s="79"/>
      <c r="B10" s="2" t="s">
        <v>6</v>
      </c>
      <c r="C10" s="4" t="e">
        <f>小浪底!#REF!</f>
        <v>#REF!</v>
      </c>
      <c r="D10" s="4">
        <v>257.50411051711473</v>
      </c>
      <c r="E10" s="43" t="e">
        <f t="shared" si="0"/>
        <v>#REF!</v>
      </c>
      <c r="G10" s="29"/>
    </row>
    <row r="11" spans="1:7" ht="16.5">
      <c r="A11" s="79"/>
      <c r="B11" s="2" t="s">
        <v>7</v>
      </c>
      <c r="C11" s="4" t="e">
        <f>小浪底!#REF!</f>
        <v>#REF!</v>
      </c>
      <c r="D11" s="4">
        <v>50.553590980769826</v>
      </c>
      <c r="E11" s="43" t="e">
        <f t="shared" si="0"/>
        <v>#REF!</v>
      </c>
      <c r="G11" s="29"/>
    </row>
    <row r="12" spans="1:7" ht="16.5">
      <c r="A12" s="79" t="s">
        <v>9</v>
      </c>
      <c r="B12" s="2" t="s">
        <v>3</v>
      </c>
      <c r="C12" s="40">
        <f>陆浑!I2</f>
        <v>9129</v>
      </c>
      <c r="D12" s="40">
        <v>9128.9999935249798</v>
      </c>
      <c r="E12" s="39">
        <f t="shared" si="0"/>
        <v>6.4750202000141144E-6</v>
      </c>
      <c r="G12" s="29"/>
    </row>
    <row r="13" spans="1:7" ht="16.5">
      <c r="A13" s="79"/>
      <c r="B13" s="5" t="s">
        <v>4</v>
      </c>
      <c r="C13" s="5">
        <f>陆浑!I3</f>
        <v>3241.7979999999998</v>
      </c>
      <c r="D13" s="5">
        <v>3242.6026318527533</v>
      </c>
      <c r="E13" s="39">
        <f t="shared" si="0"/>
        <v>-0.80463185275357318</v>
      </c>
      <c r="G13" s="29"/>
    </row>
    <row r="14" spans="1:7" ht="16.5">
      <c r="A14" s="79"/>
      <c r="B14" s="2" t="s">
        <v>5</v>
      </c>
      <c r="C14" s="4">
        <f>陆浑!I4</f>
        <v>282.95789999999994</v>
      </c>
      <c r="D14" s="4">
        <v>2.5168661898153237</v>
      </c>
      <c r="E14" s="43">
        <f t="shared" si="0"/>
        <v>280.44103381018459</v>
      </c>
      <c r="G14" s="29"/>
    </row>
    <row r="15" spans="1:7" ht="16.5">
      <c r="A15" s="79"/>
      <c r="B15" s="2" t="s">
        <v>6</v>
      </c>
      <c r="C15" s="4">
        <f>陆浑!I5</f>
        <v>323.0102</v>
      </c>
      <c r="D15" s="4">
        <v>323.01289272486883</v>
      </c>
      <c r="E15" s="43">
        <f t="shared" si="0"/>
        <v>-2.692724868836649E-3</v>
      </c>
      <c r="G15" s="29"/>
    </row>
    <row r="16" spans="1:7" ht="16.5">
      <c r="A16" s="79"/>
      <c r="B16" s="2" t="s">
        <v>7</v>
      </c>
      <c r="C16" s="4">
        <f>陆浑!I6</f>
        <v>760.96259999999995</v>
      </c>
      <c r="D16" s="4">
        <v>7.610866189815324</v>
      </c>
      <c r="E16" s="39">
        <f t="shared" si="0"/>
        <v>753.35173381018467</v>
      </c>
      <c r="G16" s="29"/>
    </row>
    <row r="17" spans="1:7" ht="16.5">
      <c r="A17" s="79" t="s">
        <v>10</v>
      </c>
      <c r="B17" s="2" t="s">
        <v>3</v>
      </c>
      <c r="C17" s="18">
        <f>故县!I2</f>
        <v>955</v>
      </c>
      <c r="D17" s="18">
        <v>954.99999987147748</v>
      </c>
      <c r="E17" s="39">
        <f t="shared" si="0"/>
        <v>1.2852251529693604E-7</v>
      </c>
      <c r="G17" s="29"/>
    </row>
    <row r="18" spans="1:7" ht="16.5">
      <c r="A18" s="79"/>
      <c r="B18" s="2" t="s">
        <v>4</v>
      </c>
      <c r="C18" s="18">
        <f>故县!I3</f>
        <v>300</v>
      </c>
      <c r="D18" s="18">
        <v>90</v>
      </c>
      <c r="E18" s="39">
        <f t="shared" si="0"/>
        <v>210</v>
      </c>
      <c r="G18" s="29"/>
    </row>
    <row r="19" spans="1:7" ht="16.5">
      <c r="A19" s="79"/>
      <c r="B19" s="2" t="s">
        <v>5</v>
      </c>
      <c r="C19" s="4">
        <f>故县!I4</f>
        <v>147.20760000000007</v>
      </c>
      <c r="D19" s="4">
        <v>1.7828820000695762</v>
      </c>
      <c r="E19" s="43">
        <f t="shared" si="0"/>
        <v>145.42471799993049</v>
      </c>
      <c r="G19" s="29"/>
    </row>
    <row r="20" spans="1:7" ht="16.5">
      <c r="A20" s="79"/>
      <c r="B20" s="2" t="s">
        <v>6</v>
      </c>
      <c r="C20" s="4">
        <f>故县!I5</f>
        <v>532.69579999999996</v>
      </c>
      <c r="D20" s="4">
        <v>535.58016935511921</v>
      </c>
      <c r="E20" s="43">
        <f t="shared" si="0"/>
        <v>-2.8843693551192473</v>
      </c>
      <c r="G20" s="29"/>
    </row>
    <row r="21" spans="1:7" ht="16.5">
      <c r="A21" s="79"/>
      <c r="B21" s="2" t="s">
        <v>7</v>
      </c>
      <c r="C21" s="4">
        <f>故县!I6</f>
        <v>636.07270000000005</v>
      </c>
      <c r="D21" s="4">
        <v>6.9838820000695758</v>
      </c>
      <c r="E21" s="43">
        <f t="shared" si="0"/>
        <v>629.08881799993048</v>
      </c>
      <c r="G21" s="29"/>
    </row>
    <row r="22" spans="1:7" ht="16.5" customHeight="1">
      <c r="A22" s="79" t="s">
        <v>11</v>
      </c>
      <c r="B22" s="2" t="s">
        <v>3</v>
      </c>
      <c r="C22" s="18">
        <f>河口村!J2</f>
        <v>4502</v>
      </c>
      <c r="D22" s="18">
        <v>4501.9999982366571</v>
      </c>
      <c r="E22" s="39">
        <f t="shared" si="0"/>
        <v>1.7633428797125816E-6</v>
      </c>
      <c r="G22" s="29"/>
    </row>
    <row r="23" spans="1:7" ht="16.5">
      <c r="A23" s="79"/>
      <c r="B23" s="2" t="s">
        <v>4</v>
      </c>
      <c r="C23" s="18">
        <f>河口村!J3</f>
        <v>3847.86</v>
      </c>
      <c r="D23" s="18">
        <v>3607.7933899919526</v>
      </c>
      <c r="E23" s="39">
        <f t="shared" si="0"/>
        <v>240.06661000804752</v>
      </c>
      <c r="G23" s="29"/>
    </row>
    <row r="24" spans="1:7" ht="16.5">
      <c r="A24" s="79"/>
      <c r="B24" s="2" t="s">
        <v>5</v>
      </c>
      <c r="C24" s="10">
        <f>河口村!J4</f>
        <v>225.93101999999999</v>
      </c>
      <c r="D24" s="10">
        <v>2.2741296882628905</v>
      </c>
      <c r="E24" s="43">
        <f t="shared" si="0"/>
        <v>223.6568903117371</v>
      </c>
      <c r="G24" s="29"/>
    </row>
    <row r="25" spans="1:7" ht="16.5">
      <c r="A25" s="79"/>
      <c r="B25" s="2" t="s">
        <v>6</v>
      </c>
      <c r="C25" s="10">
        <f>河口村!J5</f>
        <v>283.24520000000001</v>
      </c>
      <c r="D25" s="10">
        <v>284.98652051504882</v>
      </c>
      <c r="E25" s="43">
        <f t="shared" si="0"/>
        <v>-1.7413205150488125</v>
      </c>
      <c r="G25" s="29"/>
    </row>
    <row r="26" spans="1:7" s="8" customFormat="1" ht="16.5">
      <c r="A26" s="79"/>
      <c r="B26" s="2" t="s">
        <v>7</v>
      </c>
      <c r="C26" s="10">
        <f>河口村!J6</f>
        <v>293.53489999999999</v>
      </c>
      <c r="D26" s="10">
        <v>3.0546296882628905</v>
      </c>
      <c r="E26" s="43">
        <f t="shared" si="0"/>
        <v>290.48027031173712</v>
      </c>
      <c r="G26" s="29"/>
    </row>
    <row r="27" spans="1:7" ht="16.5">
      <c r="A27" s="2" t="s">
        <v>12</v>
      </c>
      <c r="B27" s="2" t="s">
        <v>13</v>
      </c>
      <c r="C27" s="42">
        <f>花园口以上洪水!M1</f>
        <v>5964.9440000000004</v>
      </c>
      <c r="D27" s="42">
        <v>5964.9439355133718</v>
      </c>
      <c r="E27" s="39">
        <f t="shared" si="0"/>
        <v>6.4486628616577946E-5</v>
      </c>
      <c r="G27" s="29"/>
    </row>
    <row r="28" spans="1:7" ht="16.5">
      <c r="A28" s="2" t="s">
        <v>14</v>
      </c>
      <c r="B28" s="2" t="s">
        <v>13</v>
      </c>
      <c r="C28" s="42">
        <f>花园口以上洪水!N1</f>
        <v>6762.1980000000003</v>
      </c>
      <c r="D28" s="42">
        <v>6466.2677182526204</v>
      </c>
      <c r="E28" s="39">
        <f t="shared" si="0"/>
        <v>295.93028174737992</v>
      </c>
      <c r="G28" s="29"/>
    </row>
    <row r="29" spans="1:7" ht="16.5">
      <c r="A29" s="2" t="s">
        <v>15</v>
      </c>
      <c r="B29" s="2" t="s">
        <v>13</v>
      </c>
      <c r="C29" s="20">
        <v>9000</v>
      </c>
      <c r="D29" s="20">
        <v>9000</v>
      </c>
      <c r="E29" s="39">
        <f t="shared" si="0"/>
        <v>0</v>
      </c>
      <c r="G29" s="29"/>
    </row>
    <row r="30" spans="1:7" ht="16.5">
      <c r="A30" s="2" t="s">
        <v>16</v>
      </c>
      <c r="B30" s="2" t="s">
        <v>13</v>
      </c>
      <c r="C30" s="28">
        <v>4000</v>
      </c>
      <c r="D30" s="28">
        <v>4000</v>
      </c>
      <c r="E30" s="39">
        <f t="shared" si="0"/>
        <v>0</v>
      </c>
      <c r="G30" s="29"/>
    </row>
    <row r="31" spans="1:7" ht="16.5">
      <c r="A31" s="77" t="s">
        <v>17</v>
      </c>
      <c r="B31" s="2" t="s">
        <v>13</v>
      </c>
      <c r="C31" s="42">
        <f>花园口以上洪水!R1</f>
        <v>13946.59</v>
      </c>
      <c r="D31" s="42">
        <v>13985.131036131843</v>
      </c>
      <c r="E31" s="39">
        <f t="shared" si="0"/>
        <v>-38.541036131842702</v>
      </c>
      <c r="G31" s="29"/>
    </row>
    <row r="32" spans="1:7" ht="16.5">
      <c r="A32" s="80"/>
      <c r="B32" s="2" t="s">
        <v>18</v>
      </c>
      <c r="C32" s="4">
        <f>花园口以上洪水!M3</f>
        <v>7.0789161600000003</v>
      </c>
      <c r="D32" s="4">
        <v>7.2899035345548393</v>
      </c>
      <c r="E32" s="43">
        <f t="shared" si="0"/>
        <v>-0.21098737455483896</v>
      </c>
      <c r="G32" s="29"/>
    </row>
    <row r="33" spans="1:7" ht="16.5">
      <c r="A33" s="77" t="s">
        <v>19</v>
      </c>
      <c r="B33" s="5" t="s">
        <v>13</v>
      </c>
      <c r="C33" s="5" t="e">
        <f>下游!#REF!</f>
        <v>#REF!</v>
      </c>
      <c r="D33" s="5">
        <v>10849.641361951893</v>
      </c>
      <c r="E33" s="39" t="e">
        <f t="shared" si="0"/>
        <v>#REF!</v>
      </c>
      <c r="G33" s="29"/>
    </row>
    <row r="34" spans="1:7" ht="16.5">
      <c r="A34" s="78"/>
      <c r="B34" s="2" t="s">
        <v>18</v>
      </c>
      <c r="C34" s="4" t="e">
        <f>下游!#REF!</f>
        <v>#REF!</v>
      </c>
      <c r="D34" s="4">
        <v>0.44264657889457276</v>
      </c>
      <c r="E34" s="43" t="e">
        <f t="shared" si="0"/>
        <v>#REF!</v>
      </c>
      <c r="G34" s="29"/>
    </row>
    <row r="35" spans="1:7" ht="16.5">
      <c r="A35" s="23" t="s">
        <v>35</v>
      </c>
      <c r="B35" s="23" t="s">
        <v>13</v>
      </c>
      <c r="C35" s="27">
        <v>10000</v>
      </c>
      <c r="D35" s="27">
        <v>10000</v>
      </c>
      <c r="E35" s="39">
        <f t="shared" si="0"/>
        <v>0</v>
      </c>
      <c r="G35" s="29"/>
    </row>
  </sheetData>
  <mergeCells count="7">
    <mergeCell ref="A33:A34"/>
    <mergeCell ref="A2:A6"/>
    <mergeCell ref="A7:A11"/>
    <mergeCell ref="A12:A16"/>
    <mergeCell ref="A17:A21"/>
    <mergeCell ref="A22:A26"/>
    <mergeCell ref="A31:A3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74"/>
  <sheetViews>
    <sheetView workbookViewId="0">
      <selection activeCell="A2" sqref="A2:F643"/>
    </sheetView>
  </sheetViews>
  <sheetFormatPr defaultRowHeight="13.5"/>
  <cols>
    <col min="1" max="1" width="18.875" style="19" customWidth="1"/>
    <col min="18" max="22" width="9" style="15"/>
  </cols>
  <sheetData>
    <row r="1" spans="1:9">
      <c r="A1" s="25" t="s">
        <v>30</v>
      </c>
      <c r="B1" s="33" t="s">
        <v>20</v>
      </c>
      <c r="C1" s="33" t="s">
        <v>21</v>
      </c>
      <c r="D1" s="33" t="s">
        <v>22</v>
      </c>
      <c r="E1" s="33" t="s">
        <v>23</v>
      </c>
      <c r="F1" s="33" t="s">
        <v>24</v>
      </c>
    </row>
    <row r="2" spans="1:9" ht="33">
      <c r="A2" s="48">
        <v>46233.708333333336</v>
      </c>
      <c r="B2" s="46" t="s">
        <v>25</v>
      </c>
      <c r="C2" s="47">
        <v>1420</v>
      </c>
      <c r="D2" s="47">
        <v>1420</v>
      </c>
      <c r="E2" s="47">
        <v>295</v>
      </c>
      <c r="F2" s="47">
        <v>3</v>
      </c>
      <c r="H2" s="2" t="s">
        <v>3</v>
      </c>
      <c r="I2">
        <f>MAX(C:C)</f>
        <v>1420</v>
      </c>
    </row>
    <row r="3" spans="1:9" ht="33">
      <c r="A3" s="48">
        <v>46233.75</v>
      </c>
      <c r="B3" s="46" t="s">
        <v>25</v>
      </c>
      <c r="C3" s="47">
        <v>1420</v>
      </c>
      <c r="D3" s="47">
        <v>1420</v>
      </c>
      <c r="E3" s="47">
        <v>295</v>
      </c>
      <c r="F3" s="47">
        <v>3</v>
      </c>
      <c r="H3" s="3" t="s">
        <v>4</v>
      </c>
      <c r="I3">
        <f>MAX(D:D)</f>
        <v>1420</v>
      </c>
    </row>
    <row r="4" spans="1:9" ht="33">
      <c r="A4" s="48">
        <v>46233.791666666664</v>
      </c>
      <c r="B4" s="46" t="s">
        <v>25</v>
      </c>
      <c r="C4" s="47">
        <v>1420</v>
      </c>
      <c r="D4" s="47">
        <v>1420</v>
      </c>
      <c r="E4" s="47">
        <v>295</v>
      </c>
      <c r="F4" s="47">
        <v>3</v>
      </c>
      <c r="H4" s="2" t="s">
        <v>5</v>
      </c>
      <c r="I4">
        <f>I6-F2</f>
        <v>0</v>
      </c>
    </row>
    <row r="5" spans="1:9" ht="33">
      <c r="A5" s="48">
        <v>46233.833333333336</v>
      </c>
      <c r="B5" s="46" t="s">
        <v>25</v>
      </c>
      <c r="C5" s="47">
        <v>1420</v>
      </c>
      <c r="D5" s="47">
        <v>1420</v>
      </c>
      <c r="E5" s="47">
        <v>295</v>
      </c>
      <c r="F5" s="47">
        <v>3</v>
      </c>
      <c r="H5" s="2" t="s">
        <v>6</v>
      </c>
      <c r="I5">
        <f>MAX(E:E)</f>
        <v>295</v>
      </c>
    </row>
    <row r="6" spans="1:9" ht="33">
      <c r="A6" s="48">
        <v>46233.875</v>
      </c>
      <c r="B6" s="46" t="s">
        <v>25</v>
      </c>
      <c r="C6" s="47">
        <v>1420</v>
      </c>
      <c r="D6" s="47">
        <v>1420</v>
      </c>
      <c r="E6" s="47">
        <v>295</v>
      </c>
      <c r="F6" s="47">
        <v>3</v>
      </c>
      <c r="H6" s="2" t="s">
        <v>7</v>
      </c>
      <c r="I6">
        <f>MAX(F:F)</f>
        <v>3</v>
      </c>
    </row>
    <row r="7" spans="1:9">
      <c r="A7" s="48">
        <v>46233.916666666664</v>
      </c>
      <c r="B7" s="46" t="s">
        <v>25</v>
      </c>
      <c r="C7" s="47">
        <v>1420</v>
      </c>
      <c r="D7" s="47">
        <v>1420</v>
      </c>
      <c r="E7" s="47">
        <v>295</v>
      </c>
      <c r="F7" s="47">
        <v>3</v>
      </c>
    </row>
    <row r="8" spans="1:9">
      <c r="A8" s="48">
        <v>46233.958333333336</v>
      </c>
      <c r="B8" s="46" t="s">
        <v>25</v>
      </c>
      <c r="C8" s="47">
        <v>1420</v>
      </c>
      <c r="D8" s="47">
        <v>1420</v>
      </c>
      <c r="E8" s="47">
        <v>295</v>
      </c>
      <c r="F8" s="47">
        <v>3</v>
      </c>
    </row>
    <row r="9" spans="1:9">
      <c r="A9" s="48">
        <v>46234</v>
      </c>
      <c r="B9" s="46" t="s">
        <v>25</v>
      </c>
      <c r="C9" s="47">
        <v>1420</v>
      </c>
      <c r="D9" s="47">
        <v>1420</v>
      </c>
      <c r="E9" s="47">
        <v>295</v>
      </c>
      <c r="F9" s="47">
        <v>3</v>
      </c>
    </row>
    <row r="10" spans="1:9">
      <c r="A10" s="48">
        <v>46234.041666666664</v>
      </c>
      <c r="B10" s="46" t="s">
        <v>25</v>
      </c>
      <c r="C10" s="47">
        <v>1420</v>
      </c>
      <c r="D10" s="47">
        <v>1420</v>
      </c>
      <c r="E10" s="47">
        <v>295</v>
      </c>
      <c r="F10" s="47">
        <v>3</v>
      </c>
    </row>
    <row r="11" spans="1:9">
      <c r="A11" s="48">
        <v>46234.083333333336</v>
      </c>
      <c r="B11" s="46" t="s">
        <v>25</v>
      </c>
      <c r="C11" s="47">
        <v>1420</v>
      </c>
      <c r="D11" s="47">
        <v>1420</v>
      </c>
      <c r="E11" s="47">
        <v>295</v>
      </c>
      <c r="F11" s="47">
        <v>3</v>
      </c>
    </row>
    <row r="12" spans="1:9">
      <c r="A12" s="48">
        <v>46234.125</v>
      </c>
      <c r="B12" s="46" t="s">
        <v>25</v>
      </c>
      <c r="C12" s="47">
        <v>1420</v>
      </c>
      <c r="D12" s="47">
        <v>1420</v>
      </c>
      <c r="E12" s="47">
        <v>295</v>
      </c>
      <c r="F12" s="47">
        <v>3</v>
      </c>
    </row>
    <row r="13" spans="1:9">
      <c r="A13" s="48">
        <v>46234.166666666664</v>
      </c>
      <c r="B13" s="46" t="s">
        <v>25</v>
      </c>
      <c r="C13" s="47">
        <v>1420</v>
      </c>
      <c r="D13" s="47">
        <v>1420</v>
      </c>
      <c r="E13" s="47">
        <v>295</v>
      </c>
      <c r="F13" s="47">
        <v>3</v>
      </c>
    </row>
    <row r="14" spans="1:9">
      <c r="A14" s="48">
        <v>46234.208333333336</v>
      </c>
      <c r="B14" s="46" t="s">
        <v>25</v>
      </c>
      <c r="C14" s="47">
        <v>1420</v>
      </c>
      <c r="D14" s="47">
        <v>1420</v>
      </c>
      <c r="E14" s="47">
        <v>295</v>
      </c>
      <c r="F14" s="47">
        <v>3</v>
      </c>
    </row>
    <row r="15" spans="1:9">
      <c r="A15" s="48">
        <v>46234.25</v>
      </c>
      <c r="B15" s="46" t="s">
        <v>25</v>
      </c>
      <c r="C15" s="47">
        <v>1420</v>
      </c>
      <c r="D15" s="47">
        <v>1420</v>
      </c>
      <c r="E15" s="47">
        <v>295</v>
      </c>
      <c r="F15" s="47">
        <v>3</v>
      </c>
    </row>
    <row r="16" spans="1:9">
      <c r="A16" s="48">
        <v>46234.291666666664</v>
      </c>
      <c r="B16" s="46" t="s">
        <v>25</v>
      </c>
      <c r="C16" s="47">
        <v>1420</v>
      </c>
      <c r="D16" s="47">
        <v>1420</v>
      </c>
      <c r="E16" s="47">
        <v>295</v>
      </c>
      <c r="F16" s="47">
        <v>3</v>
      </c>
    </row>
    <row r="17" spans="1:6">
      <c r="A17" s="48">
        <v>46234.333333333336</v>
      </c>
      <c r="B17" s="46" t="s">
        <v>25</v>
      </c>
      <c r="C17" s="47">
        <v>1420</v>
      </c>
      <c r="D17" s="47">
        <v>1420</v>
      </c>
      <c r="E17" s="47">
        <v>295</v>
      </c>
      <c r="F17" s="47">
        <v>3</v>
      </c>
    </row>
    <row r="18" spans="1:6">
      <c r="A18" s="48">
        <v>46234.375</v>
      </c>
      <c r="B18" s="46" t="s">
        <v>25</v>
      </c>
      <c r="C18" s="47">
        <v>1420</v>
      </c>
      <c r="D18" s="47">
        <v>1420</v>
      </c>
      <c r="E18" s="47">
        <v>295</v>
      </c>
      <c r="F18" s="47">
        <v>3</v>
      </c>
    </row>
    <row r="19" spans="1:6">
      <c r="A19" s="48">
        <v>46234.416666666664</v>
      </c>
      <c r="B19" s="46" t="s">
        <v>25</v>
      </c>
      <c r="C19" s="47">
        <v>1420</v>
      </c>
      <c r="D19" s="47">
        <v>1420</v>
      </c>
      <c r="E19" s="47">
        <v>295</v>
      </c>
      <c r="F19" s="47">
        <v>3</v>
      </c>
    </row>
    <row r="20" spans="1:6">
      <c r="A20" s="48">
        <v>46234.458333333336</v>
      </c>
      <c r="B20" s="46" t="s">
        <v>25</v>
      </c>
      <c r="C20" s="47">
        <v>1420</v>
      </c>
      <c r="D20" s="47">
        <v>1420</v>
      </c>
      <c r="E20" s="47">
        <v>295</v>
      </c>
      <c r="F20" s="47">
        <v>3</v>
      </c>
    </row>
    <row r="21" spans="1:6">
      <c r="A21" s="48">
        <v>46234.5</v>
      </c>
      <c r="B21" s="46" t="s">
        <v>25</v>
      </c>
      <c r="C21" s="47">
        <v>1420</v>
      </c>
      <c r="D21" s="47">
        <v>1420</v>
      </c>
      <c r="E21" s="47">
        <v>295</v>
      </c>
      <c r="F21" s="47">
        <v>3</v>
      </c>
    </row>
    <row r="22" spans="1:6">
      <c r="A22" s="48">
        <v>46234.541666666664</v>
      </c>
      <c r="B22" s="46" t="s">
        <v>25</v>
      </c>
      <c r="C22" s="47">
        <v>1420</v>
      </c>
      <c r="D22" s="47">
        <v>1420</v>
      </c>
      <c r="E22" s="47">
        <v>295</v>
      </c>
      <c r="F22" s="47">
        <v>3</v>
      </c>
    </row>
    <row r="23" spans="1:6">
      <c r="A23" s="48">
        <v>46234.583333333336</v>
      </c>
      <c r="B23" s="46" t="s">
        <v>25</v>
      </c>
      <c r="C23" s="47">
        <v>1420</v>
      </c>
      <c r="D23" s="47">
        <v>1420</v>
      </c>
      <c r="E23" s="47">
        <v>295</v>
      </c>
      <c r="F23" s="47">
        <v>3</v>
      </c>
    </row>
    <row r="24" spans="1:6">
      <c r="A24" s="48">
        <v>46234.625</v>
      </c>
      <c r="B24" s="46" t="s">
        <v>25</v>
      </c>
      <c r="C24" s="47">
        <v>1420</v>
      </c>
      <c r="D24" s="47">
        <v>1420</v>
      </c>
      <c r="E24" s="47">
        <v>295</v>
      </c>
      <c r="F24" s="47">
        <v>3</v>
      </c>
    </row>
    <row r="25" spans="1:6">
      <c r="A25" s="48">
        <v>46234.666666666664</v>
      </c>
      <c r="B25" s="46" t="s">
        <v>25</v>
      </c>
      <c r="C25" s="47">
        <v>1420</v>
      </c>
      <c r="D25" s="47">
        <v>1420</v>
      </c>
      <c r="E25" s="47">
        <v>295</v>
      </c>
      <c r="F25" s="47">
        <v>3</v>
      </c>
    </row>
    <row r="26" spans="1:6">
      <c r="A26" s="48">
        <v>46234.708333333336</v>
      </c>
      <c r="B26" s="46" t="s">
        <v>25</v>
      </c>
      <c r="C26" s="47">
        <v>1420</v>
      </c>
      <c r="D26" s="47">
        <v>1420</v>
      </c>
      <c r="E26" s="47">
        <v>295</v>
      </c>
      <c r="F26" s="47">
        <v>3</v>
      </c>
    </row>
    <row r="27" spans="1:6">
      <c r="A27" s="48">
        <v>46234.75</v>
      </c>
      <c r="B27" s="46" t="s">
        <v>25</v>
      </c>
      <c r="C27" s="47">
        <v>1420</v>
      </c>
      <c r="D27" s="47">
        <v>1420</v>
      </c>
      <c r="E27" s="47">
        <v>295</v>
      </c>
      <c r="F27" s="47">
        <v>3</v>
      </c>
    </row>
    <row r="28" spans="1:6">
      <c r="A28" s="48">
        <v>46234.791666666664</v>
      </c>
      <c r="B28" s="46" t="s">
        <v>25</v>
      </c>
      <c r="C28" s="47">
        <v>1420</v>
      </c>
      <c r="D28" s="47">
        <v>1420</v>
      </c>
      <c r="E28" s="47">
        <v>295</v>
      </c>
      <c r="F28" s="47">
        <v>3</v>
      </c>
    </row>
    <row r="29" spans="1:6">
      <c r="A29" s="48">
        <v>46234.833333333336</v>
      </c>
      <c r="B29" s="46" t="s">
        <v>25</v>
      </c>
      <c r="C29" s="47">
        <v>1420</v>
      </c>
      <c r="D29" s="47">
        <v>1420</v>
      </c>
      <c r="E29" s="47">
        <v>295</v>
      </c>
      <c r="F29" s="47">
        <v>3</v>
      </c>
    </row>
    <row r="30" spans="1:6">
      <c r="A30" s="48">
        <v>46234.875</v>
      </c>
      <c r="B30" s="46" t="s">
        <v>25</v>
      </c>
      <c r="C30" s="47">
        <v>1420</v>
      </c>
      <c r="D30" s="47">
        <v>1420</v>
      </c>
      <c r="E30" s="47">
        <v>295</v>
      </c>
      <c r="F30" s="47">
        <v>3</v>
      </c>
    </row>
    <row r="31" spans="1:6">
      <c r="A31" s="48">
        <v>46234.916666666664</v>
      </c>
      <c r="B31" s="46" t="s">
        <v>25</v>
      </c>
      <c r="C31" s="47">
        <v>1420</v>
      </c>
      <c r="D31" s="47">
        <v>1420</v>
      </c>
      <c r="E31" s="47">
        <v>295</v>
      </c>
      <c r="F31" s="47">
        <v>3</v>
      </c>
    </row>
    <row r="32" spans="1:6">
      <c r="A32" s="48">
        <v>46234.958333333336</v>
      </c>
      <c r="B32" s="46" t="s">
        <v>25</v>
      </c>
      <c r="C32" s="47">
        <v>1420</v>
      </c>
      <c r="D32" s="47">
        <v>1420</v>
      </c>
      <c r="E32" s="47">
        <v>295</v>
      </c>
      <c r="F32" s="47">
        <v>3</v>
      </c>
    </row>
    <row r="33" spans="1:6">
      <c r="A33" s="48">
        <v>46235</v>
      </c>
      <c r="B33" s="46" t="s">
        <v>25</v>
      </c>
      <c r="C33" s="47">
        <v>1420</v>
      </c>
      <c r="D33" s="47">
        <v>1420</v>
      </c>
      <c r="E33" s="47">
        <v>295</v>
      </c>
      <c r="F33" s="47">
        <v>3</v>
      </c>
    </row>
    <row r="34" spans="1:6">
      <c r="A34" s="48">
        <v>46235.041666666664</v>
      </c>
      <c r="B34" s="46" t="s">
        <v>25</v>
      </c>
      <c r="C34" s="47">
        <v>1420</v>
      </c>
      <c r="D34" s="47">
        <v>1420</v>
      </c>
      <c r="E34" s="47">
        <v>295</v>
      </c>
      <c r="F34" s="47">
        <v>3</v>
      </c>
    </row>
    <row r="35" spans="1:6">
      <c r="A35" s="48">
        <v>46235.083333333336</v>
      </c>
      <c r="B35" s="46" t="s">
        <v>25</v>
      </c>
      <c r="C35" s="47">
        <v>1420</v>
      </c>
      <c r="D35" s="47">
        <v>1420</v>
      </c>
      <c r="E35" s="47">
        <v>295</v>
      </c>
      <c r="F35" s="47">
        <v>3</v>
      </c>
    </row>
    <row r="36" spans="1:6">
      <c r="A36" s="48">
        <v>46235.125</v>
      </c>
      <c r="B36" s="46" t="s">
        <v>25</v>
      </c>
      <c r="C36" s="47">
        <v>1420</v>
      </c>
      <c r="D36" s="47">
        <v>1420</v>
      </c>
      <c r="E36" s="47">
        <v>295</v>
      </c>
      <c r="F36" s="47">
        <v>3</v>
      </c>
    </row>
    <row r="37" spans="1:6">
      <c r="A37" s="48">
        <v>46235.166666666664</v>
      </c>
      <c r="B37" s="46" t="s">
        <v>25</v>
      </c>
      <c r="C37" s="47">
        <v>1420</v>
      </c>
      <c r="D37" s="47">
        <v>1420</v>
      </c>
      <c r="E37" s="47">
        <v>295</v>
      </c>
      <c r="F37" s="47">
        <v>3</v>
      </c>
    </row>
    <row r="38" spans="1:6">
      <c r="A38" s="48">
        <v>46235.208333333336</v>
      </c>
      <c r="B38" s="46" t="s">
        <v>25</v>
      </c>
      <c r="C38" s="47">
        <v>1420</v>
      </c>
      <c r="D38" s="47">
        <v>1420</v>
      </c>
      <c r="E38" s="47">
        <v>295</v>
      </c>
      <c r="F38" s="47">
        <v>3</v>
      </c>
    </row>
    <row r="39" spans="1:6">
      <c r="A39" s="48">
        <v>46235.25</v>
      </c>
      <c r="B39" s="46" t="s">
        <v>25</v>
      </c>
      <c r="C39" s="47">
        <v>1420</v>
      </c>
      <c r="D39" s="47">
        <v>1420</v>
      </c>
      <c r="E39" s="47">
        <v>295</v>
      </c>
      <c r="F39" s="47">
        <v>3</v>
      </c>
    </row>
    <row r="40" spans="1:6">
      <c r="A40" s="48">
        <v>46235.291666666664</v>
      </c>
      <c r="B40" s="46" t="s">
        <v>25</v>
      </c>
      <c r="C40" s="47">
        <v>1420</v>
      </c>
      <c r="D40" s="47">
        <v>1420</v>
      </c>
      <c r="E40" s="47">
        <v>295</v>
      </c>
      <c r="F40" s="47">
        <v>3</v>
      </c>
    </row>
    <row r="41" spans="1:6">
      <c r="A41" s="48">
        <v>46235.333333333336</v>
      </c>
      <c r="B41" s="46" t="s">
        <v>25</v>
      </c>
      <c r="C41" s="47">
        <v>1420</v>
      </c>
      <c r="D41" s="47">
        <v>1420</v>
      </c>
      <c r="E41" s="47">
        <v>295</v>
      </c>
      <c r="F41" s="47">
        <v>3</v>
      </c>
    </row>
    <row r="42" spans="1:6">
      <c r="A42" s="48">
        <v>46235.375</v>
      </c>
      <c r="B42" s="46" t="s">
        <v>25</v>
      </c>
      <c r="C42" s="47">
        <v>1420</v>
      </c>
      <c r="D42" s="47">
        <v>1420</v>
      </c>
      <c r="E42" s="47">
        <v>295</v>
      </c>
      <c r="F42" s="47">
        <v>3</v>
      </c>
    </row>
    <row r="43" spans="1:6">
      <c r="A43" s="48">
        <v>46235.416666666664</v>
      </c>
      <c r="B43" s="46" t="s">
        <v>25</v>
      </c>
      <c r="C43" s="47">
        <v>1420</v>
      </c>
      <c r="D43" s="47">
        <v>1420</v>
      </c>
      <c r="E43" s="47">
        <v>295</v>
      </c>
      <c r="F43" s="47">
        <v>3</v>
      </c>
    </row>
    <row r="44" spans="1:6">
      <c r="A44" s="48">
        <v>46235.458333333336</v>
      </c>
      <c r="B44" s="46" t="s">
        <v>25</v>
      </c>
      <c r="C44" s="47">
        <v>1420</v>
      </c>
      <c r="D44" s="47">
        <v>1420</v>
      </c>
      <c r="E44" s="47">
        <v>295</v>
      </c>
      <c r="F44" s="47">
        <v>3</v>
      </c>
    </row>
    <row r="45" spans="1:6">
      <c r="A45" s="48">
        <v>46235.5</v>
      </c>
      <c r="B45" s="46" t="s">
        <v>25</v>
      </c>
      <c r="C45" s="47">
        <v>1420</v>
      </c>
      <c r="D45" s="47">
        <v>1420</v>
      </c>
      <c r="E45" s="47">
        <v>295</v>
      </c>
      <c r="F45" s="47">
        <v>3</v>
      </c>
    </row>
    <row r="46" spans="1:6">
      <c r="A46" s="48">
        <v>46235.541666666664</v>
      </c>
      <c r="B46" s="46" t="s">
        <v>25</v>
      </c>
      <c r="C46" s="47">
        <v>1420</v>
      </c>
      <c r="D46" s="47">
        <v>1420</v>
      </c>
      <c r="E46" s="47">
        <v>295</v>
      </c>
      <c r="F46" s="47">
        <v>3</v>
      </c>
    </row>
    <row r="47" spans="1:6">
      <c r="A47" s="48">
        <v>46235.583333333336</v>
      </c>
      <c r="B47" s="46" t="s">
        <v>25</v>
      </c>
      <c r="C47" s="47">
        <v>1420</v>
      </c>
      <c r="D47" s="47">
        <v>1420</v>
      </c>
      <c r="E47" s="47">
        <v>295</v>
      </c>
      <c r="F47" s="47">
        <v>3</v>
      </c>
    </row>
    <row r="48" spans="1:6">
      <c r="A48" s="48">
        <v>46235.625</v>
      </c>
      <c r="B48" s="46" t="s">
        <v>25</v>
      </c>
      <c r="C48" s="47">
        <v>1420</v>
      </c>
      <c r="D48" s="47">
        <v>1420</v>
      </c>
      <c r="E48" s="47">
        <v>295</v>
      </c>
      <c r="F48" s="47">
        <v>3</v>
      </c>
    </row>
    <row r="49" spans="1:6">
      <c r="A49" s="48">
        <v>46235.666666666664</v>
      </c>
      <c r="B49" s="46" t="s">
        <v>25</v>
      </c>
      <c r="C49" s="47">
        <v>1420</v>
      </c>
      <c r="D49" s="47">
        <v>1420</v>
      </c>
      <c r="E49" s="47">
        <v>295</v>
      </c>
      <c r="F49" s="47">
        <v>3</v>
      </c>
    </row>
    <row r="50" spans="1:6">
      <c r="A50" s="48">
        <v>46235.708333333336</v>
      </c>
      <c r="B50" s="46" t="s">
        <v>25</v>
      </c>
      <c r="C50" s="47">
        <v>1420</v>
      </c>
      <c r="D50" s="47">
        <v>1420</v>
      </c>
      <c r="E50" s="47">
        <v>295</v>
      </c>
      <c r="F50" s="47">
        <v>3</v>
      </c>
    </row>
    <row r="51" spans="1:6">
      <c r="A51" s="48">
        <v>46235.75</v>
      </c>
      <c r="B51" s="46" t="s">
        <v>25</v>
      </c>
      <c r="C51" s="47">
        <v>1420</v>
      </c>
      <c r="D51" s="47">
        <v>1420</v>
      </c>
      <c r="E51" s="47">
        <v>295</v>
      </c>
      <c r="F51" s="47">
        <v>3</v>
      </c>
    </row>
    <row r="52" spans="1:6">
      <c r="A52" s="48">
        <v>46235.791666666664</v>
      </c>
      <c r="B52" s="46" t="s">
        <v>25</v>
      </c>
      <c r="C52" s="47">
        <v>1420</v>
      </c>
      <c r="D52" s="47">
        <v>1420</v>
      </c>
      <c r="E52" s="47">
        <v>295</v>
      </c>
      <c r="F52" s="47">
        <v>3</v>
      </c>
    </row>
    <row r="53" spans="1:6">
      <c r="A53" s="48">
        <v>46235.833333333336</v>
      </c>
      <c r="B53" s="46" t="s">
        <v>25</v>
      </c>
      <c r="C53" s="47">
        <v>1420</v>
      </c>
      <c r="D53" s="47">
        <v>1420</v>
      </c>
      <c r="E53" s="47">
        <v>295</v>
      </c>
      <c r="F53" s="47">
        <v>3</v>
      </c>
    </row>
    <row r="54" spans="1:6">
      <c r="A54" s="48">
        <v>46235.875</v>
      </c>
      <c r="B54" s="46" t="s">
        <v>25</v>
      </c>
      <c r="C54" s="47">
        <v>1420</v>
      </c>
      <c r="D54" s="47">
        <v>1420</v>
      </c>
      <c r="E54" s="47">
        <v>295</v>
      </c>
      <c r="F54" s="47">
        <v>3</v>
      </c>
    </row>
    <row r="55" spans="1:6">
      <c r="A55" s="48">
        <v>46235.916666666664</v>
      </c>
      <c r="B55" s="46" t="s">
        <v>25</v>
      </c>
      <c r="C55" s="47">
        <v>1420</v>
      </c>
      <c r="D55" s="47">
        <v>1420</v>
      </c>
      <c r="E55" s="47">
        <v>295</v>
      </c>
      <c r="F55" s="47">
        <v>3</v>
      </c>
    </row>
    <row r="56" spans="1:6">
      <c r="A56" s="48">
        <v>46235.958333333336</v>
      </c>
      <c r="B56" s="46" t="s">
        <v>25</v>
      </c>
      <c r="C56" s="47">
        <v>1420</v>
      </c>
      <c r="D56" s="47">
        <v>1420</v>
      </c>
      <c r="E56" s="47">
        <v>295</v>
      </c>
      <c r="F56" s="47">
        <v>3</v>
      </c>
    </row>
    <row r="57" spans="1:6">
      <c r="A57" s="48">
        <v>46236</v>
      </c>
      <c r="B57" s="46" t="s">
        <v>25</v>
      </c>
      <c r="C57" s="47">
        <v>1420</v>
      </c>
      <c r="D57" s="47">
        <v>1420</v>
      </c>
      <c r="E57" s="47">
        <v>295</v>
      </c>
      <c r="F57" s="47">
        <v>3</v>
      </c>
    </row>
    <row r="58" spans="1:6">
      <c r="A58" s="48">
        <v>46236.041666666664</v>
      </c>
      <c r="B58" s="46" t="s">
        <v>25</v>
      </c>
      <c r="C58" s="47">
        <v>1420</v>
      </c>
      <c r="D58" s="47">
        <v>1420</v>
      </c>
      <c r="E58" s="47">
        <v>295</v>
      </c>
      <c r="F58" s="47">
        <v>3</v>
      </c>
    </row>
    <row r="59" spans="1:6">
      <c r="A59" s="48">
        <v>46236.083333333336</v>
      </c>
      <c r="B59" s="46" t="s">
        <v>25</v>
      </c>
      <c r="C59" s="47">
        <v>1420</v>
      </c>
      <c r="D59" s="47">
        <v>1420</v>
      </c>
      <c r="E59" s="47">
        <v>295</v>
      </c>
      <c r="F59" s="47">
        <v>3</v>
      </c>
    </row>
    <row r="60" spans="1:6">
      <c r="A60" s="48">
        <v>46236.125</v>
      </c>
      <c r="B60" s="46" t="s">
        <v>25</v>
      </c>
      <c r="C60" s="47">
        <v>1420</v>
      </c>
      <c r="D60" s="47">
        <v>1420</v>
      </c>
      <c r="E60" s="47">
        <v>295</v>
      </c>
      <c r="F60" s="47">
        <v>3</v>
      </c>
    </row>
    <row r="61" spans="1:6">
      <c r="A61" s="48">
        <v>46236.166666666664</v>
      </c>
      <c r="B61" s="46" t="s">
        <v>25</v>
      </c>
      <c r="C61" s="47">
        <v>1420</v>
      </c>
      <c r="D61" s="47">
        <v>1420</v>
      </c>
      <c r="E61" s="47">
        <v>295</v>
      </c>
      <c r="F61" s="47">
        <v>3</v>
      </c>
    </row>
    <row r="62" spans="1:6">
      <c r="A62" s="48">
        <v>46236.208333333336</v>
      </c>
      <c r="B62" s="46" t="s">
        <v>25</v>
      </c>
      <c r="C62" s="47">
        <v>1420</v>
      </c>
      <c r="D62" s="47">
        <v>1420</v>
      </c>
      <c r="E62" s="47">
        <v>295</v>
      </c>
      <c r="F62" s="47">
        <v>3</v>
      </c>
    </row>
    <row r="63" spans="1:6">
      <c r="A63" s="48">
        <v>46236.25</v>
      </c>
      <c r="B63" s="46" t="s">
        <v>25</v>
      </c>
      <c r="C63" s="47">
        <v>1420</v>
      </c>
      <c r="D63" s="47">
        <v>1420</v>
      </c>
      <c r="E63" s="47">
        <v>295</v>
      </c>
      <c r="F63" s="47">
        <v>3</v>
      </c>
    </row>
    <row r="64" spans="1:6">
      <c r="A64" s="48">
        <v>46236.291666666664</v>
      </c>
      <c r="B64" s="46" t="s">
        <v>25</v>
      </c>
      <c r="C64" s="47">
        <v>1420</v>
      </c>
      <c r="D64" s="47">
        <v>1420</v>
      </c>
      <c r="E64" s="47">
        <v>295</v>
      </c>
      <c r="F64" s="47">
        <v>3</v>
      </c>
    </row>
    <row r="65" spans="1:6">
      <c r="A65" s="48">
        <v>46236.333333333336</v>
      </c>
      <c r="B65" s="46" t="s">
        <v>25</v>
      </c>
      <c r="C65" s="47">
        <v>1420</v>
      </c>
      <c r="D65" s="47">
        <v>1420</v>
      </c>
      <c r="E65" s="47">
        <v>295</v>
      </c>
      <c r="F65" s="47">
        <v>3</v>
      </c>
    </row>
    <row r="66" spans="1:6">
      <c r="A66" s="48">
        <v>46236.375</v>
      </c>
      <c r="B66" s="46" t="s">
        <v>25</v>
      </c>
      <c r="C66" s="47">
        <v>1420</v>
      </c>
      <c r="D66" s="47">
        <v>1420</v>
      </c>
      <c r="E66" s="47">
        <v>295</v>
      </c>
      <c r="F66" s="47">
        <v>3</v>
      </c>
    </row>
    <row r="67" spans="1:6">
      <c r="A67" s="48">
        <v>46236.416666666664</v>
      </c>
      <c r="B67" s="46" t="s">
        <v>25</v>
      </c>
      <c r="C67" s="47">
        <v>1420</v>
      </c>
      <c r="D67" s="47">
        <v>1420</v>
      </c>
      <c r="E67" s="47">
        <v>295</v>
      </c>
      <c r="F67" s="47">
        <v>3</v>
      </c>
    </row>
    <row r="68" spans="1:6">
      <c r="A68" s="48">
        <v>46236.458333333336</v>
      </c>
      <c r="B68" s="46" t="s">
        <v>25</v>
      </c>
      <c r="C68" s="47">
        <v>1420</v>
      </c>
      <c r="D68" s="47">
        <v>1420</v>
      </c>
      <c r="E68" s="47">
        <v>295</v>
      </c>
      <c r="F68" s="47">
        <v>3</v>
      </c>
    </row>
    <row r="69" spans="1:6">
      <c r="A69" s="48">
        <v>46236.5</v>
      </c>
      <c r="B69" s="46" t="s">
        <v>25</v>
      </c>
      <c r="C69" s="47">
        <v>1420</v>
      </c>
      <c r="D69" s="47">
        <v>1420</v>
      </c>
      <c r="E69" s="47">
        <v>295</v>
      </c>
      <c r="F69" s="47">
        <v>3</v>
      </c>
    </row>
    <row r="70" spans="1:6">
      <c r="A70" s="48">
        <v>46236.541666666664</v>
      </c>
      <c r="B70" s="46" t="s">
        <v>25</v>
      </c>
      <c r="C70" s="47">
        <v>1420</v>
      </c>
      <c r="D70" s="47">
        <v>1420</v>
      </c>
      <c r="E70" s="47">
        <v>295</v>
      </c>
      <c r="F70" s="47">
        <v>3</v>
      </c>
    </row>
    <row r="71" spans="1:6">
      <c r="A71" s="48">
        <v>46236.583333333336</v>
      </c>
      <c r="B71" s="46" t="s">
        <v>25</v>
      </c>
      <c r="C71" s="47">
        <v>1420</v>
      </c>
      <c r="D71" s="47">
        <v>1420</v>
      </c>
      <c r="E71" s="47">
        <v>295</v>
      </c>
      <c r="F71" s="47">
        <v>3</v>
      </c>
    </row>
    <row r="72" spans="1:6">
      <c r="A72" s="48">
        <v>46236.625</v>
      </c>
      <c r="B72" s="46" t="s">
        <v>25</v>
      </c>
      <c r="C72" s="47">
        <v>1420</v>
      </c>
      <c r="D72" s="47">
        <v>1420</v>
      </c>
      <c r="E72" s="47">
        <v>295</v>
      </c>
      <c r="F72" s="47">
        <v>3</v>
      </c>
    </row>
    <row r="73" spans="1:6">
      <c r="A73" s="48">
        <v>46236.666666666664</v>
      </c>
      <c r="B73" s="46" t="s">
        <v>25</v>
      </c>
      <c r="C73" s="47">
        <v>1420</v>
      </c>
      <c r="D73" s="47">
        <v>1420</v>
      </c>
      <c r="E73" s="47">
        <v>295</v>
      </c>
      <c r="F73" s="47">
        <v>3</v>
      </c>
    </row>
    <row r="74" spans="1:6">
      <c r="A74" s="48">
        <v>46236.708333333336</v>
      </c>
      <c r="B74" s="46" t="s">
        <v>25</v>
      </c>
      <c r="C74" s="47">
        <v>1420</v>
      </c>
      <c r="D74" s="47">
        <v>1420</v>
      </c>
      <c r="E74" s="47">
        <v>295</v>
      </c>
      <c r="F74" s="47">
        <v>3</v>
      </c>
    </row>
    <row r="75" spans="1:6">
      <c r="A75" s="48">
        <v>46236.75</v>
      </c>
      <c r="B75" s="46" t="s">
        <v>25</v>
      </c>
      <c r="C75" s="47">
        <v>1420</v>
      </c>
      <c r="D75" s="47">
        <v>1420</v>
      </c>
      <c r="E75" s="47">
        <v>295</v>
      </c>
      <c r="F75" s="47">
        <v>3</v>
      </c>
    </row>
    <row r="76" spans="1:6">
      <c r="A76" s="48">
        <v>46236.791666666664</v>
      </c>
      <c r="B76" s="46" t="s">
        <v>25</v>
      </c>
      <c r="C76" s="47">
        <v>1420</v>
      </c>
      <c r="D76" s="47">
        <v>1420</v>
      </c>
      <c r="E76" s="47">
        <v>295</v>
      </c>
      <c r="F76" s="47">
        <v>3</v>
      </c>
    </row>
    <row r="77" spans="1:6">
      <c r="A77" s="48">
        <v>46236.833333333336</v>
      </c>
      <c r="B77" s="46" t="s">
        <v>25</v>
      </c>
      <c r="C77" s="47">
        <v>1420</v>
      </c>
      <c r="D77" s="47">
        <v>1420</v>
      </c>
      <c r="E77" s="47">
        <v>295</v>
      </c>
      <c r="F77" s="47">
        <v>3</v>
      </c>
    </row>
    <row r="78" spans="1:6">
      <c r="A78" s="48">
        <v>46236.875</v>
      </c>
      <c r="B78" s="46" t="s">
        <v>25</v>
      </c>
      <c r="C78" s="47">
        <v>1420</v>
      </c>
      <c r="D78" s="47">
        <v>1420</v>
      </c>
      <c r="E78" s="47">
        <v>295</v>
      </c>
      <c r="F78" s="47">
        <v>3</v>
      </c>
    </row>
    <row r="79" spans="1:6">
      <c r="A79" s="48">
        <v>46236.916666666664</v>
      </c>
      <c r="B79" s="46" t="s">
        <v>25</v>
      </c>
      <c r="C79" s="47">
        <v>1420</v>
      </c>
      <c r="D79" s="47">
        <v>1420</v>
      </c>
      <c r="E79" s="47">
        <v>295</v>
      </c>
      <c r="F79" s="47">
        <v>3</v>
      </c>
    </row>
    <row r="80" spans="1:6">
      <c r="A80" s="48">
        <v>46236.958333333336</v>
      </c>
      <c r="B80" s="46" t="s">
        <v>25</v>
      </c>
      <c r="C80" s="47">
        <v>1420</v>
      </c>
      <c r="D80" s="47">
        <v>1420</v>
      </c>
      <c r="E80" s="47">
        <v>295</v>
      </c>
      <c r="F80" s="47">
        <v>3</v>
      </c>
    </row>
    <row r="81" spans="1:6">
      <c r="A81" s="48">
        <v>46237</v>
      </c>
      <c r="B81" s="46" t="s">
        <v>25</v>
      </c>
      <c r="C81" s="47">
        <v>1420</v>
      </c>
      <c r="D81" s="47">
        <v>1420</v>
      </c>
      <c r="E81" s="47">
        <v>295</v>
      </c>
      <c r="F81" s="47">
        <v>3</v>
      </c>
    </row>
    <row r="82" spans="1:6">
      <c r="A82" s="48">
        <v>46237.041666666664</v>
      </c>
      <c r="B82" s="46" t="s">
        <v>25</v>
      </c>
      <c r="C82" s="47">
        <v>1420</v>
      </c>
      <c r="D82" s="47">
        <v>1420</v>
      </c>
      <c r="E82" s="47">
        <v>295</v>
      </c>
      <c r="F82" s="47">
        <v>3</v>
      </c>
    </row>
    <row r="83" spans="1:6">
      <c r="A83" s="48">
        <v>46237.083333333336</v>
      </c>
      <c r="B83" s="46" t="s">
        <v>25</v>
      </c>
      <c r="C83" s="47">
        <v>1420</v>
      </c>
      <c r="D83" s="47">
        <v>1420</v>
      </c>
      <c r="E83" s="47">
        <v>295</v>
      </c>
      <c r="F83" s="47">
        <v>3</v>
      </c>
    </row>
    <row r="84" spans="1:6">
      <c r="A84" s="48">
        <v>46237.125</v>
      </c>
      <c r="B84" s="46" t="s">
        <v>25</v>
      </c>
      <c r="C84" s="47">
        <v>1420</v>
      </c>
      <c r="D84" s="47">
        <v>1420</v>
      </c>
      <c r="E84" s="47">
        <v>295</v>
      </c>
      <c r="F84" s="47">
        <v>3</v>
      </c>
    </row>
    <row r="85" spans="1:6">
      <c r="A85" s="48">
        <v>46237.166666666664</v>
      </c>
      <c r="B85" s="46" t="s">
        <v>25</v>
      </c>
      <c r="C85" s="47">
        <v>1420</v>
      </c>
      <c r="D85" s="47">
        <v>1420</v>
      </c>
      <c r="E85" s="47">
        <v>295</v>
      </c>
      <c r="F85" s="47">
        <v>3</v>
      </c>
    </row>
    <row r="86" spans="1:6">
      <c r="A86" s="48">
        <v>46237.208333333336</v>
      </c>
      <c r="B86" s="46" t="s">
        <v>25</v>
      </c>
      <c r="C86" s="47">
        <v>1420</v>
      </c>
      <c r="D86" s="47">
        <v>1420</v>
      </c>
      <c r="E86" s="47">
        <v>295</v>
      </c>
      <c r="F86" s="47">
        <v>3</v>
      </c>
    </row>
    <row r="87" spans="1:6">
      <c r="A87" s="48">
        <v>46237.25</v>
      </c>
      <c r="B87" s="46" t="s">
        <v>25</v>
      </c>
      <c r="C87" s="47">
        <v>1420</v>
      </c>
      <c r="D87" s="47">
        <v>1420</v>
      </c>
      <c r="E87" s="47">
        <v>295</v>
      </c>
      <c r="F87" s="47">
        <v>3</v>
      </c>
    </row>
    <row r="88" spans="1:6">
      <c r="A88" s="48">
        <v>46237.291666666664</v>
      </c>
      <c r="B88" s="46" t="s">
        <v>25</v>
      </c>
      <c r="C88" s="47">
        <v>1420</v>
      </c>
      <c r="D88" s="47">
        <v>1420</v>
      </c>
      <c r="E88" s="47">
        <v>295</v>
      </c>
      <c r="F88" s="47">
        <v>3</v>
      </c>
    </row>
    <row r="89" spans="1:6">
      <c r="A89" s="48">
        <v>46237.333333333336</v>
      </c>
      <c r="B89" s="46" t="s">
        <v>25</v>
      </c>
      <c r="C89" s="47">
        <v>1420</v>
      </c>
      <c r="D89" s="47">
        <v>1420</v>
      </c>
      <c r="E89" s="47">
        <v>295</v>
      </c>
      <c r="F89" s="47">
        <v>3</v>
      </c>
    </row>
    <row r="90" spans="1:6">
      <c r="A90" s="48">
        <v>46237.375</v>
      </c>
      <c r="B90" s="46" t="s">
        <v>25</v>
      </c>
      <c r="C90" s="47">
        <v>1420</v>
      </c>
      <c r="D90" s="47">
        <v>1420</v>
      </c>
      <c r="E90" s="47">
        <v>295</v>
      </c>
      <c r="F90" s="47">
        <v>3</v>
      </c>
    </row>
    <row r="91" spans="1:6">
      <c r="A91" s="48">
        <v>46237.416666666664</v>
      </c>
      <c r="B91" s="46" t="s">
        <v>25</v>
      </c>
      <c r="C91" s="47">
        <v>1420</v>
      </c>
      <c r="D91" s="47">
        <v>1420</v>
      </c>
      <c r="E91" s="47">
        <v>295</v>
      </c>
      <c r="F91" s="47">
        <v>3</v>
      </c>
    </row>
    <row r="92" spans="1:6">
      <c r="A92" s="48">
        <v>46237.458333333336</v>
      </c>
      <c r="B92" s="46" t="s">
        <v>25</v>
      </c>
      <c r="C92" s="47">
        <v>1420</v>
      </c>
      <c r="D92" s="47">
        <v>1420</v>
      </c>
      <c r="E92" s="47">
        <v>295</v>
      </c>
      <c r="F92" s="47">
        <v>3</v>
      </c>
    </row>
    <row r="93" spans="1:6">
      <c r="A93" s="48">
        <v>46237.5</v>
      </c>
      <c r="B93" s="46" t="s">
        <v>25</v>
      </c>
      <c r="C93" s="47">
        <v>1420</v>
      </c>
      <c r="D93" s="47">
        <v>1420</v>
      </c>
      <c r="E93" s="47">
        <v>295</v>
      </c>
      <c r="F93" s="47">
        <v>3</v>
      </c>
    </row>
    <row r="94" spans="1:6">
      <c r="A94" s="48">
        <v>46237.541666666664</v>
      </c>
      <c r="B94" s="46" t="s">
        <v>25</v>
      </c>
      <c r="C94" s="47">
        <v>1420</v>
      </c>
      <c r="D94" s="47">
        <v>1420</v>
      </c>
      <c r="E94" s="47">
        <v>295</v>
      </c>
      <c r="F94" s="47">
        <v>3</v>
      </c>
    </row>
    <row r="95" spans="1:6">
      <c r="A95" s="48">
        <v>46237.583333333336</v>
      </c>
      <c r="B95" s="46" t="s">
        <v>25</v>
      </c>
      <c r="C95" s="47">
        <v>1420</v>
      </c>
      <c r="D95" s="47">
        <v>1420</v>
      </c>
      <c r="E95" s="47">
        <v>295</v>
      </c>
      <c r="F95" s="47">
        <v>3</v>
      </c>
    </row>
    <row r="96" spans="1:6">
      <c r="A96" s="48">
        <v>46237.625</v>
      </c>
      <c r="B96" s="46" t="s">
        <v>25</v>
      </c>
      <c r="C96" s="47">
        <v>1420</v>
      </c>
      <c r="D96" s="47">
        <v>1420</v>
      </c>
      <c r="E96" s="47">
        <v>295</v>
      </c>
      <c r="F96" s="47">
        <v>3</v>
      </c>
    </row>
    <row r="97" spans="1:6">
      <c r="A97" s="48">
        <v>46237.666666666664</v>
      </c>
      <c r="B97" s="46" t="s">
        <v>25</v>
      </c>
      <c r="C97" s="47">
        <v>1420</v>
      </c>
      <c r="D97" s="47">
        <v>1420</v>
      </c>
      <c r="E97" s="47">
        <v>295</v>
      </c>
      <c r="F97" s="47">
        <v>3</v>
      </c>
    </row>
    <row r="98" spans="1:6">
      <c r="A98" s="48">
        <v>46237.708333333336</v>
      </c>
      <c r="B98" s="46" t="s">
        <v>25</v>
      </c>
      <c r="C98" s="47">
        <v>1420</v>
      </c>
      <c r="D98" s="47">
        <v>1420</v>
      </c>
      <c r="E98" s="47">
        <v>295</v>
      </c>
      <c r="F98" s="47">
        <v>3</v>
      </c>
    </row>
    <row r="99" spans="1:6">
      <c r="A99" s="48">
        <v>46237.75</v>
      </c>
      <c r="B99" s="46" t="s">
        <v>25</v>
      </c>
      <c r="C99" s="47">
        <v>1420</v>
      </c>
      <c r="D99" s="47">
        <v>1420</v>
      </c>
      <c r="E99" s="47">
        <v>295</v>
      </c>
      <c r="F99" s="47">
        <v>3</v>
      </c>
    </row>
    <row r="100" spans="1:6">
      <c r="A100" s="48">
        <v>46237.791666666664</v>
      </c>
      <c r="B100" s="46" t="s">
        <v>25</v>
      </c>
      <c r="C100" s="47">
        <v>1420</v>
      </c>
      <c r="D100" s="47">
        <v>1420</v>
      </c>
      <c r="E100" s="47">
        <v>295</v>
      </c>
      <c r="F100" s="47">
        <v>3</v>
      </c>
    </row>
    <row r="101" spans="1:6">
      <c r="A101" s="48">
        <v>46237.833333333336</v>
      </c>
      <c r="B101" s="46" t="s">
        <v>25</v>
      </c>
      <c r="C101" s="47">
        <v>1420</v>
      </c>
      <c r="D101" s="47">
        <v>1420</v>
      </c>
      <c r="E101" s="47">
        <v>295</v>
      </c>
      <c r="F101" s="47">
        <v>3</v>
      </c>
    </row>
    <row r="102" spans="1:6">
      <c r="A102" s="48">
        <v>46237.875</v>
      </c>
      <c r="B102" s="46" t="s">
        <v>25</v>
      </c>
      <c r="C102" s="47">
        <v>1420</v>
      </c>
      <c r="D102" s="47">
        <v>1420</v>
      </c>
      <c r="E102" s="47">
        <v>295</v>
      </c>
      <c r="F102" s="47">
        <v>3</v>
      </c>
    </row>
    <row r="103" spans="1:6">
      <c r="A103" s="48">
        <v>46237.916666666664</v>
      </c>
      <c r="B103" s="46" t="s">
        <v>25</v>
      </c>
      <c r="C103" s="47">
        <v>1420</v>
      </c>
      <c r="D103" s="47">
        <v>1420</v>
      </c>
      <c r="E103" s="47">
        <v>295</v>
      </c>
      <c r="F103" s="47">
        <v>3</v>
      </c>
    </row>
    <row r="104" spans="1:6">
      <c r="A104" s="48">
        <v>46237.958333333336</v>
      </c>
      <c r="B104" s="46" t="s">
        <v>25</v>
      </c>
      <c r="C104" s="47">
        <v>1420</v>
      </c>
      <c r="D104" s="47">
        <v>1420</v>
      </c>
      <c r="E104" s="47">
        <v>295</v>
      </c>
      <c r="F104" s="47">
        <v>3</v>
      </c>
    </row>
    <row r="105" spans="1:6">
      <c r="A105" s="48">
        <v>46238</v>
      </c>
      <c r="B105" s="46" t="s">
        <v>25</v>
      </c>
      <c r="C105" s="47">
        <v>1420</v>
      </c>
      <c r="D105" s="47">
        <v>1420</v>
      </c>
      <c r="E105" s="47">
        <v>295</v>
      </c>
      <c r="F105" s="47">
        <v>3</v>
      </c>
    </row>
    <row r="106" spans="1:6">
      <c r="A106" s="48">
        <v>46238.041666666664</v>
      </c>
      <c r="B106" s="46" t="s">
        <v>25</v>
      </c>
      <c r="C106" s="47">
        <v>1420</v>
      </c>
      <c r="D106" s="47">
        <v>1420</v>
      </c>
      <c r="E106" s="47">
        <v>295</v>
      </c>
      <c r="F106" s="47">
        <v>3</v>
      </c>
    </row>
    <row r="107" spans="1:6">
      <c r="A107" s="48">
        <v>46238.083333333336</v>
      </c>
      <c r="B107" s="46" t="s">
        <v>25</v>
      </c>
      <c r="C107" s="47">
        <v>1420</v>
      </c>
      <c r="D107" s="47">
        <v>1420</v>
      </c>
      <c r="E107" s="47">
        <v>295</v>
      </c>
      <c r="F107" s="47">
        <v>3</v>
      </c>
    </row>
    <row r="108" spans="1:6">
      <c r="A108" s="48">
        <v>46238.125</v>
      </c>
      <c r="B108" s="46" t="s">
        <v>25</v>
      </c>
      <c r="C108" s="47">
        <v>1420</v>
      </c>
      <c r="D108" s="47">
        <v>1420</v>
      </c>
      <c r="E108" s="47">
        <v>295</v>
      </c>
      <c r="F108" s="47">
        <v>3</v>
      </c>
    </row>
    <row r="109" spans="1:6">
      <c r="A109" s="48">
        <v>46238.166666666664</v>
      </c>
      <c r="B109" s="46" t="s">
        <v>25</v>
      </c>
      <c r="C109" s="47">
        <v>1420</v>
      </c>
      <c r="D109" s="47">
        <v>1420</v>
      </c>
      <c r="E109" s="47">
        <v>295</v>
      </c>
      <c r="F109" s="47">
        <v>3</v>
      </c>
    </row>
    <row r="110" spans="1:6">
      <c r="A110" s="48">
        <v>46238.208333333336</v>
      </c>
      <c r="B110" s="46" t="s">
        <v>25</v>
      </c>
      <c r="C110" s="47">
        <v>1420</v>
      </c>
      <c r="D110" s="47">
        <v>1420</v>
      </c>
      <c r="E110" s="47">
        <v>295</v>
      </c>
      <c r="F110" s="47">
        <v>3</v>
      </c>
    </row>
    <row r="111" spans="1:6">
      <c r="A111" s="48">
        <v>46238.25</v>
      </c>
      <c r="B111" s="46" t="s">
        <v>25</v>
      </c>
      <c r="C111" s="47">
        <v>1420</v>
      </c>
      <c r="D111" s="47">
        <v>1420</v>
      </c>
      <c r="E111" s="47">
        <v>295</v>
      </c>
      <c r="F111" s="47">
        <v>3</v>
      </c>
    </row>
    <row r="112" spans="1:6">
      <c r="A112" s="48">
        <v>46238.291666666664</v>
      </c>
      <c r="B112" s="46" t="s">
        <v>25</v>
      </c>
      <c r="C112" s="47">
        <v>1420</v>
      </c>
      <c r="D112" s="47">
        <v>1420</v>
      </c>
      <c r="E112" s="47">
        <v>295</v>
      </c>
      <c r="F112" s="47">
        <v>3</v>
      </c>
    </row>
    <row r="113" spans="1:6">
      <c r="A113" s="48">
        <v>46238.333333333336</v>
      </c>
      <c r="B113" s="46" t="s">
        <v>25</v>
      </c>
      <c r="C113" s="47">
        <v>1420</v>
      </c>
      <c r="D113" s="47">
        <v>1420</v>
      </c>
      <c r="E113" s="47">
        <v>295</v>
      </c>
      <c r="F113" s="47">
        <v>3</v>
      </c>
    </row>
    <row r="114" spans="1:6">
      <c r="A114" s="48">
        <v>46238.375</v>
      </c>
      <c r="B114" s="46" t="s">
        <v>25</v>
      </c>
      <c r="C114" s="47">
        <v>1420</v>
      </c>
      <c r="D114" s="47">
        <v>1420</v>
      </c>
      <c r="E114" s="47">
        <v>295</v>
      </c>
      <c r="F114" s="47">
        <v>3</v>
      </c>
    </row>
    <row r="115" spans="1:6">
      <c r="A115" s="48">
        <v>46238.416666666664</v>
      </c>
      <c r="B115" s="46" t="s">
        <v>25</v>
      </c>
      <c r="C115" s="47">
        <v>1420</v>
      </c>
      <c r="D115" s="47">
        <v>1420</v>
      </c>
      <c r="E115" s="47">
        <v>295</v>
      </c>
      <c r="F115" s="47">
        <v>3</v>
      </c>
    </row>
    <row r="116" spans="1:6">
      <c r="A116" s="48">
        <v>46238.458333333336</v>
      </c>
      <c r="B116" s="46" t="s">
        <v>25</v>
      </c>
      <c r="C116" s="47">
        <v>1420</v>
      </c>
      <c r="D116" s="47">
        <v>1420</v>
      </c>
      <c r="E116" s="47">
        <v>295</v>
      </c>
      <c r="F116" s="47">
        <v>3</v>
      </c>
    </row>
    <row r="117" spans="1:6">
      <c r="A117" s="48">
        <v>46238.5</v>
      </c>
      <c r="B117" s="46" t="s">
        <v>25</v>
      </c>
      <c r="C117" s="47">
        <v>1420</v>
      </c>
      <c r="D117" s="47">
        <v>1420</v>
      </c>
      <c r="E117" s="47">
        <v>295</v>
      </c>
      <c r="F117" s="47">
        <v>3</v>
      </c>
    </row>
    <row r="118" spans="1:6">
      <c r="A118" s="48">
        <v>46238.541666666664</v>
      </c>
      <c r="B118" s="46" t="s">
        <v>25</v>
      </c>
      <c r="C118" s="47">
        <v>1420</v>
      </c>
      <c r="D118" s="47">
        <v>1420</v>
      </c>
      <c r="E118" s="47">
        <v>295</v>
      </c>
      <c r="F118" s="47">
        <v>3</v>
      </c>
    </row>
    <row r="119" spans="1:6">
      <c r="A119" s="48">
        <v>46238.583333333336</v>
      </c>
      <c r="B119" s="46" t="s">
        <v>25</v>
      </c>
      <c r="C119" s="47">
        <v>1420</v>
      </c>
      <c r="D119" s="47">
        <v>1420</v>
      </c>
      <c r="E119" s="47">
        <v>295</v>
      </c>
      <c r="F119" s="47">
        <v>3</v>
      </c>
    </row>
    <row r="120" spans="1:6">
      <c r="A120" s="48">
        <v>46238.625</v>
      </c>
      <c r="B120" s="46" t="s">
        <v>25</v>
      </c>
      <c r="C120" s="47">
        <v>1420</v>
      </c>
      <c r="D120" s="47">
        <v>1420</v>
      </c>
      <c r="E120" s="47">
        <v>295</v>
      </c>
      <c r="F120" s="47">
        <v>3</v>
      </c>
    </row>
    <row r="121" spans="1:6">
      <c r="A121" s="48">
        <v>46238.666666666664</v>
      </c>
      <c r="B121" s="46" t="s">
        <v>25</v>
      </c>
      <c r="C121" s="47">
        <v>1420</v>
      </c>
      <c r="D121" s="47">
        <v>1420</v>
      </c>
      <c r="E121" s="47">
        <v>295</v>
      </c>
      <c r="F121" s="47">
        <v>3</v>
      </c>
    </row>
    <row r="122" spans="1:6">
      <c r="A122" s="48">
        <v>46238.708333333336</v>
      </c>
      <c r="B122" s="46" t="s">
        <v>25</v>
      </c>
      <c r="C122" s="47">
        <v>1420</v>
      </c>
      <c r="D122" s="47">
        <v>1420</v>
      </c>
      <c r="E122" s="47">
        <v>295</v>
      </c>
      <c r="F122" s="47">
        <v>3</v>
      </c>
    </row>
    <row r="123" spans="1:6">
      <c r="A123" s="48">
        <v>46238.75</v>
      </c>
      <c r="B123" s="46" t="s">
        <v>25</v>
      </c>
      <c r="C123" s="47">
        <v>1420</v>
      </c>
      <c r="D123" s="47">
        <v>1420</v>
      </c>
      <c r="E123" s="47">
        <v>295</v>
      </c>
      <c r="F123" s="47">
        <v>3</v>
      </c>
    </row>
    <row r="124" spans="1:6">
      <c r="A124" s="48">
        <v>46238.791666666664</v>
      </c>
      <c r="B124" s="46" t="s">
        <v>25</v>
      </c>
      <c r="C124" s="47">
        <v>1420</v>
      </c>
      <c r="D124" s="47">
        <v>1420</v>
      </c>
      <c r="E124" s="47">
        <v>295</v>
      </c>
      <c r="F124" s="47">
        <v>3</v>
      </c>
    </row>
    <row r="125" spans="1:6">
      <c r="A125" s="48">
        <v>46238.833333333336</v>
      </c>
      <c r="B125" s="46" t="s">
        <v>25</v>
      </c>
      <c r="C125" s="47">
        <v>1420</v>
      </c>
      <c r="D125" s="47">
        <v>1420</v>
      </c>
      <c r="E125" s="47">
        <v>295</v>
      </c>
      <c r="F125" s="47">
        <v>3</v>
      </c>
    </row>
    <row r="126" spans="1:6">
      <c r="A126" s="48">
        <v>46238.875</v>
      </c>
      <c r="B126" s="46" t="s">
        <v>25</v>
      </c>
      <c r="C126" s="47">
        <v>1420</v>
      </c>
      <c r="D126" s="47">
        <v>1420</v>
      </c>
      <c r="E126" s="47">
        <v>295</v>
      </c>
      <c r="F126" s="47">
        <v>3</v>
      </c>
    </row>
    <row r="127" spans="1:6">
      <c r="A127" s="48">
        <v>46238.916666666664</v>
      </c>
      <c r="B127" s="46" t="s">
        <v>25</v>
      </c>
      <c r="C127" s="47">
        <v>1420</v>
      </c>
      <c r="D127" s="47">
        <v>1420</v>
      </c>
      <c r="E127" s="47">
        <v>295</v>
      </c>
      <c r="F127" s="47">
        <v>3</v>
      </c>
    </row>
    <row r="128" spans="1:6">
      <c r="A128" s="48">
        <v>46238.958333333336</v>
      </c>
      <c r="B128" s="46" t="s">
        <v>25</v>
      </c>
      <c r="C128" s="47">
        <v>1420</v>
      </c>
      <c r="D128" s="47">
        <v>1420</v>
      </c>
      <c r="E128" s="47">
        <v>295</v>
      </c>
      <c r="F128" s="47">
        <v>3</v>
      </c>
    </row>
    <row r="129" spans="1:6">
      <c r="A129" s="48">
        <v>46239</v>
      </c>
      <c r="B129" s="46" t="s">
        <v>25</v>
      </c>
      <c r="C129" s="47">
        <v>1420</v>
      </c>
      <c r="D129" s="47">
        <v>1420</v>
      </c>
      <c r="E129" s="47">
        <v>295</v>
      </c>
      <c r="F129" s="47">
        <v>3</v>
      </c>
    </row>
    <row r="130" spans="1:6">
      <c r="A130" s="48">
        <v>46239.041666666664</v>
      </c>
      <c r="B130" s="46" t="s">
        <v>25</v>
      </c>
      <c r="C130" s="47">
        <v>1420</v>
      </c>
      <c r="D130" s="47">
        <v>1420</v>
      </c>
      <c r="E130" s="47">
        <v>295</v>
      </c>
      <c r="F130" s="47">
        <v>3</v>
      </c>
    </row>
    <row r="131" spans="1:6">
      <c r="A131" s="48">
        <v>46239.083333333336</v>
      </c>
      <c r="B131" s="46" t="s">
        <v>25</v>
      </c>
      <c r="C131" s="47">
        <v>1420</v>
      </c>
      <c r="D131" s="47">
        <v>1420</v>
      </c>
      <c r="E131" s="47">
        <v>295</v>
      </c>
      <c r="F131" s="47">
        <v>3</v>
      </c>
    </row>
    <row r="132" spans="1:6">
      <c r="A132" s="48">
        <v>46239.125</v>
      </c>
      <c r="B132" s="46" t="s">
        <v>25</v>
      </c>
      <c r="C132" s="47">
        <v>1420</v>
      </c>
      <c r="D132" s="47">
        <v>1420</v>
      </c>
      <c r="E132" s="47">
        <v>295</v>
      </c>
      <c r="F132" s="47">
        <v>3</v>
      </c>
    </row>
    <row r="133" spans="1:6">
      <c r="A133" s="48">
        <v>46239.166666666664</v>
      </c>
      <c r="B133" s="46" t="s">
        <v>25</v>
      </c>
      <c r="C133" s="47">
        <v>1420</v>
      </c>
      <c r="D133" s="47">
        <v>1420</v>
      </c>
      <c r="E133" s="47">
        <v>295</v>
      </c>
      <c r="F133" s="47">
        <v>3</v>
      </c>
    </row>
    <row r="134" spans="1:6">
      <c r="A134" s="48">
        <v>46239.208333333336</v>
      </c>
      <c r="B134" s="46" t="s">
        <v>25</v>
      </c>
      <c r="C134" s="47">
        <v>1420</v>
      </c>
      <c r="D134" s="47">
        <v>1420</v>
      </c>
      <c r="E134" s="47">
        <v>295</v>
      </c>
      <c r="F134" s="47">
        <v>3</v>
      </c>
    </row>
    <row r="135" spans="1:6">
      <c r="A135" s="48">
        <v>46239.25</v>
      </c>
      <c r="B135" s="46" t="s">
        <v>25</v>
      </c>
      <c r="C135" s="47">
        <v>1420</v>
      </c>
      <c r="D135" s="47">
        <v>1420</v>
      </c>
      <c r="E135" s="47">
        <v>295</v>
      </c>
      <c r="F135" s="47">
        <v>3</v>
      </c>
    </row>
    <row r="136" spans="1:6">
      <c r="A136" s="48">
        <v>46239.291666666664</v>
      </c>
      <c r="B136" s="46" t="s">
        <v>25</v>
      </c>
      <c r="C136" s="47">
        <v>1420</v>
      </c>
      <c r="D136" s="47">
        <v>1420</v>
      </c>
      <c r="E136" s="47">
        <v>295</v>
      </c>
      <c r="F136" s="47">
        <v>3</v>
      </c>
    </row>
    <row r="137" spans="1:6">
      <c r="A137" s="48">
        <v>46239.333333333336</v>
      </c>
      <c r="B137" s="46" t="s">
        <v>25</v>
      </c>
      <c r="C137" s="47">
        <v>1420</v>
      </c>
      <c r="D137" s="47">
        <v>1420</v>
      </c>
      <c r="E137" s="47">
        <v>295</v>
      </c>
      <c r="F137" s="47">
        <v>3</v>
      </c>
    </row>
    <row r="138" spans="1:6">
      <c r="A138" s="48">
        <v>46239.375</v>
      </c>
      <c r="B138" s="46" t="s">
        <v>25</v>
      </c>
      <c r="C138" s="47">
        <v>1420</v>
      </c>
      <c r="D138" s="47">
        <v>1420</v>
      </c>
      <c r="E138" s="47">
        <v>295</v>
      </c>
      <c r="F138" s="47">
        <v>3</v>
      </c>
    </row>
    <row r="139" spans="1:6">
      <c r="A139" s="48">
        <v>46239.416666666664</v>
      </c>
      <c r="B139" s="46" t="s">
        <v>25</v>
      </c>
      <c r="C139" s="47">
        <v>1420</v>
      </c>
      <c r="D139" s="47">
        <v>1420</v>
      </c>
      <c r="E139" s="47">
        <v>295</v>
      </c>
      <c r="F139" s="47">
        <v>3</v>
      </c>
    </row>
    <row r="140" spans="1:6">
      <c r="A140" s="48">
        <v>46239.458333333336</v>
      </c>
      <c r="B140" s="46" t="s">
        <v>25</v>
      </c>
      <c r="C140" s="47">
        <v>1420</v>
      </c>
      <c r="D140" s="47">
        <v>1420</v>
      </c>
      <c r="E140" s="47">
        <v>295</v>
      </c>
      <c r="F140" s="47">
        <v>3</v>
      </c>
    </row>
    <row r="141" spans="1:6">
      <c r="A141" s="48">
        <v>46239.5</v>
      </c>
      <c r="B141" s="46" t="s">
        <v>25</v>
      </c>
      <c r="C141" s="47">
        <v>1420</v>
      </c>
      <c r="D141" s="47">
        <v>1420</v>
      </c>
      <c r="E141" s="47">
        <v>295</v>
      </c>
      <c r="F141" s="47">
        <v>3</v>
      </c>
    </row>
    <row r="142" spans="1:6">
      <c r="A142" s="48">
        <v>46239.541666666664</v>
      </c>
      <c r="B142" s="46" t="s">
        <v>25</v>
      </c>
      <c r="C142" s="47">
        <v>1420</v>
      </c>
      <c r="D142" s="47">
        <v>1420</v>
      </c>
      <c r="E142" s="47">
        <v>295</v>
      </c>
      <c r="F142" s="47">
        <v>3</v>
      </c>
    </row>
    <row r="143" spans="1:6">
      <c r="A143" s="48">
        <v>46239.583333333336</v>
      </c>
      <c r="B143" s="46" t="s">
        <v>25</v>
      </c>
      <c r="C143" s="47">
        <v>1420</v>
      </c>
      <c r="D143" s="47">
        <v>1420</v>
      </c>
      <c r="E143" s="47">
        <v>295</v>
      </c>
      <c r="F143" s="47">
        <v>3</v>
      </c>
    </row>
    <row r="144" spans="1:6">
      <c r="A144" s="48">
        <v>46239.625</v>
      </c>
      <c r="B144" s="46" t="s">
        <v>25</v>
      </c>
      <c r="C144" s="47">
        <v>1420</v>
      </c>
      <c r="D144" s="47">
        <v>1420</v>
      </c>
      <c r="E144" s="47">
        <v>295</v>
      </c>
      <c r="F144" s="47">
        <v>3</v>
      </c>
    </row>
    <row r="145" spans="1:6">
      <c r="A145" s="48">
        <v>46239.666666666664</v>
      </c>
      <c r="B145" s="46" t="s">
        <v>25</v>
      </c>
      <c r="C145" s="47">
        <v>1420</v>
      </c>
      <c r="D145" s="47">
        <v>1420</v>
      </c>
      <c r="E145" s="47">
        <v>295</v>
      </c>
      <c r="F145" s="47">
        <v>3</v>
      </c>
    </row>
    <row r="146" spans="1:6">
      <c r="A146" s="48">
        <v>46239.708333333336</v>
      </c>
      <c r="B146" s="46" t="s">
        <v>25</v>
      </c>
      <c r="C146" s="47">
        <v>1420</v>
      </c>
      <c r="D146" s="47">
        <v>1420</v>
      </c>
      <c r="E146" s="47">
        <v>295</v>
      </c>
      <c r="F146" s="47">
        <v>3</v>
      </c>
    </row>
    <row r="147" spans="1:6">
      <c r="A147" s="48">
        <v>46239.75</v>
      </c>
      <c r="B147" s="46" t="s">
        <v>25</v>
      </c>
      <c r="C147" s="47">
        <v>1420</v>
      </c>
      <c r="D147" s="47">
        <v>1420</v>
      </c>
      <c r="E147" s="47">
        <v>295</v>
      </c>
      <c r="F147" s="47">
        <v>3</v>
      </c>
    </row>
    <row r="148" spans="1:6">
      <c r="A148" s="48">
        <v>46239.791666666664</v>
      </c>
      <c r="B148" s="46" t="s">
        <v>25</v>
      </c>
      <c r="C148" s="47">
        <v>1420</v>
      </c>
      <c r="D148" s="47">
        <v>1420</v>
      </c>
      <c r="E148" s="47">
        <v>295</v>
      </c>
      <c r="F148" s="47">
        <v>3</v>
      </c>
    </row>
    <row r="149" spans="1:6">
      <c r="A149" s="48">
        <v>46239.833333333336</v>
      </c>
      <c r="B149" s="46" t="s">
        <v>25</v>
      </c>
      <c r="C149" s="47">
        <v>1420</v>
      </c>
      <c r="D149" s="47">
        <v>1420</v>
      </c>
      <c r="E149" s="47">
        <v>295</v>
      </c>
      <c r="F149" s="47">
        <v>3</v>
      </c>
    </row>
    <row r="150" spans="1:6">
      <c r="A150" s="48">
        <v>46239.875</v>
      </c>
      <c r="B150" s="46" t="s">
        <v>25</v>
      </c>
      <c r="C150" s="47">
        <v>1420</v>
      </c>
      <c r="D150" s="47">
        <v>1420</v>
      </c>
      <c r="E150" s="47">
        <v>295</v>
      </c>
      <c r="F150" s="47">
        <v>3</v>
      </c>
    </row>
    <row r="151" spans="1:6">
      <c r="A151" s="48">
        <v>46239.916666666664</v>
      </c>
      <c r="B151" s="46" t="s">
        <v>25</v>
      </c>
      <c r="C151" s="47">
        <v>1420</v>
      </c>
      <c r="D151" s="47">
        <v>1420</v>
      </c>
      <c r="E151" s="47">
        <v>295</v>
      </c>
      <c r="F151" s="47">
        <v>3</v>
      </c>
    </row>
    <row r="152" spans="1:6">
      <c r="A152" s="48">
        <v>46239.958333333336</v>
      </c>
      <c r="B152" s="46" t="s">
        <v>25</v>
      </c>
      <c r="C152" s="47">
        <v>1420</v>
      </c>
      <c r="D152" s="47">
        <v>1420</v>
      </c>
      <c r="E152" s="47">
        <v>295</v>
      </c>
      <c r="F152" s="47">
        <v>3</v>
      </c>
    </row>
    <row r="153" spans="1:6">
      <c r="A153" s="48">
        <v>46240</v>
      </c>
      <c r="B153" s="46" t="s">
        <v>25</v>
      </c>
      <c r="C153" s="47">
        <v>1420</v>
      </c>
      <c r="D153" s="47">
        <v>1420</v>
      </c>
      <c r="E153" s="47">
        <v>295</v>
      </c>
      <c r="F153" s="47">
        <v>3</v>
      </c>
    </row>
    <row r="154" spans="1:6">
      <c r="A154" s="48">
        <v>46240.041666666664</v>
      </c>
      <c r="B154" s="46" t="s">
        <v>25</v>
      </c>
      <c r="C154" s="47">
        <v>1420</v>
      </c>
      <c r="D154" s="47">
        <v>1420</v>
      </c>
      <c r="E154" s="47">
        <v>295</v>
      </c>
      <c r="F154" s="47">
        <v>3</v>
      </c>
    </row>
    <row r="155" spans="1:6">
      <c r="A155" s="48">
        <v>46240.083333333336</v>
      </c>
      <c r="B155" s="46" t="s">
        <v>25</v>
      </c>
      <c r="C155" s="47">
        <v>1420</v>
      </c>
      <c r="D155" s="47">
        <v>1420</v>
      </c>
      <c r="E155" s="47">
        <v>295</v>
      </c>
      <c r="F155" s="47">
        <v>3</v>
      </c>
    </row>
    <row r="156" spans="1:6">
      <c r="A156" s="48">
        <v>46240.125</v>
      </c>
      <c r="B156" s="46" t="s">
        <v>25</v>
      </c>
      <c r="C156" s="47">
        <v>1420</v>
      </c>
      <c r="D156" s="47">
        <v>1420</v>
      </c>
      <c r="E156" s="47">
        <v>295</v>
      </c>
      <c r="F156" s="47">
        <v>3</v>
      </c>
    </row>
    <row r="157" spans="1:6">
      <c r="A157" s="48">
        <v>46240.166666666664</v>
      </c>
      <c r="B157" s="46" t="s">
        <v>25</v>
      </c>
      <c r="C157" s="47">
        <v>1420</v>
      </c>
      <c r="D157" s="47">
        <v>1420</v>
      </c>
      <c r="E157" s="47">
        <v>295</v>
      </c>
      <c r="F157" s="47">
        <v>3</v>
      </c>
    </row>
    <row r="158" spans="1:6">
      <c r="A158" s="48">
        <v>46240.208333333336</v>
      </c>
      <c r="B158" s="46" t="s">
        <v>25</v>
      </c>
      <c r="C158" s="47">
        <v>1420</v>
      </c>
      <c r="D158" s="47">
        <v>1420</v>
      </c>
      <c r="E158" s="47">
        <v>295</v>
      </c>
      <c r="F158" s="47">
        <v>3</v>
      </c>
    </row>
    <row r="159" spans="1:6">
      <c r="A159" s="48">
        <v>46240.25</v>
      </c>
      <c r="B159" s="46" t="s">
        <v>25</v>
      </c>
      <c r="C159" s="47">
        <v>1420</v>
      </c>
      <c r="D159" s="47">
        <v>1420</v>
      </c>
      <c r="E159" s="47">
        <v>295</v>
      </c>
      <c r="F159" s="47">
        <v>3</v>
      </c>
    </row>
    <row r="160" spans="1:6">
      <c r="A160" s="48">
        <v>46240.291666666664</v>
      </c>
      <c r="B160" s="46" t="s">
        <v>25</v>
      </c>
      <c r="C160" s="47">
        <v>1420</v>
      </c>
      <c r="D160" s="47">
        <v>1420</v>
      </c>
      <c r="E160" s="47">
        <v>295</v>
      </c>
      <c r="F160" s="47">
        <v>3</v>
      </c>
    </row>
    <row r="161" spans="1:6">
      <c r="A161" s="48">
        <v>46240.333333333336</v>
      </c>
      <c r="B161" s="46" t="s">
        <v>25</v>
      </c>
      <c r="C161" s="47">
        <v>1420</v>
      </c>
      <c r="D161" s="47">
        <v>1420</v>
      </c>
      <c r="E161" s="47">
        <v>295</v>
      </c>
      <c r="F161" s="47">
        <v>3</v>
      </c>
    </row>
    <row r="162" spans="1:6">
      <c r="A162" s="48">
        <v>46240.375</v>
      </c>
      <c r="B162" s="46" t="s">
        <v>25</v>
      </c>
      <c r="C162" s="47">
        <v>1420</v>
      </c>
      <c r="D162" s="47">
        <v>1420</v>
      </c>
      <c r="E162" s="47">
        <v>295</v>
      </c>
      <c r="F162" s="47">
        <v>3</v>
      </c>
    </row>
    <row r="163" spans="1:6">
      <c r="A163" s="48">
        <v>46240.416666666664</v>
      </c>
      <c r="B163" s="46" t="s">
        <v>25</v>
      </c>
      <c r="C163" s="47">
        <v>1420</v>
      </c>
      <c r="D163" s="47">
        <v>1420</v>
      </c>
      <c r="E163" s="47">
        <v>295</v>
      </c>
      <c r="F163" s="47">
        <v>3</v>
      </c>
    </row>
    <row r="164" spans="1:6">
      <c r="A164" s="48">
        <v>46240.458333333336</v>
      </c>
      <c r="B164" s="46" t="s">
        <v>25</v>
      </c>
      <c r="C164" s="47">
        <v>1420</v>
      </c>
      <c r="D164" s="47">
        <v>1420</v>
      </c>
      <c r="E164" s="47">
        <v>295</v>
      </c>
      <c r="F164" s="47">
        <v>3</v>
      </c>
    </row>
    <row r="165" spans="1:6">
      <c r="A165" s="48">
        <v>46240.5</v>
      </c>
      <c r="B165" s="46" t="s">
        <v>25</v>
      </c>
      <c r="C165" s="47">
        <v>1420</v>
      </c>
      <c r="D165" s="47">
        <v>1420</v>
      </c>
      <c r="E165" s="47">
        <v>295</v>
      </c>
      <c r="F165" s="47">
        <v>3</v>
      </c>
    </row>
    <row r="166" spans="1:6">
      <c r="A166" s="48">
        <v>46240.541666666664</v>
      </c>
      <c r="B166" s="46" t="s">
        <v>25</v>
      </c>
      <c r="C166" s="47">
        <v>1420</v>
      </c>
      <c r="D166" s="47">
        <v>1420</v>
      </c>
      <c r="E166" s="47">
        <v>295</v>
      </c>
      <c r="F166" s="47">
        <v>3</v>
      </c>
    </row>
    <row r="167" spans="1:6">
      <c r="A167" s="48">
        <v>46240.583333333336</v>
      </c>
      <c r="B167" s="46" t="s">
        <v>25</v>
      </c>
      <c r="C167" s="47">
        <v>1420</v>
      </c>
      <c r="D167" s="47">
        <v>1420</v>
      </c>
      <c r="E167" s="47">
        <v>295</v>
      </c>
      <c r="F167" s="47">
        <v>3</v>
      </c>
    </row>
    <row r="168" spans="1:6">
      <c r="A168" s="48">
        <v>46240.625</v>
      </c>
      <c r="B168" s="46" t="s">
        <v>25</v>
      </c>
      <c r="C168" s="47">
        <v>1420</v>
      </c>
      <c r="D168" s="47">
        <v>1420</v>
      </c>
      <c r="E168" s="47">
        <v>295</v>
      </c>
      <c r="F168" s="47">
        <v>3</v>
      </c>
    </row>
    <row r="169" spans="1:6">
      <c r="A169" s="48">
        <v>46240.666666666664</v>
      </c>
      <c r="B169" s="46" t="s">
        <v>25</v>
      </c>
      <c r="C169" s="47">
        <v>1420</v>
      </c>
      <c r="D169" s="47">
        <v>1420</v>
      </c>
      <c r="E169" s="47">
        <v>295</v>
      </c>
      <c r="F169" s="47">
        <v>3</v>
      </c>
    </row>
    <row r="170" spans="1:6">
      <c r="A170" s="48">
        <v>46240.708333333336</v>
      </c>
      <c r="B170" s="46" t="s">
        <v>25</v>
      </c>
      <c r="C170" s="47">
        <v>1420</v>
      </c>
      <c r="D170" s="47">
        <v>1420</v>
      </c>
      <c r="E170" s="47">
        <v>295</v>
      </c>
      <c r="F170" s="47">
        <v>3</v>
      </c>
    </row>
    <row r="171" spans="1:6">
      <c r="A171" s="48">
        <v>46240.75</v>
      </c>
      <c r="B171" s="46" t="s">
        <v>25</v>
      </c>
      <c r="C171" s="47">
        <v>1420</v>
      </c>
      <c r="D171" s="47">
        <v>1420</v>
      </c>
      <c r="E171" s="47">
        <v>295</v>
      </c>
      <c r="F171" s="47">
        <v>3</v>
      </c>
    </row>
    <row r="172" spans="1:6">
      <c r="A172" s="48">
        <v>46240.791666666664</v>
      </c>
      <c r="B172" s="46" t="s">
        <v>25</v>
      </c>
      <c r="C172" s="47">
        <v>1420</v>
      </c>
      <c r="D172" s="47">
        <v>1420</v>
      </c>
      <c r="E172" s="47">
        <v>295</v>
      </c>
      <c r="F172" s="47">
        <v>3</v>
      </c>
    </row>
    <row r="173" spans="1:6">
      <c r="A173" s="48">
        <v>46240.833333333336</v>
      </c>
      <c r="B173" s="46" t="s">
        <v>25</v>
      </c>
      <c r="C173" s="47">
        <v>1420</v>
      </c>
      <c r="D173" s="47">
        <v>1420</v>
      </c>
      <c r="E173" s="47">
        <v>295</v>
      </c>
      <c r="F173" s="47">
        <v>3</v>
      </c>
    </row>
    <row r="174" spans="1:6">
      <c r="A174" s="48">
        <v>46240.875</v>
      </c>
      <c r="B174" s="46" t="s">
        <v>25</v>
      </c>
      <c r="C174" s="47">
        <v>1420</v>
      </c>
      <c r="D174" s="47">
        <v>1420</v>
      </c>
      <c r="E174" s="47">
        <v>295</v>
      </c>
      <c r="F174" s="47">
        <v>3</v>
      </c>
    </row>
    <row r="175" spans="1:6">
      <c r="A175" s="48">
        <v>46240.916666666664</v>
      </c>
      <c r="B175" s="46" t="s">
        <v>25</v>
      </c>
      <c r="C175" s="47">
        <v>1420</v>
      </c>
      <c r="D175" s="47">
        <v>1420</v>
      </c>
      <c r="E175" s="47">
        <v>295</v>
      </c>
      <c r="F175" s="47">
        <v>3</v>
      </c>
    </row>
    <row r="176" spans="1:6">
      <c r="A176" s="48">
        <v>46240.958333333336</v>
      </c>
      <c r="B176" s="46" t="s">
        <v>25</v>
      </c>
      <c r="C176" s="47">
        <v>1420</v>
      </c>
      <c r="D176" s="47">
        <v>1420</v>
      </c>
      <c r="E176" s="47">
        <v>295</v>
      </c>
      <c r="F176" s="47">
        <v>3</v>
      </c>
    </row>
    <row r="177" spans="1:6">
      <c r="A177" s="48">
        <v>46241</v>
      </c>
      <c r="B177" s="46" t="s">
        <v>25</v>
      </c>
      <c r="C177" s="47">
        <v>1420</v>
      </c>
      <c r="D177" s="47">
        <v>1420</v>
      </c>
      <c r="E177" s="47">
        <v>295</v>
      </c>
      <c r="F177" s="47">
        <v>3</v>
      </c>
    </row>
    <row r="178" spans="1:6">
      <c r="A178" s="48">
        <v>46241.041666666664</v>
      </c>
      <c r="B178" s="46" t="s">
        <v>25</v>
      </c>
      <c r="C178" s="47">
        <v>1420</v>
      </c>
      <c r="D178" s="47">
        <v>1420</v>
      </c>
      <c r="E178" s="47">
        <v>295</v>
      </c>
      <c r="F178" s="47">
        <v>3</v>
      </c>
    </row>
    <row r="179" spans="1:6">
      <c r="A179" s="48">
        <v>46241.083333333336</v>
      </c>
      <c r="B179" s="46" t="s">
        <v>25</v>
      </c>
      <c r="C179" s="47">
        <v>1420</v>
      </c>
      <c r="D179" s="47">
        <v>1420</v>
      </c>
      <c r="E179" s="47">
        <v>295</v>
      </c>
      <c r="F179" s="47">
        <v>3</v>
      </c>
    </row>
    <row r="180" spans="1:6">
      <c r="A180" s="48">
        <v>46241.125</v>
      </c>
      <c r="B180" s="46" t="s">
        <v>25</v>
      </c>
      <c r="C180" s="47">
        <v>1420</v>
      </c>
      <c r="D180" s="47">
        <v>1420</v>
      </c>
      <c r="E180" s="47">
        <v>295</v>
      </c>
      <c r="F180" s="47">
        <v>3</v>
      </c>
    </row>
    <row r="181" spans="1:6">
      <c r="A181" s="48">
        <v>46241.166666666664</v>
      </c>
      <c r="B181" s="46" t="s">
        <v>25</v>
      </c>
      <c r="C181" s="47">
        <v>1420</v>
      </c>
      <c r="D181" s="47">
        <v>1420</v>
      </c>
      <c r="E181" s="47">
        <v>295</v>
      </c>
      <c r="F181" s="47">
        <v>3</v>
      </c>
    </row>
    <row r="182" spans="1:6">
      <c r="A182" s="48">
        <v>46241.208333333336</v>
      </c>
      <c r="B182" s="46" t="s">
        <v>25</v>
      </c>
      <c r="C182" s="47">
        <v>1420</v>
      </c>
      <c r="D182" s="47">
        <v>1420</v>
      </c>
      <c r="E182" s="47">
        <v>295</v>
      </c>
      <c r="F182" s="47">
        <v>3</v>
      </c>
    </row>
    <row r="183" spans="1:6">
      <c r="A183" s="48">
        <v>46241.25</v>
      </c>
      <c r="B183" s="46" t="s">
        <v>25</v>
      </c>
      <c r="C183" s="47">
        <v>1420</v>
      </c>
      <c r="D183" s="47">
        <v>1420</v>
      </c>
      <c r="E183" s="47">
        <v>295</v>
      </c>
      <c r="F183" s="47">
        <v>3</v>
      </c>
    </row>
    <row r="184" spans="1:6">
      <c r="A184" s="48">
        <v>46241.291666666664</v>
      </c>
      <c r="B184" s="46" t="s">
        <v>25</v>
      </c>
      <c r="C184" s="47">
        <v>1420</v>
      </c>
      <c r="D184" s="47">
        <v>1420</v>
      </c>
      <c r="E184" s="47">
        <v>295</v>
      </c>
      <c r="F184" s="47">
        <v>3</v>
      </c>
    </row>
    <row r="185" spans="1:6">
      <c r="A185" s="48">
        <v>46241.333333333336</v>
      </c>
      <c r="B185" s="46" t="s">
        <v>25</v>
      </c>
      <c r="C185" s="47">
        <v>1420</v>
      </c>
      <c r="D185" s="47">
        <v>1420</v>
      </c>
      <c r="E185" s="47">
        <v>295</v>
      </c>
      <c r="F185" s="47">
        <v>3</v>
      </c>
    </row>
    <row r="186" spans="1:6">
      <c r="A186" s="48">
        <v>46241.375</v>
      </c>
      <c r="B186" s="46" t="s">
        <v>25</v>
      </c>
      <c r="C186" s="47">
        <v>1420</v>
      </c>
      <c r="D186" s="47">
        <v>1420</v>
      </c>
      <c r="E186" s="47">
        <v>295</v>
      </c>
      <c r="F186" s="47">
        <v>3</v>
      </c>
    </row>
    <row r="187" spans="1:6">
      <c r="A187" s="48">
        <v>46241.416666666664</v>
      </c>
      <c r="B187" s="46" t="s">
        <v>25</v>
      </c>
      <c r="C187" s="47">
        <v>1420</v>
      </c>
      <c r="D187" s="47">
        <v>1420</v>
      </c>
      <c r="E187" s="47">
        <v>295</v>
      </c>
      <c r="F187" s="47">
        <v>3</v>
      </c>
    </row>
    <row r="188" spans="1:6">
      <c r="A188" s="48">
        <v>46241.458333333336</v>
      </c>
      <c r="B188" s="46" t="s">
        <v>25</v>
      </c>
      <c r="C188" s="47">
        <v>1420</v>
      </c>
      <c r="D188" s="47">
        <v>1420</v>
      </c>
      <c r="E188" s="47">
        <v>295</v>
      </c>
      <c r="F188" s="47">
        <v>3</v>
      </c>
    </row>
    <row r="189" spans="1:6">
      <c r="A189" s="48">
        <v>46241.5</v>
      </c>
      <c r="B189" s="46" t="s">
        <v>25</v>
      </c>
      <c r="C189" s="47">
        <v>1420</v>
      </c>
      <c r="D189" s="47">
        <v>1420</v>
      </c>
      <c r="E189" s="47">
        <v>295</v>
      </c>
      <c r="F189" s="47">
        <v>3</v>
      </c>
    </row>
    <row r="190" spans="1:6">
      <c r="A190" s="48">
        <v>46241.541666666664</v>
      </c>
      <c r="B190" s="46" t="s">
        <v>25</v>
      </c>
      <c r="C190" s="47">
        <v>1420</v>
      </c>
      <c r="D190" s="47">
        <v>1420</v>
      </c>
      <c r="E190" s="47">
        <v>295</v>
      </c>
      <c r="F190" s="47">
        <v>3</v>
      </c>
    </row>
    <row r="191" spans="1:6">
      <c r="A191" s="48">
        <v>46241.583333333336</v>
      </c>
      <c r="B191" s="46" t="s">
        <v>25</v>
      </c>
      <c r="C191" s="47">
        <v>1420</v>
      </c>
      <c r="D191" s="47">
        <v>1420</v>
      </c>
      <c r="E191" s="47">
        <v>295</v>
      </c>
      <c r="F191" s="47">
        <v>3</v>
      </c>
    </row>
    <row r="192" spans="1:6">
      <c r="A192" s="48">
        <v>46241.625</v>
      </c>
      <c r="B192" s="46" t="s">
        <v>25</v>
      </c>
      <c r="C192" s="47">
        <v>1420</v>
      </c>
      <c r="D192" s="47">
        <v>1420</v>
      </c>
      <c r="E192" s="47">
        <v>295</v>
      </c>
      <c r="F192" s="47">
        <v>3</v>
      </c>
    </row>
    <row r="193" spans="1:6">
      <c r="A193" s="48">
        <v>46241.666666666664</v>
      </c>
      <c r="B193" s="46" t="s">
        <v>25</v>
      </c>
      <c r="C193" s="47">
        <v>1420</v>
      </c>
      <c r="D193" s="47">
        <v>1420</v>
      </c>
      <c r="E193" s="47">
        <v>295</v>
      </c>
      <c r="F193" s="47">
        <v>3</v>
      </c>
    </row>
    <row r="194" spans="1:6">
      <c r="A194" s="48">
        <v>46241.708333333336</v>
      </c>
      <c r="B194" s="46" t="s">
        <v>25</v>
      </c>
      <c r="C194" s="47">
        <v>1420</v>
      </c>
      <c r="D194" s="47">
        <v>1420</v>
      </c>
      <c r="E194" s="47">
        <v>295</v>
      </c>
      <c r="F194" s="47">
        <v>3</v>
      </c>
    </row>
    <row r="195" spans="1:6">
      <c r="A195" s="48">
        <v>46241.75</v>
      </c>
      <c r="B195" s="46" t="s">
        <v>25</v>
      </c>
      <c r="C195" s="47">
        <v>1420</v>
      </c>
      <c r="D195" s="47">
        <v>1420</v>
      </c>
      <c r="E195" s="47">
        <v>295</v>
      </c>
      <c r="F195" s="47">
        <v>3</v>
      </c>
    </row>
    <row r="196" spans="1:6">
      <c r="A196" s="48">
        <v>46241.791666666664</v>
      </c>
      <c r="B196" s="46" t="s">
        <v>25</v>
      </c>
      <c r="C196" s="47">
        <v>1420</v>
      </c>
      <c r="D196" s="47">
        <v>1420</v>
      </c>
      <c r="E196" s="47">
        <v>295</v>
      </c>
      <c r="F196" s="47">
        <v>3</v>
      </c>
    </row>
    <row r="197" spans="1:6">
      <c r="A197" s="48">
        <v>46241.833333333336</v>
      </c>
      <c r="B197" s="46" t="s">
        <v>25</v>
      </c>
      <c r="C197" s="47">
        <v>1420</v>
      </c>
      <c r="D197" s="47">
        <v>1420</v>
      </c>
      <c r="E197" s="47">
        <v>295</v>
      </c>
      <c r="F197" s="47">
        <v>3</v>
      </c>
    </row>
    <row r="198" spans="1:6">
      <c r="A198" s="48">
        <v>46241.875</v>
      </c>
      <c r="B198" s="46" t="s">
        <v>25</v>
      </c>
      <c r="C198" s="47">
        <v>1420</v>
      </c>
      <c r="D198" s="47">
        <v>1420</v>
      </c>
      <c r="E198" s="47">
        <v>295</v>
      </c>
      <c r="F198" s="47">
        <v>3</v>
      </c>
    </row>
    <row r="199" spans="1:6">
      <c r="A199" s="48">
        <v>46241.916666666664</v>
      </c>
      <c r="B199" s="46" t="s">
        <v>25</v>
      </c>
      <c r="C199" s="47">
        <v>1420</v>
      </c>
      <c r="D199" s="47">
        <v>1420</v>
      </c>
      <c r="E199" s="47">
        <v>295</v>
      </c>
      <c r="F199" s="47">
        <v>3</v>
      </c>
    </row>
    <row r="200" spans="1:6">
      <c r="A200" s="48">
        <v>46241.958333333336</v>
      </c>
      <c r="B200" s="46" t="s">
        <v>25</v>
      </c>
      <c r="C200" s="47">
        <v>1420</v>
      </c>
      <c r="D200" s="47">
        <v>1420</v>
      </c>
      <c r="E200" s="47">
        <v>295</v>
      </c>
      <c r="F200" s="47">
        <v>3</v>
      </c>
    </row>
    <row r="201" spans="1:6">
      <c r="A201" s="48">
        <v>46242</v>
      </c>
      <c r="B201" s="46" t="s">
        <v>25</v>
      </c>
      <c r="C201" s="47">
        <v>1420</v>
      </c>
      <c r="D201" s="47">
        <v>1420</v>
      </c>
      <c r="E201" s="47">
        <v>295</v>
      </c>
      <c r="F201" s="47">
        <v>3</v>
      </c>
    </row>
    <row r="202" spans="1:6">
      <c r="A202" s="48">
        <v>46242.041666666664</v>
      </c>
      <c r="B202" s="46" t="s">
        <v>25</v>
      </c>
      <c r="C202" s="47">
        <v>1420</v>
      </c>
      <c r="D202" s="47">
        <v>1420</v>
      </c>
      <c r="E202" s="47">
        <v>295</v>
      </c>
      <c r="F202" s="47">
        <v>3</v>
      </c>
    </row>
    <row r="203" spans="1:6">
      <c r="A203" s="48">
        <v>46242.083333333336</v>
      </c>
      <c r="B203" s="46" t="s">
        <v>25</v>
      </c>
      <c r="C203" s="47">
        <v>1420</v>
      </c>
      <c r="D203" s="47">
        <v>1420</v>
      </c>
      <c r="E203" s="47">
        <v>295</v>
      </c>
      <c r="F203" s="47">
        <v>3</v>
      </c>
    </row>
    <row r="204" spans="1:6">
      <c r="A204" s="48">
        <v>46242.125</v>
      </c>
      <c r="B204" s="46" t="s">
        <v>25</v>
      </c>
      <c r="C204" s="47">
        <v>1420</v>
      </c>
      <c r="D204" s="47">
        <v>1420</v>
      </c>
      <c r="E204" s="47">
        <v>295</v>
      </c>
      <c r="F204" s="47">
        <v>3</v>
      </c>
    </row>
    <row r="205" spans="1:6">
      <c r="A205" s="48">
        <v>46242.166666666664</v>
      </c>
      <c r="B205" s="46" t="s">
        <v>25</v>
      </c>
      <c r="C205" s="47">
        <v>1420</v>
      </c>
      <c r="D205" s="47">
        <v>1420</v>
      </c>
      <c r="E205" s="47">
        <v>295</v>
      </c>
      <c r="F205" s="47">
        <v>3</v>
      </c>
    </row>
    <row r="206" spans="1:6">
      <c r="A206" s="48">
        <v>46242.208333333336</v>
      </c>
      <c r="B206" s="46" t="s">
        <v>25</v>
      </c>
      <c r="C206" s="47">
        <v>1420</v>
      </c>
      <c r="D206" s="47">
        <v>1420</v>
      </c>
      <c r="E206" s="47">
        <v>295</v>
      </c>
      <c r="F206" s="47">
        <v>3</v>
      </c>
    </row>
    <row r="207" spans="1:6">
      <c r="A207" s="48">
        <v>46242.25</v>
      </c>
      <c r="B207" s="46" t="s">
        <v>25</v>
      </c>
      <c r="C207" s="47">
        <v>1420</v>
      </c>
      <c r="D207" s="47">
        <v>1420</v>
      </c>
      <c r="E207" s="47">
        <v>295</v>
      </c>
      <c r="F207" s="47">
        <v>3</v>
      </c>
    </row>
    <row r="208" spans="1:6">
      <c r="A208" s="48">
        <v>46242.291666666664</v>
      </c>
      <c r="B208" s="46" t="s">
        <v>25</v>
      </c>
      <c r="C208" s="47">
        <v>1420</v>
      </c>
      <c r="D208" s="47">
        <v>1420</v>
      </c>
      <c r="E208" s="47">
        <v>295</v>
      </c>
      <c r="F208" s="47">
        <v>3</v>
      </c>
    </row>
    <row r="209" spans="1:6">
      <c r="A209" s="48">
        <v>46242.333333333336</v>
      </c>
      <c r="B209" s="46" t="s">
        <v>25</v>
      </c>
      <c r="C209" s="47">
        <v>1420</v>
      </c>
      <c r="D209" s="47">
        <v>1420</v>
      </c>
      <c r="E209" s="47">
        <v>295</v>
      </c>
      <c r="F209" s="47">
        <v>3</v>
      </c>
    </row>
    <row r="210" spans="1:6">
      <c r="A210" s="48">
        <v>46242.375</v>
      </c>
      <c r="B210" s="46" t="s">
        <v>25</v>
      </c>
      <c r="C210" s="47">
        <v>1420</v>
      </c>
      <c r="D210" s="47">
        <v>1420</v>
      </c>
      <c r="E210" s="47">
        <v>295</v>
      </c>
      <c r="F210" s="47">
        <v>3</v>
      </c>
    </row>
    <row r="211" spans="1:6">
      <c r="A211" s="48">
        <v>46242.416666666664</v>
      </c>
      <c r="B211" s="46" t="s">
        <v>25</v>
      </c>
      <c r="C211" s="47">
        <v>1420</v>
      </c>
      <c r="D211" s="47">
        <v>1420</v>
      </c>
      <c r="E211" s="47">
        <v>295</v>
      </c>
      <c r="F211" s="47">
        <v>3</v>
      </c>
    </row>
    <row r="212" spans="1:6">
      <c r="A212" s="48">
        <v>46242.458333333336</v>
      </c>
      <c r="B212" s="46" t="s">
        <v>25</v>
      </c>
      <c r="C212" s="47">
        <v>1420</v>
      </c>
      <c r="D212" s="47">
        <v>1420</v>
      </c>
      <c r="E212" s="47">
        <v>295</v>
      </c>
      <c r="F212" s="47">
        <v>3</v>
      </c>
    </row>
    <row r="213" spans="1:6">
      <c r="A213" s="48">
        <v>46242.5</v>
      </c>
      <c r="B213" s="46" t="s">
        <v>25</v>
      </c>
      <c r="C213" s="47">
        <v>1420</v>
      </c>
      <c r="D213" s="47">
        <v>1420</v>
      </c>
      <c r="E213" s="47">
        <v>295</v>
      </c>
      <c r="F213" s="47">
        <v>3</v>
      </c>
    </row>
    <row r="214" spans="1:6">
      <c r="A214" s="48">
        <v>46242.541666666664</v>
      </c>
      <c r="B214" s="46" t="s">
        <v>25</v>
      </c>
      <c r="C214" s="47">
        <v>1420</v>
      </c>
      <c r="D214" s="47">
        <v>1420</v>
      </c>
      <c r="E214" s="47">
        <v>295</v>
      </c>
      <c r="F214" s="47">
        <v>3</v>
      </c>
    </row>
    <row r="215" spans="1:6">
      <c r="A215" s="48">
        <v>46242.583333333336</v>
      </c>
      <c r="B215" s="46" t="s">
        <v>25</v>
      </c>
      <c r="C215" s="47">
        <v>1420</v>
      </c>
      <c r="D215" s="47">
        <v>1420</v>
      </c>
      <c r="E215" s="47">
        <v>295</v>
      </c>
      <c r="F215" s="47">
        <v>3</v>
      </c>
    </row>
    <row r="216" spans="1:6">
      <c r="A216" s="48">
        <v>46242.625</v>
      </c>
      <c r="B216" s="46" t="s">
        <v>25</v>
      </c>
      <c r="C216" s="47">
        <v>1420</v>
      </c>
      <c r="D216" s="47">
        <v>1420</v>
      </c>
      <c r="E216" s="47">
        <v>295</v>
      </c>
      <c r="F216" s="47">
        <v>3</v>
      </c>
    </row>
    <row r="217" spans="1:6">
      <c r="A217" s="48">
        <v>46242.666666666664</v>
      </c>
      <c r="B217" s="46" t="s">
        <v>25</v>
      </c>
      <c r="C217" s="47">
        <v>1420</v>
      </c>
      <c r="D217" s="47">
        <v>1420</v>
      </c>
      <c r="E217" s="47">
        <v>295</v>
      </c>
      <c r="F217" s="47">
        <v>3</v>
      </c>
    </row>
    <row r="218" spans="1:6">
      <c r="A218" s="48">
        <v>46242.708333333336</v>
      </c>
      <c r="B218" s="46" t="s">
        <v>25</v>
      </c>
      <c r="C218" s="47">
        <v>1420</v>
      </c>
      <c r="D218" s="47">
        <v>1420</v>
      </c>
      <c r="E218" s="47">
        <v>295</v>
      </c>
      <c r="F218" s="47">
        <v>3</v>
      </c>
    </row>
    <row r="219" spans="1:6">
      <c r="A219" s="48">
        <v>46242.75</v>
      </c>
      <c r="B219" s="46" t="s">
        <v>25</v>
      </c>
      <c r="C219" s="47">
        <v>1420</v>
      </c>
      <c r="D219" s="47">
        <v>1420</v>
      </c>
      <c r="E219" s="47">
        <v>295</v>
      </c>
      <c r="F219" s="47">
        <v>3</v>
      </c>
    </row>
    <row r="220" spans="1:6">
      <c r="A220" s="48">
        <v>46242.791666666664</v>
      </c>
      <c r="B220" s="46" t="s">
        <v>25</v>
      </c>
      <c r="C220" s="47">
        <v>1420</v>
      </c>
      <c r="D220" s="47">
        <v>1420</v>
      </c>
      <c r="E220" s="47">
        <v>295</v>
      </c>
      <c r="F220" s="47">
        <v>3</v>
      </c>
    </row>
    <row r="221" spans="1:6">
      <c r="A221" s="48">
        <v>46242.833333333336</v>
      </c>
      <c r="B221" s="46" t="s">
        <v>25</v>
      </c>
      <c r="C221" s="47">
        <v>1420</v>
      </c>
      <c r="D221" s="47">
        <v>1420</v>
      </c>
      <c r="E221" s="47">
        <v>295</v>
      </c>
      <c r="F221" s="47">
        <v>3</v>
      </c>
    </row>
    <row r="222" spans="1:6">
      <c r="A222" s="48">
        <v>46242.875</v>
      </c>
      <c r="B222" s="46" t="s">
        <v>25</v>
      </c>
      <c r="C222" s="47">
        <v>1420</v>
      </c>
      <c r="D222" s="47">
        <v>1420</v>
      </c>
      <c r="E222" s="47">
        <v>295</v>
      </c>
      <c r="F222" s="47">
        <v>3</v>
      </c>
    </row>
    <row r="223" spans="1:6">
      <c r="A223" s="48">
        <v>46242.916666666664</v>
      </c>
      <c r="B223" s="46" t="s">
        <v>25</v>
      </c>
      <c r="C223" s="47">
        <v>1420</v>
      </c>
      <c r="D223" s="47">
        <v>1420</v>
      </c>
      <c r="E223" s="47">
        <v>295</v>
      </c>
      <c r="F223" s="47">
        <v>3</v>
      </c>
    </row>
    <row r="224" spans="1:6">
      <c r="A224" s="48">
        <v>46242.958333333336</v>
      </c>
      <c r="B224" s="46" t="s">
        <v>25</v>
      </c>
      <c r="C224" s="47">
        <v>1420</v>
      </c>
      <c r="D224" s="47">
        <v>1420</v>
      </c>
      <c r="E224" s="47">
        <v>295</v>
      </c>
      <c r="F224" s="47">
        <v>3</v>
      </c>
    </row>
    <row r="225" spans="1:6">
      <c r="A225" s="48">
        <v>46243</v>
      </c>
      <c r="B225" s="46" t="s">
        <v>25</v>
      </c>
      <c r="C225" s="47">
        <v>1420</v>
      </c>
      <c r="D225" s="47">
        <v>1420</v>
      </c>
      <c r="E225" s="47">
        <v>295</v>
      </c>
      <c r="F225" s="47">
        <v>3</v>
      </c>
    </row>
    <row r="226" spans="1:6">
      <c r="A226" s="48">
        <v>46243.041666666664</v>
      </c>
      <c r="B226" s="46" t="s">
        <v>25</v>
      </c>
      <c r="C226" s="47">
        <v>1420</v>
      </c>
      <c r="D226" s="47">
        <v>1420</v>
      </c>
      <c r="E226" s="47">
        <v>295</v>
      </c>
      <c r="F226" s="47">
        <v>3</v>
      </c>
    </row>
    <row r="227" spans="1:6">
      <c r="A227" s="48">
        <v>46243.083333333336</v>
      </c>
      <c r="B227" s="46" t="s">
        <v>25</v>
      </c>
      <c r="C227" s="47">
        <v>1420</v>
      </c>
      <c r="D227" s="47">
        <v>1420</v>
      </c>
      <c r="E227" s="47">
        <v>295</v>
      </c>
      <c r="F227" s="47">
        <v>3</v>
      </c>
    </row>
    <row r="228" spans="1:6">
      <c r="A228" s="48">
        <v>46243.125</v>
      </c>
      <c r="B228" s="46" t="s">
        <v>25</v>
      </c>
      <c r="C228" s="47">
        <v>1420</v>
      </c>
      <c r="D228" s="47">
        <v>1420</v>
      </c>
      <c r="E228" s="47">
        <v>295</v>
      </c>
      <c r="F228" s="47">
        <v>3</v>
      </c>
    </row>
    <row r="229" spans="1:6">
      <c r="A229" s="48">
        <v>46243.166666666664</v>
      </c>
      <c r="B229" s="46" t="s">
        <v>25</v>
      </c>
      <c r="C229" s="47">
        <v>1420</v>
      </c>
      <c r="D229" s="47">
        <v>1420</v>
      </c>
      <c r="E229" s="47">
        <v>295</v>
      </c>
      <c r="F229" s="47">
        <v>3</v>
      </c>
    </row>
    <row r="230" spans="1:6">
      <c r="A230" s="48">
        <v>46243.208333333336</v>
      </c>
      <c r="B230" s="46" t="s">
        <v>25</v>
      </c>
      <c r="C230" s="47">
        <v>1420</v>
      </c>
      <c r="D230" s="47">
        <v>1420</v>
      </c>
      <c r="E230" s="47">
        <v>295</v>
      </c>
      <c r="F230" s="47">
        <v>3</v>
      </c>
    </row>
    <row r="231" spans="1:6">
      <c r="A231" s="48">
        <v>46243.25</v>
      </c>
      <c r="B231" s="46" t="s">
        <v>25</v>
      </c>
      <c r="C231" s="47">
        <v>1420</v>
      </c>
      <c r="D231" s="47">
        <v>1420</v>
      </c>
      <c r="E231" s="47">
        <v>295</v>
      </c>
      <c r="F231" s="47">
        <v>3</v>
      </c>
    </row>
    <row r="232" spans="1:6">
      <c r="A232" s="48">
        <v>46243.291666666664</v>
      </c>
      <c r="B232" s="46" t="s">
        <v>25</v>
      </c>
      <c r="C232" s="47">
        <v>1420</v>
      </c>
      <c r="D232" s="47">
        <v>1420</v>
      </c>
      <c r="E232" s="47">
        <v>295</v>
      </c>
      <c r="F232" s="47">
        <v>3</v>
      </c>
    </row>
    <row r="233" spans="1:6">
      <c r="A233" s="48">
        <v>46243.333333333336</v>
      </c>
      <c r="B233" s="46" t="s">
        <v>25</v>
      </c>
      <c r="C233" s="47">
        <v>1420</v>
      </c>
      <c r="D233" s="47">
        <v>1420</v>
      </c>
      <c r="E233" s="47">
        <v>295</v>
      </c>
      <c r="F233" s="47">
        <v>3</v>
      </c>
    </row>
    <row r="234" spans="1:6">
      <c r="A234" s="48">
        <v>46243.375</v>
      </c>
      <c r="B234" s="46" t="s">
        <v>25</v>
      </c>
      <c r="C234" s="47">
        <v>1420</v>
      </c>
      <c r="D234" s="47">
        <v>1420</v>
      </c>
      <c r="E234" s="47">
        <v>295</v>
      </c>
      <c r="F234" s="47">
        <v>3</v>
      </c>
    </row>
    <row r="235" spans="1:6">
      <c r="A235" s="48">
        <v>46243.416666666664</v>
      </c>
      <c r="B235" s="46" t="s">
        <v>25</v>
      </c>
      <c r="C235" s="47">
        <v>1420</v>
      </c>
      <c r="D235" s="47">
        <v>1420</v>
      </c>
      <c r="E235" s="47">
        <v>295</v>
      </c>
      <c r="F235" s="47">
        <v>3</v>
      </c>
    </row>
    <row r="236" spans="1:6">
      <c r="A236" s="48">
        <v>46243.458333333336</v>
      </c>
      <c r="B236" s="46" t="s">
        <v>25</v>
      </c>
      <c r="C236" s="47">
        <v>1420</v>
      </c>
      <c r="D236" s="47">
        <v>1420</v>
      </c>
      <c r="E236" s="47">
        <v>295</v>
      </c>
      <c r="F236" s="47">
        <v>3</v>
      </c>
    </row>
    <row r="237" spans="1:6">
      <c r="A237" s="48">
        <v>46243.5</v>
      </c>
      <c r="B237" s="46" t="s">
        <v>25</v>
      </c>
      <c r="C237" s="47">
        <v>1420</v>
      </c>
      <c r="D237" s="47">
        <v>1420</v>
      </c>
      <c r="E237" s="47">
        <v>295</v>
      </c>
      <c r="F237" s="47">
        <v>3</v>
      </c>
    </row>
    <row r="238" spans="1:6">
      <c r="A238" s="48">
        <v>46243.541666666664</v>
      </c>
      <c r="B238" s="46" t="s">
        <v>25</v>
      </c>
      <c r="C238" s="47">
        <v>1420</v>
      </c>
      <c r="D238" s="47">
        <v>1420</v>
      </c>
      <c r="E238" s="47">
        <v>295</v>
      </c>
      <c r="F238" s="47">
        <v>3</v>
      </c>
    </row>
    <row r="239" spans="1:6">
      <c r="A239" s="48">
        <v>46243.583333333336</v>
      </c>
      <c r="B239" s="46" t="s">
        <v>25</v>
      </c>
      <c r="C239" s="47">
        <v>1420</v>
      </c>
      <c r="D239" s="47">
        <v>1420</v>
      </c>
      <c r="E239" s="47">
        <v>295</v>
      </c>
      <c r="F239" s="47">
        <v>3</v>
      </c>
    </row>
    <row r="240" spans="1:6">
      <c r="A240" s="48">
        <v>46243.625</v>
      </c>
      <c r="B240" s="46" t="s">
        <v>25</v>
      </c>
      <c r="C240" s="47">
        <v>1420</v>
      </c>
      <c r="D240" s="47">
        <v>1420</v>
      </c>
      <c r="E240" s="47">
        <v>295</v>
      </c>
      <c r="F240" s="47">
        <v>3</v>
      </c>
    </row>
    <row r="241" spans="1:6">
      <c r="A241" s="48">
        <v>46243.666666666664</v>
      </c>
      <c r="B241" s="46" t="s">
        <v>25</v>
      </c>
      <c r="C241" s="47">
        <v>1420</v>
      </c>
      <c r="D241" s="47">
        <v>1420</v>
      </c>
      <c r="E241" s="47">
        <v>295</v>
      </c>
      <c r="F241" s="47">
        <v>3</v>
      </c>
    </row>
    <row r="242" spans="1:6">
      <c r="A242" s="48">
        <v>46243.708333333336</v>
      </c>
      <c r="B242" s="46" t="s">
        <v>25</v>
      </c>
      <c r="C242" s="47">
        <v>1420</v>
      </c>
      <c r="D242" s="47">
        <v>1420</v>
      </c>
      <c r="E242" s="47">
        <v>295</v>
      </c>
      <c r="F242" s="47">
        <v>3</v>
      </c>
    </row>
    <row r="243" spans="1:6">
      <c r="A243" s="48">
        <v>46243.75</v>
      </c>
      <c r="B243" s="46" t="s">
        <v>25</v>
      </c>
      <c r="C243" s="47">
        <v>1420</v>
      </c>
      <c r="D243" s="47">
        <v>1420</v>
      </c>
      <c r="E243" s="47">
        <v>295</v>
      </c>
      <c r="F243" s="47">
        <v>3</v>
      </c>
    </row>
    <row r="244" spans="1:6">
      <c r="A244" s="48">
        <v>46243.791666666664</v>
      </c>
      <c r="B244" s="46" t="s">
        <v>25</v>
      </c>
      <c r="C244" s="47">
        <v>1420</v>
      </c>
      <c r="D244" s="47">
        <v>1420</v>
      </c>
      <c r="E244" s="47">
        <v>295</v>
      </c>
      <c r="F244" s="47">
        <v>3</v>
      </c>
    </row>
    <row r="245" spans="1:6">
      <c r="A245" s="48">
        <v>46243.833333333336</v>
      </c>
      <c r="B245" s="46" t="s">
        <v>25</v>
      </c>
      <c r="C245" s="47">
        <v>1420</v>
      </c>
      <c r="D245" s="47">
        <v>1420</v>
      </c>
      <c r="E245" s="47">
        <v>295</v>
      </c>
      <c r="F245" s="47">
        <v>3</v>
      </c>
    </row>
    <row r="246" spans="1:6">
      <c r="A246" s="48">
        <v>46243.875</v>
      </c>
      <c r="B246" s="46" t="s">
        <v>25</v>
      </c>
      <c r="C246" s="47">
        <v>1420</v>
      </c>
      <c r="D246" s="47">
        <v>1420</v>
      </c>
      <c r="E246" s="47">
        <v>295</v>
      </c>
      <c r="F246" s="47">
        <v>3</v>
      </c>
    </row>
    <row r="247" spans="1:6">
      <c r="A247" s="48">
        <v>46243.916666666664</v>
      </c>
      <c r="B247" s="46" t="s">
        <v>25</v>
      </c>
      <c r="C247" s="47">
        <v>1420</v>
      </c>
      <c r="D247" s="47">
        <v>1420</v>
      </c>
      <c r="E247" s="47">
        <v>295</v>
      </c>
      <c r="F247" s="47">
        <v>3</v>
      </c>
    </row>
    <row r="248" spans="1:6">
      <c r="A248" s="48">
        <v>46243.958333333336</v>
      </c>
      <c r="B248" s="46" t="s">
        <v>25</v>
      </c>
      <c r="C248" s="47">
        <v>1420</v>
      </c>
      <c r="D248" s="47">
        <v>1420</v>
      </c>
      <c r="E248" s="47">
        <v>295</v>
      </c>
      <c r="F248" s="47">
        <v>3</v>
      </c>
    </row>
    <row r="249" spans="1:6">
      <c r="A249" s="48">
        <v>46244</v>
      </c>
      <c r="B249" s="46" t="s">
        <v>25</v>
      </c>
      <c r="C249" s="47">
        <v>1420</v>
      </c>
      <c r="D249" s="47">
        <v>1420</v>
      </c>
      <c r="E249" s="47">
        <v>295</v>
      </c>
      <c r="F249" s="47">
        <v>3</v>
      </c>
    </row>
    <row r="250" spans="1:6">
      <c r="A250" s="48">
        <v>46244.041666666664</v>
      </c>
      <c r="B250" s="46" t="s">
        <v>25</v>
      </c>
      <c r="C250" s="47">
        <v>1420</v>
      </c>
      <c r="D250" s="47">
        <v>1420</v>
      </c>
      <c r="E250" s="47">
        <v>295</v>
      </c>
      <c r="F250" s="47">
        <v>3</v>
      </c>
    </row>
    <row r="251" spans="1:6">
      <c r="A251" s="48">
        <v>46244.083333333336</v>
      </c>
      <c r="B251" s="46" t="s">
        <v>25</v>
      </c>
      <c r="C251" s="47">
        <v>1420</v>
      </c>
      <c r="D251" s="47">
        <v>1420</v>
      </c>
      <c r="E251" s="47">
        <v>295</v>
      </c>
      <c r="F251" s="47">
        <v>3</v>
      </c>
    </row>
    <row r="252" spans="1:6">
      <c r="A252" s="48">
        <v>46244.125</v>
      </c>
      <c r="B252" s="46" t="s">
        <v>25</v>
      </c>
      <c r="C252" s="47">
        <v>1420</v>
      </c>
      <c r="D252" s="47">
        <v>1420</v>
      </c>
      <c r="E252" s="47">
        <v>295</v>
      </c>
      <c r="F252" s="47">
        <v>3</v>
      </c>
    </row>
    <row r="253" spans="1:6">
      <c r="A253" s="48">
        <v>46244.166666666664</v>
      </c>
      <c r="B253" s="46" t="s">
        <v>25</v>
      </c>
      <c r="C253" s="47">
        <v>1420</v>
      </c>
      <c r="D253" s="47">
        <v>1420</v>
      </c>
      <c r="E253" s="47">
        <v>295</v>
      </c>
      <c r="F253" s="47">
        <v>3</v>
      </c>
    </row>
    <row r="254" spans="1:6">
      <c r="A254" s="48">
        <v>46244.208333333336</v>
      </c>
      <c r="B254" s="46" t="s">
        <v>25</v>
      </c>
      <c r="C254" s="47">
        <v>1420</v>
      </c>
      <c r="D254" s="47">
        <v>1420</v>
      </c>
      <c r="E254" s="47">
        <v>295</v>
      </c>
      <c r="F254" s="47">
        <v>3</v>
      </c>
    </row>
    <row r="255" spans="1:6">
      <c r="A255" s="48">
        <v>46244.25</v>
      </c>
      <c r="B255" s="46" t="s">
        <v>25</v>
      </c>
      <c r="C255" s="47">
        <v>1420</v>
      </c>
      <c r="D255" s="47">
        <v>1420</v>
      </c>
      <c r="E255" s="47">
        <v>295</v>
      </c>
      <c r="F255" s="47">
        <v>3</v>
      </c>
    </row>
    <row r="256" spans="1:6">
      <c r="A256" s="48">
        <v>46244.291666666664</v>
      </c>
      <c r="B256" s="46" t="s">
        <v>25</v>
      </c>
      <c r="C256" s="47">
        <v>1420</v>
      </c>
      <c r="D256" s="47">
        <v>1420</v>
      </c>
      <c r="E256" s="47">
        <v>295</v>
      </c>
      <c r="F256" s="47">
        <v>3</v>
      </c>
    </row>
    <row r="257" spans="1:6">
      <c r="A257" s="48">
        <v>46244.333333333336</v>
      </c>
      <c r="B257" s="46" t="s">
        <v>25</v>
      </c>
      <c r="C257" s="47">
        <v>1420</v>
      </c>
      <c r="D257" s="47">
        <v>1420</v>
      </c>
      <c r="E257" s="47">
        <v>295</v>
      </c>
      <c r="F257" s="47">
        <v>3</v>
      </c>
    </row>
    <row r="258" spans="1:6">
      <c r="A258" s="48">
        <v>46244.375</v>
      </c>
      <c r="B258" s="46" t="s">
        <v>25</v>
      </c>
      <c r="C258" s="47">
        <v>1420</v>
      </c>
      <c r="D258" s="47">
        <v>1420</v>
      </c>
      <c r="E258" s="47">
        <v>295</v>
      </c>
      <c r="F258" s="47">
        <v>3</v>
      </c>
    </row>
    <row r="259" spans="1:6">
      <c r="A259" s="48">
        <v>46244.416666666664</v>
      </c>
      <c r="B259" s="46" t="s">
        <v>25</v>
      </c>
      <c r="C259" s="47">
        <v>1420</v>
      </c>
      <c r="D259" s="47">
        <v>1420</v>
      </c>
      <c r="E259" s="47">
        <v>295</v>
      </c>
      <c r="F259" s="47">
        <v>3</v>
      </c>
    </row>
    <row r="260" spans="1:6">
      <c r="A260" s="48">
        <v>46244.458333333336</v>
      </c>
      <c r="B260" s="46" t="s">
        <v>25</v>
      </c>
      <c r="C260" s="47">
        <v>1420</v>
      </c>
      <c r="D260" s="47">
        <v>1420</v>
      </c>
      <c r="E260" s="47">
        <v>295</v>
      </c>
      <c r="F260" s="47">
        <v>3</v>
      </c>
    </row>
    <row r="261" spans="1:6">
      <c r="A261" s="48">
        <v>46244.5</v>
      </c>
      <c r="B261" s="46" t="s">
        <v>25</v>
      </c>
      <c r="C261" s="47">
        <v>1420</v>
      </c>
      <c r="D261" s="47">
        <v>1420</v>
      </c>
      <c r="E261" s="47">
        <v>295</v>
      </c>
      <c r="F261" s="47">
        <v>3</v>
      </c>
    </row>
    <row r="262" spans="1:6">
      <c r="A262" s="48">
        <v>46244.541666666664</v>
      </c>
      <c r="B262" s="46" t="s">
        <v>25</v>
      </c>
      <c r="C262" s="47">
        <v>1420</v>
      </c>
      <c r="D262" s="47">
        <v>1420</v>
      </c>
      <c r="E262" s="47">
        <v>295</v>
      </c>
      <c r="F262" s="47">
        <v>3</v>
      </c>
    </row>
    <row r="263" spans="1:6">
      <c r="A263" s="48">
        <v>46244.583333333336</v>
      </c>
      <c r="B263" s="46" t="s">
        <v>25</v>
      </c>
      <c r="C263" s="47">
        <v>1420</v>
      </c>
      <c r="D263" s="47">
        <v>1420</v>
      </c>
      <c r="E263" s="47">
        <v>295</v>
      </c>
      <c r="F263" s="47">
        <v>3</v>
      </c>
    </row>
    <row r="264" spans="1:6">
      <c r="A264" s="48">
        <v>46244.625</v>
      </c>
      <c r="B264" s="46" t="s">
        <v>25</v>
      </c>
      <c r="C264" s="47">
        <v>1420</v>
      </c>
      <c r="D264" s="47">
        <v>1420</v>
      </c>
      <c r="E264" s="47">
        <v>295</v>
      </c>
      <c r="F264" s="47">
        <v>3</v>
      </c>
    </row>
    <row r="265" spans="1:6">
      <c r="A265" s="48">
        <v>46244.666666666664</v>
      </c>
      <c r="B265" s="46" t="s">
        <v>25</v>
      </c>
      <c r="C265" s="47">
        <v>1420</v>
      </c>
      <c r="D265" s="47">
        <v>1420</v>
      </c>
      <c r="E265" s="47">
        <v>295</v>
      </c>
      <c r="F265" s="47">
        <v>3</v>
      </c>
    </row>
    <row r="266" spans="1:6">
      <c r="A266" s="48">
        <v>46244.708333333336</v>
      </c>
      <c r="B266" s="46" t="s">
        <v>25</v>
      </c>
      <c r="C266" s="47">
        <v>1420</v>
      </c>
      <c r="D266" s="47">
        <v>1420</v>
      </c>
      <c r="E266" s="47">
        <v>295</v>
      </c>
      <c r="F266" s="47">
        <v>3</v>
      </c>
    </row>
    <row r="267" spans="1:6">
      <c r="A267" s="48">
        <v>46244.75</v>
      </c>
      <c r="B267" s="46" t="s">
        <v>25</v>
      </c>
      <c r="C267" s="47">
        <v>1420</v>
      </c>
      <c r="D267" s="47">
        <v>1420</v>
      </c>
      <c r="E267" s="47">
        <v>295</v>
      </c>
      <c r="F267" s="47">
        <v>3</v>
      </c>
    </row>
    <row r="268" spans="1:6">
      <c r="A268" s="48">
        <v>46244.791666666664</v>
      </c>
      <c r="B268" s="46" t="s">
        <v>25</v>
      </c>
      <c r="C268" s="47">
        <v>1420</v>
      </c>
      <c r="D268" s="47">
        <v>1420</v>
      </c>
      <c r="E268" s="47">
        <v>295</v>
      </c>
      <c r="F268" s="47">
        <v>3</v>
      </c>
    </row>
    <row r="269" spans="1:6">
      <c r="A269" s="48">
        <v>46244.833333333336</v>
      </c>
      <c r="B269" s="46" t="s">
        <v>25</v>
      </c>
      <c r="C269" s="47">
        <v>1420</v>
      </c>
      <c r="D269" s="47">
        <v>1420</v>
      </c>
      <c r="E269" s="47">
        <v>295</v>
      </c>
      <c r="F269" s="47">
        <v>3</v>
      </c>
    </row>
    <row r="270" spans="1:6">
      <c r="A270" s="48">
        <v>46244.875</v>
      </c>
      <c r="B270" s="46" t="s">
        <v>25</v>
      </c>
      <c r="C270" s="47">
        <v>1420</v>
      </c>
      <c r="D270" s="47">
        <v>1420</v>
      </c>
      <c r="E270" s="47">
        <v>295</v>
      </c>
      <c r="F270" s="47">
        <v>3</v>
      </c>
    </row>
    <row r="271" spans="1:6">
      <c r="A271" s="48">
        <v>46244.916666666664</v>
      </c>
      <c r="B271" s="46" t="s">
        <v>25</v>
      </c>
      <c r="C271" s="47">
        <v>1420</v>
      </c>
      <c r="D271" s="47">
        <v>1420</v>
      </c>
      <c r="E271" s="47">
        <v>295</v>
      </c>
      <c r="F271" s="47">
        <v>3</v>
      </c>
    </row>
    <row r="272" spans="1:6">
      <c r="A272" s="48">
        <v>46244.958333333336</v>
      </c>
      <c r="B272" s="46" t="s">
        <v>25</v>
      </c>
      <c r="C272" s="47">
        <v>1420</v>
      </c>
      <c r="D272" s="47">
        <v>1420</v>
      </c>
      <c r="E272" s="47">
        <v>295</v>
      </c>
      <c r="F272" s="47">
        <v>3</v>
      </c>
    </row>
    <row r="273" spans="1:6">
      <c r="A273" s="48">
        <v>46245</v>
      </c>
      <c r="B273" s="46" t="s">
        <v>25</v>
      </c>
      <c r="C273" s="47">
        <v>1420</v>
      </c>
      <c r="D273" s="47">
        <v>1420</v>
      </c>
      <c r="E273" s="47">
        <v>295</v>
      </c>
      <c r="F273" s="47">
        <v>3</v>
      </c>
    </row>
    <row r="274" spans="1:6">
      <c r="A274" s="48">
        <v>46245.041666666664</v>
      </c>
      <c r="B274" s="46" t="s">
        <v>25</v>
      </c>
      <c r="C274" s="47">
        <v>1420</v>
      </c>
      <c r="D274" s="47">
        <v>1420</v>
      </c>
      <c r="E274" s="47">
        <v>295</v>
      </c>
      <c r="F274" s="47">
        <v>3</v>
      </c>
    </row>
    <row r="275" spans="1:6">
      <c r="A275" s="48">
        <v>46245.083333333336</v>
      </c>
      <c r="B275" s="46" t="s">
        <v>25</v>
      </c>
      <c r="C275" s="47">
        <v>1420</v>
      </c>
      <c r="D275" s="47">
        <v>1420</v>
      </c>
      <c r="E275" s="47">
        <v>295</v>
      </c>
      <c r="F275" s="47">
        <v>3</v>
      </c>
    </row>
    <row r="276" spans="1:6">
      <c r="A276" s="48">
        <v>46245.125</v>
      </c>
      <c r="B276" s="46" t="s">
        <v>25</v>
      </c>
      <c r="C276" s="47">
        <v>1420</v>
      </c>
      <c r="D276" s="47">
        <v>1420</v>
      </c>
      <c r="E276" s="47">
        <v>295</v>
      </c>
      <c r="F276" s="47">
        <v>3</v>
      </c>
    </row>
    <row r="277" spans="1:6">
      <c r="A277" s="48">
        <v>46245.166666666664</v>
      </c>
      <c r="B277" s="46" t="s">
        <v>25</v>
      </c>
      <c r="C277" s="47">
        <v>1420</v>
      </c>
      <c r="D277" s="47">
        <v>1420</v>
      </c>
      <c r="E277" s="47">
        <v>295</v>
      </c>
      <c r="F277" s="47">
        <v>3</v>
      </c>
    </row>
    <row r="278" spans="1:6">
      <c r="A278" s="48">
        <v>46245.208333333336</v>
      </c>
      <c r="B278" s="46" t="s">
        <v>25</v>
      </c>
      <c r="C278" s="47">
        <v>1420</v>
      </c>
      <c r="D278" s="47">
        <v>1420</v>
      </c>
      <c r="E278" s="47">
        <v>295</v>
      </c>
      <c r="F278" s="47">
        <v>3</v>
      </c>
    </row>
    <row r="279" spans="1:6">
      <c r="A279" s="48">
        <v>46245.25</v>
      </c>
      <c r="B279" s="46" t="s">
        <v>25</v>
      </c>
      <c r="C279" s="47">
        <v>1420</v>
      </c>
      <c r="D279" s="47">
        <v>1420</v>
      </c>
      <c r="E279" s="47">
        <v>295</v>
      </c>
      <c r="F279" s="47">
        <v>3</v>
      </c>
    </row>
    <row r="280" spans="1:6">
      <c r="A280" s="48">
        <v>46245.291666666664</v>
      </c>
      <c r="B280" s="46" t="s">
        <v>25</v>
      </c>
      <c r="C280" s="47">
        <v>1420</v>
      </c>
      <c r="D280" s="47">
        <v>1420</v>
      </c>
      <c r="E280" s="47">
        <v>295</v>
      </c>
      <c r="F280" s="47">
        <v>3</v>
      </c>
    </row>
    <row r="281" spans="1:6">
      <c r="A281" s="48">
        <v>46245.333333333336</v>
      </c>
      <c r="B281" s="46" t="s">
        <v>25</v>
      </c>
      <c r="C281" s="47">
        <v>1420</v>
      </c>
      <c r="D281" s="47">
        <v>1420</v>
      </c>
      <c r="E281" s="47">
        <v>295</v>
      </c>
      <c r="F281" s="47">
        <v>3</v>
      </c>
    </row>
    <row r="282" spans="1:6">
      <c r="A282" s="48">
        <v>46245.375</v>
      </c>
      <c r="B282" s="46" t="s">
        <v>25</v>
      </c>
      <c r="C282" s="47">
        <v>1420</v>
      </c>
      <c r="D282" s="47">
        <v>1420</v>
      </c>
      <c r="E282" s="47">
        <v>295</v>
      </c>
      <c r="F282" s="47">
        <v>3</v>
      </c>
    </row>
    <row r="283" spans="1:6">
      <c r="A283" s="48">
        <v>46245.416666666664</v>
      </c>
      <c r="B283" s="46" t="s">
        <v>25</v>
      </c>
      <c r="C283" s="47">
        <v>1420</v>
      </c>
      <c r="D283" s="47">
        <v>1420</v>
      </c>
      <c r="E283" s="47">
        <v>295</v>
      </c>
      <c r="F283" s="47">
        <v>3</v>
      </c>
    </row>
    <row r="284" spans="1:6">
      <c r="A284" s="48">
        <v>46245.458333333336</v>
      </c>
      <c r="B284" s="46" t="s">
        <v>25</v>
      </c>
      <c r="C284" s="47">
        <v>1420</v>
      </c>
      <c r="D284" s="47">
        <v>1420</v>
      </c>
      <c r="E284" s="47">
        <v>295</v>
      </c>
      <c r="F284" s="47">
        <v>3</v>
      </c>
    </row>
    <row r="285" spans="1:6">
      <c r="A285" s="48">
        <v>46245.5</v>
      </c>
      <c r="B285" s="46" t="s">
        <v>25</v>
      </c>
      <c r="C285" s="47">
        <v>1420</v>
      </c>
      <c r="D285" s="47">
        <v>1420</v>
      </c>
      <c r="E285" s="47">
        <v>295</v>
      </c>
      <c r="F285" s="47">
        <v>3</v>
      </c>
    </row>
    <row r="286" spans="1:6">
      <c r="A286" s="48">
        <v>46245.541666666664</v>
      </c>
      <c r="B286" s="46" t="s">
        <v>25</v>
      </c>
      <c r="C286" s="47">
        <v>1420</v>
      </c>
      <c r="D286" s="47">
        <v>1420</v>
      </c>
      <c r="E286" s="47">
        <v>295</v>
      </c>
      <c r="F286" s="47">
        <v>3</v>
      </c>
    </row>
    <row r="287" spans="1:6">
      <c r="A287" s="48">
        <v>46245.583333333336</v>
      </c>
      <c r="B287" s="46" t="s">
        <v>25</v>
      </c>
      <c r="C287" s="47">
        <v>1420</v>
      </c>
      <c r="D287" s="47">
        <v>1420</v>
      </c>
      <c r="E287" s="47">
        <v>295</v>
      </c>
      <c r="F287" s="47">
        <v>3</v>
      </c>
    </row>
    <row r="288" spans="1:6">
      <c r="A288" s="48">
        <v>46245.625</v>
      </c>
      <c r="B288" s="46" t="s">
        <v>25</v>
      </c>
      <c r="C288" s="47">
        <v>1420</v>
      </c>
      <c r="D288" s="47">
        <v>1420</v>
      </c>
      <c r="E288" s="47">
        <v>295</v>
      </c>
      <c r="F288" s="47">
        <v>3</v>
      </c>
    </row>
    <row r="289" spans="1:6">
      <c r="A289" s="48">
        <v>46245.666666666664</v>
      </c>
      <c r="B289" s="46" t="s">
        <v>25</v>
      </c>
      <c r="C289" s="47">
        <v>1420</v>
      </c>
      <c r="D289" s="47">
        <v>1420</v>
      </c>
      <c r="E289" s="47">
        <v>295</v>
      </c>
      <c r="F289" s="47">
        <v>3</v>
      </c>
    </row>
    <row r="290" spans="1:6">
      <c r="A290" s="48">
        <v>46245.708333333336</v>
      </c>
      <c r="B290" s="46" t="s">
        <v>25</v>
      </c>
      <c r="C290" s="47">
        <v>1420</v>
      </c>
      <c r="D290" s="47">
        <v>1420</v>
      </c>
      <c r="E290" s="47">
        <v>295</v>
      </c>
      <c r="F290" s="47">
        <v>3</v>
      </c>
    </row>
    <row r="291" spans="1:6">
      <c r="A291" s="48">
        <v>46245.75</v>
      </c>
      <c r="B291" s="46" t="s">
        <v>25</v>
      </c>
      <c r="C291" s="47">
        <v>1420</v>
      </c>
      <c r="D291" s="47">
        <v>1420</v>
      </c>
      <c r="E291" s="47">
        <v>295</v>
      </c>
      <c r="F291" s="47">
        <v>3</v>
      </c>
    </row>
    <row r="292" spans="1:6">
      <c r="A292" s="48">
        <v>46245.791666666664</v>
      </c>
      <c r="B292" s="46" t="s">
        <v>25</v>
      </c>
      <c r="C292" s="47">
        <v>1420</v>
      </c>
      <c r="D292" s="47">
        <v>1420</v>
      </c>
      <c r="E292" s="47">
        <v>295</v>
      </c>
      <c r="F292" s="47">
        <v>3</v>
      </c>
    </row>
    <row r="293" spans="1:6">
      <c r="A293" s="48">
        <v>46245.833333333336</v>
      </c>
      <c r="B293" s="46" t="s">
        <v>25</v>
      </c>
      <c r="C293" s="47">
        <v>1420</v>
      </c>
      <c r="D293" s="47">
        <v>1420</v>
      </c>
      <c r="E293" s="47">
        <v>295</v>
      </c>
      <c r="F293" s="47">
        <v>3</v>
      </c>
    </row>
    <row r="294" spans="1:6">
      <c r="A294" s="48">
        <v>46245.875</v>
      </c>
      <c r="B294" s="46" t="s">
        <v>25</v>
      </c>
      <c r="C294" s="47">
        <v>1420</v>
      </c>
      <c r="D294" s="47">
        <v>1420</v>
      </c>
      <c r="E294" s="47">
        <v>295</v>
      </c>
      <c r="F294" s="47">
        <v>3</v>
      </c>
    </row>
    <row r="295" spans="1:6">
      <c r="A295" s="48">
        <v>46245.916666666664</v>
      </c>
      <c r="B295" s="46" t="s">
        <v>25</v>
      </c>
      <c r="C295" s="47">
        <v>1420</v>
      </c>
      <c r="D295" s="47">
        <v>1420</v>
      </c>
      <c r="E295" s="47">
        <v>295</v>
      </c>
      <c r="F295" s="47">
        <v>3</v>
      </c>
    </row>
    <row r="296" spans="1:6">
      <c r="A296" s="48">
        <v>46245.958333333336</v>
      </c>
      <c r="B296" s="46" t="s">
        <v>25</v>
      </c>
      <c r="C296" s="47">
        <v>1420</v>
      </c>
      <c r="D296" s="47">
        <v>1420</v>
      </c>
      <c r="E296" s="47">
        <v>295</v>
      </c>
      <c r="F296" s="47">
        <v>3</v>
      </c>
    </row>
    <row r="297" spans="1:6">
      <c r="A297" s="48">
        <v>46246</v>
      </c>
      <c r="B297" s="46" t="s">
        <v>25</v>
      </c>
      <c r="C297" s="47">
        <v>1420</v>
      </c>
      <c r="D297" s="47">
        <v>1420</v>
      </c>
      <c r="E297" s="47">
        <v>295</v>
      </c>
      <c r="F297" s="47">
        <v>3</v>
      </c>
    </row>
    <row r="298" spans="1:6">
      <c r="A298" s="48">
        <v>46246.041666666664</v>
      </c>
      <c r="B298" s="46" t="s">
        <v>25</v>
      </c>
      <c r="C298" s="47">
        <v>1420</v>
      </c>
      <c r="D298" s="47">
        <v>1420</v>
      </c>
      <c r="E298" s="47">
        <v>295</v>
      </c>
      <c r="F298" s="47">
        <v>3</v>
      </c>
    </row>
    <row r="299" spans="1:6">
      <c r="A299" s="48">
        <v>46246.083333333336</v>
      </c>
      <c r="B299" s="46" t="s">
        <v>25</v>
      </c>
      <c r="C299" s="47">
        <v>1420</v>
      </c>
      <c r="D299" s="47">
        <v>1420</v>
      </c>
      <c r="E299" s="47">
        <v>295</v>
      </c>
      <c r="F299" s="47">
        <v>3</v>
      </c>
    </row>
    <row r="300" spans="1:6">
      <c r="A300" s="48">
        <v>46246.125</v>
      </c>
      <c r="B300" s="46" t="s">
        <v>25</v>
      </c>
      <c r="C300" s="47">
        <v>1420</v>
      </c>
      <c r="D300" s="47">
        <v>1420</v>
      </c>
      <c r="E300" s="47">
        <v>295</v>
      </c>
      <c r="F300" s="47">
        <v>3</v>
      </c>
    </row>
    <row r="301" spans="1:6">
      <c r="A301" s="48">
        <v>46246.166666666664</v>
      </c>
      <c r="B301" s="46" t="s">
        <v>25</v>
      </c>
      <c r="C301" s="47">
        <v>1420</v>
      </c>
      <c r="D301" s="47">
        <v>1420</v>
      </c>
      <c r="E301" s="47">
        <v>295</v>
      </c>
      <c r="F301" s="47">
        <v>3</v>
      </c>
    </row>
    <row r="302" spans="1:6">
      <c r="A302" s="48">
        <v>46246.208333333336</v>
      </c>
      <c r="B302" s="46" t="s">
        <v>25</v>
      </c>
      <c r="C302" s="47">
        <v>1420</v>
      </c>
      <c r="D302" s="47">
        <v>1420</v>
      </c>
      <c r="E302" s="47">
        <v>295</v>
      </c>
      <c r="F302" s="47">
        <v>3</v>
      </c>
    </row>
    <row r="303" spans="1:6">
      <c r="A303" s="48">
        <v>46246.25</v>
      </c>
      <c r="B303" s="46" t="s">
        <v>25</v>
      </c>
      <c r="C303" s="47">
        <v>1420</v>
      </c>
      <c r="D303" s="47">
        <v>1420</v>
      </c>
      <c r="E303" s="47">
        <v>295</v>
      </c>
      <c r="F303" s="47">
        <v>3</v>
      </c>
    </row>
    <row r="304" spans="1:6">
      <c r="A304" s="48">
        <v>46246.291666666664</v>
      </c>
      <c r="B304" s="46" t="s">
        <v>25</v>
      </c>
      <c r="C304" s="47">
        <v>1420</v>
      </c>
      <c r="D304" s="47">
        <v>1420</v>
      </c>
      <c r="E304" s="47">
        <v>295</v>
      </c>
      <c r="F304" s="47">
        <v>3</v>
      </c>
    </row>
    <row r="305" spans="1:6">
      <c r="A305" s="48">
        <v>46246.333333333336</v>
      </c>
      <c r="B305" s="46" t="s">
        <v>25</v>
      </c>
      <c r="C305" s="47">
        <v>1420</v>
      </c>
      <c r="D305" s="47">
        <v>1420</v>
      </c>
      <c r="E305" s="47">
        <v>295</v>
      </c>
      <c r="F305" s="47">
        <v>3</v>
      </c>
    </row>
    <row r="306" spans="1:6">
      <c r="A306" s="48">
        <v>46246.375</v>
      </c>
      <c r="B306" s="46" t="s">
        <v>25</v>
      </c>
      <c r="C306" s="47">
        <v>1420</v>
      </c>
      <c r="D306" s="47">
        <v>1420</v>
      </c>
      <c r="E306" s="47">
        <v>295</v>
      </c>
      <c r="F306" s="47">
        <v>3</v>
      </c>
    </row>
    <row r="307" spans="1:6">
      <c r="A307" s="48">
        <v>46246.416666666664</v>
      </c>
      <c r="B307" s="46" t="s">
        <v>25</v>
      </c>
      <c r="C307" s="47">
        <v>1420</v>
      </c>
      <c r="D307" s="47">
        <v>1420</v>
      </c>
      <c r="E307" s="47">
        <v>295</v>
      </c>
      <c r="F307" s="47">
        <v>3</v>
      </c>
    </row>
    <row r="308" spans="1:6">
      <c r="A308" s="48">
        <v>46246.458333333336</v>
      </c>
      <c r="B308" s="46" t="s">
        <v>25</v>
      </c>
      <c r="C308" s="47">
        <v>1420</v>
      </c>
      <c r="D308" s="47">
        <v>1420</v>
      </c>
      <c r="E308" s="47">
        <v>295</v>
      </c>
      <c r="F308" s="47">
        <v>3</v>
      </c>
    </row>
    <row r="309" spans="1:6">
      <c r="A309" s="48">
        <v>46246.5</v>
      </c>
      <c r="B309" s="46" t="s">
        <v>25</v>
      </c>
      <c r="C309" s="47">
        <v>1420</v>
      </c>
      <c r="D309" s="47">
        <v>1420</v>
      </c>
      <c r="E309" s="47">
        <v>295</v>
      </c>
      <c r="F309" s="47">
        <v>3</v>
      </c>
    </row>
    <row r="310" spans="1:6">
      <c r="A310" s="48">
        <v>46246.541666666664</v>
      </c>
      <c r="B310" s="46" t="s">
        <v>25</v>
      </c>
      <c r="C310" s="47">
        <v>1420</v>
      </c>
      <c r="D310" s="47">
        <v>1420</v>
      </c>
      <c r="E310" s="47">
        <v>295</v>
      </c>
      <c r="F310" s="47">
        <v>3</v>
      </c>
    </row>
    <row r="311" spans="1:6">
      <c r="A311" s="48">
        <v>46246.583333333336</v>
      </c>
      <c r="B311" s="46" t="s">
        <v>25</v>
      </c>
      <c r="C311" s="47">
        <v>1420</v>
      </c>
      <c r="D311" s="47">
        <v>1420</v>
      </c>
      <c r="E311" s="47">
        <v>295</v>
      </c>
      <c r="F311" s="47">
        <v>3</v>
      </c>
    </row>
    <row r="312" spans="1:6">
      <c r="A312" s="48">
        <v>46246.625</v>
      </c>
      <c r="B312" s="46" t="s">
        <v>25</v>
      </c>
      <c r="C312" s="47">
        <v>1420</v>
      </c>
      <c r="D312" s="47">
        <v>1420</v>
      </c>
      <c r="E312" s="47">
        <v>295</v>
      </c>
      <c r="F312" s="47">
        <v>3</v>
      </c>
    </row>
    <row r="313" spans="1:6">
      <c r="A313" s="48">
        <v>46246.666666666664</v>
      </c>
      <c r="B313" s="46" t="s">
        <v>25</v>
      </c>
      <c r="C313" s="47">
        <v>1420</v>
      </c>
      <c r="D313" s="47">
        <v>1420</v>
      </c>
      <c r="E313" s="47">
        <v>295</v>
      </c>
      <c r="F313" s="47">
        <v>3</v>
      </c>
    </row>
    <row r="314" spans="1:6">
      <c r="A314" s="48">
        <v>46246.708333333336</v>
      </c>
      <c r="B314" s="46" t="s">
        <v>25</v>
      </c>
      <c r="C314" s="47">
        <v>1420</v>
      </c>
      <c r="D314" s="47">
        <v>1420</v>
      </c>
      <c r="E314" s="47">
        <v>295</v>
      </c>
      <c r="F314" s="47">
        <v>3</v>
      </c>
    </row>
    <row r="315" spans="1:6">
      <c r="A315" s="48">
        <v>46246.75</v>
      </c>
      <c r="B315" s="46" t="s">
        <v>25</v>
      </c>
      <c r="C315" s="47">
        <v>1420</v>
      </c>
      <c r="D315" s="47">
        <v>1420</v>
      </c>
      <c r="E315" s="47">
        <v>295</v>
      </c>
      <c r="F315" s="47">
        <v>3</v>
      </c>
    </row>
    <row r="316" spans="1:6">
      <c r="A316" s="48">
        <v>46246.791666666664</v>
      </c>
      <c r="B316" s="46" t="s">
        <v>25</v>
      </c>
      <c r="C316" s="47">
        <v>1420</v>
      </c>
      <c r="D316" s="47">
        <v>1420</v>
      </c>
      <c r="E316" s="47">
        <v>295</v>
      </c>
      <c r="F316" s="47">
        <v>3</v>
      </c>
    </row>
    <row r="317" spans="1:6">
      <c r="A317" s="48">
        <v>46246.833333333336</v>
      </c>
      <c r="B317" s="46" t="s">
        <v>25</v>
      </c>
      <c r="C317" s="47">
        <v>1420</v>
      </c>
      <c r="D317" s="47">
        <v>1420</v>
      </c>
      <c r="E317" s="47">
        <v>295</v>
      </c>
      <c r="F317" s="47">
        <v>3</v>
      </c>
    </row>
    <row r="318" spans="1:6">
      <c r="A318" s="48">
        <v>46246.875</v>
      </c>
      <c r="B318" s="46" t="s">
        <v>25</v>
      </c>
      <c r="C318" s="47">
        <v>1420</v>
      </c>
      <c r="D318" s="47">
        <v>1420</v>
      </c>
      <c r="E318" s="47">
        <v>295</v>
      </c>
      <c r="F318" s="47">
        <v>3</v>
      </c>
    </row>
    <row r="319" spans="1:6">
      <c r="A319" s="48">
        <v>46246.916666666664</v>
      </c>
      <c r="B319" s="46" t="s">
        <v>25</v>
      </c>
      <c r="C319" s="47">
        <v>1420</v>
      </c>
      <c r="D319" s="47">
        <v>1420</v>
      </c>
      <c r="E319" s="47">
        <v>295</v>
      </c>
      <c r="F319" s="47">
        <v>3</v>
      </c>
    </row>
    <row r="320" spans="1:6">
      <c r="A320" s="48">
        <v>46246.958333333336</v>
      </c>
      <c r="B320" s="46" t="s">
        <v>25</v>
      </c>
      <c r="C320" s="47">
        <v>1420</v>
      </c>
      <c r="D320" s="47">
        <v>1420</v>
      </c>
      <c r="E320" s="47">
        <v>295</v>
      </c>
      <c r="F320" s="47">
        <v>3</v>
      </c>
    </row>
    <row r="321" spans="1:6">
      <c r="A321" s="48">
        <v>46247</v>
      </c>
      <c r="B321" s="46" t="s">
        <v>25</v>
      </c>
      <c r="C321" s="47">
        <v>1420</v>
      </c>
      <c r="D321" s="47">
        <v>1420</v>
      </c>
      <c r="E321" s="47">
        <v>295</v>
      </c>
      <c r="F321" s="47">
        <v>3</v>
      </c>
    </row>
    <row r="322" spans="1:6">
      <c r="A322" s="48">
        <v>46247.041666666664</v>
      </c>
      <c r="B322" s="46" t="s">
        <v>25</v>
      </c>
      <c r="C322" s="47">
        <v>1420</v>
      </c>
      <c r="D322" s="47">
        <v>1420</v>
      </c>
      <c r="E322" s="47">
        <v>295</v>
      </c>
      <c r="F322" s="47">
        <v>3</v>
      </c>
    </row>
    <row r="323" spans="1:6">
      <c r="A323" s="48">
        <v>46247.083333333336</v>
      </c>
      <c r="B323" s="46" t="s">
        <v>25</v>
      </c>
      <c r="C323" s="47">
        <v>1420</v>
      </c>
      <c r="D323" s="47">
        <v>1420</v>
      </c>
      <c r="E323" s="47">
        <v>295</v>
      </c>
      <c r="F323" s="47">
        <v>3</v>
      </c>
    </row>
    <row r="324" spans="1:6">
      <c r="A324" s="48">
        <v>46247.125</v>
      </c>
      <c r="B324" s="46" t="s">
        <v>25</v>
      </c>
      <c r="C324" s="47">
        <v>1420</v>
      </c>
      <c r="D324" s="47">
        <v>1420</v>
      </c>
      <c r="E324" s="47">
        <v>295</v>
      </c>
      <c r="F324" s="47">
        <v>3</v>
      </c>
    </row>
    <row r="325" spans="1:6">
      <c r="A325" s="48">
        <v>46247.166666666664</v>
      </c>
      <c r="B325" s="46" t="s">
        <v>25</v>
      </c>
      <c r="C325" s="47">
        <v>1420</v>
      </c>
      <c r="D325" s="47">
        <v>1420</v>
      </c>
      <c r="E325" s="47">
        <v>295</v>
      </c>
      <c r="F325" s="47">
        <v>3</v>
      </c>
    </row>
    <row r="326" spans="1:6">
      <c r="A326" s="48">
        <v>46247.208333333336</v>
      </c>
      <c r="B326" s="46" t="s">
        <v>25</v>
      </c>
      <c r="C326" s="47">
        <v>1420</v>
      </c>
      <c r="D326" s="47">
        <v>1420</v>
      </c>
      <c r="E326" s="47">
        <v>295</v>
      </c>
      <c r="F326" s="47">
        <v>3</v>
      </c>
    </row>
    <row r="327" spans="1:6">
      <c r="A327" s="48">
        <v>46247.25</v>
      </c>
      <c r="B327" s="46" t="s">
        <v>25</v>
      </c>
      <c r="C327" s="47">
        <v>1420</v>
      </c>
      <c r="D327" s="47">
        <v>1420</v>
      </c>
      <c r="E327" s="47">
        <v>295</v>
      </c>
      <c r="F327" s="47">
        <v>3</v>
      </c>
    </row>
    <row r="328" spans="1:6">
      <c r="A328" s="48">
        <v>46247.291666666664</v>
      </c>
      <c r="B328" s="46" t="s">
        <v>25</v>
      </c>
      <c r="C328" s="47">
        <v>1420</v>
      </c>
      <c r="D328" s="47">
        <v>1420</v>
      </c>
      <c r="E328" s="47">
        <v>295</v>
      </c>
      <c r="F328" s="47">
        <v>3</v>
      </c>
    </row>
    <row r="329" spans="1:6">
      <c r="A329" s="48">
        <v>46247.333333333336</v>
      </c>
      <c r="B329" s="46" t="s">
        <v>25</v>
      </c>
      <c r="C329" s="47">
        <v>1420</v>
      </c>
      <c r="D329" s="47">
        <v>1420</v>
      </c>
      <c r="E329" s="47">
        <v>295</v>
      </c>
      <c r="F329" s="47">
        <v>3</v>
      </c>
    </row>
    <row r="330" spans="1:6">
      <c r="A330" s="48">
        <v>46247.375</v>
      </c>
      <c r="B330" s="46" t="s">
        <v>25</v>
      </c>
      <c r="C330" s="47">
        <v>1420</v>
      </c>
      <c r="D330" s="47">
        <v>1420</v>
      </c>
      <c r="E330" s="47">
        <v>295</v>
      </c>
      <c r="F330" s="47">
        <v>3</v>
      </c>
    </row>
    <row r="331" spans="1:6">
      <c r="A331" s="48">
        <v>46247.416666666664</v>
      </c>
      <c r="B331" s="46" t="s">
        <v>25</v>
      </c>
      <c r="C331" s="47">
        <v>1420</v>
      </c>
      <c r="D331" s="47">
        <v>1420</v>
      </c>
      <c r="E331" s="47">
        <v>295</v>
      </c>
      <c r="F331" s="47">
        <v>3</v>
      </c>
    </row>
    <row r="332" spans="1:6">
      <c r="A332" s="48">
        <v>46247.458333333336</v>
      </c>
      <c r="B332" s="46" t="s">
        <v>25</v>
      </c>
      <c r="C332" s="47">
        <v>1420</v>
      </c>
      <c r="D332" s="47">
        <v>1420</v>
      </c>
      <c r="E332" s="47">
        <v>295</v>
      </c>
      <c r="F332" s="47">
        <v>3</v>
      </c>
    </row>
    <row r="333" spans="1:6">
      <c r="A333" s="48">
        <v>46247.5</v>
      </c>
      <c r="B333" s="46" t="s">
        <v>25</v>
      </c>
      <c r="C333" s="47">
        <v>1420</v>
      </c>
      <c r="D333" s="47">
        <v>1420</v>
      </c>
      <c r="E333" s="47">
        <v>295</v>
      </c>
      <c r="F333" s="47">
        <v>3</v>
      </c>
    </row>
    <row r="334" spans="1:6">
      <c r="A334" s="48">
        <v>46247.541666666664</v>
      </c>
      <c r="B334" s="46" t="s">
        <v>25</v>
      </c>
      <c r="C334" s="47">
        <v>1420</v>
      </c>
      <c r="D334" s="47">
        <v>1420</v>
      </c>
      <c r="E334" s="47">
        <v>295</v>
      </c>
      <c r="F334" s="47">
        <v>3</v>
      </c>
    </row>
    <row r="335" spans="1:6">
      <c r="A335" s="48">
        <v>46247.583333333336</v>
      </c>
      <c r="B335" s="46" t="s">
        <v>25</v>
      </c>
      <c r="C335" s="47">
        <v>1420</v>
      </c>
      <c r="D335" s="47">
        <v>1420</v>
      </c>
      <c r="E335" s="47">
        <v>295</v>
      </c>
      <c r="F335" s="47">
        <v>3</v>
      </c>
    </row>
    <row r="336" spans="1:6">
      <c r="A336" s="48">
        <v>46247.625</v>
      </c>
      <c r="B336" s="46" t="s">
        <v>25</v>
      </c>
      <c r="C336" s="47">
        <v>1420</v>
      </c>
      <c r="D336" s="47">
        <v>1420</v>
      </c>
      <c r="E336" s="47">
        <v>295</v>
      </c>
      <c r="F336" s="47">
        <v>3</v>
      </c>
    </row>
    <row r="337" spans="1:6">
      <c r="A337" s="48">
        <v>46247.666666666664</v>
      </c>
      <c r="B337" s="46" t="s">
        <v>25</v>
      </c>
      <c r="C337" s="47">
        <v>1420</v>
      </c>
      <c r="D337" s="47">
        <v>1420</v>
      </c>
      <c r="E337" s="47">
        <v>295</v>
      </c>
      <c r="F337" s="47">
        <v>3</v>
      </c>
    </row>
    <row r="338" spans="1:6">
      <c r="A338" s="48">
        <v>46247.708333333336</v>
      </c>
      <c r="B338" s="46" t="s">
        <v>25</v>
      </c>
      <c r="C338" s="47">
        <v>1420</v>
      </c>
      <c r="D338" s="47">
        <v>1420</v>
      </c>
      <c r="E338" s="47">
        <v>295</v>
      </c>
      <c r="F338" s="47">
        <v>3</v>
      </c>
    </row>
    <row r="339" spans="1:6">
      <c r="A339" s="48">
        <v>46247.75</v>
      </c>
      <c r="B339" s="46" t="s">
        <v>25</v>
      </c>
      <c r="C339" s="47">
        <v>1420</v>
      </c>
      <c r="D339" s="47">
        <v>1420</v>
      </c>
      <c r="E339" s="47">
        <v>295</v>
      </c>
      <c r="F339" s="47">
        <v>3</v>
      </c>
    </row>
    <row r="340" spans="1:6">
      <c r="A340" s="48">
        <v>46247.791666666664</v>
      </c>
      <c r="B340" s="46" t="s">
        <v>25</v>
      </c>
      <c r="C340" s="47">
        <v>1420</v>
      </c>
      <c r="D340" s="47">
        <v>1420</v>
      </c>
      <c r="E340" s="47">
        <v>295</v>
      </c>
      <c r="F340" s="47">
        <v>3</v>
      </c>
    </row>
    <row r="341" spans="1:6">
      <c r="A341" s="48">
        <v>46247.833333333336</v>
      </c>
      <c r="B341" s="46" t="s">
        <v>25</v>
      </c>
      <c r="C341" s="47">
        <v>1420</v>
      </c>
      <c r="D341" s="47">
        <v>1420</v>
      </c>
      <c r="E341" s="47">
        <v>295</v>
      </c>
      <c r="F341" s="47">
        <v>3</v>
      </c>
    </row>
    <row r="342" spans="1:6">
      <c r="A342" s="48">
        <v>46247.875</v>
      </c>
      <c r="B342" s="46" t="s">
        <v>25</v>
      </c>
      <c r="C342" s="47">
        <v>1420</v>
      </c>
      <c r="D342" s="47">
        <v>1420</v>
      </c>
      <c r="E342" s="47">
        <v>295</v>
      </c>
      <c r="F342" s="47">
        <v>3</v>
      </c>
    </row>
    <row r="343" spans="1:6">
      <c r="A343" s="48">
        <v>46247.916666666664</v>
      </c>
      <c r="B343" s="46" t="s">
        <v>25</v>
      </c>
      <c r="C343" s="47">
        <v>1420</v>
      </c>
      <c r="D343" s="47">
        <v>1420</v>
      </c>
      <c r="E343" s="47">
        <v>295</v>
      </c>
      <c r="F343" s="47">
        <v>3</v>
      </c>
    </row>
    <row r="344" spans="1:6">
      <c r="A344" s="48">
        <v>46247.958333333336</v>
      </c>
      <c r="B344" s="46" t="s">
        <v>25</v>
      </c>
      <c r="C344" s="47">
        <v>1420</v>
      </c>
      <c r="D344" s="47">
        <v>1420</v>
      </c>
      <c r="E344" s="47">
        <v>295</v>
      </c>
      <c r="F344" s="47">
        <v>3</v>
      </c>
    </row>
    <row r="345" spans="1:6">
      <c r="A345" s="48">
        <v>46248</v>
      </c>
      <c r="B345" s="46" t="s">
        <v>25</v>
      </c>
      <c r="C345" s="47">
        <v>1420</v>
      </c>
      <c r="D345" s="47">
        <v>1420</v>
      </c>
      <c r="E345" s="47">
        <v>295</v>
      </c>
      <c r="F345" s="47">
        <v>3</v>
      </c>
    </row>
    <row r="346" spans="1:6">
      <c r="A346" s="48">
        <v>46248.041666666664</v>
      </c>
      <c r="B346" s="46" t="s">
        <v>25</v>
      </c>
      <c r="C346" s="47">
        <v>1420</v>
      </c>
      <c r="D346" s="47">
        <v>1420</v>
      </c>
      <c r="E346" s="47">
        <v>295</v>
      </c>
      <c r="F346" s="47">
        <v>3</v>
      </c>
    </row>
    <row r="347" spans="1:6">
      <c r="A347" s="48">
        <v>46248.083333333336</v>
      </c>
      <c r="B347" s="46" t="s">
        <v>25</v>
      </c>
      <c r="C347" s="47">
        <v>1420</v>
      </c>
      <c r="D347" s="47">
        <v>1420</v>
      </c>
      <c r="E347" s="47">
        <v>295</v>
      </c>
      <c r="F347" s="47">
        <v>3</v>
      </c>
    </row>
    <row r="348" spans="1:6">
      <c r="A348" s="48">
        <v>46248.125</v>
      </c>
      <c r="B348" s="46" t="s">
        <v>25</v>
      </c>
      <c r="C348" s="47">
        <v>1420</v>
      </c>
      <c r="D348" s="47">
        <v>1420</v>
      </c>
      <c r="E348" s="47">
        <v>295</v>
      </c>
      <c r="F348" s="47">
        <v>3</v>
      </c>
    </row>
    <row r="349" spans="1:6">
      <c r="A349" s="48">
        <v>46248.166666666664</v>
      </c>
      <c r="B349" s="46" t="s">
        <v>25</v>
      </c>
      <c r="C349" s="47">
        <v>1420</v>
      </c>
      <c r="D349" s="47">
        <v>1420</v>
      </c>
      <c r="E349" s="47">
        <v>295</v>
      </c>
      <c r="F349" s="47">
        <v>3</v>
      </c>
    </row>
    <row r="350" spans="1:6">
      <c r="A350" s="48">
        <v>46248.208333333336</v>
      </c>
      <c r="B350" s="46" t="s">
        <v>25</v>
      </c>
      <c r="C350" s="47">
        <v>1420</v>
      </c>
      <c r="D350" s="47">
        <v>1420</v>
      </c>
      <c r="E350" s="47">
        <v>295</v>
      </c>
      <c r="F350" s="47">
        <v>3</v>
      </c>
    </row>
    <row r="351" spans="1:6">
      <c r="A351" s="48">
        <v>46248.25</v>
      </c>
      <c r="B351" s="46" t="s">
        <v>25</v>
      </c>
      <c r="C351" s="47">
        <v>1420</v>
      </c>
      <c r="D351" s="47">
        <v>1420</v>
      </c>
      <c r="E351" s="47">
        <v>295</v>
      </c>
      <c r="F351" s="47">
        <v>3</v>
      </c>
    </row>
    <row r="352" spans="1:6">
      <c r="A352" s="48">
        <v>46248.291666666664</v>
      </c>
      <c r="B352" s="46" t="s">
        <v>25</v>
      </c>
      <c r="C352" s="47">
        <v>1420</v>
      </c>
      <c r="D352" s="47">
        <v>1420</v>
      </c>
      <c r="E352" s="47">
        <v>295</v>
      </c>
      <c r="F352" s="47">
        <v>3</v>
      </c>
    </row>
    <row r="353" spans="1:6">
      <c r="A353" s="48">
        <v>46248.333333333336</v>
      </c>
      <c r="B353" s="46" t="s">
        <v>25</v>
      </c>
      <c r="C353" s="47">
        <v>1420</v>
      </c>
      <c r="D353" s="47">
        <v>1420</v>
      </c>
      <c r="E353" s="47">
        <v>295</v>
      </c>
      <c r="F353" s="47">
        <v>3</v>
      </c>
    </row>
    <row r="354" spans="1:6">
      <c r="A354" s="48">
        <v>46248.375</v>
      </c>
      <c r="B354" s="46" t="s">
        <v>25</v>
      </c>
      <c r="C354" s="47">
        <v>1420</v>
      </c>
      <c r="D354" s="47">
        <v>1420</v>
      </c>
      <c r="E354" s="47">
        <v>295</v>
      </c>
      <c r="F354" s="47">
        <v>3</v>
      </c>
    </row>
    <row r="355" spans="1:6">
      <c r="A355" s="48">
        <v>46248.416666666664</v>
      </c>
      <c r="B355" s="46" t="s">
        <v>25</v>
      </c>
      <c r="C355" s="47">
        <v>1420</v>
      </c>
      <c r="D355" s="47">
        <v>1420</v>
      </c>
      <c r="E355" s="47">
        <v>295</v>
      </c>
      <c r="F355" s="47">
        <v>3</v>
      </c>
    </row>
    <row r="356" spans="1:6">
      <c r="A356" s="48">
        <v>46248.458333333336</v>
      </c>
      <c r="B356" s="46" t="s">
        <v>25</v>
      </c>
      <c r="C356" s="47">
        <v>1420</v>
      </c>
      <c r="D356" s="47">
        <v>1420</v>
      </c>
      <c r="E356" s="47">
        <v>295</v>
      </c>
      <c r="F356" s="47">
        <v>3</v>
      </c>
    </row>
    <row r="357" spans="1:6">
      <c r="A357" s="48">
        <v>46248.5</v>
      </c>
      <c r="B357" s="46" t="s">
        <v>25</v>
      </c>
      <c r="C357" s="47">
        <v>1420</v>
      </c>
      <c r="D357" s="47">
        <v>1420</v>
      </c>
      <c r="E357" s="47">
        <v>295</v>
      </c>
      <c r="F357" s="47">
        <v>3</v>
      </c>
    </row>
    <row r="358" spans="1:6">
      <c r="A358" s="48">
        <v>46248.541666666664</v>
      </c>
      <c r="B358" s="46" t="s">
        <v>25</v>
      </c>
      <c r="C358" s="47">
        <v>1420</v>
      </c>
      <c r="D358" s="47">
        <v>1420</v>
      </c>
      <c r="E358" s="47">
        <v>295</v>
      </c>
      <c r="F358" s="47">
        <v>3</v>
      </c>
    </row>
    <row r="359" spans="1:6">
      <c r="A359" s="48">
        <v>46248.583333333336</v>
      </c>
      <c r="B359" s="46" t="s">
        <v>25</v>
      </c>
      <c r="C359" s="47">
        <v>1420</v>
      </c>
      <c r="D359" s="47">
        <v>1420</v>
      </c>
      <c r="E359" s="47">
        <v>295</v>
      </c>
      <c r="F359" s="47">
        <v>3</v>
      </c>
    </row>
    <row r="360" spans="1:6">
      <c r="A360" s="48">
        <v>46248.625</v>
      </c>
      <c r="B360" s="46" t="s">
        <v>25</v>
      </c>
      <c r="C360" s="47">
        <v>1420</v>
      </c>
      <c r="D360" s="47">
        <v>1420</v>
      </c>
      <c r="E360" s="47">
        <v>295</v>
      </c>
      <c r="F360" s="47">
        <v>3</v>
      </c>
    </row>
    <row r="361" spans="1:6">
      <c r="A361" s="48">
        <v>46248.666666666664</v>
      </c>
      <c r="B361" s="46" t="s">
        <v>25</v>
      </c>
      <c r="C361" s="47">
        <v>1420</v>
      </c>
      <c r="D361" s="47">
        <v>1420</v>
      </c>
      <c r="E361" s="47">
        <v>295</v>
      </c>
      <c r="F361" s="47">
        <v>3</v>
      </c>
    </row>
    <row r="362" spans="1:6">
      <c r="A362" s="48">
        <v>46248.708333333336</v>
      </c>
      <c r="B362" s="46" t="s">
        <v>25</v>
      </c>
      <c r="C362" s="47">
        <v>1420</v>
      </c>
      <c r="D362" s="47">
        <v>1420</v>
      </c>
      <c r="E362" s="47">
        <v>295</v>
      </c>
      <c r="F362" s="47">
        <v>3</v>
      </c>
    </row>
    <row r="363" spans="1:6">
      <c r="A363" s="48">
        <v>46248.75</v>
      </c>
      <c r="B363" s="46" t="s">
        <v>25</v>
      </c>
      <c r="C363" s="47">
        <v>1420</v>
      </c>
      <c r="D363" s="47">
        <v>1420</v>
      </c>
      <c r="E363" s="47">
        <v>295</v>
      </c>
      <c r="F363" s="47">
        <v>3</v>
      </c>
    </row>
    <row r="364" spans="1:6">
      <c r="A364" s="48">
        <v>46248.791666666664</v>
      </c>
      <c r="B364" s="46" t="s">
        <v>25</v>
      </c>
      <c r="C364" s="47">
        <v>1420</v>
      </c>
      <c r="D364" s="47">
        <v>1420</v>
      </c>
      <c r="E364" s="47">
        <v>295</v>
      </c>
      <c r="F364" s="47">
        <v>3</v>
      </c>
    </row>
    <row r="365" spans="1:6">
      <c r="A365" s="48">
        <v>46248.833333333336</v>
      </c>
      <c r="B365" s="46" t="s">
        <v>25</v>
      </c>
      <c r="C365" s="47">
        <v>1420</v>
      </c>
      <c r="D365" s="47">
        <v>1420</v>
      </c>
      <c r="E365" s="47">
        <v>295</v>
      </c>
      <c r="F365" s="47">
        <v>3</v>
      </c>
    </row>
    <row r="366" spans="1:6">
      <c r="A366" s="48">
        <v>46248.875</v>
      </c>
      <c r="B366" s="46" t="s">
        <v>25</v>
      </c>
      <c r="C366" s="47">
        <v>1420</v>
      </c>
      <c r="D366" s="47">
        <v>1420</v>
      </c>
      <c r="E366" s="47">
        <v>295</v>
      </c>
      <c r="F366" s="47">
        <v>3</v>
      </c>
    </row>
    <row r="367" spans="1:6">
      <c r="A367" s="48">
        <v>46248.916666666664</v>
      </c>
      <c r="B367" s="46" t="s">
        <v>25</v>
      </c>
      <c r="C367" s="47">
        <v>1420</v>
      </c>
      <c r="D367" s="47">
        <v>1420</v>
      </c>
      <c r="E367" s="47">
        <v>295</v>
      </c>
      <c r="F367" s="47">
        <v>3</v>
      </c>
    </row>
    <row r="368" spans="1:6">
      <c r="A368" s="48">
        <v>46248.958333333336</v>
      </c>
      <c r="B368" s="46" t="s">
        <v>25</v>
      </c>
      <c r="C368" s="47">
        <v>1420</v>
      </c>
      <c r="D368" s="47">
        <v>1420</v>
      </c>
      <c r="E368" s="47">
        <v>295</v>
      </c>
      <c r="F368" s="47">
        <v>3</v>
      </c>
    </row>
    <row r="369" spans="1:6">
      <c r="A369" s="48">
        <v>46249</v>
      </c>
      <c r="B369" s="46" t="s">
        <v>25</v>
      </c>
      <c r="C369" s="47">
        <v>1420</v>
      </c>
      <c r="D369" s="47">
        <v>1420</v>
      </c>
      <c r="E369" s="47">
        <v>295</v>
      </c>
      <c r="F369" s="47">
        <v>3</v>
      </c>
    </row>
    <row r="370" spans="1:6">
      <c r="A370" s="48">
        <v>46249.041666666664</v>
      </c>
      <c r="B370" s="46" t="s">
        <v>25</v>
      </c>
      <c r="C370" s="47">
        <v>1420</v>
      </c>
      <c r="D370" s="47">
        <v>1420</v>
      </c>
      <c r="E370" s="47">
        <v>295</v>
      </c>
      <c r="F370" s="47">
        <v>3</v>
      </c>
    </row>
    <row r="371" spans="1:6">
      <c r="A371" s="48">
        <v>46249.083333333336</v>
      </c>
      <c r="B371" s="46" t="s">
        <v>25</v>
      </c>
      <c r="C371" s="47">
        <v>1420</v>
      </c>
      <c r="D371" s="47">
        <v>1420</v>
      </c>
      <c r="E371" s="47">
        <v>295</v>
      </c>
      <c r="F371" s="47">
        <v>3</v>
      </c>
    </row>
    <row r="372" spans="1:6">
      <c r="A372" s="48">
        <v>46249.125</v>
      </c>
      <c r="B372" s="46" t="s">
        <v>25</v>
      </c>
      <c r="C372" s="47">
        <v>1420</v>
      </c>
      <c r="D372" s="47">
        <v>1420</v>
      </c>
      <c r="E372" s="47">
        <v>295</v>
      </c>
      <c r="F372" s="47">
        <v>3</v>
      </c>
    </row>
    <row r="373" spans="1:6">
      <c r="A373" s="48">
        <v>46249.166666666664</v>
      </c>
      <c r="B373" s="46" t="s">
        <v>25</v>
      </c>
      <c r="C373" s="47">
        <v>1420</v>
      </c>
      <c r="D373" s="47">
        <v>1420</v>
      </c>
      <c r="E373" s="47">
        <v>295</v>
      </c>
      <c r="F373" s="47">
        <v>3</v>
      </c>
    </row>
    <row r="374" spans="1:6">
      <c r="A374" s="48">
        <v>46249.208333333336</v>
      </c>
      <c r="B374" s="46" t="s">
        <v>25</v>
      </c>
      <c r="C374" s="47">
        <v>1420</v>
      </c>
      <c r="D374" s="47">
        <v>1420</v>
      </c>
      <c r="E374" s="47">
        <v>295</v>
      </c>
      <c r="F374" s="47">
        <v>3</v>
      </c>
    </row>
    <row r="375" spans="1:6">
      <c r="A375" s="48">
        <v>46249.25</v>
      </c>
      <c r="B375" s="46" t="s">
        <v>25</v>
      </c>
      <c r="C375" s="47">
        <v>1420</v>
      </c>
      <c r="D375" s="47">
        <v>1420</v>
      </c>
      <c r="E375" s="47">
        <v>295</v>
      </c>
      <c r="F375" s="47">
        <v>3</v>
      </c>
    </row>
    <row r="376" spans="1:6">
      <c r="A376" s="48">
        <v>46249.291666666664</v>
      </c>
      <c r="B376" s="46" t="s">
        <v>25</v>
      </c>
      <c r="C376" s="47">
        <v>1420</v>
      </c>
      <c r="D376" s="47">
        <v>1420</v>
      </c>
      <c r="E376" s="47">
        <v>295</v>
      </c>
      <c r="F376" s="47">
        <v>3</v>
      </c>
    </row>
    <row r="377" spans="1:6">
      <c r="A377" s="48">
        <v>46249.333333333336</v>
      </c>
      <c r="B377" s="46" t="s">
        <v>25</v>
      </c>
      <c r="C377" s="47">
        <v>1420</v>
      </c>
      <c r="D377" s="47">
        <v>1420</v>
      </c>
      <c r="E377" s="47">
        <v>295</v>
      </c>
      <c r="F377" s="47">
        <v>3</v>
      </c>
    </row>
    <row r="378" spans="1:6">
      <c r="A378" s="48">
        <v>46249.375</v>
      </c>
      <c r="B378" s="46" t="s">
        <v>25</v>
      </c>
      <c r="C378" s="47">
        <v>1420</v>
      </c>
      <c r="D378" s="47">
        <v>1420</v>
      </c>
      <c r="E378" s="47">
        <v>295</v>
      </c>
      <c r="F378" s="47">
        <v>3</v>
      </c>
    </row>
    <row r="379" spans="1:6">
      <c r="A379" s="48">
        <v>46249.416666666664</v>
      </c>
      <c r="B379" s="46" t="s">
        <v>25</v>
      </c>
      <c r="C379" s="47">
        <v>1420</v>
      </c>
      <c r="D379" s="47">
        <v>1420</v>
      </c>
      <c r="E379" s="47">
        <v>295</v>
      </c>
      <c r="F379" s="47">
        <v>3</v>
      </c>
    </row>
    <row r="380" spans="1:6">
      <c r="A380" s="48">
        <v>46249.458333333336</v>
      </c>
      <c r="B380" s="46" t="s">
        <v>25</v>
      </c>
      <c r="C380" s="47">
        <v>1420</v>
      </c>
      <c r="D380" s="47">
        <v>1420</v>
      </c>
      <c r="E380" s="47">
        <v>295</v>
      </c>
      <c r="F380" s="47">
        <v>3</v>
      </c>
    </row>
    <row r="381" spans="1:6">
      <c r="A381" s="48">
        <v>46249.5</v>
      </c>
      <c r="B381" s="46" t="s">
        <v>25</v>
      </c>
      <c r="C381" s="47">
        <v>1420</v>
      </c>
      <c r="D381" s="47">
        <v>1420</v>
      </c>
      <c r="E381" s="47">
        <v>295</v>
      </c>
      <c r="F381" s="47">
        <v>3</v>
      </c>
    </row>
    <row r="382" spans="1:6">
      <c r="A382" s="48">
        <v>46249.541666666664</v>
      </c>
      <c r="B382" s="46" t="s">
        <v>25</v>
      </c>
      <c r="C382" s="47">
        <v>1420</v>
      </c>
      <c r="D382" s="47">
        <v>1420</v>
      </c>
      <c r="E382" s="47">
        <v>295</v>
      </c>
      <c r="F382" s="47">
        <v>3</v>
      </c>
    </row>
    <row r="383" spans="1:6">
      <c r="A383" s="48">
        <v>46249.583333333336</v>
      </c>
      <c r="B383" s="46" t="s">
        <v>25</v>
      </c>
      <c r="C383" s="47">
        <v>1420</v>
      </c>
      <c r="D383" s="47">
        <v>1420</v>
      </c>
      <c r="E383" s="47">
        <v>295</v>
      </c>
      <c r="F383" s="47">
        <v>3</v>
      </c>
    </row>
    <row r="384" spans="1:6">
      <c r="A384" s="48">
        <v>46249.625</v>
      </c>
      <c r="B384" s="46" t="s">
        <v>25</v>
      </c>
      <c r="C384" s="47">
        <v>1420</v>
      </c>
      <c r="D384" s="47">
        <v>1420</v>
      </c>
      <c r="E384" s="47">
        <v>295</v>
      </c>
      <c r="F384" s="47">
        <v>3</v>
      </c>
    </row>
    <row r="385" spans="1:6">
      <c r="A385" s="48">
        <v>46249.666666666664</v>
      </c>
      <c r="B385" s="46" t="s">
        <v>25</v>
      </c>
      <c r="C385" s="47">
        <v>1420</v>
      </c>
      <c r="D385" s="47">
        <v>1420</v>
      </c>
      <c r="E385" s="47">
        <v>295</v>
      </c>
      <c r="F385" s="47">
        <v>3</v>
      </c>
    </row>
    <row r="386" spans="1:6">
      <c r="A386" s="48">
        <v>46249.708333333336</v>
      </c>
      <c r="B386" s="46" t="s">
        <v>25</v>
      </c>
      <c r="C386" s="47">
        <v>1420</v>
      </c>
      <c r="D386" s="47">
        <v>1420</v>
      </c>
      <c r="E386" s="47">
        <v>295</v>
      </c>
      <c r="F386" s="47">
        <v>3</v>
      </c>
    </row>
    <row r="387" spans="1:6">
      <c r="A387" s="48">
        <v>46249.75</v>
      </c>
      <c r="B387" s="46" t="s">
        <v>25</v>
      </c>
      <c r="C387" s="47">
        <v>1420</v>
      </c>
      <c r="D387" s="47">
        <v>1420</v>
      </c>
      <c r="E387" s="47">
        <v>295</v>
      </c>
      <c r="F387" s="47">
        <v>3</v>
      </c>
    </row>
    <row r="388" spans="1:6">
      <c r="A388" s="48">
        <v>46249.791666666664</v>
      </c>
      <c r="B388" s="46" t="s">
        <v>25</v>
      </c>
      <c r="C388" s="47">
        <v>1420</v>
      </c>
      <c r="D388" s="47">
        <v>1420</v>
      </c>
      <c r="E388" s="47">
        <v>295</v>
      </c>
      <c r="F388" s="47">
        <v>3</v>
      </c>
    </row>
    <row r="389" spans="1:6">
      <c r="A389" s="48">
        <v>46249.833333333336</v>
      </c>
      <c r="B389" s="46" t="s">
        <v>25</v>
      </c>
      <c r="C389" s="47">
        <v>1420</v>
      </c>
      <c r="D389" s="47">
        <v>1420</v>
      </c>
      <c r="E389" s="47">
        <v>295</v>
      </c>
      <c r="F389" s="47">
        <v>3</v>
      </c>
    </row>
    <row r="390" spans="1:6">
      <c r="A390" s="48">
        <v>46249.875</v>
      </c>
      <c r="B390" s="46" t="s">
        <v>25</v>
      </c>
      <c r="C390" s="47">
        <v>1420</v>
      </c>
      <c r="D390" s="47">
        <v>1420</v>
      </c>
      <c r="E390" s="47">
        <v>295</v>
      </c>
      <c r="F390" s="47">
        <v>3</v>
      </c>
    </row>
    <row r="391" spans="1:6">
      <c r="A391" s="48">
        <v>46249.916666666664</v>
      </c>
      <c r="B391" s="46" t="s">
        <v>25</v>
      </c>
      <c r="C391" s="47">
        <v>1420</v>
      </c>
      <c r="D391" s="47">
        <v>1420</v>
      </c>
      <c r="E391" s="47">
        <v>295</v>
      </c>
      <c r="F391" s="47">
        <v>3</v>
      </c>
    </row>
    <row r="392" spans="1:6">
      <c r="A392" s="48">
        <v>46249.958333333336</v>
      </c>
      <c r="B392" s="46" t="s">
        <v>25</v>
      </c>
      <c r="C392" s="47">
        <v>1420</v>
      </c>
      <c r="D392" s="47">
        <v>1420</v>
      </c>
      <c r="E392" s="47">
        <v>295</v>
      </c>
      <c r="F392" s="47">
        <v>3</v>
      </c>
    </row>
    <row r="393" spans="1:6">
      <c r="A393" s="48">
        <v>46250</v>
      </c>
      <c r="B393" s="46" t="s">
        <v>25</v>
      </c>
      <c r="C393" s="47">
        <v>1420</v>
      </c>
      <c r="D393" s="47">
        <v>1420</v>
      </c>
      <c r="E393" s="47">
        <v>295</v>
      </c>
      <c r="F393" s="47">
        <v>3</v>
      </c>
    </row>
    <row r="394" spans="1:6">
      <c r="A394" s="48">
        <v>46250.041666666664</v>
      </c>
      <c r="B394" s="46" t="s">
        <v>25</v>
      </c>
      <c r="C394" s="47">
        <v>1420</v>
      </c>
      <c r="D394" s="47">
        <v>1420</v>
      </c>
      <c r="E394" s="47">
        <v>295</v>
      </c>
      <c r="F394" s="47">
        <v>3</v>
      </c>
    </row>
    <row r="395" spans="1:6">
      <c r="A395" s="48">
        <v>46250.083333333336</v>
      </c>
      <c r="B395" s="46" t="s">
        <v>25</v>
      </c>
      <c r="C395" s="47">
        <v>1420</v>
      </c>
      <c r="D395" s="47">
        <v>1420</v>
      </c>
      <c r="E395" s="47">
        <v>295</v>
      </c>
      <c r="F395" s="47">
        <v>3</v>
      </c>
    </row>
    <row r="396" spans="1:6">
      <c r="A396" s="48">
        <v>46250.125</v>
      </c>
      <c r="B396" s="46" t="s">
        <v>25</v>
      </c>
      <c r="C396" s="47">
        <v>1420</v>
      </c>
      <c r="D396" s="47">
        <v>1420</v>
      </c>
      <c r="E396" s="47">
        <v>295</v>
      </c>
      <c r="F396" s="47">
        <v>3</v>
      </c>
    </row>
    <row r="397" spans="1:6">
      <c r="A397" s="48">
        <v>46250.166666666664</v>
      </c>
      <c r="B397" s="46" t="s">
        <v>25</v>
      </c>
      <c r="C397" s="47">
        <v>1420</v>
      </c>
      <c r="D397" s="47">
        <v>1420</v>
      </c>
      <c r="E397" s="47">
        <v>295</v>
      </c>
      <c r="F397" s="47">
        <v>3</v>
      </c>
    </row>
    <row r="398" spans="1:6">
      <c r="A398" s="48">
        <v>46250.208333333336</v>
      </c>
      <c r="B398" s="46" t="s">
        <v>25</v>
      </c>
      <c r="C398" s="47">
        <v>1420</v>
      </c>
      <c r="D398" s="47">
        <v>1420</v>
      </c>
      <c r="E398" s="47">
        <v>295</v>
      </c>
      <c r="F398" s="47">
        <v>3</v>
      </c>
    </row>
    <row r="399" spans="1:6">
      <c r="A399" s="48">
        <v>46250.25</v>
      </c>
      <c r="B399" s="46" t="s">
        <v>25</v>
      </c>
      <c r="C399" s="47">
        <v>1420</v>
      </c>
      <c r="D399" s="47">
        <v>1420</v>
      </c>
      <c r="E399" s="47">
        <v>295</v>
      </c>
      <c r="F399" s="47">
        <v>3</v>
      </c>
    </row>
    <row r="400" spans="1:6">
      <c r="A400" s="48">
        <v>46250.291666666664</v>
      </c>
      <c r="B400" s="46" t="s">
        <v>25</v>
      </c>
      <c r="C400" s="47">
        <v>1420</v>
      </c>
      <c r="D400" s="47">
        <v>1420</v>
      </c>
      <c r="E400" s="47">
        <v>295</v>
      </c>
      <c r="F400" s="47">
        <v>3</v>
      </c>
    </row>
    <row r="401" spans="1:6">
      <c r="A401" s="48">
        <v>46250.333333333336</v>
      </c>
      <c r="B401" s="46" t="s">
        <v>25</v>
      </c>
      <c r="C401" s="47">
        <v>1420</v>
      </c>
      <c r="D401" s="47">
        <v>1420</v>
      </c>
      <c r="E401" s="47">
        <v>295</v>
      </c>
      <c r="F401" s="47">
        <v>3</v>
      </c>
    </row>
    <row r="402" spans="1:6">
      <c r="A402" s="48">
        <v>46250.375</v>
      </c>
      <c r="B402" s="46" t="s">
        <v>25</v>
      </c>
      <c r="C402" s="47">
        <v>1420</v>
      </c>
      <c r="D402" s="47">
        <v>1420</v>
      </c>
      <c r="E402" s="47">
        <v>295</v>
      </c>
      <c r="F402" s="47">
        <v>3</v>
      </c>
    </row>
    <row r="403" spans="1:6">
      <c r="A403" s="48">
        <v>46250.416666666664</v>
      </c>
      <c r="B403" s="46" t="s">
        <v>25</v>
      </c>
      <c r="C403" s="47">
        <v>1420</v>
      </c>
      <c r="D403" s="47">
        <v>1420</v>
      </c>
      <c r="E403" s="47">
        <v>295</v>
      </c>
      <c r="F403" s="47">
        <v>3</v>
      </c>
    </row>
    <row r="404" spans="1:6">
      <c r="A404" s="48">
        <v>46250.458333333336</v>
      </c>
      <c r="B404" s="46" t="s">
        <v>25</v>
      </c>
      <c r="C404" s="47">
        <v>1420</v>
      </c>
      <c r="D404" s="47">
        <v>1420</v>
      </c>
      <c r="E404" s="47">
        <v>295</v>
      </c>
      <c r="F404" s="47">
        <v>3</v>
      </c>
    </row>
    <row r="405" spans="1:6">
      <c r="A405" s="48">
        <v>46250.5</v>
      </c>
      <c r="B405" s="46" t="s">
        <v>25</v>
      </c>
      <c r="C405" s="47">
        <v>1420</v>
      </c>
      <c r="D405" s="47">
        <v>1420</v>
      </c>
      <c r="E405" s="47">
        <v>295</v>
      </c>
      <c r="F405" s="47">
        <v>3</v>
      </c>
    </row>
    <row r="406" spans="1:6">
      <c r="A406" s="48">
        <v>46250.541666666664</v>
      </c>
      <c r="B406" s="46" t="s">
        <v>25</v>
      </c>
      <c r="C406" s="47">
        <v>1420</v>
      </c>
      <c r="D406" s="47">
        <v>1420</v>
      </c>
      <c r="E406" s="47">
        <v>295</v>
      </c>
      <c r="F406" s="47">
        <v>3</v>
      </c>
    </row>
    <row r="407" spans="1:6">
      <c r="A407" s="48">
        <v>46250.583333333336</v>
      </c>
      <c r="B407" s="46" t="s">
        <v>25</v>
      </c>
      <c r="C407" s="47">
        <v>1420</v>
      </c>
      <c r="D407" s="47">
        <v>1420</v>
      </c>
      <c r="E407" s="47">
        <v>295</v>
      </c>
      <c r="F407" s="47">
        <v>3</v>
      </c>
    </row>
    <row r="408" spans="1:6">
      <c r="A408" s="48">
        <v>46250.625</v>
      </c>
      <c r="B408" s="46" t="s">
        <v>25</v>
      </c>
      <c r="C408" s="47">
        <v>1420</v>
      </c>
      <c r="D408" s="47">
        <v>1420</v>
      </c>
      <c r="E408" s="47">
        <v>295</v>
      </c>
      <c r="F408" s="47">
        <v>3</v>
      </c>
    </row>
    <row r="409" spans="1:6">
      <c r="A409" s="48">
        <v>46250.666666666664</v>
      </c>
      <c r="B409" s="46" t="s">
        <v>25</v>
      </c>
      <c r="C409" s="47">
        <v>1420</v>
      </c>
      <c r="D409" s="47">
        <v>1420</v>
      </c>
      <c r="E409" s="47">
        <v>295</v>
      </c>
      <c r="F409" s="47">
        <v>3</v>
      </c>
    </row>
    <row r="410" spans="1:6">
      <c r="A410" s="48">
        <v>46250.708333333336</v>
      </c>
      <c r="B410" s="46" t="s">
        <v>25</v>
      </c>
      <c r="C410" s="47">
        <v>1420</v>
      </c>
      <c r="D410" s="47">
        <v>1420</v>
      </c>
      <c r="E410" s="47">
        <v>295</v>
      </c>
      <c r="F410" s="47">
        <v>3</v>
      </c>
    </row>
    <row r="411" spans="1:6">
      <c r="A411" s="48">
        <v>46250.75</v>
      </c>
      <c r="B411" s="46" t="s">
        <v>25</v>
      </c>
      <c r="C411" s="47">
        <v>1420</v>
      </c>
      <c r="D411" s="47">
        <v>1420</v>
      </c>
      <c r="E411" s="47">
        <v>295</v>
      </c>
      <c r="F411" s="47">
        <v>3</v>
      </c>
    </row>
    <row r="412" spans="1:6">
      <c r="A412" s="48">
        <v>46250.791666666664</v>
      </c>
      <c r="B412" s="46" t="s">
        <v>25</v>
      </c>
      <c r="C412" s="47">
        <v>1420</v>
      </c>
      <c r="D412" s="47">
        <v>1420</v>
      </c>
      <c r="E412" s="47">
        <v>295</v>
      </c>
      <c r="F412" s="47">
        <v>3</v>
      </c>
    </row>
    <row r="413" spans="1:6">
      <c r="A413" s="48">
        <v>46250.833333333336</v>
      </c>
      <c r="B413" s="46" t="s">
        <v>25</v>
      </c>
      <c r="C413" s="47">
        <v>1420</v>
      </c>
      <c r="D413" s="47">
        <v>1420</v>
      </c>
      <c r="E413" s="47">
        <v>295</v>
      </c>
      <c r="F413" s="47">
        <v>3</v>
      </c>
    </row>
    <row r="414" spans="1:6">
      <c r="A414" s="48">
        <v>46250.875</v>
      </c>
      <c r="B414" s="46" t="s">
        <v>25</v>
      </c>
      <c r="C414" s="47">
        <v>1420</v>
      </c>
      <c r="D414" s="47">
        <v>1420</v>
      </c>
      <c r="E414" s="47">
        <v>295</v>
      </c>
      <c r="F414" s="47">
        <v>3</v>
      </c>
    </row>
    <row r="415" spans="1:6">
      <c r="A415" s="48">
        <v>46250.916666666664</v>
      </c>
      <c r="B415" s="46" t="s">
        <v>25</v>
      </c>
      <c r="C415" s="47">
        <v>1420</v>
      </c>
      <c r="D415" s="47">
        <v>1420</v>
      </c>
      <c r="E415" s="47">
        <v>295</v>
      </c>
      <c r="F415" s="47">
        <v>3</v>
      </c>
    </row>
    <row r="416" spans="1:6">
      <c r="A416" s="48">
        <v>46250.958333333336</v>
      </c>
      <c r="B416" s="46" t="s">
        <v>25</v>
      </c>
      <c r="C416" s="47">
        <v>1420</v>
      </c>
      <c r="D416" s="47">
        <v>1420</v>
      </c>
      <c r="E416" s="47">
        <v>295</v>
      </c>
      <c r="F416" s="47">
        <v>3</v>
      </c>
    </row>
    <row r="417" spans="1:6">
      <c r="A417" s="48">
        <v>46251</v>
      </c>
      <c r="B417" s="46" t="s">
        <v>25</v>
      </c>
      <c r="C417" s="47">
        <v>1420</v>
      </c>
      <c r="D417" s="47">
        <v>1420</v>
      </c>
      <c r="E417" s="47">
        <v>295</v>
      </c>
      <c r="F417" s="47">
        <v>3</v>
      </c>
    </row>
    <row r="418" spans="1:6">
      <c r="A418" s="48">
        <v>46251.041666666664</v>
      </c>
      <c r="B418" s="46" t="s">
        <v>25</v>
      </c>
      <c r="C418" s="47">
        <v>1420</v>
      </c>
      <c r="D418" s="47">
        <v>1420</v>
      </c>
      <c r="E418" s="47">
        <v>295</v>
      </c>
      <c r="F418" s="47">
        <v>3</v>
      </c>
    </row>
    <row r="419" spans="1:6">
      <c r="A419" s="48">
        <v>46251.083333333336</v>
      </c>
      <c r="B419" s="46" t="s">
        <v>25</v>
      </c>
      <c r="C419" s="47">
        <v>1420</v>
      </c>
      <c r="D419" s="47">
        <v>1420</v>
      </c>
      <c r="E419" s="47">
        <v>295</v>
      </c>
      <c r="F419" s="47">
        <v>3</v>
      </c>
    </row>
    <row r="420" spans="1:6">
      <c r="A420" s="48">
        <v>46251.125</v>
      </c>
      <c r="B420" s="46" t="s">
        <v>25</v>
      </c>
      <c r="C420" s="47">
        <v>1420</v>
      </c>
      <c r="D420" s="47">
        <v>1420</v>
      </c>
      <c r="E420" s="47">
        <v>295</v>
      </c>
      <c r="F420" s="47">
        <v>3</v>
      </c>
    </row>
    <row r="421" spans="1:6">
      <c r="A421" s="48">
        <v>46251.166666666664</v>
      </c>
      <c r="B421" s="46" t="s">
        <v>25</v>
      </c>
      <c r="C421" s="47">
        <v>1420</v>
      </c>
      <c r="D421" s="47">
        <v>1420</v>
      </c>
      <c r="E421" s="47">
        <v>295</v>
      </c>
      <c r="F421" s="47">
        <v>3</v>
      </c>
    </row>
    <row r="422" spans="1:6">
      <c r="A422" s="48">
        <v>46251.208333333336</v>
      </c>
      <c r="B422" s="46" t="s">
        <v>25</v>
      </c>
      <c r="C422" s="47">
        <v>1420</v>
      </c>
      <c r="D422" s="47">
        <v>1420</v>
      </c>
      <c r="E422" s="47">
        <v>295</v>
      </c>
      <c r="F422" s="47">
        <v>3</v>
      </c>
    </row>
    <row r="423" spans="1:6">
      <c r="A423" s="48">
        <v>46251.25</v>
      </c>
      <c r="B423" s="46" t="s">
        <v>25</v>
      </c>
      <c r="C423" s="47">
        <v>1420</v>
      </c>
      <c r="D423" s="47">
        <v>1420</v>
      </c>
      <c r="E423" s="47">
        <v>295</v>
      </c>
      <c r="F423" s="47">
        <v>3</v>
      </c>
    </row>
    <row r="424" spans="1:6">
      <c r="A424" s="48">
        <v>46251.291666666664</v>
      </c>
      <c r="B424" s="46" t="s">
        <v>25</v>
      </c>
      <c r="C424" s="47">
        <v>1420</v>
      </c>
      <c r="D424" s="47">
        <v>1420</v>
      </c>
      <c r="E424" s="47">
        <v>295</v>
      </c>
      <c r="F424" s="47">
        <v>3</v>
      </c>
    </row>
    <row r="425" spans="1:6">
      <c r="A425" s="48">
        <v>46251.333333333336</v>
      </c>
      <c r="B425" s="46" t="s">
        <v>25</v>
      </c>
      <c r="C425" s="47">
        <v>1420</v>
      </c>
      <c r="D425" s="47">
        <v>1420</v>
      </c>
      <c r="E425" s="47">
        <v>295</v>
      </c>
      <c r="F425" s="47">
        <v>3</v>
      </c>
    </row>
    <row r="426" spans="1:6">
      <c r="A426" s="48">
        <v>46251.375</v>
      </c>
      <c r="B426" s="46" t="s">
        <v>25</v>
      </c>
      <c r="C426" s="47">
        <v>1420</v>
      </c>
      <c r="D426" s="47">
        <v>1420</v>
      </c>
      <c r="E426" s="47">
        <v>295</v>
      </c>
      <c r="F426" s="47">
        <v>3</v>
      </c>
    </row>
    <row r="427" spans="1:6">
      <c r="A427" s="48">
        <v>46251.416666666664</v>
      </c>
      <c r="B427" s="46" t="s">
        <v>25</v>
      </c>
      <c r="C427" s="47">
        <v>1420</v>
      </c>
      <c r="D427" s="47">
        <v>1420</v>
      </c>
      <c r="E427" s="47">
        <v>295</v>
      </c>
      <c r="F427" s="47">
        <v>3</v>
      </c>
    </row>
    <row r="428" spans="1:6">
      <c r="A428" s="48">
        <v>46251.458333333336</v>
      </c>
      <c r="B428" s="46" t="s">
        <v>25</v>
      </c>
      <c r="C428" s="47">
        <v>1420</v>
      </c>
      <c r="D428" s="47">
        <v>1420</v>
      </c>
      <c r="E428" s="47">
        <v>295</v>
      </c>
      <c r="F428" s="47">
        <v>3</v>
      </c>
    </row>
    <row r="429" spans="1:6">
      <c r="A429" s="48">
        <v>46251.5</v>
      </c>
      <c r="B429" s="46" t="s">
        <v>25</v>
      </c>
      <c r="C429" s="47">
        <v>1420</v>
      </c>
      <c r="D429" s="47">
        <v>1420</v>
      </c>
      <c r="E429" s="47">
        <v>295</v>
      </c>
      <c r="F429" s="47">
        <v>3</v>
      </c>
    </row>
    <row r="430" spans="1:6">
      <c r="A430" s="48">
        <v>46251.541666666664</v>
      </c>
      <c r="B430" s="46" t="s">
        <v>25</v>
      </c>
      <c r="C430" s="47">
        <v>1420</v>
      </c>
      <c r="D430" s="47">
        <v>1420</v>
      </c>
      <c r="E430" s="47">
        <v>295</v>
      </c>
      <c r="F430" s="47">
        <v>3</v>
      </c>
    </row>
    <row r="431" spans="1:6">
      <c r="A431" s="48">
        <v>46251.583333333336</v>
      </c>
      <c r="B431" s="46" t="s">
        <v>25</v>
      </c>
      <c r="C431" s="47">
        <v>1420</v>
      </c>
      <c r="D431" s="47">
        <v>1420</v>
      </c>
      <c r="E431" s="47">
        <v>295</v>
      </c>
      <c r="F431" s="47">
        <v>3</v>
      </c>
    </row>
    <row r="432" spans="1:6">
      <c r="A432" s="48">
        <v>46251.625</v>
      </c>
      <c r="B432" s="46" t="s">
        <v>25</v>
      </c>
      <c r="C432" s="47">
        <v>1420</v>
      </c>
      <c r="D432" s="47">
        <v>1420</v>
      </c>
      <c r="E432" s="47">
        <v>295</v>
      </c>
      <c r="F432" s="47">
        <v>3</v>
      </c>
    </row>
    <row r="433" spans="1:6">
      <c r="A433" s="48">
        <v>46251.666666666664</v>
      </c>
      <c r="B433" s="46" t="s">
        <v>25</v>
      </c>
      <c r="C433" s="47">
        <v>1420</v>
      </c>
      <c r="D433" s="47">
        <v>1420</v>
      </c>
      <c r="E433" s="47">
        <v>295</v>
      </c>
      <c r="F433" s="47">
        <v>3</v>
      </c>
    </row>
    <row r="434" spans="1:6">
      <c r="A434" s="48">
        <v>46251.708333333336</v>
      </c>
      <c r="B434" s="46" t="s">
        <v>25</v>
      </c>
      <c r="C434" s="47">
        <v>1420</v>
      </c>
      <c r="D434" s="47">
        <v>1420</v>
      </c>
      <c r="E434" s="47">
        <v>295</v>
      </c>
      <c r="F434" s="47">
        <v>3</v>
      </c>
    </row>
    <row r="435" spans="1:6">
      <c r="A435" s="48">
        <v>46251.75</v>
      </c>
      <c r="B435" s="46" t="s">
        <v>25</v>
      </c>
      <c r="C435" s="47">
        <v>1420</v>
      </c>
      <c r="D435" s="47">
        <v>1420</v>
      </c>
      <c r="E435" s="47">
        <v>295</v>
      </c>
      <c r="F435" s="47">
        <v>3</v>
      </c>
    </row>
    <row r="436" spans="1:6">
      <c r="A436" s="48">
        <v>46251.791666666664</v>
      </c>
      <c r="B436" s="46" t="s">
        <v>25</v>
      </c>
      <c r="C436" s="47">
        <v>1420</v>
      </c>
      <c r="D436" s="47">
        <v>1420</v>
      </c>
      <c r="E436" s="47">
        <v>295</v>
      </c>
      <c r="F436" s="47">
        <v>3</v>
      </c>
    </row>
    <row r="437" spans="1:6">
      <c r="A437" s="48">
        <v>46251.833333333336</v>
      </c>
      <c r="B437" s="46" t="s">
        <v>25</v>
      </c>
      <c r="C437" s="47">
        <v>1420</v>
      </c>
      <c r="D437" s="47">
        <v>1420</v>
      </c>
      <c r="E437" s="47">
        <v>295</v>
      </c>
      <c r="F437" s="47">
        <v>3</v>
      </c>
    </row>
    <row r="438" spans="1:6">
      <c r="A438" s="48">
        <v>46251.875</v>
      </c>
      <c r="B438" s="46" t="s">
        <v>25</v>
      </c>
      <c r="C438" s="47">
        <v>1420</v>
      </c>
      <c r="D438" s="47">
        <v>1420</v>
      </c>
      <c r="E438" s="47">
        <v>295</v>
      </c>
      <c r="F438" s="47">
        <v>3</v>
      </c>
    </row>
    <row r="439" spans="1:6">
      <c r="A439" s="48">
        <v>46251.916666666664</v>
      </c>
      <c r="B439" s="46" t="s">
        <v>25</v>
      </c>
      <c r="C439" s="47">
        <v>1420</v>
      </c>
      <c r="D439" s="47">
        <v>1420</v>
      </c>
      <c r="E439" s="47">
        <v>295</v>
      </c>
      <c r="F439" s="47">
        <v>3</v>
      </c>
    </row>
    <row r="440" spans="1:6">
      <c r="A440" s="48">
        <v>46251.958333333336</v>
      </c>
      <c r="B440" s="46" t="s">
        <v>25</v>
      </c>
      <c r="C440" s="47">
        <v>1420</v>
      </c>
      <c r="D440" s="47">
        <v>1420</v>
      </c>
      <c r="E440" s="47">
        <v>295</v>
      </c>
      <c r="F440" s="47">
        <v>3</v>
      </c>
    </row>
    <row r="441" spans="1:6">
      <c r="A441" s="48">
        <v>46252</v>
      </c>
      <c r="B441" s="46" t="s">
        <v>25</v>
      </c>
      <c r="C441" s="47">
        <v>1420</v>
      </c>
      <c r="D441" s="47">
        <v>1420</v>
      </c>
      <c r="E441" s="47">
        <v>295</v>
      </c>
      <c r="F441" s="47">
        <v>3</v>
      </c>
    </row>
    <row r="442" spans="1:6">
      <c r="A442" s="48">
        <v>46252.041666666664</v>
      </c>
      <c r="B442" s="46" t="s">
        <v>25</v>
      </c>
      <c r="C442" s="47">
        <v>1420</v>
      </c>
      <c r="D442" s="47">
        <v>1420</v>
      </c>
      <c r="E442" s="47">
        <v>295</v>
      </c>
      <c r="F442" s="47">
        <v>3</v>
      </c>
    </row>
    <row r="443" spans="1:6">
      <c r="A443" s="48">
        <v>46252.083333333336</v>
      </c>
      <c r="B443" s="46" t="s">
        <v>25</v>
      </c>
      <c r="C443" s="47">
        <v>1420</v>
      </c>
      <c r="D443" s="47">
        <v>1420</v>
      </c>
      <c r="E443" s="47">
        <v>295</v>
      </c>
      <c r="F443" s="47">
        <v>3</v>
      </c>
    </row>
    <row r="444" spans="1:6">
      <c r="A444" s="48">
        <v>46252.125</v>
      </c>
      <c r="B444" s="46" t="s">
        <v>25</v>
      </c>
      <c r="C444" s="47">
        <v>1420</v>
      </c>
      <c r="D444" s="47">
        <v>1420</v>
      </c>
      <c r="E444" s="47">
        <v>295</v>
      </c>
      <c r="F444" s="47">
        <v>3</v>
      </c>
    </row>
    <row r="445" spans="1:6">
      <c r="A445" s="48">
        <v>46252.166666666664</v>
      </c>
      <c r="B445" s="46" t="s">
        <v>25</v>
      </c>
      <c r="C445" s="47">
        <v>1420</v>
      </c>
      <c r="D445" s="47">
        <v>1420</v>
      </c>
      <c r="E445" s="47">
        <v>295</v>
      </c>
      <c r="F445" s="47">
        <v>3</v>
      </c>
    </row>
    <row r="446" spans="1:6">
      <c r="A446" s="48">
        <v>46252.208333333336</v>
      </c>
      <c r="B446" s="46" t="s">
        <v>25</v>
      </c>
      <c r="C446" s="47">
        <v>1420</v>
      </c>
      <c r="D446" s="47">
        <v>1420</v>
      </c>
      <c r="E446" s="47">
        <v>295</v>
      </c>
      <c r="F446" s="47">
        <v>3</v>
      </c>
    </row>
    <row r="447" spans="1:6">
      <c r="A447" s="48">
        <v>46252.25</v>
      </c>
      <c r="B447" s="46" t="s">
        <v>25</v>
      </c>
      <c r="C447" s="47">
        <v>1420</v>
      </c>
      <c r="D447" s="47">
        <v>1420</v>
      </c>
      <c r="E447" s="47">
        <v>295</v>
      </c>
      <c r="F447" s="47">
        <v>3</v>
      </c>
    </row>
    <row r="448" spans="1:6">
      <c r="A448" s="48">
        <v>46252.291666666664</v>
      </c>
      <c r="B448" s="46" t="s">
        <v>25</v>
      </c>
      <c r="C448" s="47">
        <v>1420</v>
      </c>
      <c r="D448" s="47">
        <v>1420</v>
      </c>
      <c r="E448" s="47">
        <v>295</v>
      </c>
      <c r="F448" s="47">
        <v>3</v>
      </c>
    </row>
    <row r="449" spans="1:6">
      <c r="A449" s="48">
        <v>46252.333333333336</v>
      </c>
      <c r="B449" s="46" t="s">
        <v>25</v>
      </c>
      <c r="C449" s="47">
        <v>1420</v>
      </c>
      <c r="D449" s="47">
        <v>1420</v>
      </c>
      <c r="E449" s="47">
        <v>295</v>
      </c>
      <c r="F449" s="47">
        <v>3</v>
      </c>
    </row>
    <row r="450" spans="1:6">
      <c r="A450" s="48">
        <v>46252.375</v>
      </c>
      <c r="B450" s="46" t="s">
        <v>25</v>
      </c>
      <c r="C450" s="47">
        <v>1420</v>
      </c>
      <c r="D450" s="47">
        <v>1420</v>
      </c>
      <c r="E450" s="47">
        <v>295</v>
      </c>
      <c r="F450" s="47">
        <v>3</v>
      </c>
    </row>
    <row r="451" spans="1:6">
      <c r="A451" s="48">
        <v>46252.416666666664</v>
      </c>
      <c r="B451" s="46" t="s">
        <v>25</v>
      </c>
      <c r="C451" s="47">
        <v>1420</v>
      </c>
      <c r="D451" s="47">
        <v>1420</v>
      </c>
      <c r="E451" s="47">
        <v>295</v>
      </c>
      <c r="F451" s="47">
        <v>3</v>
      </c>
    </row>
    <row r="452" spans="1:6">
      <c r="A452" s="48">
        <v>46252.458333333336</v>
      </c>
      <c r="B452" s="46" t="s">
        <v>25</v>
      </c>
      <c r="C452" s="47">
        <v>1420</v>
      </c>
      <c r="D452" s="47">
        <v>1420</v>
      </c>
      <c r="E452" s="47">
        <v>295</v>
      </c>
      <c r="F452" s="47">
        <v>3</v>
      </c>
    </row>
    <row r="453" spans="1:6">
      <c r="A453" s="48">
        <v>46252.5</v>
      </c>
      <c r="B453" s="46" t="s">
        <v>25</v>
      </c>
      <c r="C453" s="47">
        <v>1420</v>
      </c>
      <c r="D453" s="47">
        <v>1420</v>
      </c>
      <c r="E453" s="47">
        <v>295</v>
      </c>
      <c r="F453" s="47">
        <v>3</v>
      </c>
    </row>
    <row r="454" spans="1:6">
      <c r="A454" s="48">
        <v>46252.541666666664</v>
      </c>
      <c r="B454" s="46" t="s">
        <v>25</v>
      </c>
      <c r="C454" s="47">
        <v>1420</v>
      </c>
      <c r="D454" s="47">
        <v>1420</v>
      </c>
      <c r="E454" s="47">
        <v>295</v>
      </c>
      <c r="F454" s="47">
        <v>3</v>
      </c>
    </row>
    <row r="455" spans="1:6">
      <c r="A455" s="48">
        <v>46252.583333333336</v>
      </c>
      <c r="B455" s="46" t="s">
        <v>25</v>
      </c>
      <c r="C455" s="47">
        <v>1420</v>
      </c>
      <c r="D455" s="47">
        <v>1420</v>
      </c>
      <c r="E455" s="47">
        <v>295</v>
      </c>
      <c r="F455" s="47">
        <v>3</v>
      </c>
    </row>
    <row r="456" spans="1:6">
      <c r="A456" s="48">
        <v>46252.625</v>
      </c>
      <c r="B456" s="46" t="s">
        <v>25</v>
      </c>
      <c r="C456" s="47">
        <v>1420</v>
      </c>
      <c r="D456" s="47">
        <v>1420</v>
      </c>
      <c r="E456" s="47">
        <v>295</v>
      </c>
      <c r="F456" s="47">
        <v>3</v>
      </c>
    </row>
    <row r="457" spans="1:6">
      <c r="A457" s="48">
        <v>46252.666666666664</v>
      </c>
      <c r="B457" s="46" t="s">
        <v>25</v>
      </c>
      <c r="C457" s="47">
        <v>1420</v>
      </c>
      <c r="D457" s="47">
        <v>1420</v>
      </c>
      <c r="E457" s="47">
        <v>295</v>
      </c>
      <c r="F457" s="47">
        <v>3</v>
      </c>
    </row>
    <row r="458" spans="1:6">
      <c r="A458" s="48">
        <v>46252.708333333336</v>
      </c>
      <c r="B458" s="46" t="s">
        <v>25</v>
      </c>
      <c r="C458" s="47">
        <v>1420</v>
      </c>
      <c r="D458" s="47">
        <v>1420</v>
      </c>
      <c r="E458" s="47">
        <v>295</v>
      </c>
      <c r="F458" s="47">
        <v>3</v>
      </c>
    </row>
    <row r="459" spans="1:6">
      <c r="A459" s="48">
        <v>46252.75</v>
      </c>
      <c r="B459" s="46" t="s">
        <v>25</v>
      </c>
      <c r="C459" s="47">
        <v>1420</v>
      </c>
      <c r="D459" s="47">
        <v>1420</v>
      </c>
      <c r="E459" s="47">
        <v>295</v>
      </c>
      <c r="F459" s="47">
        <v>3</v>
      </c>
    </row>
    <row r="460" spans="1:6">
      <c r="A460" s="48">
        <v>46252.791666666664</v>
      </c>
      <c r="B460" s="46" t="s">
        <v>25</v>
      </c>
      <c r="C460" s="47">
        <v>1420</v>
      </c>
      <c r="D460" s="47">
        <v>1420</v>
      </c>
      <c r="E460" s="47">
        <v>295</v>
      </c>
      <c r="F460" s="47">
        <v>3</v>
      </c>
    </row>
    <row r="461" spans="1:6">
      <c r="A461" s="48">
        <v>46252.833333333336</v>
      </c>
      <c r="B461" s="46" t="s">
        <v>25</v>
      </c>
      <c r="C461" s="47">
        <v>1420</v>
      </c>
      <c r="D461" s="47">
        <v>1420</v>
      </c>
      <c r="E461" s="47">
        <v>295</v>
      </c>
      <c r="F461" s="47">
        <v>3</v>
      </c>
    </row>
    <row r="462" spans="1:6">
      <c r="A462" s="48">
        <v>46252.875</v>
      </c>
      <c r="B462" s="46" t="s">
        <v>25</v>
      </c>
      <c r="C462" s="47">
        <v>1420</v>
      </c>
      <c r="D462" s="47">
        <v>1420</v>
      </c>
      <c r="E462" s="47">
        <v>295</v>
      </c>
      <c r="F462" s="47">
        <v>3</v>
      </c>
    </row>
    <row r="463" spans="1:6">
      <c r="A463" s="48">
        <v>46252.916666666664</v>
      </c>
      <c r="B463" s="46" t="s">
        <v>25</v>
      </c>
      <c r="C463" s="47">
        <v>1420</v>
      </c>
      <c r="D463" s="47">
        <v>1420</v>
      </c>
      <c r="E463" s="47">
        <v>295</v>
      </c>
      <c r="F463" s="47">
        <v>3</v>
      </c>
    </row>
    <row r="464" spans="1:6">
      <c r="A464" s="48">
        <v>46252.958333333336</v>
      </c>
      <c r="B464" s="46" t="s">
        <v>25</v>
      </c>
      <c r="C464" s="47">
        <v>1420</v>
      </c>
      <c r="D464" s="47">
        <v>1420</v>
      </c>
      <c r="E464" s="47">
        <v>295</v>
      </c>
      <c r="F464" s="47">
        <v>3</v>
      </c>
    </row>
    <row r="465" spans="1:6">
      <c r="A465" s="48">
        <v>46253</v>
      </c>
      <c r="B465" s="46" t="s">
        <v>25</v>
      </c>
      <c r="C465" s="47">
        <v>1420</v>
      </c>
      <c r="D465" s="47">
        <v>1420</v>
      </c>
      <c r="E465" s="47">
        <v>295</v>
      </c>
      <c r="F465" s="47">
        <v>3</v>
      </c>
    </row>
    <row r="466" spans="1:6">
      <c r="A466" s="48">
        <v>46253.041666666664</v>
      </c>
      <c r="B466" s="46" t="s">
        <v>25</v>
      </c>
      <c r="C466" s="47">
        <v>1420</v>
      </c>
      <c r="D466" s="47">
        <v>1420</v>
      </c>
      <c r="E466" s="47">
        <v>295</v>
      </c>
      <c r="F466" s="47">
        <v>3</v>
      </c>
    </row>
    <row r="467" spans="1:6">
      <c r="A467" s="48">
        <v>46253.083333333336</v>
      </c>
      <c r="B467" s="46" t="s">
        <v>25</v>
      </c>
      <c r="C467" s="47">
        <v>1420</v>
      </c>
      <c r="D467" s="47">
        <v>1420</v>
      </c>
      <c r="E467" s="47">
        <v>295</v>
      </c>
      <c r="F467" s="47">
        <v>3</v>
      </c>
    </row>
    <row r="468" spans="1:6">
      <c r="A468" s="48">
        <v>46253.125</v>
      </c>
      <c r="B468" s="46" t="s">
        <v>25</v>
      </c>
      <c r="C468" s="47">
        <v>1420</v>
      </c>
      <c r="D468" s="47">
        <v>1420</v>
      </c>
      <c r="E468" s="47">
        <v>295</v>
      </c>
      <c r="F468" s="47">
        <v>3</v>
      </c>
    </row>
    <row r="469" spans="1:6">
      <c r="A469" s="48">
        <v>46253.166666666664</v>
      </c>
      <c r="B469" s="46" t="s">
        <v>25</v>
      </c>
      <c r="C469" s="47">
        <v>1420</v>
      </c>
      <c r="D469" s="47">
        <v>1420</v>
      </c>
      <c r="E469" s="47">
        <v>295</v>
      </c>
      <c r="F469" s="47">
        <v>3</v>
      </c>
    </row>
    <row r="470" spans="1:6">
      <c r="A470" s="48">
        <v>46253.208333333336</v>
      </c>
      <c r="B470" s="46" t="s">
        <v>25</v>
      </c>
      <c r="C470" s="47">
        <v>1420</v>
      </c>
      <c r="D470" s="47">
        <v>1420</v>
      </c>
      <c r="E470" s="47">
        <v>295</v>
      </c>
      <c r="F470" s="47">
        <v>3</v>
      </c>
    </row>
    <row r="471" spans="1:6">
      <c r="A471" s="48">
        <v>46253.25</v>
      </c>
      <c r="B471" s="46" t="s">
        <v>25</v>
      </c>
      <c r="C471" s="47">
        <v>1420</v>
      </c>
      <c r="D471" s="47">
        <v>1420</v>
      </c>
      <c r="E471" s="47">
        <v>295</v>
      </c>
      <c r="F471" s="47">
        <v>3</v>
      </c>
    </row>
    <row r="472" spans="1:6">
      <c r="A472" s="48">
        <v>46253.291666666664</v>
      </c>
      <c r="B472" s="46" t="s">
        <v>25</v>
      </c>
      <c r="C472" s="47">
        <v>1420</v>
      </c>
      <c r="D472" s="47">
        <v>1420</v>
      </c>
      <c r="E472" s="47">
        <v>295</v>
      </c>
      <c r="F472" s="47">
        <v>3</v>
      </c>
    </row>
    <row r="473" spans="1:6">
      <c r="A473" s="48">
        <v>46253.333333333336</v>
      </c>
      <c r="B473" s="46" t="s">
        <v>25</v>
      </c>
      <c r="C473" s="47">
        <v>1420</v>
      </c>
      <c r="D473" s="47">
        <v>1420</v>
      </c>
      <c r="E473" s="47">
        <v>295</v>
      </c>
      <c r="F473" s="47">
        <v>3</v>
      </c>
    </row>
    <row r="474" spans="1:6">
      <c r="A474" s="48">
        <v>46253.375</v>
      </c>
      <c r="B474" s="46" t="s">
        <v>25</v>
      </c>
      <c r="C474" s="47">
        <v>1420</v>
      </c>
      <c r="D474" s="47">
        <v>1420</v>
      </c>
      <c r="E474" s="47">
        <v>295</v>
      </c>
      <c r="F474" s="47">
        <v>3</v>
      </c>
    </row>
    <row r="475" spans="1:6">
      <c r="A475" s="48">
        <v>46253.416666666664</v>
      </c>
      <c r="B475" s="46" t="s">
        <v>25</v>
      </c>
      <c r="C475" s="47">
        <v>1420</v>
      </c>
      <c r="D475" s="47">
        <v>1420</v>
      </c>
      <c r="E475" s="47">
        <v>295</v>
      </c>
      <c r="F475" s="47">
        <v>3</v>
      </c>
    </row>
    <row r="476" spans="1:6">
      <c r="A476" s="48">
        <v>46253.458333333336</v>
      </c>
      <c r="B476" s="46" t="s">
        <v>25</v>
      </c>
      <c r="C476" s="47">
        <v>1420</v>
      </c>
      <c r="D476" s="47">
        <v>1420</v>
      </c>
      <c r="E476" s="47">
        <v>295</v>
      </c>
      <c r="F476" s="47">
        <v>3</v>
      </c>
    </row>
    <row r="477" spans="1:6">
      <c r="A477" s="48">
        <v>46253.5</v>
      </c>
      <c r="B477" s="46" t="s">
        <v>25</v>
      </c>
      <c r="C477" s="47">
        <v>1420</v>
      </c>
      <c r="D477" s="47">
        <v>1420</v>
      </c>
      <c r="E477" s="47">
        <v>295</v>
      </c>
      <c r="F477" s="47">
        <v>3</v>
      </c>
    </row>
    <row r="478" spans="1:6">
      <c r="A478" s="48">
        <v>46253.541666666664</v>
      </c>
      <c r="B478" s="46" t="s">
        <v>25</v>
      </c>
      <c r="C478" s="47">
        <v>1420</v>
      </c>
      <c r="D478" s="47">
        <v>1420</v>
      </c>
      <c r="E478" s="47">
        <v>295</v>
      </c>
      <c r="F478" s="47">
        <v>3</v>
      </c>
    </row>
    <row r="479" spans="1:6">
      <c r="A479" s="48">
        <v>46253.583333333336</v>
      </c>
      <c r="B479" s="46" t="s">
        <v>25</v>
      </c>
      <c r="C479" s="47">
        <v>1420</v>
      </c>
      <c r="D479" s="47">
        <v>1420</v>
      </c>
      <c r="E479" s="47">
        <v>295</v>
      </c>
      <c r="F479" s="47">
        <v>3</v>
      </c>
    </row>
    <row r="480" spans="1:6">
      <c r="A480" s="48">
        <v>46253.625</v>
      </c>
      <c r="B480" s="46" t="s">
        <v>25</v>
      </c>
      <c r="C480" s="47">
        <v>1420</v>
      </c>
      <c r="D480" s="47">
        <v>1420</v>
      </c>
      <c r="E480" s="47">
        <v>295</v>
      </c>
      <c r="F480" s="47">
        <v>3</v>
      </c>
    </row>
    <row r="481" spans="1:6">
      <c r="A481" s="48">
        <v>46253.666666666664</v>
      </c>
      <c r="B481" s="46" t="s">
        <v>25</v>
      </c>
      <c r="C481" s="47">
        <v>1420</v>
      </c>
      <c r="D481" s="47">
        <v>1420</v>
      </c>
      <c r="E481" s="47">
        <v>295</v>
      </c>
      <c r="F481" s="47">
        <v>3</v>
      </c>
    </row>
    <row r="482" spans="1:6">
      <c r="A482" s="48">
        <v>46253.708333333336</v>
      </c>
      <c r="B482" s="46" t="s">
        <v>25</v>
      </c>
      <c r="C482" s="47">
        <v>1420</v>
      </c>
      <c r="D482" s="47">
        <v>1420</v>
      </c>
      <c r="E482" s="47">
        <v>295</v>
      </c>
      <c r="F482" s="47">
        <v>3</v>
      </c>
    </row>
    <row r="483" spans="1:6">
      <c r="A483" s="48">
        <v>46253.75</v>
      </c>
      <c r="B483" s="46" t="s">
        <v>25</v>
      </c>
      <c r="C483" s="47">
        <v>1420</v>
      </c>
      <c r="D483" s="47">
        <v>1420</v>
      </c>
      <c r="E483" s="47">
        <v>295</v>
      </c>
      <c r="F483" s="47">
        <v>3</v>
      </c>
    </row>
    <row r="484" spans="1:6">
      <c r="A484" s="48">
        <v>46253.791666666664</v>
      </c>
      <c r="B484" s="46" t="s">
        <v>25</v>
      </c>
      <c r="C484" s="47">
        <v>1420</v>
      </c>
      <c r="D484" s="47">
        <v>1420</v>
      </c>
      <c r="E484" s="47">
        <v>295</v>
      </c>
      <c r="F484" s="47">
        <v>3</v>
      </c>
    </row>
    <row r="485" spans="1:6">
      <c r="A485" s="48">
        <v>46253.833333333336</v>
      </c>
      <c r="B485" s="46" t="s">
        <v>25</v>
      </c>
      <c r="C485" s="47">
        <v>1420</v>
      </c>
      <c r="D485" s="47">
        <v>1420</v>
      </c>
      <c r="E485" s="47">
        <v>295</v>
      </c>
      <c r="F485" s="47">
        <v>3</v>
      </c>
    </row>
    <row r="486" spans="1:6">
      <c r="A486" s="48">
        <v>46253.875</v>
      </c>
      <c r="B486" s="46" t="s">
        <v>25</v>
      </c>
      <c r="C486" s="47">
        <v>1420</v>
      </c>
      <c r="D486" s="47">
        <v>1420</v>
      </c>
      <c r="E486" s="47">
        <v>295</v>
      </c>
      <c r="F486" s="47">
        <v>3</v>
      </c>
    </row>
    <row r="487" spans="1:6">
      <c r="A487" s="48">
        <v>46253.916666666664</v>
      </c>
      <c r="B487" s="46" t="s">
        <v>25</v>
      </c>
      <c r="C487" s="47">
        <v>1420</v>
      </c>
      <c r="D487" s="47">
        <v>1420</v>
      </c>
      <c r="E487" s="47">
        <v>295</v>
      </c>
      <c r="F487" s="47">
        <v>3</v>
      </c>
    </row>
    <row r="488" spans="1:6">
      <c r="A488" s="48">
        <v>46253.958333333336</v>
      </c>
      <c r="B488" s="46" t="s">
        <v>25</v>
      </c>
      <c r="C488" s="47">
        <v>1420</v>
      </c>
      <c r="D488" s="47">
        <v>1420</v>
      </c>
      <c r="E488" s="47">
        <v>295</v>
      </c>
      <c r="F488" s="47">
        <v>3</v>
      </c>
    </row>
    <row r="489" spans="1:6">
      <c r="A489" s="48">
        <v>46254</v>
      </c>
      <c r="B489" s="46" t="s">
        <v>25</v>
      </c>
      <c r="C489" s="47">
        <v>1420</v>
      </c>
      <c r="D489" s="47">
        <v>1420</v>
      </c>
      <c r="E489" s="47">
        <v>295</v>
      </c>
      <c r="F489" s="47">
        <v>3</v>
      </c>
    </row>
    <row r="490" spans="1:6">
      <c r="A490" s="48">
        <v>46254.041666666664</v>
      </c>
      <c r="B490" s="46" t="s">
        <v>25</v>
      </c>
      <c r="C490" s="47">
        <v>1420</v>
      </c>
      <c r="D490" s="47">
        <v>1420</v>
      </c>
      <c r="E490" s="47">
        <v>295</v>
      </c>
      <c r="F490" s="47">
        <v>3</v>
      </c>
    </row>
    <row r="491" spans="1:6">
      <c r="A491" s="48">
        <v>46254.083333333336</v>
      </c>
      <c r="B491" s="46" t="s">
        <v>25</v>
      </c>
      <c r="C491" s="47">
        <v>1420</v>
      </c>
      <c r="D491" s="47">
        <v>1420</v>
      </c>
      <c r="E491" s="47">
        <v>295</v>
      </c>
      <c r="F491" s="47">
        <v>3</v>
      </c>
    </row>
    <row r="492" spans="1:6">
      <c r="A492" s="48">
        <v>46254.125</v>
      </c>
      <c r="B492" s="46" t="s">
        <v>25</v>
      </c>
      <c r="C492" s="47">
        <v>1420</v>
      </c>
      <c r="D492" s="47">
        <v>1420</v>
      </c>
      <c r="E492" s="47">
        <v>295</v>
      </c>
      <c r="F492" s="47">
        <v>3</v>
      </c>
    </row>
    <row r="493" spans="1:6">
      <c r="A493" s="48">
        <v>46254.166666666664</v>
      </c>
      <c r="B493" s="46" t="s">
        <v>25</v>
      </c>
      <c r="C493" s="47">
        <v>1420</v>
      </c>
      <c r="D493" s="47">
        <v>1420</v>
      </c>
      <c r="E493" s="47">
        <v>295</v>
      </c>
      <c r="F493" s="47">
        <v>3</v>
      </c>
    </row>
    <row r="494" spans="1:6">
      <c r="A494" s="48">
        <v>46254.208333333336</v>
      </c>
      <c r="B494" s="46" t="s">
        <v>25</v>
      </c>
      <c r="C494" s="47">
        <v>1420</v>
      </c>
      <c r="D494" s="47">
        <v>1420</v>
      </c>
      <c r="E494" s="47">
        <v>295</v>
      </c>
      <c r="F494" s="47">
        <v>3</v>
      </c>
    </row>
    <row r="495" spans="1:6">
      <c r="A495" s="48">
        <v>46254.25</v>
      </c>
      <c r="B495" s="46" t="s">
        <v>25</v>
      </c>
      <c r="C495" s="47">
        <v>1420</v>
      </c>
      <c r="D495" s="47">
        <v>1420</v>
      </c>
      <c r="E495" s="47">
        <v>295</v>
      </c>
      <c r="F495" s="47">
        <v>3</v>
      </c>
    </row>
    <row r="496" spans="1:6">
      <c r="A496" s="48">
        <v>46254.291666666664</v>
      </c>
      <c r="B496" s="46" t="s">
        <v>25</v>
      </c>
      <c r="C496" s="47">
        <v>1420</v>
      </c>
      <c r="D496" s="47">
        <v>1420</v>
      </c>
      <c r="E496" s="47">
        <v>295</v>
      </c>
      <c r="F496" s="47">
        <v>3</v>
      </c>
    </row>
    <row r="497" spans="1:6">
      <c r="A497" s="48">
        <v>46254.333333333336</v>
      </c>
      <c r="B497" s="46" t="s">
        <v>25</v>
      </c>
      <c r="C497" s="47">
        <v>1420</v>
      </c>
      <c r="D497" s="47">
        <v>1420</v>
      </c>
      <c r="E497" s="47">
        <v>295</v>
      </c>
      <c r="F497" s="47">
        <v>3</v>
      </c>
    </row>
    <row r="498" spans="1:6">
      <c r="A498" s="48">
        <v>46254.375</v>
      </c>
      <c r="B498" s="46" t="s">
        <v>25</v>
      </c>
      <c r="C498" s="47">
        <v>1420</v>
      </c>
      <c r="D498" s="47">
        <v>1420</v>
      </c>
      <c r="E498" s="47">
        <v>295</v>
      </c>
      <c r="F498" s="47">
        <v>3</v>
      </c>
    </row>
    <row r="499" spans="1:6">
      <c r="A499" s="48">
        <v>46254.416666666664</v>
      </c>
      <c r="B499" s="46" t="s">
        <v>25</v>
      </c>
      <c r="C499" s="47">
        <v>1420</v>
      </c>
      <c r="D499" s="47">
        <v>1420</v>
      </c>
      <c r="E499" s="47">
        <v>295</v>
      </c>
      <c r="F499" s="47">
        <v>3</v>
      </c>
    </row>
    <row r="500" spans="1:6">
      <c r="A500" s="48">
        <v>46254.458333333336</v>
      </c>
      <c r="B500" s="46" t="s">
        <v>25</v>
      </c>
      <c r="C500" s="47">
        <v>1420</v>
      </c>
      <c r="D500" s="47">
        <v>1420</v>
      </c>
      <c r="E500" s="47">
        <v>295</v>
      </c>
      <c r="F500" s="47">
        <v>3</v>
      </c>
    </row>
    <row r="501" spans="1:6">
      <c r="A501" s="48">
        <v>46254.5</v>
      </c>
      <c r="B501" s="46" t="s">
        <v>25</v>
      </c>
      <c r="C501" s="47">
        <v>1420</v>
      </c>
      <c r="D501" s="47">
        <v>1420</v>
      </c>
      <c r="E501" s="47">
        <v>295</v>
      </c>
      <c r="F501" s="47">
        <v>3</v>
      </c>
    </row>
    <row r="502" spans="1:6">
      <c r="A502" s="48">
        <v>46254.541666666664</v>
      </c>
      <c r="B502" s="46" t="s">
        <v>25</v>
      </c>
      <c r="C502" s="47">
        <v>1420</v>
      </c>
      <c r="D502" s="47">
        <v>1420</v>
      </c>
      <c r="E502" s="47">
        <v>295</v>
      </c>
      <c r="F502" s="47">
        <v>3</v>
      </c>
    </row>
    <row r="503" spans="1:6">
      <c r="A503" s="48">
        <v>46254.583333333336</v>
      </c>
      <c r="B503" s="46" t="s">
        <v>25</v>
      </c>
      <c r="C503" s="47">
        <v>1420</v>
      </c>
      <c r="D503" s="47">
        <v>1420</v>
      </c>
      <c r="E503" s="47">
        <v>295</v>
      </c>
      <c r="F503" s="47">
        <v>3</v>
      </c>
    </row>
    <row r="504" spans="1:6">
      <c r="A504" s="48">
        <v>46254.625</v>
      </c>
      <c r="B504" s="46" t="s">
        <v>25</v>
      </c>
      <c r="C504" s="47">
        <v>1420</v>
      </c>
      <c r="D504" s="47">
        <v>1420</v>
      </c>
      <c r="E504" s="47">
        <v>295</v>
      </c>
      <c r="F504" s="47">
        <v>3</v>
      </c>
    </row>
    <row r="505" spans="1:6">
      <c r="A505" s="48">
        <v>46254.666666666664</v>
      </c>
      <c r="B505" s="46" t="s">
        <v>25</v>
      </c>
      <c r="C505" s="47">
        <v>1420</v>
      </c>
      <c r="D505" s="47">
        <v>1420</v>
      </c>
      <c r="E505" s="47">
        <v>295</v>
      </c>
      <c r="F505" s="47">
        <v>3</v>
      </c>
    </row>
    <row r="506" spans="1:6">
      <c r="A506" s="48">
        <v>46254.708333333336</v>
      </c>
      <c r="B506" s="46" t="s">
        <v>25</v>
      </c>
      <c r="C506" s="47">
        <v>1420</v>
      </c>
      <c r="D506" s="47">
        <v>1420</v>
      </c>
      <c r="E506" s="47">
        <v>295</v>
      </c>
      <c r="F506" s="47">
        <v>3</v>
      </c>
    </row>
    <row r="507" spans="1:6">
      <c r="A507" s="48">
        <v>46254.75</v>
      </c>
      <c r="B507" s="46" t="s">
        <v>25</v>
      </c>
      <c r="C507" s="47">
        <v>1420</v>
      </c>
      <c r="D507" s="47">
        <v>1420</v>
      </c>
      <c r="E507" s="47">
        <v>295</v>
      </c>
      <c r="F507" s="47">
        <v>3</v>
      </c>
    </row>
    <row r="508" spans="1:6">
      <c r="A508" s="48">
        <v>46254.791666666664</v>
      </c>
      <c r="B508" s="46" t="s">
        <v>25</v>
      </c>
      <c r="C508" s="47">
        <v>1420</v>
      </c>
      <c r="D508" s="47">
        <v>1420</v>
      </c>
      <c r="E508" s="47">
        <v>295</v>
      </c>
      <c r="F508" s="47">
        <v>3</v>
      </c>
    </row>
    <row r="509" spans="1:6">
      <c r="A509" s="48">
        <v>46254.833333333336</v>
      </c>
      <c r="B509" s="46" t="s">
        <v>25</v>
      </c>
      <c r="C509" s="47">
        <v>1420</v>
      </c>
      <c r="D509" s="47">
        <v>1420</v>
      </c>
      <c r="E509" s="47">
        <v>295</v>
      </c>
      <c r="F509" s="47">
        <v>3</v>
      </c>
    </row>
    <row r="510" spans="1:6">
      <c r="A510" s="48">
        <v>46254.875</v>
      </c>
      <c r="B510" s="46" t="s">
        <v>25</v>
      </c>
      <c r="C510" s="47">
        <v>1420</v>
      </c>
      <c r="D510" s="47">
        <v>1420</v>
      </c>
      <c r="E510" s="47">
        <v>295</v>
      </c>
      <c r="F510" s="47">
        <v>3</v>
      </c>
    </row>
    <row r="511" spans="1:6">
      <c r="A511" s="48">
        <v>46254.916666666664</v>
      </c>
      <c r="B511" s="46" t="s">
        <v>25</v>
      </c>
      <c r="C511" s="47">
        <v>1420</v>
      </c>
      <c r="D511" s="47">
        <v>1420</v>
      </c>
      <c r="E511" s="47">
        <v>295</v>
      </c>
      <c r="F511" s="47">
        <v>3</v>
      </c>
    </row>
    <row r="512" spans="1:6">
      <c r="A512" s="48">
        <v>46254.958333333336</v>
      </c>
      <c r="B512" s="46" t="s">
        <v>25</v>
      </c>
      <c r="C512" s="47">
        <v>1420</v>
      </c>
      <c r="D512" s="47">
        <v>1420</v>
      </c>
      <c r="E512" s="47">
        <v>295</v>
      </c>
      <c r="F512" s="47">
        <v>3</v>
      </c>
    </row>
    <row r="513" spans="1:6">
      <c r="A513" s="48">
        <v>46255</v>
      </c>
      <c r="B513" s="46" t="s">
        <v>25</v>
      </c>
      <c r="C513" s="47">
        <v>1420</v>
      </c>
      <c r="D513" s="47">
        <v>1420</v>
      </c>
      <c r="E513" s="47">
        <v>295</v>
      </c>
      <c r="F513" s="47">
        <v>3</v>
      </c>
    </row>
    <row r="514" spans="1:6">
      <c r="A514" s="48">
        <v>46255.041666666664</v>
      </c>
      <c r="B514" s="46" t="s">
        <v>25</v>
      </c>
      <c r="C514" s="47">
        <v>1420</v>
      </c>
      <c r="D514" s="47">
        <v>1420</v>
      </c>
      <c r="E514" s="47">
        <v>295</v>
      </c>
      <c r="F514" s="47">
        <v>3</v>
      </c>
    </row>
    <row r="515" spans="1:6">
      <c r="A515" s="48">
        <v>46255.083333333336</v>
      </c>
      <c r="B515" s="46" t="s">
        <v>25</v>
      </c>
      <c r="C515" s="47">
        <v>1420</v>
      </c>
      <c r="D515" s="47">
        <v>1420</v>
      </c>
      <c r="E515" s="47">
        <v>295</v>
      </c>
      <c r="F515" s="47">
        <v>3</v>
      </c>
    </row>
    <row r="516" spans="1:6">
      <c r="A516" s="48">
        <v>46255.125</v>
      </c>
      <c r="B516" s="46" t="s">
        <v>25</v>
      </c>
      <c r="C516" s="47">
        <v>1420</v>
      </c>
      <c r="D516" s="47">
        <v>1420</v>
      </c>
      <c r="E516" s="47">
        <v>295</v>
      </c>
      <c r="F516" s="47">
        <v>3</v>
      </c>
    </row>
    <row r="517" spans="1:6">
      <c r="A517" s="48">
        <v>46255.166666666664</v>
      </c>
      <c r="B517" s="46" t="s">
        <v>25</v>
      </c>
      <c r="C517" s="47">
        <v>1420</v>
      </c>
      <c r="D517" s="47">
        <v>1420</v>
      </c>
      <c r="E517" s="47">
        <v>295</v>
      </c>
      <c r="F517" s="47">
        <v>3</v>
      </c>
    </row>
    <row r="518" spans="1:6">
      <c r="A518" s="48">
        <v>46255.208333333336</v>
      </c>
      <c r="B518" s="46" t="s">
        <v>25</v>
      </c>
      <c r="C518" s="47">
        <v>1420</v>
      </c>
      <c r="D518" s="47">
        <v>1420</v>
      </c>
      <c r="E518" s="47">
        <v>295</v>
      </c>
      <c r="F518" s="47">
        <v>3</v>
      </c>
    </row>
    <row r="519" spans="1:6">
      <c r="A519" s="48">
        <v>46255.25</v>
      </c>
      <c r="B519" s="46" t="s">
        <v>25</v>
      </c>
      <c r="C519" s="47">
        <v>1420</v>
      </c>
      <c r="D519" s="47">
        <v>1420</v>
      </c>
      <c r="E519" s="47">
        <v>295</v>
      </c>
      <c r="F519" s="47">
        <v>3</v>
      </c>
    </row>
    <row r="520" spans="1:6">
      <c r="A520" s="48">
        <v>46255.291666666664</v>
      </c>
      <c r="B520" s="46" t="s">
        <v>25</v>
      </c>
      <c r="C520" s="47">
        <v>1420</v>
      </c>
      <c r="D520" s="47">
        <v>1420</v>
      </c>
      <c r="E520" s="47">
        <v>295</v>
      </c>
      <c r="F520" s="47">
        <v>3</v>
      </c>
    </row>
    <row r="521" spans="1:6">
      <c r="A521" s="48">
        <v>46255.333333333336</v>
      </c>
      <c r="B521" s="46" t="s">
        <v>25</v>
      </c>
      <c r="C521" s="47">
        <v>1420</v>
      </c>
      <c r="D521" s="47">
        <v>1420</v>
      </c>
      <c r="E521" s="47">
        <v>295</v>
      </c>
      <c r="F521" s="47">
        <v>3</v>
      </c>
    </row>
    <row r="522" spans="1:6">
      <c r="A522" s="48">
        <v>46255.375</v>
      </c>
      <c r="B522" s="46" t="s">
        <v>25</v>
      </c>
      <c r="C522" s="47">
        <v>1420</v>
      </c>
      <c r="D522" s="47">
        <v>1420</v>
      </c>
      <c r="E522" s="47">
        <v>295</v>
      </c>
      <c r="F522" s="47">
        <v>3</v>
      </c>
    </row>
    <row r="523" spans="1:6">
      <c r="A523" s="48">
        <v>46255.416666666664</v>
      </c>
      <c r="B523" s="46" t="s">
        <v>25</v>
      </c>
      <c r="C523" s="47">
        <v>1420</v>
      </c>
      <c r="D523" s="47">
        <v>1420</v>
      </c>
      <c r="E523" s="47">
        <v>295</v>
      </c>
      <c r="F523" s="47">
        <v>3</v>
      </c>
    </row>
    <row r="524" spans="1:6">
      <c r="A524" s="48">
        <v>46255.458333333336</v>
      </c>
      <c r="B524" s="46" t="s">
        <v>25</v>
      </c>
      <c r="C524" s="47">
        <v>1420</v>
      </c>
      <c r="D524" s="47">
        <v>1420</v>
      </c>
      <c r="E524" s="47">
        <v>295</v>
      </c>
      <c r="F524" s="47">
        <v>3</v>
      </c>
    </row>
    <row r="525" spans="1:6">
      <c r="A525" s="48">
        <v>46255.5</v>
      </c>
      <c r="B525" s="46" t="s">
        <v>25</v>
      </c>
      <c r="C525" s="47">
        <v>1420</v>
      </c>
      <c r="D525" s="47">
        <v>1420</v>
      </c>
      <c r="E525" s="47">
        <v>295</v>
      </c>
      <c r="F525" s="47">
        <v>3</v>
      </c>
    </row>
    <row r="526" spans="1:6">
      <c r="A526" s="48">
        <v>46255.541666666664</v>
      </c>
      <c r="B526" s="46" t="s">
        <v>25</v>
      </c>
      <c r="C526" s="47">
        <v>1420</v>
      </c>
      <c r="D526" s="47">
        <v>1420</v>
      </c>
      <c r="E526" s="47">
        <v>295</v>
      </c>
      <c r="F526" s="47">
        <v>3</v>
      </c>
    </row>
    <row r="527" spans="1:6">
      <c r="A527" s="48">
        <v>46255.583333333336</v>
      </c>
      <c r="B527" s="46" t="s">
        <v>25</v>
      </c>
      <c r="C527" s="47">
        <v>1420</v>
      </c>
      <c r="D527" s="47">
        <v>1420</v>
      </c>
      <c r="E527" s="47">
        <v>295</v>
      </c>
      <c r="F527" s="47">
        <v>3</v>
      </c>
    </row>
    <row r="528" spans="1:6">
      <c r="A528" s="48">
        <v>46255.625</v>
      </c>
      <c r="B528" s="46" t="s">
        <v>25</v>
      </c>
      <c r="C528" s="47">
        <v>1420</v>
      </c>
      <c r="D528" s="47">
        <v>1420</v>
      </c>
      <c r="E528" s="47">
        <v>295</v>
      </c>
      <c r="F528" s="47">
        <v>3</v>
      </c>
    </row>
    <row r="529" spans="1:6">
      <c r="A529" s="48">
        <v>46255.666666666664</v>
      </c>
      <c r="B529" s="46" t="s">
        <v>25</v>
      </c>
      <c r="C529" s="47">
        <v>1420</v>
      </c>
      <c r="D529" s="47">
        <v>1420</v>
      </c>
      <c r="E529" s="47">
        <v>295</v>
      </c>
      <c r="F529" s="47">
        <v>3</v>
      </c>
    </row>
    <row r="530" spans="1:6">
      <c r="A530" s="48">
        <v>46255.708333333336</v>
      </c>
      <c r="B530" s="46" t="s">
        <v>25</v>
      </c>
      <c r="C530" s="47">
        <v>1420</v>
      </c>
      <c r="D530" s="47">
        <v>1420</v>
      </c>
      <c r="E530" s="47">
        <v>295</v>
      </c>
      <c r="F530" s="47">
        <v>3</v>
      </c>
    </row>
    <row r="531" spans="1:6">
      <c r="A531" s="48">
        <v>46255.75</v>
      </c>
      <c r="B531" s="46" t="s">
        <v>25</v>
      </c>
      <c r="C531" s="47">
        <v>1420</v>
      </c>
      <c r="D531" s="47">
        <v>1420</v>
      </c>
      <c r="E531" s="47">
        <v>295</v>
      </c>
      <c r="F531" s="47">
        <v>3</v>
      </c>
    </row>
    <row r="532" spans="1:6">
      <c r="A532" s="48">
        <v>46255.791666666664</v>
      </c>
      <c r="B532" s="46" t="s">
        <v>25</v>
      </c>
      <c r="C532" s="47">
        <v>1420</v>
      </c>
      <c r="D532" s="47">
        <v>1420</v>
      </c>
      <c r="E532" s="47">
        <v>295</v>
      </c>
      <c r="F532" s="47">
        <v>3</v>
      </c>
    </row>
    <row r="533" spans="1:6">
      <c r="A533" s="48">
        <v>46255.833333333336</v>
      </c>
      <c r="B533" s="46" t="s">
        <v>25</v>
      </c>
      <c r="C533" s="47">
        <v>1420</v>
      </c>
      <c r="D533" s="47">
        <v>1420</v>
      </c>
      <c r="E533" s="47">
        <v>295</v>
      </c>
      <c r="F533" s="47">
        <v>3</v>
      </c>
    </row>
    <row r="534" spans="1:6">
      <c r="A534" s="48">
        <v>46255.875</v>
      </c>
      <c r="B534" s="46" t="s">
        <v>25</v>
      </c>
      <c r="C534" s="47">
        <v>1420</v>
      </c>
      <c r="D534" s="47">
        <v>1420</v>
      </c>
      <c r="E534" s="47">
        <v>295</v>
      </c>
      <c r="F534" s="47">
        <v>3</v>
      </c>
    </row>
    <row r="535" spans="1:6">
      <c r="A535" s="48">
        <v>46255.916666666664</v>
      </c>
      <c r="B535" s="46" t="s">
        <v>25</v>
      </c>
      <c r="C535" s="47">
        <v>1420</v>
      </c>
      <c r="D535" s="47">
        <v>1420</v>
      </c>
      <c r="E535" s="47">
        <v>295</v>
      </c>
      <c r="F535" s="47">
        <v>3</v>
      </c>
    </row>
    <row r="536" spans="1:6">
      <c r="A536" s="48">
        <v>46255.958333333336</v>
      </c>
      <c r="B536" s="46" t="s">
        <v>25</v>
      </c>
      <c r="C536" s="47">
        <v>1420</v>
      </c>
      <c r="D536" s="47">
        <v>1420</v>
      </c>
      <c r="E536" s="47">
        <v>295</v>
      </c>
      <c r="F536" s="47">
        <v>3</v>
      </c>
    </row>
    <row r="537" spans="1:6">
      <c r="A537" s="48">
        <v>46256</v>
      </c>
      <c r="B537" s="46" t="s">
        <v>25</v>
      </c>
      <c r="C537" s="47">
        <v>1420</v>
      </c>
      <c r="D537" s="47">
        <v>1420</v>
      </c>
      <c r="E537" s="47">
        <v>295</v>
      </c>
      <c r="F537" s="47">
        <v>3</v>
      </c>
    </row>
    <row r="538" spans="1:6">
      <c r="A538" s="48">
        <v>46256.041666666664</v>
      </c>
      <c r="B538" s="46" t="s">
        <v>25</v>
      </c>
      <c r="C538" s="47">
        <v>1420</v>
      </c>
      <c r="D538" s="47">
        <v>1420</v>
      </c>
      <c r="E538" s="47">
        <v>295</v>
      </c>
      <c r="F538" s="47">
        <v>3</v>
      </c>
    </row>
    <row r="539" spans="1:6">
      <c r="A539" s="48">
        <v>46256.083333333336</v>
      </c>
      <c r="B539" s="46" t="s">
        <v>25</v>
      </c>
      <c r="C539" s="47">
        <v>1420</v>
      </c>
      <c r="D539" s="47">
        <v>1420</v>
      </c>
      <c r="E539" s="47">
        <v>295</v>
      </c>
      <c r="F539" s="47">
        <v>3</v>
      </c>
    </row>
    <row r="540" spans="1:6">
      <c r="A540" s="48">
        <v>46256.125</v>
      </c>
      <c r="B540" s="46" t="s">
        <v>25</v>
      </c>
      <c r="C540" s="47">
        <v>1420</v>
      </c>
      <c r="D540" s="47">
        <v>1420</v>
      </c>
      <c r="E540" s="47">
        <v>295</v>
      </c>
      <c r="F540" s="47">
        <v>3</v>
      </c>
    </row>
    <row r="541" spans="1:6">
      <c r="A541" s="48">
        <v>46256.166666666664</v>
      </c>
      <c r="B541" s="46" t="s">
        <v>25</v>
      </c>
      <c r="C541" s="47">
        <v>1420</v>
      </c>
      <c r="D541" s="47">
        <v>1420</v>
      </c>
      <c r="E541" s="47">
        <v>295</v>
      </c>
      <c r="F541" s="47">
        <v>3</v>
      </c>
    </row>
    <row r="542" spans="1:6">
      <c r="A542" s="48">
        <v>46256.208333333336</v>
      </c>
      <c r="B542" s="46" t="s">
        <v>25</v>
      </c>
      <c r="C542" s="47">
        <v>1420</v>
      </c>
      <c r="D542" s="47">
        <v>1420</v>
      </c>
      <c r="E542" s="47">
        <v>295</v>
      </c>
      <c r="F542" s="47">
        <v>3</v>
      </c>
    </row>
    <row r="543" spans="1:6">
      <c r="A543" s="48">
        <v>46256.25</v>
      </c>
      <c r="B543" s="46" t="s">
        <v>25</v>
      </c>
      <c r="C543" s="47">
        <v>1420</v>
      </c>
      <c r="D543" s="47">
        <v>1420</v>
      </c>
      <c r="E543" s="47">
        <v>295</v>
      </c>
      <c r="F543" s="47">
        <v>3</v>
      </c>
    </row>
    <row r="544" spans="1:6">
      <c r="A544" s="48">
        <v>46256.291666666664</v>
      </c>
      <c r="B544" s="46" t="s">
        <v>25</v>
      </c>
      <c r="C544" s="47">
        <v>1420</v>
      </c>
      <c r="D544" s="47">
        <v>1420</v>
      </c>
      <c r="E544" s="47">
        <v>295</v>
      </c>
      <c r="F544" s="47">
        <v>3</v>
      </c>
    </row>
    <row r="545" spans="1:6">
      <c r="A545" s="48">
        <v>46256.333333333336</v>
      </c>
      <c r="B545" s="46" t="s">
        <v>25</v>
      </c>
      <c r="C545" s="47">
        <v>1420</v>
      </c>
      <c r="D545" s="47">
        <v>1420</v>
      </c>
      <c r="E545" s="47">
        <v>295</v>
      </c>
      <c r="F545" s="47">
        <v>3</v>
      </c>
    </row>
    <row r="546" spans="1:6">
      <c r="A546" s="48">
        <v>46256.375</v>
      </c>
      <c r="B546" s="46" t="s">
        <v>25</v>
      </c>
      <c r="C546" s="47">
        <v>1420</v>
      </c>
      <c r="D546" s="47">
        <v>1420</v>
      </c>
      <c r="E546" s="47">
        <v>295</v>
      </c>
      <c r="F546" s="47">
        <v>3</v>
      </c>
    </row>
    <row r="547" spans="1:6">
      <c r="A547" s="48">
        <v>46256.416666666664</v>
      </c>
      <c r="B547" s="46" t="s">
        <v>25</v>
      </c>
      <c r="C547" s="47">
        <v>1420</v>
      </c>
      <c r="D547" s="47">
        <v>1420</v>
      </c>
      <c r="E547" s="47">
        <v>295</v>
      </c>
      <c r="F547" s="47">
        <v>3</v>
      </c>
    </row>
    <row r="548" spans="1:6">
      <c r="A548" s="48">
        <v>46256.458333333336</v>
      </c>
      <c r="B548" s="46" t="s">
        <v>25</v>
      </c>
      <c r="C548" s="47">
        <v>1420</v>
      </c>
      <c r="D548" s="47">
        <v>1420</v>
      </c>
      <c r="E548" s="47">
        <v>295</v>
      </c>
      <c r="F548" s="47">
        <v>3</v>
      </c>
    </row>
    <row r="549" spans="1:6">
      <c r="A549" s="48">
        <v>46256.5</v>
      </c>
      <c r="B549" s="46" t="s">
        <v>25</v>
      </c>
      <c r="C549" s="47">
        <v>1420</v>
      </c>
      <c r="D549" s="47">
        <v>1420</v>
      </c>
      <c r="E549" s="47">
        <v>295</v>
      </c>
      <c r="F549" s="47">
        <v>3</v>
      </c>
    </row>
    <row r="550" spans="1:6">
      <c r="A550" s="48">
        <v>46256.541666666664</v>
      </c>
      <c r="B550" s="46" t="s">
        <v>25</v>
      </c>
      <c r="C550" s="47">
        <v>1420</v>
      </c>
      <c r="D550" s="47">
        <v>1420</v>
      </c>
      <c r="E550" s="47">
        <v>295</v>
      </c>
      <c r="F550" s="47">
        <v>3</v>
      </c>
    </row>
    <row r="551" spans="1:6">
      <c r="A551" s="48">
        <v>46256.583333333336</v>
      </c>
      <c r="B551" s="46" t="s">
        <v>25</v>
      </c>
      <c r="C551" s="47">
        <v>1420</v>
      </c>
      <c r="D551" s="47">
        <v>1420</v>
      </c>
      <c r="E551" s="47">
        <v>295</v>
      </c>
      <c r="F551" s="47">
        <v>3</v>
      </c>
    </row>
    <row r="552" spans="1:6">
      <c r="A552" s="48">
        <v>46256.625</v>
      </c>
      <c r="B552" s="46" t="s">
        <v>25</v>
      </c>
      <c r="C552" s="47">
        <v>1420</v>
      </c>
      <c r="D552" s="47">
        <v>1420</v>
      </c>
      <c r="E552" s="47">
        <v>295</v>
      </c>
      <c r="F552" s="47">
        <v>3</v>
      </c>
    </row>
    <row r="553" spans="1:6">
      <c r="A553" s="48">
        <v>46256.666666666664</v>
      </c>
      <c r="B553" s="46" t="s">
        <v>25</v>
      </c>
      <c r="C553" s="47">
        <v>1420</v>
      </c>
      <c r="D553" s="47">
        <v>1420</v>
      </c>
      <c r="E553" s="47">
        <v>295</v>
      </c>
      <c r="F553" s="47">
        <v>3</v>
      </c>
    </row>
    <row r="554" spans="1:6">
      <c r="A554" s="48">
        <v>46256.708333333336</v>
      </c>
      <c r="B554" s="46" t="s">
        <v>25</v>
      </c>
      <c r="C554" s="47">
        <v>1420</v>
      </c>
      <c r="D554" s="47">
        <v>1420</v>
      </c>
      <c r="E554" s="47">
        <v>295</v>
      </c>
      <c r="F554" s="47">
        <v>3</v>
      </c>
    </row>
    <row r="555" spans="1:6">
      <c r="A555" s="48">
        <v>46256.75</v>
      </c>
      <c r="B555" s="46" t="s">
        <v>25</v>
      </c>
      <c r="C555" s="47">
        <v>1420</v>
      </c>
      <c r="D555" s="47">
        <v>1420</v>
      </c>
      <c r="E555" s="47">
        <v>295</v>
      </c>
      <c r="F555" s="47">
        <v>3</v>
      </c>
    </row>
    <row r="556" spans="1:6">
      <c r="A556" s="48">
        <v>46256.791666666664</v>
      </c>
      <c r="B556" s="46" t="s">
        <v>25</v>
      </c>
      <c r="C556" s="47">
        <v>1420</v>
      </c>
      <c r="D556" s="47">
        <v>1420</v>
      </c>
      <c r="E556" s="47">
        <v>295</v>
      </c>
      <c r="F556" s="47">
        <v>3</v>
      </c>
    </row>
    <row r="557" spans="1:6">
      <c r="A557" s="48">
        <v>46256.833333333336</v>
      </c>
      <c r="B557" s="46" t="s">
        <v>25</v>
      </c>
      <c r="C557" s="47">
        <v>1420</v>
      </c>
      <c r="D557" s="47">
        <v>1420</v>
      </c>
      <c r="E557" s="47">
        <v>295</v>
      </c>
      <c r="F557" s="47">
        <v>3</v>
      </c>
    </row>
    <row r="558" spans="1:6">
      <c r="A558" s="48">
        <v>46256.875</v>
      </c>
      <c r="B558" s="46" t="s">
        <v>25</v>
      </c>
      <c r="C558" s="47">
        <v>1420</v>
      </c>
      <c r="D558" s="47">
        <v>1420</v>
      </c>
      <c r="E558" s="47">
        <v>295</v>
      </c>
      <c r="F558" s="47">
        <v>3</v>
      </c>
    </row>
    <row r="559" spans="1:6">
      <c r="A559" s="48">
        <v>46256.916666666664</v>
      </c>
      <c r="B559" s="46" t="s">
        <v>25</v>
      </c>
      <c r="C559" s="47">
        <v>1420</v>
      </c>
      <c r="D559" s="47">
        <v>1420</v>
      </c>
      <c r="E559" s="47">
        <v>295</v>
      </c>
      <c r="F559" s="47">
        <v>3</v>
      </c>
    </row>
    <row r="560" spans="1:6">
      <c r="A560" s="48">
        <v>46256.958333333336</v>
      </c>
      <c r="B560" s="46" t="s">
        <v>25</v>
      </c>
      <c r="C560" s="47">
        <v>1420</v>
      </c>
      <c r="D560" s="47">
        <v>1420</v>
      </c>
      <c r="E560" s="47">
        <v>295</v>
      </c>
      <c r="F560" s="47">
        <v>3</v>
      </c>
    </row>
    <row r="561" spans="1:6">
      <c r="A561" s="48">
        <v>46257</v>
      </c>
      <c r="B561" s="46" t="s">
        <v>25</v>
      </c>
      <c r="C561" s="47">
        <v>1420</v>
      </c>
      <c r="D561" s="47">
        <v>1420</v>
      </c>
      <c r="E561" s="47">
        <v>295</v>
      </c>
      <c r="F561" s="47">
        <v>3</v>
      </c>
    </row>
    <row r="562" spans="1:6">
      <c r="A562" s="48">
        <v>46257.041666666664</v>
      </c>
      <c r="B562" s="46" t="s">
        <v>25</v>
      </c>
      <c r="C562" s="47">
        <v>1420</v>
      </c>
      <c r="D562" s="47">
        <v>1420</v>
      </c>
      <c r="E562" s="47">
        <v>295</v>
      </c>
      <c r="F562" s="47">
        <v>3</v>
      </c>
    </row>
    <row r="563" spans="1:6">
      <c r="A563" s="48">
        <v>46257.083333333336</v>
      </c>
      <c r="B563" s="46" t="s">
        <v>25</v>
      </c>
      <c r="C563" s="47">
        <v>1420</v>
      </c>
      <c r="D563" s="47">
        <v>1420</v>
      </c>
      <c r="E563" s="47">
        <v>295</v>
      </c>
      <c r="F563" s="47">
        <v>3</v>
      </c>
    </row>
    <row r="564" spans="1:6">
      <c r="A564" s="48">
        <v>46257.125</v>
      </c>
      <c r="B564" s="46" t="s">
        <v>25</v>
      </c>
      <c r="C564" s="47">
        <v>1420</v>
      </c>
      <c r="D564" s="47">
        <v>1420</v>
      </c>
      <c r="E564" s="47">
        <v>295</v>
      </c>
      <c r="F564" s="47">
        <v>3</v>
      </c>
    </row>
    <row r="565" spans="1:6">
      <c r="A565" s="48">
        <v>46257.166666666664</v>
      </c>
      <c r="B565" s="46" t="s">
        <v>25</v>
      </c>
      <c r="C565" s="47">
        <v>1420</v>
      </c>
      <c r="D565" s="47">
        <v>1420</v>
      </c>
      <c r="E565" s="47">
        <v>295</v>
      </c>
      <c r="F565" s="47">
        <v>3</v>
      </c>
    </row>
    <row r="566" spans="1:6">
      <c r="A566" s="48">
        <v>46257.208333333336</v>
      </c>
      <c r="B566" s="46" t="s">
        <v>25</v>
      </c>
      <c r="C566" s="47">
        <v>1420</v>
      </c>
      <c r="D566" s="47">
        <v>1420</v>
      </c>
      <c r="E566" s="47">
        <v>295</v>
      </c>
      <c r="F566" s="47">
        <v>3</v>
      </c>
    </row>
    <row r="567" spans="1:6">
      <c r="A567" s="48">
        <v>46257.25</v>
      </c>
      <c r="B567" s="46" t="s">
        <v>25</v>
      </c>
      <c r="C567" s="47">
        <v>1420</v>
      </c>
      <c r="D567" s="47">
        <v>1420</v>
      </c>
      <c r="E567" s="47">
        <v>295</v>
      </c>
      <c r="F567" s="47">
        <v>3</v>
      </c>
    </row>
    <row r="568" spans="1:6">
      <c r="A568" s="48">
        <v>46257.291666666664</v>
      </c>
      <c r="B568" s="46" t="s">
        <v>25</v>
      </c>
      <c r="C568" s="47">
        <v>1420</v>
      </c>
      <c r="D568" s="47">
        <v>1420</v>
      </c>
      <c r="E568" s="47">
        <v>295</v>
      </c>
      <c r="F568" s="47">
        <v>3</v>
      </c>
    </row>
    <row r="569" spans="1:6">
      <c r="A569" s="48">
        <v>46257.333333333336</v>
      </c>
      <c r="B569" s="46" t="s">
        <v>25</v>
      </c>
      <c r="C569" s="47">
        <v>1420</v>
      </c>
      <c r="D569" s="47">
        <v>1420</v>
      </c>
      <c r="E569" s="47">
        <v>295</v>
      </c>
      <c r="F569" s="47">
        <v>3</v>
      </c>
    </row>
    <row r="570" spans="1:6">
      <c r="A570" s="48">
        <v>46257.375</v>
      </c>
      <c r="B570" s="46" t="s">
        <v>25</v>
      </c>
      <c r="C570" s="47">
        <v>1420</v>
      </c>
      <c r="D570" s="47">
        <v>1420</v>
      </c>
      <c r="E570" s="47">
        <v>295</v>
      </c>
      <c r="F570" s="47">
        <v>3</v>
      </c>
    </row>
    <row r="571" spans="1:6">
      <c r="A571" s="48">
        <v>46257.416666666664</v>
      </c>
      <c r="B571" s="46" t="s">
        <v>25</v>
      </c>
      <c r="C571" s="47">
        <v>1420</v>
      </c>
      <c r="D571" s="47">
        <v>1420</v>
      </c>
      <c r="E571" s="47">
        <v>295</v>
      </c>
      <c r="F571" s="47">
        <v>3</v>
      </c>
    </row>
    <row r="572" spans="1:6">
      <c r="A572" s="48">
        <v>46257.458333333336</v>
      </c>
      <c r="B572" s="46" t="s">
        <v>25</v>
      </c>
      <c r="C572" s="47">
        <v>1420</v>
      </c>
      <c r="D572" s="47">
        <v>1420</v>
      </c>
      <c r="E572" s="47">
        <v>295</v>
      </c>
      <c r="F572" s="47">
        <v>3</v>
      </c>
    </row>
    <row r="573" spans="1:6">
      <c r="A573" s="48">
        <v>46257.5</v>
      </c>
      <c r="B573" s="46" t="s">
        <v>25</v>
      </c>
      <c r="C573" s="47">
        <v>1420</v>
      </c>
      <c r="D573" s="47">
        <v>1420</v>
      </c>
      <c r="E573" s="47">
        <v>295</v>
      </c>
      <c r="F573" s="47">
        <v>3</v>
      </c>
    </row>
    <row r="574" spans="1:6">
      <c r="A574" s="48">
        <v>46257.541666666664</v>
      </c>
      <c r="B574" s="46" t="s">
        <v>25</v>
      </c>
      <c r="C574" s="47">
        <v>1420</v>
      </c>
      <c r="D574" s="47">
        <v>1420</v>
      </c>
      <c r="E574" s="47">
        <v>295</v>
      </c>
      <c r="F574" s="47">
        <v>3</v>
      </c>
    </row>
    <row r="575" spans="1:6">
      <c r="A575" s="48">
        <v>46257.583333333336</v>
      </c>
      <c r="B575" s="46" t="s">
        <v>25</v>
      </c>
      <c r="C575" s="47">
        <v>1420</v>
      </c>
      <c r="D575" s="47">
        <v>1420</v>
      </c>
      <c r="E575" s="47">
        <v>295</v>
      </c>
      <c r="F575" s="47">
        <v>3</v>
      </c>
    </row>
    <row r="576" spans="1:6">
      <c r="A576" s="48">
        <v>46257.625</v>
      </c>
      <c r="B576" s="46" t="s">
        <v>25</v>
      </c>
      <c r="C576" s="47">
        <v>1420</v>
      </c>
      <c r="D576" s="47">
        <v>1420</v>
      </c>
      <c r="E576" s="47">
        <v>295</v>
      </c>
      <c r="F576" s="47">
        <v>3</v>
      </c>
    </row>
    <row r="577" spans="1:6">
      <c r="A577" s="48">
        <v>46257.666666666664</v>
      </c>
      <c r="B577" s="46" t="s">
        <v>25</v>
      </c>
      <c r="C577" s="47">
        <v>1420</v>
      </c>
      <c r="D577" s="47">
        <v>1420</v>
      </c>
      <c r="E577" s="47">
        <v>295</v>
      </c>
      <c r="F577" s="47">
        <v>3</v>
      </c>
    </row>
    <row r="578" spans="1:6">
      <c r="A578" s="48">
        <v>46257.708333333336</v>
      </c>
      <c r="B578" s="46" t="s">
        <v>25</v>
      </c>
      <c r="C578" s="47">
        <v>1420</v>
      </c>
      <c r="D578" s="47">
        <v>1420</v>
      </c>
      <c r="E578" s="47">
        <v>295</v>
      </c>
      <c r="F578" s="47">
        <v>3</v>
      </c>
    </row>
    <row r="579" spans="1:6">
      <c r="A579" s="48">
        <v>46257.75</v>
      </c>
      <c r="B579" s="46" t="s">
        <v>25</v>
      </c>
      <c r="C579" s="47">
        <v>1420</v>
      </c>
      <c r="D579" s="47">
        <v>1420</v>
      </c>
      <c r="E579" s="47">
        <v>295</v>
      </c>
      <c r="F579" s="47">
        <v>3</v>
      </c>
    </row>
    <row r="580" spans="1:6">
      <c r="A580" s="48">
        <v>46257.791666666664</v>
      </c>
      <c r="B580" s="46" t="s">
        <v>25</v>
      </c>
      <c r="C580" s="47">
        <v>1420</v>
      </c>
      <c r="D580" s="47">
        <v>1420</v>
      </c>
      <c r="E580" s="47">
        <v>295</v>
      </c>
      <c r="F580" s="47">
        <v>3</v>
      </c>
    </row>
    <row r="581" spans="1:6">
      <c r="A581" s="48">
        <v>46257.833333333336</v>
      </c>
      <c r="B581" s="46" t="s">
        <v>25</v>
      </c>
      <c r="C581" s="47">
        <v>1420</v>
      </c>
      <c r="D581" s="47">
        <v>1420</v>
      </c>
      <c r="E581" s="47">
        <v>295</v>
      </c>
      <c r="F581" s="47">
        <v>3</v>
      </c>
    </row>
    <row r="582" spans="1:6">
      <c r="A582" s="48">
        <v>46257.875</v>
      </c>
      <c r="B582" s="46" t="s">
        <v>25</v>
      </c>
      <c r="C582" s="47">
        <v>1420</v>
      </c>
      <c r="D582" s="47">
        <v>1420</v>
      </c>
      <c r="E582" s="47">
        <v>295</v>
      </c>
      <c r="F582" s="47">
        <v>3</v>
      </c>
    </row>
    <row r="583" spans="1:6">
      <c r="A583" s="48">
        <v>46257.916666666664</v>
      </c>
      <c r="B583" s="46" t="s">
        <v>25</v>
      </c>
      <c r="C583" s="47">
        <v>1420</v>
      </c>
      <c r="D583" s="47">
        <v>1420</v>
      </c>
      <c r="E583" s="47">
        <v>295</v>
      </c>
      <c r="F583" s="47">
        <v>3</v>
      </c>
    </row>
    <row r="584" spans="1:6">
      <c r="A584" s="48">
        <v>46257.958333333336</v>
      </c>
      <c r="B584" s="46" t="s">
        <v>25</v>
      </c>
      <c r="C584" s="47">
        <v>1420</v>
      </c>
      <c r="D584" s="47">
        <v>1420</v>
      </c>
      <c r="E584" s="47">
        <v>295</v>
      </c>
      <c r="F584" s="47">
        <v>3</v>
      </c>
    </row>
    <row r="585" spans="1:6">
      <c r="A585" s="48">
        <v>46258</v>
      </c>
      <c r="B585" s="46" t="s">
        <v>25</v>
      </c>
      <c r="C585" s="47">
        <v>1420</v>
      </c>
      <c r="D585" s="47">
        <v>1420</v>
      </c>
      <c r="E585" s="47">
        <v>295</v>
      </c>
      <c r="F585" s="47">
        <v>3</v>
      </c>
    </row>
    <row r="586" spans="1:6">
      <c r="A586" s="48">
        <v>46258.041666666664</v>
      </c>
      <c r="B586" s="46" t="s">
        <v>25</v>
      </c>
      <c r="C586" s="47">
        <v>1420</v>
      </c>
      <c r="D586" s="47">
        <v>1420</v>
      </c>
      <c r="E586" s="47">
        <v>295</v>
      </c>
      <c r="F586" s="47">
        <v>3</v>
      </c>
    </row>
    <row r="587" spans="1:6">
      <c r="A587" s="48">
        <v>46258.083333333336</v>
      </c>
      <c r="B587" s="46" t="s">
        <v>25</v>
      </c>
      <c r="C587" s="47">
        <v>1420</v>
      </c>
      <c r="D587" s="47">
        <v>1420</v>
      </c>
      <c r="E587" s="47">
        <v>295</v>
      </c>
      <c r="F587" s="47">
        <v>3</v>
      </c>
    </row>
    <row r="588" spans="1:6">
      <c r="A588" s="48">
        <v>46258.125</v>
      </c>
      <c r="B588" s="46" t="s">
        <v>25</v>
      </c>
      <c r="C588" s="47">
        <v>1420</v>
      </c>
      <c r="D588" s="47">
        <v>1420</v>
      </c>
      <c r="E588" s="47">
        <v>295</v>
      </c>
      <c r="F588" s="47">
        <v>3</v>
      </c>
    </row>
    <row r="589" spans="1:6">
      <c r="A589" s="48">
        <v>46258.166666666664</v>
      </c>
      <c r="B589" s="46" t="s">
        <v>25</v>
      </c>
      <c r="C589" s="47">
        <v>1420</v>
      </c>
      <c r="D589" s="47">
        <v>1420</v>
      </c>
      <c r="E589" s="47">
        <v>295</v>
      </c>
      <c r="F589" s="47">
        <v>3</v>
      </c>
    </row>
    <row r="590" spans="1:6">
      <c r="A590" s="48">
        <v>46258.208333333336</v>
      </c>
      <c r="B590" s="46" t="s">
        <v>25</v>
      </c>
      <c r="C590" s="47">
        <v>1420</v>
      </c>
      <c r="D590" s="47">
        <v>1420</v>
      </c>
      <c r="E590" s="47">
        <v>295</v>
      </c>
      <c r="F590" s="47">
        <v>3</v>
      </c>
    </row>
    <row r="591" spans="1:6">
      <c r="A591" s="48">
        <v>46258.25</v>
      </c>
      <c r="B591" s="46" t="s">
        <v>25</v>
      </c>
      <c r="C591" s="47">
        <v>1420</v>
      </c>
      <c r="D591" s="47">
        <v>1420</v>
      </c>
      <c r="E591" s="47">
        <v>295</v>
      </c>
      <c r="F591" s="47">
        <v>3</v>
      </c>
    </row>
    <row r="592" spans="1:6">
      <c r="A592" s="48">
        <v>46258.291666666664</v>
      </c>
      <c r="B592" s="46" t="s">
        <v>25</v>
      </c>
      <c r="C592" s="47">
        <v>1420</v>
      </c>
      <c r="D592" s="47">
        <v>1420</v>
      </c>
      <c r="E592" s="47">
        <v>295</v>
      </c>
      <c r="F592" s="47">
        <v>3</v>
      </c>
    </row>
    <row r="593" spans="1:6">
      <c r="A593" s="48">
        <v>46258.333333333336</v>
      </c>
      <c r="B593" s="46" t="s">
        <v>25</v>
      </c>
      <c r="C593" s="47">
        <v>1420</v>
      </c>
      <c r="D593" s="47">
        <v>1420</v>
      </c>
      <c r="E593" s="47">
        <v>295</v>
      </c>
      <c r="F593" s="47">
        <v>3</v>
      </c>
    </row>
    <row r="594" spans="1:6">
      <c r="A594" s="48">
        <v>46258.375</v>
      </c>
      <c r="B594" s="46" t="s">
        <v>25</v>
      </c>
      <c r="C594" s="47">
        <v>1420</v>
      </c>
      <c r="D594" s="47">
        <v>1420</v>
      </c>
      <c r="E594" s="47">
        <v>295</v>
      </c>
      <c r="F594" s="47">
        <v>3</v>
      </c>
    </row>
    <row r="595" spans="1:6">
      <c r="A595" s="48">
        <v>46258.416666666664</v>
      </c>
      <c r="B595" s="46" t="s">
        <v>25</v>
      </c>
      <c r="C595" s="47">
        <v>1420</v>
      </c>
      <c r="D595" s="47">
        <v>1420</v>
      </c>
      <c r="E595" s="47">
        <v>295</v>
      </c>
      <c r="F595" s="47">
        <v>3</v>
      </c>
    </row>
    <row r="596" spans="1:6">
      <c r="A596" s="48">
        <v>46258.458333333336</v>
      </c>
      <c r="B596" s="46" t="s">
        <v>25</v>
      </c>
      <c r="C596" s="47">
        <v>1420</v>
      </c>
      <c r="D596" s="47">
        <v>1420</v>
      </c>
      <c r="E596" s="47">
        <v>295</v>
      </c>
      <c r="F596" s="47">
        <v>3</v>
      </c>
    </row>
    <row r="597" spans="1:6">
      <c r="A597" s="48">
        <v>46258.5</v>
      </c>
      <c r="B597" s="46" t="s">
        <v>25</v>
      </c>
      <c r="C597" s="47">
        <v>1420</v>
      </c>
      <c r="D597" s="47">
        <v>1420</v>
      </c>
      <c r="E597" s="47">
        <v>295</v>
      </c>
      <c r="F597" s="47">
        <v>3</v>
      </c>
    </row>
    <row r="598" spans="1:6">
      <c r="A598" s="48">
        <v>46258.541666666664</v>
      </c>
      <c r="B598" s="46" t="s">
        <v>25</v>
      </c>
      <c r="C598" s="47">
        <v>1420</v>
      </c>
      <c r="D598" s="47">
        <v>1420</v>
      </c>
      <c r="E598" s="47">
        <v>295</v>
      </c>
      <c r="F598" s="47">
        <v>3</v>
      </c>
    </row>
    <row r="599" spans="1:6">
      <c r="A599" s="48">
        <v>46258.583333333336</v>
      </c>
      <c r="B599" s="46" t="s">
        <v>25</v>
      </c>
      <c r="C599" s="47">
        <v>1420</v>
      </c>
      <c r="D599" s="47">
        <v>1420</v>
      </c>
      <c r="E599" s="47">
        <v>295</v>
      </c>
      <c r="F599" s="47">
        <v>3</v>
      </c>
    </row>
    <row r="600" spans="1:6">
      <c r="A600" s="48">
        <v>46258.625</v>
      </c>
      <c r="B600" s="46" t="s">
        <v>25</v>
      </c>
      <c r="C600" s="47">
        <v>1420</v>
      </c>
      <c r="D600" s="47">
        <v>1420</v>
      </c>
      <c r="E600" s="47">
        <v>295</v>
      </c>
      <c r="F600" s="47">
        <v>3</v>
      </c>
    </row>
    <row r="601" spans="1:6">
      <c r="A601" s="48">
        <v>46258.666666666664</v>
      </c>
      <c r="B601" s="46" t="s">
        <v>25</v>
      </c>
      <c r="C601" s="47">
        <v>1420</v>
      </c>
      <c r="D601" s="47">
        <v>1420</v>
      </c>
      <c r="E601" s="47">
        <v>295</v>
      </c>
      <c r="F601" s="47">
        <v>3</v>
      </c>
    </row>
    <row r="602" spans="1:6">
      <c r="A602" s="48">
        <v>46258.708333333336</v>
      </c>
      <c r="B602" s="46" t="s">
        <v>25</v>
      </c>
      <c r="C602" s="47">
        <v>1420</v>
      </c>
      <c r="D602" s="47">
        <v>1420</v>
      </c>
      <c r="E602" s="47">
        <v>295</v>
      </c>
      <c r="F602" s="47">
        <v>3</v>
      </c>
    </row>
    <row r="603" spans="1:6">
      <c r="A603" s="48">
        <v>46258.75</v>
      </c>
      <c r="B603" s="46" t="s">
        <v>25</v>
      </c>
      <c r="C603" s="47">
        <v>1420</v>
      </c>
      <c r="D603" s="47">
        <v>1420</v>
      </c>
      <c r="E603" s="47">
        <v>295</v>
      </c>
      <c r="F603" s="47">
        <v>3</v>
      </c>
    </row>
    <row r="604" spans="1:6">
      <c r="A604" s="48">
        <v>46258.791666666664</v>
      </c>
      <c r="B604" s="46" t="s">
        <v>25</v>
      </c>
      <c r="C604" s="47">
        <v>1420</v>
      </c>
      <c r="D604" s="47">
        <v>1420</v>
      </c>
      <c r="E604" s="47">
        <v>295</v>
      </c>
      <c r="F604" s="47">
        <v>3</v>
      </c>
    </row>
    <row r="605" spans="1:6">
      <c r="A605" s="48">
        <v>46258.833333333336</v>
      </c>
      <c r="B605" s="46" t="s">
        <v>25</v>
      </c>
      <c r="C605" s="47">
        <v>1420</v>
      </c>
      <c r="D605" s="47">
        <v>1420</v>
      </c>
      <c r="E605" s="47">
        <v>295</v>
      </c>
      <c r="F605" s="47">
        <v>3</v>
      </c>
    </row>
    <row r="606" spans="1:6">
      <c r="A606" s="48">
        <v>46258.875</v>
      </c>
      <c r="B606" s="46" t="s">
        <v>25</v>
      </c>
      <c r="C606" s="47">
        <v>1420</v>
      </c>
      <c r="D606" s="47">
        <v>1420</v>
      </c>
      <c r="E606" s="47">
        <v>295</v>
      </c>
      <c r="F606" s="47">
        <v>3</v>
      </c>
    </row>
    <row r="607" spans="1:6">
      <c r="A607" s="48">
        <v>46258.916666666664</v>
      </c>
      <c r="B607" s="46" t="s">
        <v>25</v>
      </c>
      <c r="C607" s="47">
        <v>1420</v>
      </c>
      <c r="D607" s="47">
        <v>1420</v>
      </c>
      <c r="E607" s="47">
        <v>295</v>
      </c>
      <c r="F607" s="47">
        <v>3</v>
      </c>
    </row>
    <row r="608" spans="1:6">
      <c r="A608" s="48">
        <v>46258.958333333336</v>
      </c>
      <c r="B608" s="46" t="s">
        <v>25</v>
      </c>
      <c r="C608" s="47">
        <v>1420</v>
      </c>
      <c r="D608" s="47">
        <v>1420</v>
      </c>
      <c r="E608" s="47">
        <v>295</v>
      </c>
      <c r="F608" s="47">
        <v>3</v>
      </c>
    </row>
    <row r="609" spans="1:6">
      <c r="A609" s="48">
        <v>46259</v>
      </c>
      <c r="B609" s="46" t="s">
        <v>25</v>
      </c>
      <c r="C609" s="47">
        <v>1420</v>
      </c>
      <c r="D609" s="47">
        <v>1420</v>
      </c>
      <c r="E609" s="47">
        <v>295</v>
      </c>
      <c r="F609" s="47">
        <v>3</v>
      </c>
    </row>
    <row r="610" spans="1:6">
      <c r="A610" s="48">
        <v>46259.041666666664</v>
      </c>
      <c r="B610" s="46" t="s">
        <v>25</v>
      </c>
      <c r="C610" s="47">
        <v>1420</v>
      </c>
      <c r="D610" s="47">
        <v>1420</v>
      </c>
      <c r="E610" s="47">
        <v>295</v>
      </c>
      <c r="F610" s="47">
        <v>3</v>
      </c>
    </row>
    <row r="611" spans="1:6">
      <c r="A611" s="48">
        <v>46259.083333333336</v>
      </c>
      <c r="B611" s="46" t="s">
        <v>25</v>
      </c>
      <c r="C611" s="47">
        <v>1420</v>
      </c>
      <c r="D611" s="47">
        <v>1420</v>
      </c>
      <c r="E611" s="47">
        <v>295</v>
      </c>
      <c r="F611" s="47">
        <v>3</v>
      </c>
    </row>
    <row r="612" spans="1:6">
      <c r="A612" s="48">
        <v>46259.125</v>
      </c>
      <c r="B612" s="46" t="s">
        <v>25</v>
      </c>
      <c r="C612" s="47">
        <v>1420</v>
      </c>
      <c r="D612" s="47">
        <v>1420</v>
      </c>
      <c r="E612" s="47">
        <v>295</v>
      </c>
      <c r="F612" s="47">
        <v>3</v>
      </c>
    </row>
    <row r="613" spans="1:6">
      <c r="A613" s="48">
        <v>46259.166666666664</v>
      </c>
      <c r="B613" s="46" t="s">
        <v>25</v>
      </c>
      <c r="C613" s="47">
        <v>1420</v>
      </c>
      <c r="D613" s="47">
        <v>1420</v>
      </c>
      <c r="E613" s="47">
        <v>295</v>
      </c>
      <c r="F613" s="47">
        <v>3</v>
      </c>
    </row>
    <row r="614" spans="1:6">
      <c r="A614" s="48">
        <v>46259.208333333336</v>
      </c>
      <c r="B614" s="46" t="s">
        <v>25</v>
      </c>
      <c r="C614" s="47">
        <v>1420</v>
      </c>
      <c r="D614" s="47">
        <v>1420</v>
      </c>
      <c r="E614" s="47">
        <v>295</v>
      </c>
      <c r="F614" s="47">
        <v>3</v>
      </c>
    </row>
    <row r="615" spans="1:6">
      <c r="A615" s="48">
        <v>46259.25</v>
      </c>
      <c r="B615" s="46" t="s">
        <v>25</v>
      </c>
      <c r="C615" s="47">
        <v>1420</v>
      </c>
      <c r="D615" s="47">
        <v>1420</v>
      </c>
      <c r="E615" s="47">
        <v>295</v>
      </c>
      <c r="F615" s="47">
        <v>3</v>
      </c>
    </row>
    <row r="616" spans="1:6">
      <c r="A616" s="48">
        <v>46259.291666666664</v>
      </c>
      <c r="B616" s="46" t="s">
        <v>25</v>
      </c>
      <c r="C616" s="47">
        <v>1420</v>
      </c>
      <c r="D616" s="47">
        <v>1420</v>
      </c>
      <c r="E616" s="47">
        <v>295</v>
      </c>
      <c r="F616" s="47">
        <v>3</v>
      </c>
    </row>
    <row r="617" spans="1:6">
      <c r="A617" s="48">
        <v>46259.333333333336</v>
      </c>
      <c r="B617" s="46" t="s">
        <v>25</v>
      </c>
      <c r="C617" s="47">
        <v>1420</v>
      </c>
      <c r="D617" s="47">
        <v>1420</v>
      </c>
      <c r="E617" s="47">
        <v>295</v>
      </c>
      <c r="F617" s="47">
        <v>3</v>
      </c>
    </row>
    <row r="618" spans="1:6">
      <c r="A618" s="48">
        <v>46259.375</v>
      </c>
      <c r="B618" s="46" t="s">
        <v>25</v>
      </c>
      <c r="C618" s="47">
        <v>1420</v>
      </c>
      <c r="D618" s="47">
        <v>1420</v>
      </c>
      <c r="E618" s="47">
        <v>295</v>
      </c>
      <c r="F618" s="47">
        <v>3</v>
      </c>
    </row>
    <row r="619" spans="1:6">
      <c r="A619" s="48">
        <v>46259.416666666664</v>
      </c>
      <c r="B619" s="46" t="s">
        <v>25</v>
      </c>
      <c r="C619" s="47">
        <v>1420</v>
      </c>
      <c r="D619" s="47">
        <v>1420</v>
      </c>
      <c r="E619" s="47">
        <v>295</v>
      </c>
      <c r="F619" s="47">
        <v>3</v>
      </c>
    </row>
    <row r="620" spans="1:6">
      <c r="A620" s="48">
        <v>46259.458333333336</v>
      </c>
      <c r="B620" s="46" t="s">
        <v>25</v>
      </c>
      <c r="C620" s="47">
        <v>1420</v>
      </c>
      <c r="D620" s="47">
        <v>1420</v>
      </c>
      <c r="E620" s="47">
        <v>295</v>
      </c>
      <c r="F620" s="47">
        <v>3</v>
      </c>
    </row>
    <row r="621" spans="1:6">
      <c r="A621" s="48">
        <v>46259.5</v>
      </c>
      <c r="B621" s="46" t="s">
        <v>25</v>
      </c>
      <c r="C621" s="47">
        <v>1420</v>
      </c>
      <c r="D621" s="47">
        <v>1420</v>
      </c>
      <c r="E621" s="47">
        <v>295</v>
      </c>
      <c r="F621" s="47">
        <v>3</v>
      </c>
    </row>
    <row r="622" spans="1:6">
      <c r="A622" s="48">
        <v>46259.541666666664</v>
      </c>
      <c r="B622" s="46" t="s">
        <v>25</v>
      </c>
      <c r="C622" s="47">
        <v>1420</v>
      </c>
      <c r="D622" s="47">
        <v>1420</v>
      </c>
      <c r="E622" s="47">
        <v>295</v>
      </c>
      <c r="F622" s="47">
        <v>3</v>
      </c>
    </row>
    <row r="623" spans="1:6">
      <c r="A623" s="48">
        <v>46259.583333333336</v>
      </c>
      <c r="B623" s="46" t="s">
        <v>25</v>
      </c>
      <c r="C623" s="47">
        <v>1420</v>
      </c>
      <c r="D623" s="47">
        <v>1420</v>
      </c>
      <c r="E623" s="47">
        <v>295</v>
      </c>
      <c r="F623" s="47">
        <v>3</v>
      </c>
    </row>
    <row r="624" spans="1:6">
      <c r="A624" s="48">
        <v>46259.625</v>
      </c>
      <c r="B624" s="46" t="s">
        <v>25</v>
      </c>
      <c r="C624" s="47">
        <v>1420</v>
      </c>
      <c r="D624" s="47">
        <v>1420</v>
      </c>
      <c r="E624" s="47">
        <v>295</v>
      </c>
      <c r="F624" s="47">
        <v>3</v>
      </c>
    </row>
    <row r="625" spans="1:6">
      <c r="A625" s="48">
        <v>46259.666666666664</v>
      </c>
      <c r="B625" s="46" t="s">
        <v>25</v>
      </c>
      <c r="C625" s="47">
        <v>1420</v>
      </c>
      <c r="D625" s="47">
        <v>1420</v>
      </c>
      <c r="E625" s="47">
        <v>295</v>
      </c>
      <c r="F625" s="47">
        <v>3</v>
      </c>
    </row>
    <row r="626" spans="1:6">
      <c r="A626" s="48">
        <v>46259.708333333336</v>
      </c>
      <c r="B626" s="46" t="s">
        <v>25</v>
      </c>
      <c r="C626" s="47">
        <v>1420</v>
      </c>
      <c r="D626" s="47">
        <v>1420</v>
      </c>
      <c r="E626" s="47">
        <v>295</v>
      </c>
      <c r="F626" s="47">
        <v>3</v>
      </c>
    </row>
    <row r="627" spans="1:6">
      <c r="A627" s="48">
        <v>46259.75</v>
      </c>
      <c r="B627" s="46" t="s">
        <v>25</v>
      </c>
      <c r="C627" s="47">
        <v>1420</v>
      </c>
      <c r="D627" s="47">
        <v>1420</v>
      </c>
      <c r="E627" s="47">
        <v>295</v>
      </c>
      <c r="F627" s="47">
        <v>3</v>
      </c>
    </row>
    <row r="628" spans="1:6">
      <c r="A628" s="48">
        <v>46259.791666666664</v>
      </c>
      <c r="B628" s="46" t="s">
        <v>25</v>
      </c>
      <c r="C628" s="47">
        <v>1420</v>
      </c>
      <c r="D628" s="47">
        <v>1420</v>
      </c>
      <c r="E628" s="47">
        <v>295</v>
      </c>
      <c r="F628" s="47">
        <v>3</v>
      </c>
    </row>
    <row r="629" spans="1:6">
      <c r="A629" s="48">
        <v>46259.833333333336</v>
      </c>
      <c r="B629" s="46" t="s">
        <v>25</v>
      </c>
      <c r="C629" s="47">
        <v>1420</v>
      </c>
      <c r="D629" s="47">
        <v>1420</v>
      </c>
      <c r="E629" s="47">
        <v>295</v>
      </c>
      <c r="F629" s="47">
        <v>3</v>
      </c>
    </row>
    <row r="630" spans="1:6">
      <c r="A630" s="48">
        <v>46259.875</v>
      </c>
      <c r="B630" s="46" t="s">
        <v>25</v>
      </c>
      <c r="C630" s="47">
        <v>1420</v>
      </c>
      <c r="D630" s="47">
        <v>1420</v>
      </c>
      <c r="E630" s="47">
        <v>295</v>
      </c>
      <c r="F630" s="47">
        <v>3</v>
      </c>
    </row>
    <row r="631" spans="1:6">
      <c r="A631" s="48">
        <v>46259.916666666664</v>
      </c>
      <c r="B631" s="46" t="s">
        <v>25</v>
      </c>
      <c r="C631" s="47">
        <v>1420</v>
      </c>
      <c r="D631" s="47">
        <v>1420</v>
      </c>
      <c r="E631" s="47">
        <v>295</v>
      </c>
      <c r="F631" s="47">
        <v>3</v>
      </c>
    </row>
    <row r="632" spans="1:6">
      <c r="A632" s="48">
        <v>46259.958333333336</v>
      </c>
      <c r="B632" s="46" t="s">
        <v>25</v>
      </c>
      <c r="C632" s="47">
        <v>1420</v>
      </c>
      <c r="D632" s="47">
        <v>1420</v>
      </c>
      <c r="E632" s="47">
        <v>295</v>
      </c>
      <c r="F632" s="47">
        <v>3</v>
      </c>
    </row>
    <row r="633" spans="1:6">
      <c r="A633" s="48">
        <v>46260</v>
      </c>
      <c r="B633" s="46" t="s">
        <v>25</v>
      </c>
      <c r="C633" s="47">
        <v>1420</v>
      </c>
      <c r="D633" s="47">
        <v>1420</v>
      </c>
      <c r="E633" s="47">
        <v>295</v>
      </c>
      <c r="F633" s="47">
        <v>3</v>
      </c>
    </row>
    <row r="634" spans="1:6">
      <c r="A634" s="48">
        <v>46260.041666666664</v>
      </c>
      <c r="B634" s="46" t="s">
        <v>25</v>
      </c>
      <c r="C634" s="47">
        <v>1420</v>
      </c>
      <c r="D634" s="47">
        <v>1420</v>
      </c>
      <c r="E634" s="47">
        <v>295</v>
      </c>
      <c r="F634" s="47">
        <v>3</v>
      </c>
    </row>
    <row r="635" spans="1:6">
      <c r="A635" s="48">
        <v>46260.083333333336</v>
      </c>
      <c r="B635" s="46" t="s">
        <v>25</v>
      </c>
      <c r="C635" s="47">
        <v>1420</v>
      </c>
      <c r="D635" s="47">
        <v>1420</v>
      </c>
      <c r="E635" s="47">
        <v>295</v>
      </c>
      <c r="F635" s="47">
        <v>3</v>
      </c>
    </row>
    <row r="636" spans="1:6">
      <c r="A636" s="48">
        <v>46260.125</v>
      </c>
      <c r="B636" s="46" t="s">
        <v>25</v>
      </c>
      <c r="C636" s="47">
        <v>1420</v>
      </c>
      <c r="D636" s="47">
        <v>1420</v>
      </c>
      <c r="E636" s="47">
        <v>295</v>
      </c>
      <c r="F636" s="47">
        <v>3</v>
      </c>
    </row>
    <row r="637" spans="1:6">
      <c r="A637" s="48">
        <v>46260.166666666664</v>
      </c>
      <c r="B637" s="46" t="s">
        <v>25</v>
      </c>
      <c r="C637" s="47">
        <v>1420</v>
      </c>
      <c r="D637" s="47">
        <v>1420</v>
      </c>
      <c r="E637" s="47">
        <v>295</v>
      </c>
      <c r="F637" s="47">
        <v>3</v>
      </c>
    </row>
    <row r="638" spans="1:6">
      <c r="A638" s="48">
        <v>46260.208333333336</v>
      </c>
      <c r="B638" s="46" t="s">
        <v>25</v>
      </c>
      <c r="C638" s="47">
        <v>1420</v>
      </c>
      <c r="D638" s="47">
        <v>1420</v>
      </c>
      <c r="E638" s="47">
        <v>295</v>
      </c>
      <c r="F638" s="47">
        <v>3</v>
      </c>
    </row>
    <row r="639" spans="1:6">
      <c r="A639" s="48">
        <v>46260.25</v>
      </c>
      <c r="B639" s="46" t="s">
        <v>25</v>
      </c>
      <c r="C639" s="47">
        <v>1420</v>
      </c>
      <c r="D639" s="47">
        <v>1420</v>
      </c>
      <c r="E639" s="47">
        <v>295</v>
      </c>
      <c r="F639" s="47">
        <v>3</v>
      </c>
    </row>
    <row r="640" spans="1:6">
      <c r="A640" s="48">
        <v>46260.291666666664</v>
      </c>
      <c r="B640" s="46" t="s">
        <v>25</v>
      </c>
      <c r="C640" s="47">
        <v>1420</v>
      </c>
      <c r="D640" s="47">
        <v>1420</v>
      </c>
      <c r="E640" s="47">
        <v>295</v>
      </c>
      <c r="F640" s="47">
        <v>3</v>
      </c>
    </row>
    <row r="641" spans="1:6">
      <c r="A641" s="48">
        <v>46260.333333333336</v>
      </c>
      <c r="B641" s="46" t="s">
        <v>25</v>
      </c>
      <c r="C641" s="47">
        <v>1420</v>
      </c>
      <c r="D641" s="47">
        <v>1420</v>
      </c>
      <c r="E641" s="47">
        <v>295</v>
      </c>
      <c r="F641" s="47">
        <v>3</v>
      </c>
    </row>
    <row r="642" spans="1:6">
      <c r="A642" s="48">
        <v>46260.375</v>
      </c>
      <c r="B642" s="46" t="s">
        <v>25</v>
      </c>
      <c r="C642" s="47">
        <v>1420</v>
      </c>
      <c r="D642" s="47">
        <v>1420</v>
      </c>
      <c r="E642" s="47">
        <v>295</v>
      </c>
      <c r="F642" s="47">
        <v>3</v>
      </c>
    </row>
    <row r="643" spans="1:6">
      <c r="A643" s="48">
        <v>46260.416666666664</v>
      </c>
      <c r="B643" s="46" t="s">
        <v>25</v>
      </c>
      <c r="C643" s="47">
        <v>1420</v>
      </c>
      <c r="D643" s="47">
        <v>1420</v>
      </c>
      <c r="E643" s="47">
        <v>295</v>
      </c>
      <c r="F643" s="47">
        <v>3</v>
      </c>
    </row>
    <row r="644" spans="1:6">
      <c r="A644" s="26"/>
    </row>
    <row r="645" spans="1:6">
      <c r="A645" s="26"/>
    </row>
    <row r="646" spans="1:6">
      <c r="A646" s="26"/>
    </row>
    <row r="647" spans="1:6">
      <c r="A647" s="26"/>
    </row>
    <row r="648" spans="1:6">
      <c r="A648" s="26"/>
    </row>
    <row r="649" spans="1:6">
      <c r="A649" s="26"/>
    </row>
    <row r="650" spans="1:6">
      <c r="A650" s="26"/>
    </row>
    <row r="651" spans="1:6">
      <c r="A651" s="26"/>
    </row>
    <row r="652" spans="1:6">
      <c r="A652" s="26"/>
    </row>
    <row r="653" spans="1:6">
      <c r="A653" s="26"/>
    </row>
    <row r="654" spans="1:6">
      <c r="A654" s="26"/>
    </row>
    <row r="655" spans="1:6">
      <c r="A655" s="26"/>
    </row>
    <row r="656" spans="1:6">
      <c r="A656" s="26"/>
    </row>
    <row r="657" spans="1:1">
      <c r="A657" s="26"/>
    </row>
    <row r="658" spans="1:1">
      <c r="A658" s="26"/>
    </row>
    <row r="659" spans="1:1">
      <c r="A659" s="26"/>
    </row>
    <row r="660" spans="1:1">
      <c r="A660" s="26"/>
    </row>
    <row r="661" spans="1:1">
      <c r="A661" s="26"/>
    </row>
    <row r="662" spans="1:1">
      <c r="A662" s="26"/>
    </row>
    <row r="663" spans="1:1">
      <c r="A663" s="26"/>
    </row>
    <row r="664" spans="1:1">
      <c r="A664" s="26"/>
    </row>
    <row r="665" spans="1:1">
      <c r="A665" s="26"/>
    </row>
    <row r="666" spans="1:1">
      <c r="A666" s="26"/>
    </row>
    <row r="667" spans="1:1">
      <c r="A667" s="26"/>
    </row>
    <row r="668" spans="1:1">
      <c r="A668" s="26"/>
    </row>
    <row r="669" spans="1:1">
      <c r="A669" s="26"/>
    </row>
    <row r="670" spans="1:1">
      <c r="A670" s="26"/>
    </row>
    <row r="671" spans="1:1">
      <c r="A671" s="26"/>
    </row>
    <row r="672" spans="1:1">
      <c r="A672" s="26"/>
    </row>
    <row r="673" spans="1:1">
      <c r="A673" s="26"/>
    </row>
    <row r="674" spans="1:1">
      <c r="A674" s="26"/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3"/>
  <sheetViews>
    <sheetView workbookViewId="0">
      <selection activeCell="N24" sqref="N24"/>
    </sheetView>
  </sheetViews>
  <sheetFormatPr defaultRowHeight="13.5"/>
  <cols>
    <col min="1" max="1" width="18.875" style="19" customWidth="1"/>
  </cols>
  <sheetData>
    <row r="1" spans="1:6">
      <c r="A1" s="25" t="s">
        <v>30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</row>
    <row r="2" spans="1:6">
      <c r="A2" s="57">
        <v>46233.708333333336</v>
      </c>
      <c r="B2" s="55" t="s">
        <v>26</v>
      </c>
      <c r="C2" s="56">
        <v>1420</v>
      </c>
      <c r="D2" s="56">
        <v>3794.7890000000002</v>
      </c>
      <c r="E2" s="56">
        <v>250.81399999999999</v>
      </c>
      <c r="F2" s="56">
        <v>3735.4110000000001</v>
      </c>
    </row>
    <row r="3" spans="1:6">
      <c r="A3" s="57">
        <v>46233.75</v>
      </c>
      <c r="B3" s="55" t="s">
        <v>26</v>
      </c>
      <c r="C3" s="56">
        <v>1420</v>
      </c>
      <c r="D3" s="56">
        <v>3790.5949999999998</v>
      </c>
      <c r="E3" s="56">
        <v>250.7681</v>
      </c>
      <c r="F3" s="56">
        <v>3726.8690000000001</v>
      </c>
    </row>
    <row r="4" spans="1:6">
      <c r="A4" s="57">
        <v>46233.791666666664</v>
      </c>
      <c r="B4" s="55" t="s">
        <v>26</v>
      </c>
      <c r="C4" s="56">
        <v>1420</v>
      </c>
      <c r="D4" s="56">
        <v>3783.3440000000001</v>
      </c>
      <c r="E4" s="56">
        <v>250.72229999999999</v>
      </c>
      <c r="F4" s="56">
        <v>3718.348</v>
      </c>
    </row>
    <row r="5" spans="1:6">
      <c r="A5" s="57">
        <v>46233.833333333336</v>
      </c>
      <c r="B5" s="55" t="s">
        <v>26</v>
      </c>
      <c r="C5" s="56">
        <v>1420</v>
      </c>
      <c r="D5" s="56">
        <v>3774.0949999999998</v>
      </c>
      <c r="E5" s="56">
        <v>250.67670000000001</v>
      </c>
      <c r="F5" s="56">
        <v>3709.857</v>
      </c>
    </row>
    <row r="6" spans="1:6">
      <c r="A6" s="57">
        <v>46233.875</v>
      </c>
      <c r="B6" s="55" t="s">
        <v>26</v>
      </c>
      <c r="C6" s="56">
        <v>1420</v>
      </c>
      <c r="D6" s="56">
        <v>3758.4110000000001</v>
      </c>
      <c r="E6" s="56">
        <v>250.63120000000001</v>
      </c>
      <c r="F6" s="56">
        <v>3701.41</v>
      </c>
    </row>
    <row r="7" spans="1:6">
      <c r="A7" s="57">
        <v>46233.916666666664</v>
      </c>
      <c r="B7" s="55" t="s">
        <v>26</v>
      </c>
      <c r="C7" s="56">
        <v>1420</v>
      </c>
      <c r="D7" s="56">
        <v>3740.7469999999998</v>
      </c>
      <c r="E7" s="56">
        <v>250.58619999999999</v>
      </c>
      <c r="F7" s="56">
        <v>3693.0239999999999</v>
      </c>
    </row>
    <row r="8" spans="1:6">
      <c r="A8" s="57">
        <v>46233.958333333336</v>
      </c>
      <c r="B8" s="55" t="s">
        <v>26</v>
      </c>
      <c r="C8" s="56">
        <v>1420.5</v>
      </c>
      <c r="D8" s="56">
        <v>3720.2820000000002</v>
      </c>
      <c r="E8" s="56">
        <v>250.54140000000001</v>
      </c>
      <c r="F8" s="56">
        <v>3684.7069999999999</v>
      </c>
    </row>
    <row r="9" spans="1:6">
      <c r="A9" s="57">
        <v>46234</v>
      </c>
      <c r="B9" s="55" t="s">
        <v>26</v>
      </c>
      <c r="C9" s="56">
        <v>1421</v>
      </c>
      <c r="D9" s="56">
        <v>3697.9009999999998</v>
      </c>
      <c r="E9" s="56">
        <v>250.49709999999999</v>
      </c>
      <c r="F9" s="56">
        <v>3676.4690000000001</v>
      </c>
    </row>
    <row r="10" spans="1:6">
      <c r="A10" s="57">
        <v>46234.041666666664</v>
      </c>
      <c r="B10" s="55" t="s">
        <v>26</v>
      </c>
      <c r="C10" s="56">
        <v>1423</v>
      </c>
      <c r="D10" s="56">
        <v>3675.181</v>
      </c>
      <c r="E10" s="56">
        <v>250.45330000000001</v>
      </c>
      <c r="F10" s="56">
        <v>3668.3159999999998</v>
      </c>
    </row>
    <row r="11" spans="1:6">
      <c r="A11" s="57">
        <v>46234.083333333336</v>
      </c>
      <c r="B11" s="55" t="s">
        <v>26</v>
      </c>
      <c r="C11" s="56">
        <v>1425</v>
      </c>
      <c r="D11" s="56">
        <v>3650.74</v>
      </c>
      <c r="E11" s="56">
        <v>250.41</v>
      </c>
      <c r="F11" s="56">
        <v>3660.2559999999999</v>
      </c>
    </row>
    <row r="12" spans="1:6">
      <c r="A12" s="57">
        <v>46234.125</v>
      </c>
      <c r="B12" s="55" t="s">
        <v>26</v>
      </c>
      <c r="C12" s="56">
        <v>1431.5</v>
      </c>
      <c r="D12" s="56">
        <v>3625.4839999999999</v>
      </c>
      <c r="E12" s="56">
        <v>250.3672</v>
      </c>
      <c r="F12" s="56">
        <v>3652.3009999999999</v>
      </c>
    </row>
    <row r="13" spans="1:6">
      <c r="A13" s="57">
        <v>46234.166666666664</v>
      </c>
      <c r="B13" s="55" t="s">
        <v>26</v>
      </c>
      <c r="C13" s="56">
        <v>1438</v>
      </c>
      <c r="D13" s="56">
        <v>3598.9290000000001</v>
      </c>
      <c r="E13" s="56">
        <v>250.32509999999999</v>
      </c>
      <c r="F13" s="56">
        <v>3644.462</v>
      </c>
    </row>
    <row r="14" spans="1:6">
      <c r="A14" s="57">
        <v>46234.208333333336</v>
      </c>
      <c r="B14" s="55" t="s">
        <v>26</v>
      </c>
      <c r="C14" s="56">
        <v>1457.5</v>
      </c>
      <c r="D14" s="56">
        <v>3569.8879999999999</v>
      </c>
      <c r="E14" s="56">
        <v>250.28370000000001</v>
      </c>
      <c r="F14" s="56">
        <v>3636.77</v>
      </c>
    </row>
    <row r="15" spans="1:6">
      <c r="A15" s="57">
        <v>46234.25</v>
      </c>
      <c r="B15" s="55" t="s">
        <v>26</v>
      </c>
      <c r="C15" s="56">
        <v>1477</v>
      </c>
      <c r="D15" s="56">
        <v>3540.0039999999999</v>
      </c>
      <c r="E15" s="56">
        <v>250.2433</v>
      </c>
      <c r="F15" s="56">
        <v>3629.2539999999999</v>
      </c>
    </row>
    <row r="16" spans="1:6">
      <c r="A16" s="57">
        <v>46234.291666666664</v>
      </c>
      <c r="B16" s="55" t="s">
        <v>26</v>
      </c>
      <c r="C16" s="56">
        <v>1516.5</v>
      </c>
      <c r="D16" s="56">
        <v>3504.587</v>
      </c>
      <c r="E16" s="56">
        <v>250.20410000000001</v>
      </c>
      <c r="F16" s="56">
        <v>3621.962</v>
      </c>
    </row>
    <row r="17" spans="1:6">
      <c r="A17" s="57">
        <v>46234.333333333336</v>
      </c>
      <c r="B17" s="55" t="s">
        <v>26</v>
      </c>
      <c r="C17" s="56">
        <v>1556</v>
      </c>
      <c r="D17" s="56">
        <v>3469.0390000000002</v>
      </c>
      <c r="E17" s="56">
        <v>250.16640000000001</v>
      </c>
      <c r="F17" s="56">
        <v>3614.94</v>
      </c>
    </row>
    <row r="18" spans="1:6">
      <c r="A18" s="57">
        <v>46234.375</v>
      </c>
      <c r="B18" s="55" t="s">
        <v>26</v>
      </c>
      <c r="C18" s="56">
        <v>1733</v>
      </c>
      <c r="D18" s="56">
        <v>3406.0770000000002</v>
      </c>
      <c r="E18" s="56">
        <v>250.13159999999999</v>
      </c>
      <c r="F18" s="56">
        <v>3608.4850000000001</v>
      </c>
    </row>
    <row r="19" spans="1:6">
      <c r="A19" s="57">
        <v>46234.416666666664</v>
      </c>
      <c r="B19" s="55" t="s">
        <v>26</v>
      </c>
      <c r="C19" s="56">
        <v>1910</v>
      </c>
      <c r="D19" s="56">
        <v>3345.0729999999999</v>
      </c>
      <c r="E19" s="56">
        <v>250.10159999999999</v>
      </c>
      <c r="F19" s="56">
        <v>3602.89</v>
      </c>
    </row>
    <row r="20" spans="1:6">
      <c r="A20" s="57">
        <v>46234.458333333336</v>
      </c>
      <c r="B20" s="55" t="s">
        <v>26</v>
      </c>
      <c r="C20" s="56">
        <v>2180.5</v>
      </c>
      <c r="D20" s="56">
        <v>3172.2559999999999</v>
      </c>
      <c r="E20" s="56">
        <v>250.07810000000001</v>
      </c>
      <c r="F20" s="56">
        <v>3598.5219999999999</v>
      </c>
    </row>
    <row r="21" spans="1:6">
      <c r="A21" s="57">
        <v>46234.5</v>
      </c>
      <c r="B21" s="55" t="s">
        <v>26</v>
      </c>
      <c r="C21" s="56">
        <v>2451</v>
      </c>
      <c r="D21" s="56">
        <v>3009.5569999999998</v>
      </c>
      <c r="E21" s="56">
        <v>250.06309999999999</v>
      </c>
      <c r="F21" s="56">
        <v>3595.7310000000002</v>
      </c>
    </row>
    <row r="22" spans="1:6">
      <c r="A22" s="57">
        <v>46234.541666666664</v>
      </c>
      <c r="B22" s="55" t="s">
        <v>26</v>
      </c>
      <c r="C22" s="56">
        <v>2599</v>
      </c>
      <c r="D22" s="56">
        <v>2513.0360000000001</v>
      </c>
      <c r="E22" s="56">
        <v>250.05850000000001</v>
      </c>
      <c r="F22" s="56">
        <v>3594.8809999999999</v>
      </c>
    </row>
    <row r="23" spans="1:6">
      <c r="A23" s="57">
        <v>46234.583333333336</v>
      </c>
      <c r="B23" s="55" t="s">
        <v>26</v>
      </c>
      <c r="C23" s="56">
        <v>2747</v>
      </c>
      <c r="D23" s="56">
        <v>2046.9639999999999</v>
      </c>
      <c r="E23" s="56">
        <v>250.06610000000001</v>
      </c>
      <c r="F23" s="56">
        <v>3596.2959999999998</v>
      </c>
    </row>
    <row r="24" spans="1:6">
      <c r="A24" s="57">
        <v>46234.625</v>
      </c>
      <c r="B24" s="55" t="s">
        <v>26</v>
      </c>
      <c r="C24" s="56">
        <v>2893</v>
      </c>
      <c r="D24" s="56">
        <v>991.65530000000001</v>
      </c>
      <c r="E24" s="56">
        <v>250.09129999999999</v>
      </c>
      <c r="F24" s="56">
        <v>3600.9780000000001</v>
      </c>
    </row>
    <row r="25" spans="1:6">
      <c r="A25" s="57">
        <v>46234.666666666664</v>
      </c>
      <c r="B25" s="55" t="s">
        <v>26</v>
      </c>
      <c r="C25" s="56">
        <v>3039</v>
      </c>
      <c r="D25" s="56">
        <v>300</v>
      </c>
      <c r="E25" s="56">
        <v>250.1362</v>
      </c>
      <c r="F25" s="56">
        <v>3609.3310000000001</v>
      </c>
    </row>
    <row r="26" spans="1:6">
      <c r="A26" s="57">
        <v>46234.708333333336</v>
      </c>
      <c r="B26" s="55" t="s">
        <v>26</v>
      </c>
      <c r="C26" s="56">
        <v>3320.5</v>
      </c>
      <c r="D26" s="56">
        <v>300</v>
      </c>
      <c r="E26" s="56">
        <v>250.1919</v>
      </c>
      <c r="F26" s="56">
        <v>3619.6979999999999</v>
      </c>
    </row>
    <row r="27" spans="1:6">
      <c r="A27" s="57">
        <v>46234.75</v>
      </c>
      <c r="B27" s="55" t="s">
        <v>26</v>
      </c>
      <c r="C27" s="56">
        <v>3602</v>
      </c>
      <c r="D27" s="56">
        <v>300</v>
      </c>
      <c r="E27" s="56">
        <v>250.25309999999999</v>
      </c>
      <c r="F27" s="56">
        <v>3631.078</v>
      </c>
    </row>
    <row r="28" spans="1:6">
      <c r="A28" s="57">
        <v>46234.791666666664</v>
      </c>
      <c r="B28" s="55" t="s">
        <v>26</v>
      </c>
      <c r="C28" s="56">
        <v>4195</v>
      </c>
      <c r="D28" s="56">
        <v>300</v>
      </c>
      <c r="E28" s="56">
        <v>250.3228</v>
      </c>
      <c r="F28" s="56">
        <v>3644.0329999999999</v>
      </c>
    </row>
    <row r="29" spans="1:6">
      <c r="A29" s="57">
        <v>46234.833333333336</v>
      </c>
      <c r="B29" s="55" t="s">
        <v>26</v>
      </c>
      <c r="C29" s="56">
        <v>4788</v>
      </c>
      <c r="D29" s="56">
        <v>300</v>
      </c>
      <c r="E29" s="56">
        <v>250.40389999999999</v>
      </c>
      <c r="F29" s="56">
        <v>3659.1219999999998</v>
      </c>
    </row>
    <row r="30" spans="1:6">
      <c r="A30" s="57">
        <v>46234.875</v>
      </c>
      <c r="B30" s="55" t="s">
        <v>26</v>
      </c>
      <c r="C30" s="56">
        <v>5017</v>
      </c>
      <c r="D30" s="56">
        <v>300</v>
      </c>
      <c r="E30" s="56">
        <v>250.49299999999999</v>
      </c>
      <c r="F30" s="56">
        <v>3675.6909999999998</v>
      </c>
    </row>
    <row r="31" spans="1:6">
      <c r="A31" s="57">
        <v>46234.916666666664</v>
      </c>
      <c r="B31" s="55" t="s">
        <v>26</v>
      </c>
      <c r="C31" s="56">
        <v>5246</v>
      </c>
      <c r="D31" s="56">
        <v>300</v>
      </c>
      <c r="E31" s="56">
        <v>250.5865</v>
      </c>
      <c r="F31" s="56">
        <v>3693.085</v>
      </c>
    </row>
    <row r="32" spans="1:6">
      <c r="A32" s="57">
        <v>46234.958333333336</v>
      </c>
      <c r="B32" s="55" t="s">
        <v>26</v>
      </c>
      <c r="C32" s="56">
        <v>5178.5</v>
      </c>
      <c r="D32" s="56">
        <v>300</v>
      </c>
      <c r="E32" s="56">
        <v>250.6815</v>
      </c>
      <c r="F32" s="56">
        <v>3710.7689999999998</v>
      </c>
    </row>
    <row r="33" spans="1:6">
      <c r="A33" s="57">
        <v>46235</v>
      </c>
      <c r="B33" s="55" t="s">
        <v>26</v>
      </c>
      <c r="C33" s="56">
        <v>5111</v>
      </c>
      <c r="D33" s="56">
        <v>300</v>
      </c>
      <c r="E33" s="56">
        <v>250.77529999999999</v>
      </c>
      <c r="F33" s="56">
        <v>3728.21</v>
      </c>
    </row>
    <row r="34" spans="1:6">
      <c r="A34" s="57">
        <v>46235.041666666664</v>
      </c>
      <c r="B34" s="55" t="s">
        <v>26</v>
      </c>
      <c r="C34" s="56">
        <v>5004</v>
      </c>
      <c r="D34" s="56">
        <v>300</v>
      </c>
      <c r="E34" s="56">
        <v>250.8674</v>
      </c>
      <c r="F34" s="56">
        <v>3745.337</v>
      </c>
    </row>
    <row r="35" spans="1:6" s="7" customFormat="1">
      <c r="A35" s="57">
        <v>46235.083333333336</v>
      </c>
      <c r="B35" s="55" t="s">
        <v>26</v>
      </c>
      <c r="C35" s="56">
        <v>4897</v>
      </c>
      <c r="D35" s="56">
        <v>300</v>
      </c>
      <c r="E35" s="56">
        <v>250.95740000000001</v>
      </c>
      <c r="F35" s="56">
        <v>3762.0790000000002</v>
      </c>
    </row>
    <row r="36" spans="1:6">
      <c r="A36" s="57">
        <v>46235.125</v>
      </c>
      <c r="B36" s="55" t="s">
        <v>26</v>
      </c>
      <c r="C36" s="56">
        <v>4830.5</v>
      </c>
      <c r="D36" s="56">
        <v>300</v>
      </c>
      <c r="E36" s="56">
        <v>251.04499999999999</v>
      </c>
      <c r="F36" s="56">
        <v>3778.5079999999998</v>
      </c>
    </row>
    <row r="37" spans="1:6">
      <c r="A37" s="57">
        <v>46235.166666666664</v>
      </c>
      <c r="B37" s="55" t="s">
        <v>26</v>
      </c>
      <c r="C37" s="56">
        <v>4764</v>
      </c>
      <c r="D37" s="56">
        <v>300</v>
      </c>
      <c r="E37" s="56">
        <v>251.13069999999999</v>
      </c>
      <c r="F37" s="56">
        <v>3794.6979999999999</v>
      </c>
    </row>
    <row r="38" spans="1:6">
      <c r="A38" s="57">
        <v>46235.208333333336</v>
      </c>
      <c r="B38" s="55" t="s">
        <v>26</v>
      </c>
      <c r="C38" s="56">
        <v>4727</v>
      </c>
      <c r="D38" s="56">
        <v>300</v>
      </c>
      <c r="E38" s="56">
        <v>251.21539999999999</v>
      </c>
      <c r="F38" s="56">
        <v>3810.7020000000002</v>
      </c>
    </row>
    <row r="39" spans="1:6">
      <c r="A39" s="57">
        <v>46235.25</v>
      </c>
      <c r="B39" s="55" t="s">
        <v>26</v>
      </c>
      <c r="C39" s="56">
        <v>4690</v>
      </c>
      <c r="D39" s="56">
        <v>300</v>
      </c>
      <c r="E39" s="56">
        <v>251.29929999999999</v>
      </c>
      <c r="F39" s="56">
        <v>3826.5729999999999</v>
      </c>
    </row>
    <row r="40" spans="1:6">
      <c r="A40" s="57">
        <v>46235.291666666664</v>
      </c>
      <c r="B40" s="55" t="s">
        <v>26</v>
      </c>
      <c r="C40" s="56">
        <v>4647</v>
      </c>
      <c r="D40" s="56">
        <v>300</v>
      </c>
      <c r="E40" s="56">
        <v>251.38249999999999</v>
      </c>
      <c r="F40" s="56">
        <v>3842.299</v>
      </c>
    </row>
    <row r="41" spans="1:6">
      <c r="A41" s="57">
        <v>46235.333333333336</v>
      </c>
      <c r="B41" s="55" t="s">
        <v>26</v>
      </c>
      <c r="C41" s="56">
        <v>4604</v>
      </c>
      <c r="D41" s="56">
        <v>300</v>
      </c>
      <c r="E41" s="56">
        <v>251.4649</v>
      </c>
      <c r="F41" s="56">
        <v>3857.8710000000001</v>
      </c>
    </row>
    <row r="42" spans="1:6">
      <c r="A42" s="57">
        <v>46235.375</v>
      </c>
      <c r="B42" s="55" t="s">
        <v>26</v>
      </c>
      <c r="C42" s="56">
        <v>4536.5</v>
      </c>
      <c r="D42" s="56">
        <v>300</v>
      </c>
      <c r="E42" s="56">
        <v>251.5463</v>
      </c>
      <c r="F42" s="56">
        <v>3873.2440000000001</v>
      </c>
    </row>
    <row r="43" spans="1:6">
      <c r="A43" s="57">
        <v>46235.416666666664</v>
      </c>
      <c r="B43" s="55" t="s">
        <v>26</v>
      </c>
      <c r="C43" s="56">
        <v>4469</v>
      </c>
      <c r="D43" s="56">
        <v>300</v>
      </c>
      <c r="E43" s="56">
        <v>251.62629999999999</v>
      </c>
      <c r="F43" s="56">
        <v>3888.3739999999998</v>
      </c>
    </row>
    <row r="44" spans="1:6">
      <c r="A44" s="57">
        <v>46235.458333333336</v>
      </c>
      <c r="B44" s="55" t="s">
        <v>26</v>
      </c>
      <c r="C44" s="56">
        <v>4376</v>
      </c>
      <c r="D44" s="56">
        <v>300</v>
      </c>
      <c r="E44" s="56">
        <v>251.70480000000001</v>
      </c>
      <c r="F44" s="56">
        <v>3903.2150000000001</v>
      </c>
    </row>
    <row r="45" spans="1:6">
      <c r="A45" s="57">
        <v>46235.5</v>
      </c>
      <c r="B45" s="55" t="s">
        <v>26</v>
      </c>
      <c r="C45" s="56">
        <v>4283</v>
      </c>
      <c r="D45" s="56">
        <v>300</v>
      </c>
      <c r="E45" s="56">
        <v>251.7816</v>
      </c>
      <c r="F45" s="56">
        <v>3917.721</v>
      </c>
    </row>
    <row r="46" spans="1:6">
      <c r="A46" s="57">
        <v>46235.541666666664</v>
      </c>
      <c r="B46" s="55" t="s">
        <v>26</v>
      </c>
      <c r="C46" s="56">
        <v>4177.5</v>
      </c>
      <c r="D46" s="56">
        <v>300</v>
      </c>
      <c r="E46" s="56">
        <v>251.85650000000001</v>
      </c>
      <c r="F46" s="56">
        <v>3931.87</v>
      </c>
    </row>
    <row r="47" spans="1:6">
      <c r="A47" s="57">
        <v>46235.583333333336</v>
      </c>
      <c r="B47" s="55" t="s">
        <v>26</v>
      </c>
      <c r="C47" s="56">
        <v>4072</v>
      </c>
      <c r="D47" s="56">
        <v>300</v>
      </c>
      <c r="E47" s="56">
        <v>251.92930000000001</v>
      </c>
      <c r="F47" s="56">
        <v>3945.6390000000001</v>
      </c>
    </row>
    <row r="48" spans="1:6">
      <c r="A48" s="57">
        <v>46235.625</v>
      </c>
      <c r="B48" s="55" t="s">
        <v>26</v>
      </c>
      <c r="C48" s="56">
        <v>3973</v>
      </c>
      <c r="D48" s="56">
        <v>300</v>
      </c>
      <c r="E48" s="56">
        <v>252.00020000000001</v>
      </c>
      <c r="F48" s="56">
        <v>3959.04</v>
      </c>
    </row>
    <row r="49" spans="1:6">
      <c r="A49" s="57">
        <v>46235.666666666664</v>
      </c>
      <c r="B49" s="55" t="s">
        <v>26</v>
      </c>
      <c r="C49" s="56">
        <v>3874</v>
      </c>
      <c r="D49" s="56">
        <v>300</v>
      </c>
      <c r="E49" s="56">
        <v>252.06809999999999</v>
      </c>
      <c r="F49" s="56">
        <v>3972.0839999999998</v>
      </c>
    </row>
    <row r="50" spans="1:6">
      <c r="A50" s="57">
        <v>46235.708333333336</v>
      </c>
      <c r="B50" s="55" t="s">
        <v>26</v>
      </c>
      <c r="C50" s="56">
        <v>3792</v>
      </c>
      <c r="D50" s="56">
        <v>300</v>
      </c>
      <c r="E50" s="56">
        <v>252.1344</v>
      </c>
      <c r="F50" s="56">
        <v>3984.8029999999999</v>
      </c>
    </row>
    <row r="51" spans="1:6">
      <c r="A51" s="57">
        <v>46235.75</v>
      </c>
      <c r="B51" s="55" t="s">
        <v>26</v>
      </c>
      <c r="C51" s="56">
        <v>3710</v>
      </c>
      <c r="D51" s="56">
        <v>300</v>
      </c>
      <c r="E51" s="56">
        <v>252.19909999999999</v>
      </c>
      <c r="F51" s="56">
        <v>3997.2269999999999</v>
      </c>
    </row>
    <row r="52" spans="1:6">
      <c r="A52" s="57">
        <v>46235.791666666664</v>
      </c>
      <c r="B52" s="55" t="s">
        <v>26</v>
      </c>
      <c r="C52" s="56">
        <v>3645</v>
      </c>
      <c r="D52" s="56">
        <v>300</v>
      </c>
      <c r="E52" s="56">
        <v>252.26240000000001</v>
      </c>
      <c r="F52" s="56">
        <v>4009.386</v>
      </c>
    </row>
    <row r="53" spans="1:6">
      <c r="A53" s="57">
        <v>46235.833333333336</v>
      </c>
      <c r="B53" s="55" t="s">
        <v>26</v>
      </c>
      <c r="C53" s="56">
        <v>3580</v>
      </c>
      <c r="D53" s="56">
        <v>337.22120000000001</v>
      </c>
      <c r="E53" s="56">
        <v>252.32419999999999</v>
      </c>
      <c r="F53" s="56">
        <v>4021.2440000000001</v>
      </c>
    </row>
    <row r="54" spans="1:6">
      <c r="A54" s="57">
        <v>46235.875</v>
      </c>
      <c r="B54" s="55" t="s">
        <v>26</v>
      </c>
      <c r="C54" s="56">
        <v>3527.5</v>
      </c>
      <c r="D54" s="56">
        <v>300</v>
      </c>
      <c r="E54" s="56">
        <v>252.38480000000001</v>
      </c>
      <c r="F54" s="56">
        <v>4032.89</v>
      </c>
    </row>
    <row r="55" spans="1:6">
      <c r="A55" s="57">
        <v>46235.916666666664</v>
      </c>
      <c r="B55" s="55" t="s">
        <v>26</v>
      </c>
      <c r="C55" s="56">
        <v>3475</v>
      </c>
      <c r="D55" s="56">
        <v>300</v>
      </c>
      <c r="E55" s="56">
        <v>252.44489999999999</v>
      </c>
      <c r="F55" s="56">
        <v>4044.415</v>
      </c>
    </row>
    <row r="56" spans="1:6">
      <c r="A56" s="57">
        <v>46235.958333333336</v>
      </c>
      <c r="B56" s="55" t="s">
        <v>26</v>
      </c>
      <c r="C56" s="56">
        <v>3433</v>
      </c>
      <c r="D56" s="56">
        <v>300</v>
      </c>
      <c r="E56" s="56">
        <v>252.50399999999999</v>
      </c>
      <c r="F56" s="56">
        <v>4055.7689999999998</v>
      </c>
    </row>
    <row r="57" spans="1:6">
      <c r="A57" s="57">
        <v>46236</v>
      </c>
      <c r="B57" s="55" t="s">
        <v>26</v>
      </c>
      <c r="C57" s="56">
        <v>3391</v>
      </c>
      <c r="D57" s="56">
        <v>300</v>
      </c>
      <c r="E57" s="56">
        <v>252.56229999999999</v>
      </c>
      <c r="F57" s="56">
        <v>4066.9720000000002</v>
      </c>
    </row>
    <row r="58" spans="1:6">
      <c r="A58" s="57">
        <v>46236.041666666664</v>
      </c>
      <c r="B58" s="55" t="s">
        <v>26</v>
      </c>
      <c r="C58" s="56">
        <v>3353.5</v>
      </c>
      <c r="D58" s="56">
        <v>300</v>
      </c>
      <c r="E58" s="56">
        <v>252.62</v>
      </c>
      <c r="F58" s="56">
        <v>4078.0320000000002</v>
      </c>
    </row>
    <row r="59" spans="1:6">
      <c r="A59" s="57">
        <v>46236.083333333336</v>
      </c>
      <c r="B59" s="55" t="s">
        <v>26</v>
      </c>
      <c r="C59" s="56">
        <v>3316</v>
      </c>
      <c r="D59" s="56">
        <v>300</v>
      </c>
      <c r="E59" s="56">
        <v>252.67689999999999</v>
      </c>
      <c r="F59" s="56">
        <v>4088.9569999999999</v>
      </c>
    </row>
    <row r="60" spans="1:6">
      <c r="A60" s="57">
        <v>46236.125</v>
      </c>
      <c r="B60" s="55" t="s">
        <v>26</v>
      </c>
      <c r="C60" s="56">
        <v>3430</v>
      </c>
      <c r="D60" s="56">
        <v>300</v>
      </c>
      <c r="E60" s="56">
        <v>252.7345</v>
      </c>
      <c r="F60" s="56">
        <v>4100.0200000000004</v>
      </c>
    </row>
    <row r="61" spans="1:6">
      <c r="A61" s="57">
        <v>46236.166666666664</v>
      </c>
      <c r="B61" s="55" t="s">
        <v>26</v>
      </c>
      <c r="C61" s="56">
        <v>3544</v>
      </c>
      <c r="D61" s="56">
        <v>300</v>
      </c>
      <c r="E61" s="56">
        <v>252.79419999999999</v>
      </c>
      <c r="F61" s="56">
        <v>4111.4930000000004</v>
      </c>
    </row>
    <row r="62" spans="1:6">
      <c r="A62" s="57">
        <v>46236.208333333336</v>
      </c>
      <c r="B62" s="55" t="s">
        <v>26</v>
      </c>
      <c r="C62" s="56">
        <v>4109.5</v>
      </c>
      <c r="D62" s="56">
        <v>300</v>
      </c>
      <c r="E62" s="56">
        <v>252.8604</v>
      </c>
      <c r="F62" s="56">
        <v>4124.1890000000003</v>
      </c>
    </row>
    <row r="63" spans="1:6">
      <c r="A63" s="57">
        <v>46236.25</v>
      </c>
      <c r="B63" s="55" t="s">
        <v>26</v>
      </c>
      <c r="C63" s="56">
        <v>4675</v>
      </c>
      <c r="D63" s="56">
        <v>300</v>
      </c>
      <c r="E63" s="56">
        <v>252.93709999999999</v>
      </c>
      <c r="F63" s="56">
        <v>4138.9210000000003</v>
      </c>
    </row>
    <row r="64" spans="1:6">
      <c r="A64" s="57">
        <v>46236.291666666664</v>
      </c>
      <c r="B64" s="55" t="s">
        <v>26</v>
      </c>
      <c r="C64" s="56">
        <v>5088</v>
      </c>
      <c r="D64" s="56">
        <v>300</v>
      </c>
      <c r="E64" s="56">
        <v>253.02260000000001</v>
      </c>
      <c r="F64" s="56">
        <v>4155.415</v>
      </c>
    </row>
    <row r="65" spans="1:6">
      <c r="A65" s="57">
        <v>46236.333333333336</v>
      </c>
      <c r="B65" s="55" t="s">
        <v>26</v>
      </c>
      <c r="C65" s="56">
        <v>5501</v>
      </c>
      <c r="D65" s="56">
        <v>300</v>
      </c>
      <c r="E65" s="56">
        <v>253.1148</v>
      </c>
      <c r="F65" s="56">
        <v>4173.3950000000004</v>
      </c>
    </row>
    <row r="66" spans="1:6">
      <c r="A66" s="57">
        <v>46236.375</v>
      </c>
      <c r="B66" s="55" t="s">
        <v>26</v>
      </c>
      <c r="C66" s="56">
        <v>5627.5</v>
      </c>
      <c r="D66" s="56">
        <v>300</v>
      </c>
      <c r="E66" s="56">
        <v>253.21199999999999</v>
      </c>
      <c r="F66" s="56">
        <v>4192.3459999999995</v>
      </c>
    </row>
    <row r="67" spans="1:6">
      <c r="A67" s="57">
        <v>46236.416666666664</v>
      </c>
      <c r="B67" s="55" t="s">
        <v>26</v>
      </c>
      <c r="C67" s="56">
        <v>5754</v>
      </c>
      <c r="D67" s="56">
        <v>300</v>
      </c>
      <c r="E67" s="56">
        <v>253.3116</v>
      </c>
      <c r="F67" s="56">
        <v>4211.7520000000004</v>
      </c>
    </row>
    <row r="68" spans="1:6">
      <c r="A68" s="57">
        <v>46236.458333333336</v>
      </c>
      <c r="B68" s="55" t="s">
        <v>26</v>
      </c>
      <c r="C68" s="56">
        <v>5950.5</v>
      </c>
      <c r="D68" s="56">
        <v>300</v>
      </c>
      <c r="E68" s="56">
        <v>253.41409999999999</v>
      </c>
      <c r="F68" s="56">
        <v>4231.741</v>
      </c>
    </row>
    <row r="69" spans="1:6">
      <c r="A69" s="57">
        <v>46236.5</v>
      </c>
      <c r="B69" s="55" t="s">
        <v>26</v>
      </c>
      <c r="C69" s="56">
        <v>6147</v>
      </c>
      <c r="D69" s="56">
        <v>300</v>
      </c>
      <c r="E69" s="56">
        <v>253.52019999999999</v>
      </c>
      <c r="F69" s="56">
        <v>4252.4359999999997</v>
      </c>
    </row>
    <row r="70" spans="1:6">
      <c r="A70" s="57">
        <v>46236.541666666664</v>
      </c>
      <c r="B70" s="55" t="s">
        <v>26</v>
      </c>
      <c r="C70" s="56">
        <v>6090</v>
      </c>
      <c r="D70" s="56">
        <v>300</v>
      </c>
      <c r="E70" s="56">
        <v>253.6276</v>
      </c>
      <c r="F70" s="56">
        <v>4273.3829999999998</v>
      </c>
    </row>
    <row r="71" spans="1:6">
      <c r="A71" s="57">
        <v>46236.583333333336</v>
      </c>
      <c r="B71" s="55" t="s">
        <v>26</v>
      </c>
      <c r="C71" s="56">
        <v>6033</v>
      </c>
      <c r="D71" s="56">
        <v>300</v>
      </c>
      <c r="E71" s="56">
        <v>253.73400000000001</v>
      </c>
      <c r="F71" s="56">
        <v>4294.1239999999998</v>
      </c>
    </row>
    <row r="72" spans="1:6">
      <c r="A72" s="57">
        <v>46236.625</v>
      </c>
      <c r="B72" s="55" t="s">
        <v>26</v>
      </c>
      <c r="C72" s="56">
        <v>5893.5</v>
      </c>
      <c r="D72" s="56">
        <v>300</v>
      </c>
      <c r="E72" s="56">
        <v>253.83850000000001</v>
      </c>
      <c r="F72" s="56">
        <v>4314.5119999999997</v>
      </c>
    </row>
    <row r="73" spans="1:6">
      <c r="A73" s="57">
        <v>46236.666666666664</v>
      </c>
      <c r="B73" s="55" t="s">
        <v>26</v>
      </c>
      <c r="C73" s="56">
        <v>5754</v>
      </c>
      <c r="D73" s="56">
        <v>300</v>
      </c>
      <c r="E73" s="56">
        <v>253.94049999999999</v>
      </c>
      <c r="F73" s="56">
        <v>4334.3969999999999</v>
      </c>
    </row>
    <row r="74" spans="1:6">
      <c r="A74" s="57">
        <v>46236.708333333336</v>
      </c>
      <c r="B74" s="55" t="s">
        <v>26</v>
      </c>
      <c r="C74" s="56">
        <v>5660.5</v>
      </c>
      <c r="D74" s="56">
        <v>300</v>
      </c>
      <c r="E74" s="56">
        <v>254.0395</v>
      </c>
      <c r="F74" s="56">
        <v>4353.8639999999996</v>
      </c>
    </row>
    <row r="75" spans="1:6">
      <c r="A75" s="57">
        <v>46236.75</v>
      </c>
      <c r="B75" s="55" t="s">
        <v>26</v>
      </c>
      <c r="C75" s="56">
        <v>5567</v>
      </c>
      <c r="D75" s="56">
        <v>300</v>
      </c>
      <c r="E75" s="56">
        <v>254.13570000000001</v>
      </c>
      <c r="F75" s="56">
        <v>4372.9930000000004</v>
      </c>
    </row>
    <row r="76" spans="1:6" s="7" customFormat="1">
      <c r="A76" s="57">
        <v>46236.791666666664</v>
      </c>
      <c r="B76" s="55" t="s">
        <v>26</v>
      </c>
      <c r="C76" s="56">
        <v>5504</v>
      </c>
      <c r="D76" s="56">
        <v>300</v>
      </c>
      <c r="E76" s="56">
        <v>254.2304</v>
      </c>
      <c r="F76" s="56">
        <v>4391.8410000000003</v>
      </c>
    </row>
    <row r="77" spans="1:6">
      <c r="A77" s="57">
        <v>46236.833333333336</v>
      </c>
      <c r="B77" s="55" t="s">
        <v>26</v>
      </c>
      <c r="C77" s="56">
        <v>5441</v>
      </c>
      <c r="D77" s="56">
        <v>300</v>
      </c>
      <c r="E77" s="56">
        <v>254.32390000000001</v>
      </c>
      <c r="F77" s="56">
        <v>4410.4620000000004</v>
      </c>
    </row>
    <row r="78" spans="1:6">
      <c r="A78" s="57">
        <v>46236.875</v>
      </c>
      <c r="B78" s="55" t="s">
        <v>26</v>
      </c>
      <c r="C78" s="56">
        <v>5408</v>
      </c>
      <c r="D78" s="56">
        <v>300</v>
      </c>
      <c r="E78" s="56">
        <v>254.41659999999999</v>
      </c>
      <c r="F78" s="56">
        <v>4428.91</v>
      </c>
    </row>
    <row r="79" spans="1:6">
      <c r="A79" s="57">
        <v>46236.916666666664</v>
      </c>
      <c r="B79" s="55" t="s">
        <v>26</v>
      </c>
      <c r="C79" s="56">
        <v>5375</v>
      </c>
      <c r="D79" s="56">
        <v>300</v>
      </c>
      <c r="E79" s="56">
        <v>254.5087</v>
      </c>
      <c r="F79" s="56">
        <v>4447.24</v>
      </c>
    </row>
    <row r="80" spans="1:6">
      <c r="A80" s="57">
        <v>46236.958333333336</v>
      </c>
      <c r="B80" s="55" t="s">
        <v>26</v>
      </c>
      <c r="C80" s="56">
        <v>5372.5</v>
      </c>
      <c r="D80" s="56">
        <v>300</v>
      </c>
      <c r="E80" s="56">
        <v>254.60050000000001</v>
      </c>
      <c r="F80" s="56">
        <v>4465.5050000000001</v>
      </c>
    </row>
    <row r="81" spans="1:6">
      <c r="A81" s="57">
        <v>46237</v>
      </c>
      <c r="B81" s="55" t="s">
        <v>26</v>
      </c>
      <c r="C81" s="56">
        <v>5370</v>
      </c>
      <c r="D81" s="56">
        <v>300</v>
      </c>
      <c r="E81" s="56">
        <v>254.69229999999999</v>
      </c>
      <c r="F81" s="56">
        <v>4483.7619999999997</v>
      </c>
    </row>
    <row r="82" spans="1:6">
      <c r="A82" s="57">
        <v>46237.041666666664</v>
      </c>
      <c r="B82" s="55" t="s">
        <v>26</v>
      </c>
      <c r="C82" s="56">
        <v>5443</v>
      </c>
      <c r="D82" s="56">
        <v>300</v>
      </c>
      <c r="E82" s="56">
        <v>254.78469999999999</v>
      </c>
      <c r="F82" s="56">
        <v>4502.1450000000004</v>
      </c>
    </row>
    <row r="83" spans="1:6" s="7" customFormat="1">
      <c r="A83" s="57">
        <v>46237.083333333336</v>
      </c>
      <c r="B83" s="55" t="s">
        <v>26</v>
      </c>
      <c r="C83" s="56">
        <v>5516</v>
      </c>
      <c r="D83" s="56">
        <v>300</v>
      </c>
      <c r="E83" s="56">
        <v>254.8783</v>
      </c>
      <c r="F83" s="56">
        <v>4520.7910000000002</v>
      </c>
    </row>
    <row r="84" spans="1:6">
      <c r="A84" s="57">
        <v>46237.125</v>
      </c>
      <c r="B84" s="55" t="s">
        <v>26</v>
      </c>
      <c r="C84" s="56">
        <v>5878.5</v>
      </c>
      <c r="D84" s="56">
        <v>300</v>
      </c>
      <c r="E84" s="56">
        <v>254.976</v>
      </c>
      <c r="F84" s="56">
        <v>4540.2209999999995</v>
      </c>
    </row>
    <row r="85" spans="1:6">
      <c r="A85" s="57">
        <v>46237.166666666664</v>
      </c>
      <c r="B85" s="55" t="s">
        <v>26</v>
      </c>
      <c r="C85" s="56">
        <v>6241</v>
      </c>
      <c r="D85" s="56">
        <v>300</v>
      </c>
      <c r="E85" s="56">
        <v>255.07939999999999</v>
      </c>
      <c r="F85" s="56">
        <v>4560.9560000000001</v>
      </c>
    </row>
    <row r="86" spans="1:6">
      <c r="A86" s="57">
        <v>46237.208333333336</v>
      </c>
      <c r="B86" s="55" t="s">
        <v>26</v>
      </c>
      <c r="C86" s="56">
        <v>6467.5</v>
      </c>
      <c r="D86" s="56">
        <v>300</v>
      </c>
      <c r="E86" s="56">
        <v>255.18780000000001</v>
      </c>
      <c r="F86" s="56">
        <v>4582.7510000000002</v>
      </c>
    </row>
    <row r="87" spans="1:6">
      <c r="A87" s="57">
        <v>46237.25</v>
      </c>
      <c r="B87" s="55" t="s">
        <v>26</v>
      </c>
      <c r="C87" s="56">
        <v>6694</v>
      </c>
      <c r="D87" s="56">
        <v>300</v>
      </c>
      <c r="E87" s="56">
        <v>255.30029999999999</v>
      </c>
      <c r="F87" s="56">
        <v>4605.3620000000001</v>
      </c>
    </row>
    <row r="88" spans="1:6">
      <c r="A88" s="57">
        <v>46237.291666666664</v>
      </c>
      <c r="B88" s="55" t="s">
        <v>26</v>
      </c>
      <c r="C88" s="56">
        <v>6631.5</v>
      </c>
      <c r="D88" s="56">
        <v>300</v>
      </c>
      <c r="E88" s="56">
        <v>255.4143</v>
      </c>
      <c r="F88" s="56">
        <v>4628.268</v>
      </c>
    </row>
    <row r="89" spans="1:6">
      <c r="A89" s="57">
        <v>46237.333333333336</v>
      </c>
      <c r="B89" s="55" t="s">
        <v>26</v>
      </c>
      <c r="C89" s="56">
        <v>6569</v>
      </c>
      <c r="D89" s="56">
        <v>300</v>
      </c>
      <c r="E89" s="56">
        <v>255.52709999999999</v>
      </c>
      <c r="F89" s="56">
        <v>4650.9489999999996</v>
      </c>
    </row>
    <row r="90" spans="1:6">
      <c r="A90" s="57">
        <v>46237.375</v>
      </c>
      <c r="B90" s="55" t="s">
        <v>26</v>
      </c>
      <c r="C90" s="56">
        <v>6319</v>
      </c>
      <c r="D90" s="56">
        <v>300</v>
      </c>
      <c r="E90" s="56">
        <v>255.6371</v>
      </c>
      <c r="F90" s="56">
        <v>4673.067</v>
      </c>
    </row>
    <row r="91" spans="1:6">
      <c r="A91" s="57">
        <v>46237.416666666664</v>
      </c>
      <c r="B91" s="55" t="s">
        <v>26</v>
      </c>
      <c r="C91" s="56">
        <v>6069</v>
      </c>
      <c r="D91" s="56">
        <v>300</v>
      </c>
      <c r="E91" s="56">
        <v>255.74270000000001</v>
      </c>
      <c r="F91" s="56">
        <v>4694.2849999999999</v>
      </c>
    </row>
    <row r="92" spans="1:6">
      <c r="A92" s="57">
        <v>46237.458333333336</v>
      </c>
      <c r="B92" s="55" t="s">
        <v>26</v>
      </c>
      <c r="C92" s="56">
        <v>5820.5</v>
      </c>
      <c r="D92" s="56">
        <v>300</v>
      </c>
      <c r="E92" s="56">
        <v>255.84379999999999</v>
      </c>
      <c r="F92" s="56">
        <v>4714.6059999999998</v>
      </c>
    </row>
    <row r="93" spans="1:6">
      <c r="A93" s="57">
        <v>46237.5</v>
      </c>
      <c r="B93" s="55" t="s">
        <v>26</v>
      </c>
      <c r="C93" s="56">
        <v>5572</v>
      </c>
      <c r="D93" s="56">
        <v>300</v>
      </c>
      <c r="E93" s="56">
        <v>255.94049999999999</v>
      </c>
      <c r="F93" s="56">
        <v>4734.0330000000004</v>
      </c>
    </row>
    <row r="94" spans="1:6">
      <c r="A94" s="57">
        <v>46237.541666666664</v>
      </c>
      <c r="B94" s="55" t="s">
        <v>26</v>
      </c>
      <c r="C94" s="56">
        <v>5412.5</v>
      </c>
      <c r="D94" s="56">
        <v>300</v>
      </c>
      <c r="E94" s="56">
        <v>256.03300000000002</v>
      </c>
      <c r="F94" s="56">
        <v>4752.7250000000004</v>
      </c>
    </row>
    <row r="95" spans="1:6">
      <c r="A95" s="57">
        <v>46237.583333333336</v>
      </c>
      <c r="B95" s="55" t="s">
        <v>26</v>
      </c>
      <c r="C95" s="56">
        <v>5253</v>
      </c>
      <c r="D95" s="56">
        <v>300</v>
      </c>
      <c r="E95" s="56">
        <v>256.12180000000001</v>
      </c>
      <c r="F95" s="56">
        <v>4770.8419999999996</v>
      </c>
    </row>
    <row r="96" spans="1:6">
      <c r="A96" s="57">
        <v>46237.625</v>
      </c>
      <c r="B96" s="55" t="s">
        <v>26</v>
      </c>
      <c r="C96" s="56">
        <v>5172</v>
      </c>
      <c r="D96" s="56">
        <v>300</v>
      </c>
      <c r="E96" s="56">
        <v>256.20850000000002</v>
      </c>
      <c r="F96" s="56">
        <v>4788.527</v>
      </c>
    </row>
    <row r="97" spans="1:6">
      <c r="A97" s="57">
        <v>46237.666666666664</v>
      </c>
      <c r="B97" s="55" t="s">
        <v>26</v>
      </c>
      <c r="C97" s="56">
        <v>5091</v>
      </c>
      <c r="D97" s="56">
        <v>300</v>
      </c>
      <c r="E97" s="56">
        <v>256.2937</v>
      </c>
      <c r="F97" s="56">
        <v>4805.9210000000003</v>
      </c>
    </row>
    <row r="98" spans="1:6">
      <c r="A98" s="57">
        <v>46237.708333333336</v>
      </c>
      <c r="B98" s="55" t="s">
        <v>26</v>
      </c>
      <c r="C98" s="56">
        <v>5047</v>
      </c>
      <c r="D98" s="56">
        <v>300</v>
      </c>
      <c r="E98" s="56">
        <v>256.37790000000001</v>
      </c>
      <c r="F98" s="56">
        <v>4823.0889999999999</v>
      </c>
    </row>
    <row r="99" spans="1:6">
      <c r="A99" s="57">
        <v>46237.75</v>
      </c>
      <c r="B99" s="55" t="s">
        <v>26</v>
      </c>
      <c r="C99" s="56">
        <v>5003</v>
      </c>
      <c r="D99" s="56">
        <v>300</v>
      </c>
      <c r="E99" s="56">
        <v>256.46129999999999</v>
      </c>
      <c r="F99" s="56">
        <v>4840.0990000000002</v>
      </c>
    </row>
    <row r="100" spans="1:6">
      <c r="A100" s="57">
        <v>46237.791666666664</v>
      </c>
      <c r="B100" s="55" t="s">
        <v>26</v>
      </c>
      <c r="C100" s="56">
        <v>4961</v>
      </c>
      <c r="D100" s="56">
        <v>300</v>
      </c>
      <c r="E100" s="56">
        <v>256.54390000000001</v>
      </c>
      <c r="F100" s="56">
        <v>4856.9539999999997</v>
      </c>
    </row>
    <row r="101" spans="1:6">
      <c r="A101" s="57">
        <v>46237.833333333336</v>
      </c>
      <c r="B101" s="55" t="s">
        <v>26</v>
      </c>
      <c r="C101" s="56">
        <v>4919</v>
      </c>
      <c r="D101" s="56">
        <v>300</v>
      </c>
      <c r="E101" s="56">
        <v>256.62580000000003</v>
      </c>
      <c r="F101" s="56">
        <v>4873.6580000000004</v>
      </c>
    </row>
    <row r="102" spans="1:6">
      <c r="A102" s="57">
        <v>46237.875</v>
      </c>
      <c r="B102" s="55" t="s">
        <v>26</v>
      </c>
      <c r="C102" s="56">
        <v>4857</v>
      </c>
      <c r="D102" s="56">
        <v>300</v>
      </c>
      <c r="E102" s="56">
        <v>256.70670000000001</v>
      </c>
      <c r="F102" s="56">
        <v>4890.1750000000002</v>
      </c>
    </row>
    <row r="103" spans="1:6">
      <c r="A103" s="57">
        <v>46237.916666666664</v>
      </c>
      <c r="B103" s="55" t="s">
        <v>26</v>
      </c>
      <c r="C103" s="56">
        <v>4795</v>
      </c>
      <c r="D103" s="56">
        <v>300</v>
      </c>
      <c r="E103" s="56">
        <v>256.78660000000002</v>
      </c>
      <c r="F103" s="56">
        <v>4906.4679999999998</v>
      </c>
    </row>
    <row r="104" spans="1:6">
      <c r="A104" s="57">
        <v>46237.958333333336</v>
      </c>
      <c r="B104" s="55" t="s">
        <v>26</v>
      </c>
      <c r="C104" s="56">
        <v>4707</v>
      </c>
      <c r="D104" s="56">
        <v>300</v>
      </c>
      <c r="E104" s="56">
        <v>256.86509999999998</v>
      </c>
      <c r="F104" s="56">
        <v>4922.4920000000002</v>
      </c>
    </row>
    <row r="105" spans="1:6">
      <c r="A105" s="57">
        <v>46238</v>
      </c>
      <c r="B105" s="55" t="s">
        <v>26</v>
      </c>
      <c r="C105" s="56">
        <v>4619</v>
      </c>
      <c r="D105" s="56">
        <v>300</v>
      </c>
      <c r="E105" s="56">
        <v>256.94209999999998</v>
      </c>
      <c r="F105" s="56">
        <v>4938.1989999999996</v>
      </c>
    </row>
    <row r="106" spans="1:6">
      <c r="A106" s="57">
        <v>46238.041666666664</v>
      </c>
      <c r="B106" s="55" t="s">
        <v>26</v>
      </c>
      <c r="C106" s="56">
        <v>4509</v>
      </c>
      <c r="D106" s="56">
        <v>300</v>
      </c>
      <c r="E106" s="56">
        <v>257.017</v>
      </c>
      <c r="F106" s="56">
        <v>4953.549</v>
      </c>
    </row>
    <row r="107" spans="1:6">
      <c r="A107" s="57">
        <v>46238.083333333336</v>
      </c>
      <c r="B107" s="55" t="s">
        <v>26</v>
      </c>
      <c r="C107" s="56">
        <v>4399</v>
      </c>
      <c r="D107" s="56">
        <v>300</v>
      </c>
      <c r="E107" s="56">
        <v>257.08850000000001</v>
      </c>
      <c r="F107" s="56">
        <v>4968.5039999999999</v>
      </c>
    </row>
    <row r="108" spans="1:6">
      <c r="A108" s="57">
        <v>46238.125</v>
      </c>
      <c r="B108" s="55" t="s">
        <v>26</v>
      </c>
      <c r="C108" s="56">
        <v>4278</v>
      </c>
      <c r="D108" s="56">
        <v>300</v>
      </c>
      <c r="E108" s="56">
        <v>257.15809999999999</v>
      </c>
      <c r="F108" s="56">
        <v>4983.0420000000004</v>
      </c>
    </row>
    <row r="109" spans="1:6">
      <c r="A109" s="57">
        <v>46238.166666666664</v>
      </c>
      <c r="B109" s="55" t="s">
        <v>26</v>
      </c>
      <c r="C109" s="56">
        <v>4157</v>
      </c>
      <c r="D109" s="56">
        <v>300</v>
      </c>
      <c r="E109" s="56">
        <v>257.22559999999999</v>
      </c>
      <c r="F109" s="56">
        <v>4997.1459999999997</v>
      </c>
    </row>
    <row r="110" spans="1:6">
      <c r="A110" s="57">
        <v>46238.208333333336</v>
      </c>
      <c r="B110" s="55" t="s">
        <v>26</v>
      </c>
      <c r="C110" s="56">
        <v>4038.5</v>
      </c>
      <c r="D110" s="56">
        <v>300</v>
      </c>
      <c r="E110" s="56">
        <v>257.291</v>
      </c>
      <c r="F110" s="56">
        <v>5010.817</v>
      </c>
    </row>
    <row r="111" spans="1:6">
      <c r="A111" s="57">
        <v>46238.25</v>
      </c>
      <c r="B111" s="55" t="s">
        <v>26</v>
      </c>
      <c r="C111" s="56">
        <v>3920</v>
      </c>
      <c r="D111" s="56">
        <v>300</v>
      </c>
      <c r="E111" s="56">
        <v>257.3544</v>
      </c>
      <c r="F111" s="56">
        <v>5024.0630000000001</v>
      </c>
    </row>
    <row r="112" spans="1:6">
      <c r="A112" s="57">
        <v>46238.291666666664</v>
      </c>
      <c r="B112" s="55" t="s">
        <v>26</v>
      </c>
      <c r="C112" s="56">
        <v>3806.5</v>
      </c>
      <c r="D112" s="56">
        <v>300</v>
      </c>
      <c r="E112" s="56">
        <v>257.41570000000002</v>
      </c>
      <c r="F112" s="56">
        <v>5036.8900000000003</v>
      </c>
    </row>
    <row r="113" spans="1:6">
      <c r="A113" s="57">
        <v>46238.333333333336</v>
      </c>
      <c r="B113" s="55" t="s">
        <v>26</v>
      </c>
      <c r="C113" s="56">
        <v>3693</v>
      </c>
      <c r="D113" s="56">
        <v>300</v>
      </c>
      <c r="E113" s="56">
        <v>257.47519999999997</v>
      </c>
      <c r="F113" s="56">
        <v>5049.3090000000002</v>
      </c>
    </row>
    <row r="114" spans="1:6">
      <c r="A114" s="57">
        <v>46238.375</v>
      </c>
      <c r="B114" s="55" t="s">
        <v>26</v>
      </c>
      <c r="C114" s="56">
        <v>3583.5</v>
      </c>
      <c r="D114" s="56">
        <v>300</v>
      </c>
      <c r="E114" s="56">
        <v>257.53269999999998</v>
      </c>
      <c r="F114" s="56">
        <v>5061.3270000000002</v>
      </c>
    </row>
    <row r="115" spans="1:6">
      <c r="A115" s="57">
        <v>46238.416666666664</v>
      </c>
      <c r="B115" s="55" t="s">
        <v>26</v>
      </c>
      <c r="C115" s="56">
        <v>3474</v>
      </c>
      <c r="D115" s="56">
        <v>300</v>
      </c>
      <c r="E115" s="56">
        <v>257.5883</v>
      </c>
      <c r="F115" s="56">
        <v>5072.95</v>
      </c>
    </row>
    <row r="116" spans="1:6">
      <c r="A116" s="57">
        <v>46238.458333333336</v>
      </c>
      <c r="B116" s="55" t="s">
        <v>26</v>
      </c>
      <c r="C116" s="56">
        <v>3374.5</v>
      </c>
      <c r="D116" s="56">
        <v>300</v>
      </c>
      <c r="E116" s="56">
        <v>257.64210000000003</v>
      </c>
      <c r="F116" s="56">
        <v>5084.1970000000001</v>
      </c>
    </row>
    <row r="117" spans="1:6">
      <c r="A117" s="57">
        <v>46238.5</v>
      </c>
      <c r="B117" s="55" t="s">
        <v>26</v>
      </c>
      <c r="C117" s="56">
        <v>3275</v>
      </c>
      <c r="D117" s="56">
        <v>300</v>
      </c>
      <c r="E117" s="56">
        <v>257.69420000000002</v>
      </c>
      <c r="F117" s="56">
        <v>5095.0860000000002</v>
      </c>
    </row>
    <row r="118" spans="1:6">
      <c r="A118" s="57">
        <v>46238.541666666664</v>
      </c>
      <c r="B118" s="55" t="s">
        <v>26</v>
      </c>
      <c r="C118" s="56">
        <v>3192.5</v>
      </c>
      <c r="D118" s="56">
        <v>300</v>
      </c>
      <c r="E118" s="56">
        <v>257.74470000000002</v>
      </c>
      <c r="F118" s="56">
        <v>5105.6480000000001</v>
      </c>
    </row>
    <row r="119" spans="1:6">
      <c r="A119" s="57">
        <v>46238.583333333336</v>
      </c>
      <c r="B119" s="55" t="s">
        <v>26</v>
      </c>
      <c r="C119" s="56">
        <v>3110</v>
      </c>
      <c r="D119" s="56">
        <v>300</v>
      </c>
      <c r="E119" s="56">
        <v>257.79390000000001</v>
      </c>
      <c r="F119" s="56">
        <v>5115.9129999999996</v>
      </c>
    </row>
    <row r="120" spans="1:6">
      <c r="A120" s="57">
        <v>46238.625</v>
      </c>
      <c r="B120" s="55" t="s">
        <v>26</v>
      </c>
      <c r="C120" s="56">
        <v>3048.5</v>
      </c>
      <c r="D120" s="56">
        <v>300</v>
      </c>
      <c r="E120" s="56">
        <v>257.8417</v>
      </c>
      <c r="F120" s="56">
        <v>5125.9179999999997</v>
      </c>
    </row>
    <row r="121" spans="1:6">
      <c r="A121" s="57">
        <v>46238.666666666664</v>
      </c>
      <c r="B121" s="55" t="s">
        <v>26</v>
      </c>
      <c r="C121" s="56">
        <v>2987</v>
      </c>
      <c r="D121" s="56">
        <v>300</v>
      </c>
      <c r="E121" s="56">
        <v>257.88850000000002</v>
      </c>
      <c r="F121" s="56">
        <v>5135.7020000000002</v>
      </c>
    </row>
    <row r="122" spans="1:6">
      <c r="A122" s="57">
        <v>46238.708333333336</v>
      </c>
      <c r="B122" s="55" t="s">
        <v>26</v>
      </c>
      <c r="C122" s="56">
        <v>2950.5</v>
      </c>
      <c r="D122" s="56">
        <v>300</v>
      </c>
      <c r="E122" s="56">
        <v>257.93450000000001</v>
      </c>
      <c r="F122" s="56">
        <v>5145.3090000000002</v>
      </c>
    </row>
    <row r="123" spans="1:6">
      <c r="A123" s="57">
        <v>46238.75</v>
      </c>
      <c r="B123" s="55" t="s">
        <v>26</v>
      </c>
      <c r="C123" s="56">
        <v>2914</v>
      </c>
      <c r="D123" s="56">
        <v>300</v>
      </c>
      <c r="E123" s="56">
        <v>257.97980000000001</v>
      </c>
      <c r="F123" s="56">
        <v>5154.7849999999999</v>
      </c>
    </row>
    <row r="124" spans="1:6">
      <c r="A124" s="57">
        <v>46238.791666666664</v>
      </c>
      <c r="B124" s="55" t="s">
        <v>26</v>
      </c>
      <c r="C124" s="56">
        <v>2897.5</v>
      </c>
      <c r="D124" s="56">
        <v>300</v>
      </c>
      <c r="E124" s="56">
        <v>258.02449999999999</v>
      </c>
      <c r="F124" s="56">
        <v>5164.1660000000002</v>
      </c>
    </row>
    <row r="125" spans="1:6">
      <c r="A125" s="57">
        <v>46238.833333333336</v>
      </c>
      <c r="B125" s="55" t="s">
        <v>26</v>
      </c>
      <c r="C125" s="56">
        <v>2881</v>
      </c>
      <c r="D125" s="56">
        <v>300</v>
      </c>
      <c r="E125" s="56">
        <v>258.06869999999998</v>
      </c>
      <c r="F125" s="56">
        <v>5173.4870000000001</v>
      </c>
    </row>
    <row r="126" spans="1:6">
      <c r="A126" s="57">
        <v>46238.875</v>
      </c>
      <c r="B126" s="55" t="s">
        <v>26</v>
      </c>
      <c r="C126" s="56">
        <v>2876.5</v>
      </c>
      <c r="D126" s="56">
        <v>300</v>
      </c>
      <c r="E126" s="56">
        <v>258.11270000000002</v>
      </c>
      <c r="F126" s="56">
        <v>5182.7709999999997</v>
      </c>
    </row>
    <row r="127" spans="1:6">
      <c r="A127" s="57">
        <v>46238.916666666664</v>
      </c>
      <c r="B127" s="55" t="s">
        <v>26</v>
      </c>
      <c r="C127" s="56">
        <v>2872</v>
      </c>
      <c r="D127" s="56">
        <v>300</v>
      </c>
      <c r="E127" s="56">
        <v>258.15660000000003</v>
      </c>
      <c r="F127" s="56">
        <v>5192.0379999999996</v>
      </c>
    </row>
    <row r="128" spans="1:6">
      <c r="A128" s="57">
        <v>46238.958333333336</v>
      </c>
      <c r="B128" s="55" t="s">
        <v>26</v>
      </c>
      <c r="C128" s="56">
        <v>2870</v>
      </c>
      <c r="D128" s="56">
        <v>300</v>
      </c>
      <c r="E128" s="56">
        <v>258.2004</v>
      </c>
      <c r="F128" s="56">
        <v>5201.2929999999997</v>
      </c>
    </row>
    <row r="129" spans="1:6">
      <c r="A129" s="57">
        <v>46239</v>
      </c>
      <c r="B129" s="55" t="s">
        <v>26</v>
      </c>
      <c r="C129" s="56">
        <v>2868</v>
      </c>
      <c r="D129" s="56">
        <v>300</v>
      </c>
      <c r="E129" s="56">
        <v>258.24430000000001</v>
      </c>
      <c r="F129" s="56">
        <v>5210.5420000000004</v>
      </c>
    </row>
    <row r="130" spans="1:6">
      <c r="A130" s="57">
        <v>46239.041666666664</v>
      </c>
      <c r="B130" s="55" t="s">
        <v>26</v>
      </c>
      <c r="C130" s="56">
        <v>2860</v>
      </c>
      <c r="D130" s="56">
        <v>300</v>
      </c>
      <c r="E130" s="56">
        <v>258.28800000000001</v>
      </c>
      <c r="F130" s="56">
        <v>5219.7719999999999</v>
      </c>
    </row>
    <row r="131" spans="1:6">
      <c r="A131" s="57">
        <v>46239.083333333336</v>
      </c>
      <c r="B131" s="55" t="s">
        <v>26</v>
      </c>
      <c r="C131" s="56">
        <v>2852</v>
      </c>
      <c r="D131" s="56">
        <v>437.70920000000001</v>
      </c>
      <c r="E131" s="56">
        <v>258.3304</v>
      </c>
      <c r="F131" s="56">
        <v>5228.7259999999997</v>
      </c>
    </row>
    <row r="132" spans="1:6">
      <c r="A132" s="57">
        <v>46239.125</v>
      </c>
      <c r="B132" s="55" t="s">
        <v>26</v>
      </c>
      <c r="C132" s="56">
        <v>2837</v>
      </c>
      <c r="D132" s="56">
        <v>751.76509999999996</v>
      </c>
      <c r="E132" s="56">
        <v>258.36880000000002</v>
      </c>
      <c r="F132" s="56">
        <v>5236.8249999999998</v>
      </c>
    </row>
    <row r="133" spans="1:6">
      <c r="A133" s="57">
        <v>46239.166666666664</v>
      </c>
      <c r="B133" s="55" t="s">
        <v>26</v>
      </c>
      <c r="C133" s="56">
        <v>2822</v>
      </c>
      <c r="D133" s="56">
        <v>1053.6559999999999</v>
      </c>
      <c r="E133" s="56">
        <v>258.40170000000001</v>
      </c>
      <c r="F133" s="56">
        <v>5243.7619999999997</v>
      </c>
    </row>
    <row r="134" spans="1:6">
      <c r="A134" s="57">
        <v>46239.208333333336</v>
      </c>
      <c r="B134" s="55" t="s">
        <v>26</v>
      </c>
      <c r="C134" s="56">
        <v>2801</v>
      </c>
      <c r="D134" s="56">
        <v>1294.6179999999999</v>
      </c>
      <c r="E134" s="56">
        <v>258.42970000000003</v>
      </c>
      <c r="F134" s="56">
        <v>5249.6559999999999</v>
      </c>
    </row>
    <row r="135" spans="1:6">
      <c r="A135" s="57">
        <v>46239.25</v>
      </c>
      <c r="B135" s="55" t="s">
        <v>26</v>
      </c>
      <c r="C135" s="56">
        <v>2780</v>
      </c>
      <c r="D135" s="56">
        <v>1530.0450000000001</v>
      </c>
      <c r="E135" s="56">
        <v>258.45319999999998</v>
      </c>
      <c r="F135" s="56">
        <v>5254.6180000000004</v>
      </c>
    </row>
    <row r="136" spans="1:6">
      <c r="A136" s="57">
        <v>46239.291666666664</v>
      </c>
      <c r="B136" s="55" t="s">
        <v>26</v>
      </c>
      <c r="C136" s="56">
        <v>2755.5</v>
      </c>
      <c r="D136" s="56">
        <v>1720.8610000000001</v>
      </c>
      <c r="E136" s="56">
        <v>258.47269999999997</v>
      </c>
      <c r="F136" s="56">
        <v>5258.73</v>
      </c>
    </row>
    <row r="137" spans="1:6">
      <c r="A137" s="57">
        <v>46239.333333333336</v>
      </c>
      <c r="B137" s="55" t="s">
        <v>26</v>
      </c>
      <c r="C137" s="56">
        <v>2731</v>
      </c>
      <c r="D137" s="56">
        <v>1909.239</v>
      </c>
      <c r="E137" s="56">
        <v>258.48849999999999</v>
      </c>
      <c r="F137" s="56">
        <v>5262.0709999999999</v>
      </c>
    </row>
    <row r="138" spans="1:6">
      <c r="A138" s="57">
        <v>46239.375</v>
      </c>
      <c r="B138" s="55" t="s">
        <v>26</v>
      </c>
      <c r="C138" s="56">
        <v>2702.5</v>
      </c>
      <c r="D138" s="56">
        <v>2065.1439999999998</v>
      </c>
      <c r="E138" s="56">
        <v>258.5009</v>
      </c>
      <c r="F138" s="56">
        <v>5264.6980000000003</v>
      </c>
    </row>
    <row r="139" spans="1:6">
      <c r="A139" s="57">
        <v>46239.416666666664</v>
      </c>
      <c r="B139" s="55" t="s">
        <v>26</v>
      </c>
      <c r="C139" s="56">
        <v>2674</v>
      </c>
      <c r="D139" s="56">
        <v>2219.9940000000001</v>
      </c>
      <c r="E139" s="56">
        <v>258.51029999999997</v>
      </c>
      <c r="F139" s="56">
        <v>5266.6620000000003</v>
      </c>
    </row>
    <row r="140" spans="1:6">
      <c r="A140" s="57">
        <v>46239.458333333336</v>
      </c>
      <c r="B140" s="55" t="s">
        <v>26</v>
      </c>
      <c r="C140" s="56">
        <v>2641.5</v>
      </c>
      <c r="D140" s="56">
        <v>2641.5</v>
      </c>
      <c r="E140" s="56">
        <v>258.51409999999998</v>
      </c>
      <c r="F140" s="56">
        <v>5267.4790000000003</v>
      </c>
    </row>
    <row r="141" spans="1:6">
      <c r="A141" s="57">
        <v>46239.5</v>
      </c>
      <c r="B141" s="55" t="s">
        <v>26</v>
      </c>
      <c r="C141" s="56">
        <v>2609</v>
      </c>
      <c r="D141" s="56">
        <v>2609</v>
      </c>
      <c r="E141" s="56">
        <v>258.51409999999998</v>
      </c>
      <c r="F141" s="56">
        <v>5267.4790000000003</v>
      </c>
    </row>
    <row r="142" spans="1:6">
      <c r="A142" s="57">
        <v>46239.541666666664</v>
      </c>
      <c r="B142" s="55" t="s">
        <v>26</v>
      </c>
      <c r="C142" s="56">
        <v>2570</v>
      </c>
      <c r="D142" s="56">
        <v>2570</v>
      </c>
      <c r="E142" s="56">
        <v>258.51409999999998</v>
      </c>
      <c r="F142" s="56">
        <v>5267.4790000000003</v>
      </c>
    </row>
    <row r="143" spans="1:6">
      <c r="A143" s="57">
        <v>46239.583333333336</v>
      </c>
      <c r="B143" s="55" t="s">
        <v>26</v>
      </c>
      <c r="C143" s="56">
        <v>2531</v>
      </c>
      <c r="D143" s="56">
        <v>2531</v>
      </c>
      <c r="E143" s="56">
        <v>258.51409999999998</v>
      </c>
      <c r="F143" s="56">
        <v>5267.4790000000003</v>
      </c>
    </row>
    <row r="144" spans="1:6">
      <c r="A144" s="57">
        <v>46239.625</v>
      </c>
      <c r="B144" s="55" t="s">
        <v>26</v>
      </c>
      <c r="C144" s="56">
        <v>2486</v>
      </c>
      <c r="D144" s="56">
        <v>2543.982</v>
      </c>
      <c r="E144" s="56">
        <v>258.5136</v>
      </c>
      <c r="F144" s="56">
        <v>5267.375</v>
      </c>
    </row>
    <row r="145" spans="1:6">
      <c r="A145" s="57">
        <v>46239.666666666664</v>
      </c>
      <c r="B145" s="55" t="s">
        <v>26</v>
      </c>
      <c r="C145" s="56">
        <v>2441</v>
      </c>
      <c r="D145" s="56">
        <v>2623.8049999999998</v>
      </c>
      <c r="E145" s="56">
        <v>258.51159999999999</v>
      </c>
      <c r="F145" s="56">
        <v>5266.9409999999998</v>
      </c>
    </row>
    <row r="146" spans="1:6">
      <c r="A146" s="57">
        <v>46239.708333333336</v>
      </c>
      <c r="B146" s="55" t="s">
        <v>26</v>
      </c>
      <c r="C146" s="56">
        <v>2390.5</v>
      </c>
      <c r="D146" s="56">
        <v>2691.308</v>
      </c>
      <c r="E146" s="56">
        <v>258.50740000000002</v>
      </c>
      <c r="F146" s="56">
        <v>5266.0709999999999</v>
      </c>
    </row>
    <row r="147" spans="1:6">
      <c r="A147" s="57">
        <v>46239.75</v>
      </c>
      <c r="B147" s="55" t="s">
        <v>26</v>
      </c>
      <c r="C147" s="56">
        <v>2340</v>
      </c>
      <c r="D147" s="56">
        <v>2734.8110000000001</v>
      </c>
      <c r="E147" s="56">
        <v>258.50150000000002</v>
      </c>
      <c r="F147" s="56">
        <v>5264.8190000000004</v>
      </c>
    </row>
    <row r="148" spans="1:6">
      <c r="A148" s="57">
        <v>46239.791666666664</v>
      </c>
      <c r="B148" s="55" t="s">
        <v>26</v>
      </c>
      <c r="C148" s="56">
        <v>2287</v>
      </c>
      <c r="D148" s="56">
        <v>2767.701</v>
      </c>
      <c r="E148" s="56">
        <v>258.49400000000003</v>
      </c>
      <c r="F148" s="56">
        <v>5263.2430000000004</v>
      </c>
    </row>
    <row r="149" spans="1:6">
      <c r="A149" s="57">
        <v>46239.833333333336</v>
      </c>
      <c r="B149" s="55" t="s">
        <v>26</v>
      </c>
      <c r="C149" s="56">
        <v>2234</v>
      </c>
      <c r="D149" s="56">
        <v>2800.5909999999999</v>
      </c>
      <c r="E149" s="56">
        <v>258.48509999999999</v>
      </c>
      <c r="F149" s="56">
        <v>5261.3580000000002</v>
      </c>
    </row>
    <row r="150" spans="1:6">
      <c r="A150" s="57">
        <v>46239.875</v>
      </c>
      <c r="B150" s="55" t="s">
        <v>26</v>
      </c>
      <c r="C150" s="56">
        <v>2181</v>
      </c>
      <c r="D150" s="56">
        <v>2828.94</v>
      </c>
      <c r="E150" s="56">
        <v>258.47480000000002</v>
      </c>
      <c r="F150" s="56">
        <v>5259.1719999999996</v>
      </c>
    </row>
    <row r="151" spans="1:6">
      <c r="A151" s="57">
        <v>46239.916666666664</v>
      </c>
      <c r="B151" s="55" t="s">
        <v>26</v>
      </c>
      <c r="C151" s="56">
        <v>2128</v>
      </c>
      <c r="D151" s="56">
        <v>2857.2890000000002</v>
      </c>
      <c r="E151" s="56">
        <v>258.46300000000002</v>
      </c>
      <c r="F151" s="56">
        <v>5256.6930000000002</v>
      </c>
    </row>
    <row r="152" spans="1:6">
      <c r="A152" s="57">
        <v>46239.958333333336</v>
      </c>
      <c r="B152" s="55" t="s">
        <v>26</v>
      </c>
      <c r="C152" s="56">
        <v>2077.5</v>
      </c>
      <c r="D152" s="56">
        <v>2883.09</v>
      </c>
      <c r="E152" s="56">
        <v>258.44990000000001</v>
      </c>
      <c r="F152" s="56">
        <v>5253.93</v>
      </c>
    </row>
    <row r="153" spans="1:6">
      <c r="A153" s="57">
        <v>46240</v>
      </c>
      <c r="B153" s="55" t="s">
        <v>26</v>
      </c>
      <c r="C153" s="56">
        <v>2027</v>
      </c>
      <c r="D153" s="56">
        <v>2908.8910000000001</v>
      </c>
      <c r="E153" s="56">
        <v>258.43549999999999</v>
      </c>
      <c r="F153" s="56">
        <v>5250.893</v>
      </c>
    </row>
    <row r="154" spans="1:6">
      <c r="A154" s="57">
        <v>46240.041666666664</v>
      </c>
      <c r="B154" s="55" t="s">
        <v>26</v>
      </c>
      <c r="C154" s="56">
        <v>1982</v>
      </c>
      <c r="D154" s="56">
        <v>2931.8670000000002</v>
      </c>
      <c r="E154" s="56">
        <v>258.41989999999998</v>
      </c>
      <c r="F154" s="56">
        <v>5247.5950000000003</v>
      </c>
    </row>
    <row r="155" spans="1:6">
      <c r="A155" s="57">
        <v>46240.083333333336</v>
      </c>
      <c r="B155" s="55" t="s">
        <v>26</v>
      </c>
      <c r="C155" s="56">
        <v>1937</v>
      </c>
      <c r="D155" s="56">
        <v>2954.8440000000001</v>
      </c>
      <c r="E155" s="56">
        <v>258.40309999999999</v>
      </c>
      <c r="F155" s="56">
        <v>5244.0529999999999</v>
      </c>
    </row>
    <row r="156" spans="1:6">
      <c r="A156" s="57">
        <v>46240.125</v>
      </c>
      <c r="B156" s="55" t="s">
        <v>26</v>
      </c>
      <c r="C156" s="56">
        <v>1898</v>
      </c>
      <c r="D156" s="56">
        <v>2975.6660000000002</v>
      </c>
      <c r="E156" s="56">
        <v>258.3852</v>
      </c>
      <c r="F156" s="56">
        <v>5240.2809999999999</v>
      </c>
    </row>
    <row r="157" spans="1:6">
      <c r="A157" s="57">
        <v>46240.166666666664</v>
      </c>
      <c r="B157" s="55" t="s">
        <v>26</v>
      </c>
      <c r="C157" s="56">
        <v>1859</v>
      </c>
      <c r="D157" s="56">
        <v>2996.4879999999998</v>
      </c>
      <c r="E157" s="56">
        <v>258.36630000000002</v>
      </c>
      <c r="F157" s="56">
        <v>5236.2939999999999</v>
      </c>
    </row>
    <row r="158" spans="1:6">
      <c r="A158" s="57">
        <v>46240.208333333336</v>
      </c>
      <c r="B158" s="55" t="s">
        <v>26</v>
      </c>
      <c r="C158" s="56">
        <v>1827</v>
      </c>
      <c r="D158" s="56">
        <v>3015.4450000000002</v>
      </c>
      <c r="E158" s="56">
        <v>258.34649999999999</v>
      </c>
      <c r="F158" s="56">
        <v>5232.107</v>
      </c>
    </row>
    <row r="159" spans="1:6">
      <c r="A159" s="57">
        <v>46240.25</v>
      </c>
      <c r="B159" s="55" t="s">
        <v>26</v>
      </c>
      <c r="C159" s="56">
        <v>1795</v>
      </c>
      <c r="D159" s="56">
        <v>3034.402</v>
      </c>
      <c r="E159" s="56">
        <v>258.32580000000002</v>
      </c>
      <c r="F159" s="56">
        <v>5227.7370000000001</v>
      </c>
    </row>
    <row r="160" spans="1:6">
      <c r="A160" s="57">
        <v>46240.291666666664</v>
      </c>
      <c r="B160" s="55" t="s">
        <v>26</v>
      </c>
      <c r="C160" s="56">
        <v>1768</v>
      </c>
      <c r="D160" s="56">
        <v>3051.681</v>
      </c>
      <c r="E160" s="56">
        <v>258.30430000000001</v>
      </c>
      <c r="F160" s="56">
        <v>5223.1959999999999</v>
      </c>
    </row>
    <row r="161" spans="1:6">
      <c r="A161" s="57">
        <v>46240.333333333336</v>
      </c>
      <c r="B161" s="55" t="s">
        <v>26</v>
      </c>
      <c r="C161" s="56">
        <v>1741</v>
      </c>
      <c r="D161" s="56">
        <v>3068.9609999999998</v>
      </c>
      <c r="E161" s="56">
        <v>258.28199999999998</v>
      </c>
      <c r="F161" s="56">
        <v>5218.4949999999999</v>
      </c>
    </row>
    <row r="162" spans="1:6">
      <c r="A162" s="57">
        <v>46240.375</v>
      </c>
      <c r="B162" s="55" t="s">
        <v>26</v>
      </c>
      <c r="C162" s="56">
        <v>1719</v>
      </c>
      <c r="D162" s="56">
        <v>3084.7080000000001</v>
      </c>
      <c r="E162" s="56">
        <v>258.25900000000001</v>
      </c>
      <c r="F162" s="56">
        <v>5213.6459999999997</v>
      </c>
    </row>
    <row r="163" spans="1:6">
      <c r="A163" s="57">
        <v>46240.416666666664</v>
      </c>
      <c r="B163" s="55" t="s">
        <v>26</v>
      </c>
      <c r="C163" s="56">
        <v>1697</v>
      </c>
      <c r="D163" s="56">
        <v>3100.4549999999999</v>
      </c>
      <c r="E163" s="56">
        <v>258.23540000000003</v>
      </c>
      <c r="F163" s="56">
        <v>5208.6620000000003</v>
      </c>
    </row>
    <row r="164" spans="1:6">
      <c r="A164" s="57">
        <v>46240.458333333336</v>
      </c>
      <c r="B164" s="55" t="s">
        <v>26</v>
      </c>
      <c r="C164" s="56">
        <v>1679</v>
      </c>
      <c r="D164" s="56">
        <v>3115.7469999999998</v>
      </c>
      <c r="E164" s="56">
        <v>258.21109999999999</v>
      </c>
      <c r="F164" s="56">
        <v>5203.549</v>
      </c>
    </row>
    <row r="165" spans="1:6">
      <c r="A165" s="57">
        <v>46240.5</v>
      </c>
      <c r="B165" s="55" t="s">
        <v>26</v>
      </c>
      <c r="C165" s="56">
        <v>1661</v>
      </c>
      <c r="D165" s="56">
        <v>3131.0390000000002</v>
      </c>
      <c r="E165" s="56">
        <v>258.18630000000002</v>
      </c>
      <c r="F165" s="56">
        <v>5198.317</v>
      </c>
    </row>
    <row r="166" spans="1:6">
      <c r="A166" s="57">
        <v>46240.541666666664</v>
      </c>
      <c r="B166" s="55" t="s">
        <v>26</v>
      </c>
      <c r="C166" s="56">
        <v>1646</v>
      </c>
      <c r="D166" s="56">
        <v>3144.4560000000001</v>
      </c>
      <c r="E166" s="56">
        <v>258.161</v>
      </c>
      <c r="F166" s="56">
        <v>5192.9740000000002</v>
      </c>
    </row>
    <row r="167" spans="1:6">
      <c r="A167" s="57">
        <v>46240.583333333336</v>
      </c>
      <c r="B167" s="55" t="s">
        <v>26</v>
      </c>
      <c r="C167" s="56">
        <v>1631</v>
      </c>
      <c r="D167" s="56">
        <v>3157.8739999999998</v>
      </c>
      <c r="E167" s="56">
        <v>258.1352</v>
      </c>
      <c r="F167" s="56">
        <v>5187.5280000000002</v>
      </c>
    </row>
    <row r="168" spans="1:6">
      <c r="A168" s="57">
        <v>46240.625</v>
      </c>
      <c r="B168" s="55" t="s">
        <v>26</v>
      </c>
      <c r="C168" s="56">
        <v>1618</v>
      </c>
      <c r="D168" s="56">
        <v>3169.9490000000001</v>
      </c>
      <c r="E168" s="56">
        <v>258.10890000000001</v>
      </c>
      <c r="F168" s="56">
        <v>5181.9859999999999</v>
      </c>
    </row>
    <row r="169" spans="1:6">
      <c r="A169" s="57">
        <v>46240.666666666664</v>
      </c>
      <c r="B169" s="55" t="s">
        <v>26</v>
      </c>
      <c r="C169" s="56">
        <v>1605</v>
      </c>
      <c r="D169" s="56">
        <v>3182.0250000000001</v>
      </c>
      <c r="E169" s="56">
        <v>258.0822</v>
      </c>
      <c r="F169" s="56">
        <v>5176.3540000000003</v>
      </c>
    </row>
    <row r="170" spans="1:6">
      <c r="A170" s="57">
        <v>46240.708333333336</v>
      </c>
      <c r="B170" s="55" t="s">
        <v>26</v>
      </c>
      <c r="C170" s="56">
        <v>1593.5</v>
      </c>
      <c r="D170" s="56">
        <v>3191.9940000000001</v>
      </c>
      <c r="E170" s="56">
        <v>258.05509999999998</v>
      </c>
      <c r="F170" s="56">
        <v>5170.6379999999999</v>
      </c>
    </row>
    <row r="171" spans="1:6">
      <c r="A171" s="57">
        <v>46240.75</v>
      </c>
      <c r="B171" s="55" t="s">
        <v>26</v>
      </c>
      <c r="C171" s="56">
        <v>1582</v>
      </c>
      <c r="D171" s="56">
        <v>3201.9630000000002</v>
      </c>
      <c r="E171" s="56">
        <v>258.02769999999998</v>
      </c>
      <c r="F171" s="56">
        <v>5164.8440000000001</v>
      </c>
    </row>
    <row r="172" spans="1:6">
      <c r="A172" s="57">
        <v>46240.791666666664</v>
      </c>
      <c r="B172" s="55" t="s">
        <v>26</v>
      </c>
      <c r="C172" s="56">
        <v>1573</v>
      </c>
      <c r="D172" s="56">
        <v>3211.3980000000001</v>
      </c>
      <c r="E172" s="56">
        <v>257.99990000000003</v>
      </c>
      <c r="F172" s="56">
        <v>5158.9790000000003</v>
      </c>
    </row>
    <row r="173" spans="1:6">
      <c r="A173" s="57">
        <v>46240.833333333336</v>
      </c>
      <c r="B173" s="55" t="s">
        <v>26</v>
      </c>
      <c r="C173" s="56">
        <v>1564</v>
      </c>
      <c r="D173" s="56">
        <v>3220.8330000000001</v>
      </c>
      <c r="E173" s="56">
        <v>257.97149999999999</v>
      </c>
      <c r="F173" s="56">
        <v>5153.0469999999996</v>
      </c>
    </row>
    <row r="174" spans="1:6">
      <c r="A174" s="57">
        <v>46240.875</v>
      </c>
      <c r="B174" s="55" t="s">
        <v>26</v>
      </c>
      <c r="C174" s="56">
        <v>1555.5</v>
      </c>
      <c r="D174" s="56">
        <v>3228.4520000000002</v>
      </c>
      <c r="E174" s="56">
        <v>257.94279999999998</v>
      </c>
      <c r="F174" s="56">
        <v>5147.0540000000001</v>
      </c>
    </row>
    <row r="175" spans="1:6">
      <c r="A175" s="57">
        <v>46240.916666666664</v>
      </c>
      <c r="B175" s="55" t="s">
        <v>26</v>
      </c>
      <c r="C175" s="56">
        <v>1547</v>
      </c>
      <c r="D175" s="56">
        <v>3236.0709999999999</v>
      </c>
      <c r="E175" s="56">
        <v>257.91390000000001</v>
      </c>
      <c r="F175" s="56">
        <v>5141.0020000000004</v>
      </c>
    </row>
    <row r="176" spans="1:6">
      <c r="A176" s="57">
        <v>46240.958333333336</v>
      </c>
      <c r="B176" s="55" t="s">
        <v>26</v>
      </c>
      <c r="C176" s="56">
        <v>1540</v>
      </c>
      <c r="D176" s="56">
        <v>3242.9180000000001</v>
      </c>
      <c r="E176" s="56">
        <v>257.88470000000001</v>
      </c>
      <c r="F176" s="56">
        <v>5134.8959999999997</v>
      </c>
    </row>
    <row r="177" spans="1:6">
      <c r="A177" s="57">
        <v>46241</v>
      </c>
      <c r="B177" s="55" t="s">
        <v>26</v>
      </c>
      <c r="C177" s="56">
        <v>1533</v>
      </c>
      <c r="D177" s="56">
        <v>3249.7660000000001</v>
      </c>
      <c r="E177" s="56">
        <v>257.85520000000002</v>
      </c>
      <c r="F177" s="56">
        <v>5128.741</v>
      </c>
    </row>
    <row r="178" spans="1:6">
      <c r="A178" s="57">
        <v>46241.041666666664</v>
      </c>
      <c r="B178" s="55" t="s">
        <v>26</v>
      </c>
      <c r="C178" s="56">
        <v>1526.5</v>
      </c>
      <c r="D178" s="56">
        <v>3255.6770000000001</v>
      </c>
      <c r="E178" s="56">
        <v>257.82549999999998</v>
      </c>
      <c r="F178" s="56">
        <v>5122.5389999999998</v>
      </c>
    </row>
    <row r="179" spans="1:6">
      <c r="A179" s="57">
        <v>46241.083333333336</v>
      </c>
      <c r="B179" s="55" t="s">
        <v>26</v>
      </c>
      <c r="C179" s="56">
        <v>1520</v>
      </c>
      <c r="D179" s="56">
        <v>3261.587</v>
      </c>
      <c r="E179" s="56">
        <v>257.79570000000001</v>
      </c>
      <c r="F179" s="56">
        <v>5116.2910000000002</v>
      </c>
    </row>
    <row r="180" spans="1:6">
      <c r="A180" s="57">
        <v>46241.125</v>
      </c>
      <c r="B180" s="55" t="s">
        <v>26</v>
      </c>
      <c r="C180" s="56">
        <v>1514</v>
      </c>
      <c r="D180" s="56">
        <v>3266.3429999999998</v>
      </c>
      <c r="E180" s="56">
        <v>257.76560000000001</v>
      </c>
      <c r="F180" s="56">
        <v>5110.0020000000004</v>
      </c>
    </row>
    <row r="181" spans="1:6">
      <c r="A181" s="57">
        <v>46241.166666666664</v>
      </c>
      <c r="B181" s="55" t="s">
        <v>26</v>
      </c>
      <c r="C181" s="56">
        <v>1508</v>
      </c>
      <c r="D181" s="56">
        <v>3271.098</v>
      </c>
      <c r="E181" s="56">
        <v>257.7353</v>
      </c>
      <c r="F181" s="56">
        <v>5103.674</v>
      </c>
    </row>
    <row r="182" spans="1:6">
      <c r="A182" s="57">
        <v>46241.208333333336</v>
      </c>
      <c r="B182" s="55" t="s">
        <v>26</v>
      </c>
      <c r="C182" s="56">
        <v>1502.5</v>
      </c>
      <c r="D182" s="56">
        <v>3275.9879999999998</v>
      </c>
      <c r="E182" s="56">
        <v>257.70479999999998</v>
      </c>
      <c r="F182" s="56">
        <v>5097.3090000000002</v>
      </c>
    </row>
    <row r="183" spans="1:6">
      <c r="A183" s="57">
        <v>46241.25</v>
      </c>
      <c r="B183" s="55" t="s">
        <v>26</v>
      </c>
      <c r="C183" s="56">
        <v>1497</v>
      </c>
      <c r="D183" s="56">
        <v>3280.8780000000002</v>
      </c>
      <c r="E183" s="56">
        <v>257.67419999999998</v>
      </c>
      <c r="F183" s="56">
        <v>5090.9049999999997</v>
      </c>
    </row>
    <row r="184" spans="1:6">
      <c r="A184" s="57">
        <v>46241.291666666664</v>
      </c>
      <c r="B184" s="55" t="s">
        <v>26</v>
      </c>
      <c r="C184" s="56">
        <v>1493</v>
      </c>
      <c r="D184" s="56">
        <v>3285.4459999999999</v>
      </c>
      <c r="E184" s="56">
        <v>257.64339999999999</v>
      </c>
      <c r="F184" s="56">
        <v>5084.4679999999998</v>
      </c>
    </row>
    <row r="185" spans="1:6">
      <c r="A185" s="57">
        <v>46241.333333333336</v>
      </c>
      <c r="B185" s="55" t="s">
        <v>26</v>
      </c>
      <c r="C185" s="56">
        <v>1489</v>
      </c>
      <c r="D185" s="56">
        <v>3290.0140000000001</v>
      </c>
      <c r="E185" s="56">
        <v>257.61239999999998</v>
      </c>
      <c r="F185" s="56">
        <v>5078</v>
      </c>
    </row>
    <row r="186" spans="1:6">
      <c r="A186" s="57">
        <v>46241.375</v>
      </c>
      <c r="B186" s="55" t="s">
        <v>26</v>
      </c>
      <c r="C186" s="56">
        <v>1484.5</v>
      </c>
      <c r="D186" s="56">
        <v>3293.9870000000001</v>
      </c>
      <c r="E186" s="56">
        <v>257.5813</v>
      </c>
      <c r="F186" s="56">
        <v>5071.5</v>
      </c>
    </row>
    <row r="187" spans="1:6">
      <c r="A187" s="57">
        <v>46241.416666666664</v>
      </c>
      <c r="B187" s="55" t="s">
        <v>26</v>
      </c>
      <c r="C187" s="56">
        <v>1480</v>
      </c>
      <c r="D187" s="56">
        <v>3297.9589999999998</v>
      </c>
      <c r="E187" s="56">
        <v>257.55009999999999</v>
      </c>
      <c r="F187" s="56">
        <v>5064.9709999999995</v>
      </c>
    </row>
    <row r="188" spans="1:6">
      <c r="A188" s="57">
        <v>46241.458333333336</v>
      </c>
      <c r="B188" s="55" t="s">
        <v>26</v>
      </c>
      <c r="C188" s="56">
        <v>1476.5</v>
      </c>
      <c r="D188" s="56">
        <v>3301.538</v>
      </c>
      <c r="E188" s="56">
        <v>257.51870000000002</v>
      </c>
      <c r="F188" s="56">
        <v>5058.4139999999998</v>
      </c>
    </row>
    <row r="189" spans="1:6">
      <c r="A189" s="57">
        <v>46241.5</v>
      </c>
      <c r="B189" s="55" t="s">
        <v>26</v>
      </c>
      <c r="C189" s="56">
        <v>1473</v>
      </c>
      <c r="D189" s="56">
        <v>3305.116</v>
      </c>
      <c r="E189" s="56">
        <v>257.48719999999997</v>
      </c>
      <c r="F189" s="56">
        <v>5051.8310000000001</v>
      </c>
    </row>
    <row r="190" spans="1:6">
      <c r="A190" s="57">
        <v>46241.541666666664</v>
      </c>
      <c r="B190" s="55" t="s">
        <v>26</v>
      </c>
      <c r="C190" s="56">
        <v>1469.5</v>
      </c>
      <c r="D190" s="56">
        <v>3308.2080000000001</v>
      </c>
      <c r="E190" s="56">
        <v>257.4556</v>
      </c>
      <c r="F190" s="56">
        <v>5045.223</v>
      </c>
    </row>
    <row r="191" spans="1:6">
      <c r="A191" s="57">
        <v>46241.583333333336</v>
      </c>
      <c r="B191" s="55" t="s">
        <v>26</v>
      </c>
      <c r="C191" s="56">
        <v>1466</v>
      </c>
      <c r="D191" s="56">
        <v>3311.3009999999999</v>
      </c>
      <c r="E191" s="56">
        <v>257.4239</v>
      </c>
      <c r="F191" s="56">
        <v>5038.5919999999996</v>
      </c>
    </row>
    <row r="192" spans="1:6">
      <c r="A192" s="57">
        <v>46241.625</v>
      </c>
      <c r="B192" s="55" t="s">
        <v>26</v>
      </c>
      <c r="C192" s="56">
        <v>1462.5</v>
      </c>
      <c r="D192" s="56">
        <v>3313.913</v>
      </c>
      <c r="E192" s="56">
        <v>257.39210000000003</v>
      </c>
      <c r="F192" s="56">
        <v>5031.9380000000001</v>
      </c>
    </row>
    <row r="193" spans="1:6">
      <c r="A193" s="57">
        <v>46241.666666666664</v>
      </c>
      <c r="B193" s="55" t="s">
        <v>26</v>
      </c>
      <c r="C193" s="56">
        <v>1459</v>
      </c>
      <c r="D193" s="56">
        <v>3316.5239999999999</v>
      </c>
      <c r="E193" s="56">
        <v>257.36009999999999</v>
      </c>
      <c r="F193" s="56">
        <v>5025.2610000000004</v>
      </c>
    </row>
    <row r="194" spans="1:6">
      <c r="A194" s="57">
        <v>46241.708333333336</v>
      </c>
      <c r="B194" s="55" t="s">
        <v>26</v>
      </c>
      <c r="C194" s="56">
        <v>1456</v>
      </c>
      <c r="D194" s="56">
        <v>3318.9760000000001</v>
      </c>
      <c r="E194" s="56">
        <v>257.32810000000001</v>
      </c>
      <c r="F194" s="56">
        <v>5018.5640000000003</v>
      </c>
    </row>
    <row r="195" spans="1:6">
      <c r="A195" s="57">
        <v>46241.75</v>
      </c>
      <c r="B195" s="55" t="s">
        <v>26</v>
      </c>
      <c r="C195" s="56">
        <v>1453</v>
      </c>
      <c r="D195" s="56">
        <v>3321.4279999999999</v>
      </c>
      <c r="E195" s="56">
        <v>257.29590000000002</v>
      </c>
      <c r="F195" s="56">
        <v>5011.848</v>
      </c>
    </row>
    <row r="196" spans="1:6">
      <c r="A196" s="57">
        <v>46241.791666666664</v>
      </c>
      <c r="B196" s="55" t="s">
        <v>26</v>
      </c>
      <c r="C196" s="56">
        <v>1450.5</v>
      </c>
      <c r="D196" s="56">
        <v>3323.56</v>
      </c>
      <c r="E196" s="56">
        <v>257.26369999999997</v>
      </c>
      <c r="F196" s="56">
        <v>5005.1130000000003</v>
      </c>
    </row>
    <row r="197" spans="1:6">
      <c r="A197" s="57">
        <v>46241.833333333336</v>
      </c>
      <c r="B197" s="55" t="s">
        <v>26</v>
      </c>
      <c r="C197" s="56">
        <v>1448</v>
      </c>
      <c r="D197" s="56">
        <v>3325.692</v>
      </c>
      <c r="E197" s="56">
        <v>257.23140000000001</v>
      </c>
      <c r="F197" s="56">
        <v>4998.3620000000001</v>
      </c>
    </row>
    <row r="198" spans="1:6">
      <c r="A198" s="57">
        <v>46241.875</v>
      </c>
      <c r="B198" s="55" t="s">
        <v>26</v>
      </c>
      <c r="C198" s="56">
        <v>1446</v>
      </c>
      <c r="D198" s="56">
        <v>3327.8409999999999</v>
      </c>
      <c r="E198" s="56">
        <v>257.19900000000001</v>
      </c>
      <c r="F198" s="56">
        <v>4991.5950000000003</v>
      </c>
    </row>
    <row r="199" spans="1:6">
      <c r="A199" s="57">
        <v>46241.916666666664</v>
      </c>
      <c r="B199" s="55" t="s">
        <v>26</v>
      </c>
      <c r="C199" s="56">
        <v>1444</v>
      </c>
      <c r="D199" s="56">
        <v>3329.991</v>
      </c>
      <c r="E199" s="56">
        <v>257.16660000000002</v>
      </c>
      <c r="F199" s="56">
        <v>4984.8130000000001</v>
      </c>
    </row>
    <row r="200" spans="1:6">
      <c r="A200" s="57">
        <v>46241.958333333336</v>
      </c>
      <c r="B200" s="55" t="s">
        <v>26</v>
      </c>
      <c r="C200" s="56">
        <v>1442</v>
      </c>
      <c r="D200" s="56">
        <v>3331.9340000000002</v>
      </c>
      <c r="E200" s="56">
        <v>257.13400000000001</v>
      </c>
      <c r="F200" s="56">
        <v>4978.0159999999996</v>
      </c>
    </row>
    <row r="201" spans="1:6">
      <c r="A201" s="57">
        <v>46242</v>
      </c>
      <c r="B201" s="55" t="s">
        <v>26</v>
      </c>
      <c r="C201" s="56">
        <v>1440</v>
      </c>
      <c r="D201" s="56">
        <v>3333.877</v>
      </c>
      <c r="E201" s="56">
        <v>257.10149999999999</v>
      </c>
      <c r="F201" s="56">
        <v>4971.2049999999999</v>
      </c>
    </row>
    <row r="202" spans="1:6">
      <c r="A202" s="57">
        <v>46242.041666666664</v>
      </c>
      <c r="B202" s="55" t="s">
        <v>26</v>
      </c>
      <c r="C202" s="56">
        <v>1438.5</v>
      </c>
      <c r="D202" s="56">
        <v>3335.73</v>
      </c>
      <c r="E202" s="56">
        <v>257.06880000000001</v>
      </c>
      <c r="F202" s="56">
        <v>4964.38</v>
      </c>
    </row>
    <row r="203" spans="1:6">
      <c r="A203" s="57">
        <v>46242.083333333336</v>
      </c>
      <c r="B203" s="55" t="s">
        <v>26</v>
      </c>
      <c r="C203" s="56">
        <v>1437</v>
      </c>
      <c r="D203" s="56">
        <v>3337.5830000000001</v>
      </c>
      <c r="E203" s="56">
        <v>257.03609999999998</v>
      </c>
      <c r="F203" s="56">
        <v>4957.5439999999999</v>
      </c>
    </row>
    <row r="204" spans="1:6">
      <c r="A204" s="57">
        <v>46242.125</v>
      </c>
      <c r="B204" s="55" t="s">
        <v>26</v>
      </c>
      <c r="C204" s="56">
        <v>1436</v>
      </c>
      <c r="D204" s="56">
        <v>3339.2260000000001</v>
      </c>
      <c r="E204" s="56">
        <v>257.00330000000002</v>
      </c>
      <c r="F204" s="56">
        <v>4950.6980000000003</v>
      </c>
    </row>
    <row r="205" spans="1:6">
      <c r="A205" s="57">
        <v>46242.166666666664</v>
      </c>
      <c r="B205" s="55" t="s">
        <v>26</v>
      </c>
      <c r="C205" s="56">
        <v>1435</v>
      </c>
      <c r="D205" s="56">
        <v>3340.8690000000001</v>
      </c>
      <c r="E205" s="56">
        <v>256.96980000000002</v>
      </c>
      <c r="F205" s="56">
        <v>4943.8410000000003</v>
      </c>
    </row>
    <row r="206" spans="1:6">
      <c r="A206" s="57">
        <v>46242.208333333336</v>
      </c>
      <c r="B206" s="55" t="s">
        <v>26</v>
      </c>
      <c r="C206" s="56">
        <v>1433.5</v>
      </c>
      <c r="D206" s="56">
        <v>3342.123</v>
      </c>
      <c r="E206" s="56">
        <v>256.93619999999999</v>
      </c>
      <c r="F206" s="56">
        <v>4936.9750000000004</v>
      </c>
    </row>
    <row r="207" spans="1:6">
      <c r="A207" s="57">
        <v>46242.25</v>
      </c>
      <c r="B207" s="55" t="s">
        <v>26</v>
      </c>
      <c r="C207" s="56">
        <v>1432</v>
      </c>
      <c r="D207" s="56">
        <v>3343.377</v>
      </c>
      <c r="E207" s="56">
        <v>256.9024</v>
      </c>
      <c r="F207" s="56">
        <v>4930.0990000000002</v>
      </c>
    </row>
    <row r="208" spans="1:6">
      <c r="A208" s="57">
        <v>46242.291666666664</v>
      </c>
      <c r="B208" s="55" t="s">
        <v>26</v>
      </c>
      <c r="C208" s="56">
        <v>1431.5</v>
      </c>
      <c r="D208" s="56">
        <v>3344.319</v>
      </c>
      <c r="E208" s="56">
        <v>256.86869999999999</v>
      </c>
      <c r="F208" s="56">
        <v>4923.2150000000001</v>
      </c>
    </row>
    <row r="209" spans="1:6">
      <c r="A209" s="57">
        <v>46242.333333333336</v>
      </c>
      <c r="B209" s="55" t="s">
        <v>26</v>
      </c>
      <c r="C209" s="56">
        <v>1431</v>
      </c>
      <c r="D209" s="56">
        <v>3345.26</v>
      </c>
      <c r="E209" s="56">
        <v>256.8349</v>
      </c>
      <c r="F209" s="56">
        <v>4916.3270000000002</v>
      </c>
    </row>
    <row r="210" spans="1:6">
      <c r="A210" s="57">
        <v>46242.375</v>
      </c>
      <c r="B210" s="55" t="s">
        <v>26</v>
      </c>
      <c r="C210" s="56">
        <v>1430</v>
      </c>
      <c r="D210" s="56">
        <v>3346.1</v>
      </c>
      <c r="E210" s="56">
        <v>256.80110000000002</v>
      </c>
      <c r="F210" s="56">
        <v>4909.4319999999998</v>
      </c>
    </row>
    <row r="211" spans="1:6">
      <c r="A211" s="57">
        <v>46242.416666666664</v>
      </c>
      <c r="B211" s="55" t="s">
        <v>26</v>
      </c>
      <c r="C211" s="56">
        <v>1429</v>
      </c>
      <c r="D211" s="56">
        <v>3346.94</v>
      </c>
      <c r="E211" s="56">
        <v>256.76729999999998</v>
      </c>
      <c r="F211" s="56">
        <v>4902.5309999999999</v>
      </c>
    </row>
    <row r="212" spans="1:6">
      <c r="A212" s="57">
        <v>46242.458333333336</v>
      </c>
      <c r="B212" s="55" t="s">
        <v>26</v>
      </c>
      <c r="C212" s="56">
        <v>1428.5</v>
      </c>
      <c r="D212" s="56">
        <v>3347.527</v>
      </c>
      <c r="E212" s="56">
        <v>256.73349999999999</v>
      </c>
      <c r="F212" s="56">
        <v>4895.6239999999998</v>
      </c>
    </row>
    <row r="213" spans="1:6">
      <c r="A213" s="57">
        <v>46242.5</v>
      </c>
      <c r="B213" s="55" t="s">
        <v>26</v>
      </c>
      <c r="C213" s="56">
        <v>1428</v>
      </c>
      <c r="D213" s="56">
        <v>3348.1149999999998</v>
      </c>
      <c r="E213" s="56">
        <v>256.69959999999998</v>
      </c>
      <c r="F213" s="56">
        <v>4888.7129999999997</v>
      </c>
    </row>
    <row r="214" spans="1:6">
      <c r="A214" s="57">
        <v>46242.541666666664</v>
      </c>
      <c r="B214" s="55" t="s">
        <v>26</v>
      </c>
      <c r="C214" s="56">
        <v>1427</v>
      </c>
      <c r="D214" s="56">
        <v>3348.5210000000002</v>
      </c>
      <c r="E214" s="56">
        <v>256.66570000000002</v>
      </c>
      <c r="F214" s="56">
        <v>4881.7979999999998</v>
      </c>
    </row>
    <row r="215" spans="1:6">
      <c r="A215" s="57">
        <v>46242.583333333336</v>
      </c>
      <c r="B215" s="55" t="s">
        <v>26</v>
      </c>
      <c r="C215" s="56">
        <v>1426</v>
      </c>
      <c r="D215" s="56">
        <v>3348.9270000000001</v>
      </c>
      <c r="E215" s="56">
        <v>256.63170000000002</v>
      </c>
      <c r="F215" s="56">
        <v>4874.8779999999997</v>
      </c>
    </row>
    <row r="216" spans="1:6">
      <c r="A216" s="57">
        <v>46242.625</v>
      </c>
      <c r="B216" s="55" t="s">
        <v>26</v>
      </c>
      <c r="C216" s="56">
        <v>1425.5</v>
      </c>
      <c r="D216" s="56">
        <v>3349.1669999999999</v>
      </c>
      <c r="E216" s="56">
        <v>256.59780000000001</v>
      </c>
      <c r="F216" s="56">
        <v>4867.9549999999999</v>
      </c>
    </row>
    <row r="217" spans="1:6">
      <c r="A217" s="57">
        <v>46242.666666666664</v>
      </c>
      <c r="B217" s="55" t="s">
        <v>26</v>
      </c>
      <c r="C217" s="56">
        <v>1425</v>
      </c>
      <c r="D217" s="56">
        <v>3349.4079999999999</v>
      </c>
      <c r="E217" s="56">
        <v>256.56389999999999</v>
      </c>
      <c r="F217" s="56">
        <v>4861.0280000000002</v>
      </c>
    </row>
    <row r="218" spans="1:6">
      <c r="A218" s="57">
        <v>46242.708333333336</v>
      </c>
      <c r="B218" s="55" t="s">
        <v>26</v>
      </c>
      <c r="C218" s="56">
        <v>1424.5</v>
      </c>
      <c r="D218" s="56">
        <v>3349.549</v>
      </c>
      <c r="E218" s="56">
        <v>256.5299</v>
      </c>
      <c r="F218" s="56">
        <v>4854.0990000000002</v>
      </c>
    </row>
    <row r="219" spans="1:6">
      <c r="A219" s="57">
        <v>46242.75</v>
      </c>
      <c r="B219" s="55" t="s">
        <v>26</v>
      </c>
      <c r="C219" s="56">
        <v>1424</v>
      </c>
      <c r="D219" s="56">
        <v>3349.69</v>
      </c>
      <c r="E219" s="56">
        <v>256.49590000000001</v>
      </c>
      <c r="F219" s="56">
        <v>4847.1670000000004</v>
      </c>
    </row>
    <row r="220" spans="1:6">
      <c r="A220" s="57">
        <v>46242.791666666664</v>
      </c>
      <c r="B220" s="55" t="s">
        <v>26</v>
      </c>
      <c r="C220" s="56">
        <v>1423.5</v>
      </c>
      <c r="D220" s="56">
        <v>3349.7660000000001</v>
      </c>
      <c r="E220" s="56">
        <v>256.46190000000001</v>
      </c>
      <c r="F220" s="56">
        <v>4840.2340000000004</v>
      </c>
    </row>
    <row r="221" spans="1:6">
      <c r="A221" s="57">
        <v>46242.833333333336</v>
      </c>
      <c r="B221" s="55" t="s">
        <v>26</v>
      </c>
      <c r="C221" s="56">
        <v>1423</v>
      </c>
      <c r="D221" s="56">
        <v>3349.8409999999999</v>
      </c>
      <c r="E221" s="56">
        <v>256.42790000000002</v>
      </c>
      <c r="F221" s="56">
        <v>4833.2979999999998</v>
      </c>
    </row>
    <row r="222" spans="1:6">
      <c r="A222" s="57">
        <v>46242.875</v>
      </c>
      <c r="B222" s="55" t="s">
        <v>26</v>
      </c>
      <c r="C222" s="56">
        <v>1423</v>
      </c>
      <c r="D222" s="56">
        <v>3349.8809999999999</v>
      </c>
      <c r="E222" s="56">
        <v>256.39389999999997</v>
      </c>
      <c r="F222" s="56">
        <v>4826.3620000000001</v>
      </c>
    </row>
    <row r="223" spans="1:6">
      <c r="A223" s="57">
        <v>46242.916666666664</v>
      </c>
      <c r="B223" s="55" t="s">
        <v>26</v>
      </c>
      <c r="C223" s="56">
        <v>1423</v>
      </c>
      <c r="D223" s="56">
        <v>3349.9209999999998</v>
      </c>
      <c r="E223" s="56">
        <v>256.35989999999998</v>
      </c>
      <c r="F223" s="56">
        <v>4819.4250000000002</v>
      </c>
    </row>
    <row r="224" spans="1:6">
      <c r="A224" s="57">
        <v>46242.958333333336</v>
      </c>
      <c r="B224" s="55" t="s">
        <v>26</v>
      </c>
      <c r="C224" s="56">
        <v>1422.5</v>
      </c>
      <c r="D224" s="56">
        <v>3349.9409999999998</v>
      </c>
      <c r="E224" s="56">
        <v>256.32589999999999</v>
      </c>
      <c r="F224" s="56">
        <v>4812.4870000000001</v>
      </c>
    </row>
    <row r="225" spans="1:6">
      <c r="A225" s="57">
        <v>46243</v>
      </c>
      <c r="B225" s="55" t="s">
        <v>26</v>
      </c>
      <c r="C225" s="56">
        <v>1422</v>
      </c>
      <c r="D225" s="56">
        <v>3349.962</v>
      </c>
      <c r="E225" s="56">
        <v>256.2919</v>
      </c>
      <c r="F225" s="56">
        <v>4805.5469999999996</v>
      </c>
    </row>
    <row r="226" spans="1:6">
      <c r="A226" s="57">
        <v>46243.041666666664</v>
      </c>
      <c r="B226" s="55" t="s">
        <v>26</v>
      </c>
      <c r="C226" s="56">
        <v>1421.5</v>
      </c>
      <c r="D226" s="56">
        <v>3349.9720000000002</v>
      </c>
      <c r="E226" s="56">
        <v>256.25790000000001</v>
      </c>
      <c r="F226" s="56">
        <v>4798.6049999999996</v>
      </c>
    </row>
    <row r="227" spans="1:6">
      <c r="A227" s="57">
        <v>46243.083333333336</v>
      </c>
      <c r="B227" s="55" t="s">
        <v>26</v>
      </c>
      <c r="C227" s="56">
        <v>1421</v>
      </c>
      <c r="D227" s="56">
        <v>3349.982</v>
      </c>
      <c r="E227" s="56">
        <v>256.22379999999998</v>
      </c>
      <c r="F227" s="56">
        <v>4791.6620000000003</v>
      </c>
    </row>
    <row r="228" spans="1:6">
      <c r="A228" s="57">
        <v>46243.125</v>
      </c>
      <c r="B228" s="55" t="s">
        <v>26</v>
      </c>
      <c r="C228" s="56">
        <v>1421</v>
      </c>
      <c r="D228" s="56">
        <v>3349.9870000000001</v>
      </c>
      <c r="E228" s="56">
        <v>256.18979999999999</v>
      </c>
      <c r="F228" s="56">
        <v>4784.7179999999998</v>
      </c>
    </row>
    <row r="229" spans="1:6">
      <c r="A229" s="57">
        <v>46243.166666666664</v>
      </c>
      <c r="B229" s="55" t="s">
        <v>26</v>
      </c>
      <c r="C229" s="56">
        <v>1421</v>
      </c>
      <c r="D229" s="56">
        <v>3349.991</v>
      </c>
      <c r="E229" s="56">
        <v>256.1558</v>
      </c>
      <c r="F229" s="56">
        <v>4777.7730000000001</v>
      </c>
    </row>
    <row r="230" spans="1:6">
      <c r="A230" s="57">
        <v>46243.208333333336</v>
      </c>
      <c r="B230" s="55" t="s">
        <v>26</v>
      </c>
      <c r="C230" s="56">
        <v>1420.5</v>
      </c>
      <c r="D230" s="56">
        <v>3349.9940000000001</v>
      </c>
      <c r="E230" s="56">
        <v>256.12169999999998</v>
      </c>
      <c r="F230" s="56">
        <v>4770.8280000000004</v>
      </c>
    </row>
    <row r="231" spans="1:6">
      <c r="A231" s="57">
        <v>46243.25</v>
      </c>
      <c r="B231" s="55" t="s">
        <v>26</v>
      </c>
      <c r="C231" s="56">
        <v>1420</v>
      </c>
      <c r="D231" s="56">
        <v>3349.9960000000001</v>
      </c>
      <c r="E231" s="56">
        <v>256.08760000000001</v>
      </c>
      <c r="F231" s="56">
        <v>4763.8810000000003</v>
      </c>
    </row>
    <row r="232" spans="1:6">
      <c r="A232" s="57">
        <v>46243.291666666664</v>
      </c>
      <c r="B232" s="55" t="s">
        <v>26</v>
      </c>
      <c r="C232" s="56">
        <v>1420</v>
      </c>
      <c r="D232" s="56">
        <v>3349.9969999999998</v>
      </c>
      <c r="E232" s="56">
        <v>256.05360000000002</v>
      </c>
      <c r="F232" s="56">
        <v>4756.933</v>
      </c>
    </row>
    <row r="233" spans="1:6">
      <c r="A233" s="57">
        <v>46243.333333333336</v>
      </c>
      <c r="B233" s="55" t="s">
        <v>26</v>
      </c>
      <c r="C233" s="56">
        <v>1420</v>
      </c>
      <c r="D233" s="56">
        <v>3349.998</v>
      </c>
      <c r="E233" s="56">
        <v>256.01949999999999</v>
      </c>
      <c r="F233" s="56">
        <v>4749.9849999999997</v>
      </c>
    </row>
    <row r="234" spans="1:6">
      <c r="A234" s="57">
        <v>46243.375</v>
      </c>
      <c r="B234" s="55" t="s">
        <v>26</v>
      </c>
      <c r="C234" s="56">
        <v>1420</v>
      </c>
      <c r="D234" s="56">
        <v>3349.9989999999998</v>
      </c>
      <c r="E234" s="56">
        <v>255.9853</v>
      </c>
      <c r="F234" s="56">
        <v>4743.0379999999996</v>
      </c>
    </row>
    <row r="235" spans="1:6">
      <c r="A235" s="57">
        <v>46243.416666666664</v>
      </c>
      <c r="B235" s="55" t="s">
        <v>26</v>
      </c>
      <c r="C235" s="56">
        <v>1420</v>
      </c>
      <c r="D235" s="56">
        <v>3349.9989999999998</v>
      </c>
      <c r="E235" s="56">
        <v>255.95070000000001</v>
      </c>
      <c r="F235" s="56">
        <v>4736.09</v>
      </c>
    </row>
    <row r="236" spans="1:6">
      <c r="A236" s="57">
        <v>46243.458333333336</v>
      </c>
      <c r="B236" s="55" t="s">
        <v>26</v>
      </c>
      <c r="C236" s="56">
        <v>1420</v>
      </c>
      <c r="D236" s="56">
        <v>3350</v>
      </c>
      <c r="E236" s="56">
        <v>255.9161</v>
      </c>
      <c r="F236" s="56">
        <v>4729.1419999999998</v>
      </c>
    </row>
    <row r="237" spans="1:6">
      <c r="A237" s="57">
        <v>46243.5</v>
      </c>
      <c r="B237" s="55" t="s">
        <v>26</v>
      </c>
      <c r="C237" s="56">
        <v>1420</v>
      </c>
      <c r="D237" s="56">
        <v>3350</v>
      </c>
      <c r="E237" s="56">
        <v>255.88159999999999</v>
      </c>
      <c r="F237" s="56">
        <v>4722.1940000000004</v>
      </c>
    </row>
    <row r="238" spans="1:6">
      <c r="A238" s="57">
        <v>46243.541666666664</v>
      </c>
      <c r="B238" s="55" t="s">
        <v>26</v>
      </c>
      <c r="C238" s="56">
        <v>1420</v>
      </c>
      <c r="D238" s="56">
        <v>3350</v>
      </c>
      <c r="E238" s="56">
        <v>255.84700000000001</v>
      </c>
      <c r="F238" s="56">
        <v>4715.2460000000001</v>
      </c>
    </row>
    <row r="239" spans="1:6">
      <c r="A239" s="57">
        <v>46243.583333333336</v>
      </c>
      <c r="B239" s="55" t="s">
        <v>26</v>
      </c>
      <c r="C239" s="56">
        <v>1420</v>
      </c>
      <c r="D239" s="56">
        <v>3350</v>
      </c>
      <c r="E239" s="56">
        <v>255.8124</v>
      </c>
      <c r="F239" s="56">
        <v>4708.2969999999996</v>
      </c>
    </row>
    <row r="240" spans="1:6">
      <c r="A240" s="57">
        <v>46243.625</v>
      </c>
      <c r="B240" s="55" t="s">
        <v>26</v>
      </c>
      <c r="C240" s="56">
        <v>1420</v>
      </c>
      <c r="D240" s="56">
        <v>3350</v>
      </c>
      <c r="E240" s="56">
        <v>255.77789999999999</v>
      </c>
      <c r="F240" s="56">
        <v>4701.3490000000002</v>
      </c>
    </row>
    <row r="241" spans="1:6">
      <c r="A241" s="57">
        <v>46243.666666666664</v>
      </c>
      <c r="B241" s="55" t="s">
        <v>26</v>
      </c>
      <c r="C241" s="56">
        <v>1420</v>
      </c>
      <c r="D241" s="56">
        <v>3350</v>
      </c>
      <c r="E241" s="56">
        <v>255.7433</v>
      </c>
      <c r="F241" s="56">
        <v>4694.4009999999998</v>
      </c>
    </row>
    <row r="242" spans="1:6">
      <c r="A242" s="57">
        <v>46243.708333333336</v>
      </c>
      <c r="B242" s="55" t="s">
        <v>26</v>
      </c>
      <c r="C242" s="56">
        <v>1420</v>
      </c>
      <c r="D242" s="56">
        <v>3350</v>
      </c>
      <c r="E242" s="56">
        <v>255.70869999999999</v>
      </c>
      <c r="F242" s="56">
        <v>4687.4530000000004</v>
      </c>
    </row>
    <row r="243" spans="1:6">
      <c r="A243" s="57">
        <v>46243.75</v>
      </c>
      <c r="B243" s="55" t="s">
        <v>26</v>
      </c>
      <c r="C243" s="56">
        <v>1420</v>
      </c>
      <c r="D243" s="56">
        <v>3350</v>
      </c>
      <c r="E243" s="56">
        <v>255.67410000000001</v>
      </c>
      <c r="F243" s="56">
        <v>4680.5039999999999</v>
      </c>
    </row>
    <row r="244" spans="1:6">
      <c r="A244" s="57">
        <v>46243.791666666664</v>
      </c>
      <c r="B244" s="55" t="s">
        <v>26</v>
      </c>
      <c r="C244" s="56">
        <v>1420</v>
      </c>
      <c r="D244" s="56">
        <v>3350</v>
      </c>
      <c r="E244" s="56">
        <v>255.6396</v>
      </c>
      <c r="F244" s="56">
        <v>4673.5559999999996</v>
      </c>
    </row>
    <row r="245" spans="1:6">
      <c r="A245" s="57">
        <v>46243.833333333336</v>
      </c>
      <c r="B245" s="55" t="s">
        <v>26</v>
      </c>
      <c r="C245" s="56">
        <v>1420</v>
      </c>
      <c r="D245" s="56">
        <v>3350</v>
      </c>
      <c r="E245" s="56">
        <v>255.60499999999999</v>
      </c>
      <c r="F245" s="56">
        <v>4666.6080000000002</v>
      </c>
    </row>
    <row r="246" spans="1:6">
      <c r="A246" s="57">
        <v>46243.875</v>
      </c>
      <c r="B246" s="55" t="s">
        <v>26</v>
      </c>
      <c r="C246" s="56">
        <v>1420</v>
      </c>
      <c r="D246" s="56">
        <v>3350</v>
      </c>
      <c r="E246" s="56">
        <v>255.57040000000001</v>
      </c>
      <c r="F246" s="56">
        <v>4659.66</v>
      </c>
    </row>
    <row r="247" spans="1:6">
      <c r="A247" s="57">
        <v>46243.916666666664</v>
      </c>
      <c r="B247" s="55" t="s">
        <v>26</v>
      </c>
      <c r="C247" s="56">
        <v>1420</v>
      </c>
      <c r="D247" s="56">
        <v>3350</v>
      </c>
      <c r="E247" s="56">
        <v>255.5359</v>
      </c>
      <c r="F247" s="56">
        <v>4652.7110000000002</v>
      </c>
    </row>
    <row r="248" spans="1:6">
      <c r="A248" s="57">
        <v>46243.958333333336</v>
      </c>
      <c r="B248" s="55" t="s">
        <v>26</v>
      </c>
      <c r="C248" s="56">
        <v>1420</v>
      </c>
      <c r="D248" s="56">
        <v>3350</v>
      </c>
      <c r="E248" s="56">
        <v>255.50129999999999</v>
      </c>
      <c r="F248" s="56">
        <v>4645.7629999999999</v>
      </c>
    </row>
    <row r="249" spans="1:6">
      <c r="A249" s="57">
        <v>46244</v>
      </c>
      <c r="B249" s="55" t="s">
        <v>26</v>
      </c>
      <c r="C249" s="56">
        <v>1420</v>
      </c>
      <c r="D249" s="56">
        <v>3350</v>
      </c>
      <c r="E249" s="56">
        <v>255.4667</v>
      </c>
      <c r="F249" s="56">
        <v>4638.8149999999996</v>
      </c>
    </row>
    <row r="250" spans="1:6">
      <c r="A250" s="57">
        <v>46244.041666666664</v>
      </c>
      <c r="B250" s="55" t="s">
        <v>26</v>
      </c>
      <c r="C250" s="56">
        <v>1420</v>
      </c>
      <c r="D250" s="56">
        <v>3350</v>
      </c>
      <c r="E250" s="56">
        <v>255.43219999999999</v>
      </c>
      <c r="F250" s="56">
        <v>4631.8670000000002</v>
      </c>
    </row>
    <row r="251" spans="1:6">
      <c r="A251" s="57">
        <v>46244.083333333336</v>
      </c>
      <c r="B251" s="55" t="s">
        <v>26</v>
      </c>
      <c r="C251" s="56">
        <v>1420</v>
      </c>
      <c r="D251" s="56">
        <v>3350</v>
      </c>
      <c r="E251" s="56">
        <v>255.39760000000001</v>
      </c>
      <c r="F251" s="56">
        <v>4624.9179999999997</v>
      </c>
    </row>
    <row r="252" spans="1:6">
      <c r="A252" s="57">
        <v>46244.125</v>
      </c>
      <c r="B252" s="55" t="s">
        <v>26</v>
      </c>
      <c r="C252" s="56">
        <v>1420</v>
      </c>
      <c r="D252" s="56">
        <v>3350</v>
      </c>
      <c r="E252" s="56">
        <v>255.363</v>
      </c>
      <c r="F252" s="56">
        <v>4617.97</v>
      </c>
    </row>
    <row r="253" spans="1:6">
      <c r="A253" s="57">
        <v>46244.166666666664</v>
      </c>
      <c r="B253" s="55" t="s">
        <v>26</v>
      </c>
      <c r="C253" s="56">
        <v>1420</v>
      </c>
      <c r="D253" s="56">
        <v>3350</v>
      </c>
      <c r="E253" s="56">
        <v>255.32849999999999</v>
      </c>
      <c r="F253" s="56">
        <v>4611.0219999999999</v>
      </c>
    </row>
    <row r="254" spans="1:6">
      <c r="A254" s="57">
        <v>46244.208333333336</v>
      </c>
      <c r="B254" s="55" t="s">
        <v>26</v>
      </c>
      <c r="C254" s="56">
        <v>1420</v>
      </c>
      <c r="D254" s="56">
        <v>3350</v>
      </c>
      <c r="E254" s="56">
        <v>255.29390000000001</v>
      </c>
      <c r="F254" s="56">
        <v>4604.0739999999996</v>
      </c>
    </row>
    <row r="255" spans="1:6">
      <c r="A255" s="57">
        <v>46244.25</v>
      </c>
      <c r="B255" s="55" t="s">
        <v>26</v>
      </c>
      <c r="C255" s="56">
        <v>1420</v>
      </c>
      <c r="D255" s="56">
        <v>3350</v>
      </c>
      <c r="E255" s="56">
        <v>255.2593</v>
      </c>
      <c r="F255" s="56">
        <v>4597.125</v>
      </c>
    </row>
    <row r="256" spans="1:6">
      <c r="A256" s="57">
        <v>46244.291666666664</v>
      </c>
      <c r="B256" s="55" t="s">
        <v>26</v>
      </c>
      <c r="C256" s="56">
        <v>1420</v>
      </c>
      <c r="D256" s="56">
        <v>3727.3420000000001</v>
      </c>
      <c r="E256" s="56">
        <v>255.22139999999999</v>
      </c>
      <c r="F256" s="56">
        <v>4589.4979999999996</v>
      </c>
    </row>
    <row r="257" spans="1:6">
      <c r="A257" s="57">
        <v>46244.333333333336</v>
      </c>
      <c r="B257" s="55" t="s">
        <v>26</v>
      </c>
      <c r="C257" s="56">
        <v>1420</v>
      </c>
      <c r="D257" s="56">
        <v>3849.9989999999998</v>
      </c>
      <c r="E257" s="56">
        <v>255.179</v>
      </c>
      <c r="F257" s="56">
        <v>4580.9709999999995</v>
      </c>
    </row>
    <row r="258" spans="1:6">
      <c r="A258" s="57">
        <v>46244.375</v>
      </c>
      <c r="B258" s="55" t="s">
        <v>26</v>
      </c>
      <c r="C258" s="56">
        <v>1420</v>
      </c>
      <c r="D258" s="56">
        <v>3850</v>
      </c>
      <c r="E258" s="56">
        <v>255.1354</v>
      </c>
      <c r="F258" s="56">
        <v>4572.223</v>
      </c>
    </row>
    <row r="259" spans="1:6">
      <c r="A259" s="57">
        <v>46244.416666666664</v>
      </c>
      <c r="B259" s="55" t="s">
        <v>26</v>
      </c>
      <c r="C259" s="56">
        <v>1420</v>
      </c>
      <c r="D259" s="56">
        <v>3850</v>
      </c>
      <c r="E259" s="56">
        <v>255.09190000000001</v>
      </c>
      <c r="F259" s="56">
        <v>4563.4750000000004</v>
      </c>
    </row>
    <row r="260" spans="1:6">
      <c r="A260" s="57">
        <v>46244.458333333336</v>
      </c>
      <c r="B260" s="55" t="s">
        <v>26</v>
      </c>
      <c r="C260" s="56">
        <v>1420</v>
      </c>
      <c r="D260" s="56">
        <v>3850</v>
      </c>
      <c r="E260" s="56">
        <v>255.04839999999999</v>
      </c>
      <c r="F260" s="56">
        <v>4554.7269999999999</v>
      </c>
    </row>
    <row r="261" spans="1:6">
      <c r="A261" s="57">
        <v>46244.5</v>
      </c>
      <c r="B261" s="55" t="s">
        <v>26</v>
      </c>
      <c r="C261" s="56">
        <v>1420</v>
      </c>
      <c r="D261" s="56">
        <v>3850</v>
      </c>
      <c r="E261" s="56">
        <v>255.00489999999999</v>
      </c>
      <c r="F261" s="56">
        <v>4545.9790000000003</v>
      </c>
    </row>
    <row r="262" spans="1:6">
      <c r="A262" s="57">
        <v>46244.541666666664</v>
      </c>
      <c r="B262" s="55" t="s">
        <v>26</v>
      </c>
      <c r="C262" s="56">
        <v>1420</v>
      </c>
      <c r="D262" s="56">
        <v>3850</v>
      </c>
      <c r="E262" s="56">
        <v>254.96100000000001</v>
      </c>
      <c r="F262" s="56">
        <v>4537.2299999999996</v>
      </c>
    </row>
    <row r="263" spans="1:6">
      <c r="A263" s="57">
        <v>46244.583333333336</v>
      </c>
      <c r="B263" s="55" t="s">
        <v>26</v>
      </c>
      <c r="C263" s="56">
        <v>1420</v>
      </c>
      <c r="D263" s="56">
        <v>3850</v>
      </c>
      <c r="E263" s="56">
        <v>254.917</v>
      </c>
      <c r="F263" s="56">
        <v>4528.482</v>
      </c>
    </row>
    <row r="264" spans="1:6">
      <c r="A264" s="57">
        <v>46244.625</v>
      </c>
      <c r="B264" s="55" t="s">
        <v>26</v>
      </c>
      <c r="C264" s="56">
        <v>1420</v>
      </c>
      <c r="D264" s="56">
        <v>3850</v>
      </c>
      <c r="E264" s="56">
        <v>254.87299999999999</v>
      </c>
      <c r="F264" s="56">
        <v>4519.7340000000004</v>
      </c>
    </row>
    <row r="265" spans="1:6">
      <c r="A265" s="57">
        <v>46244.666666666664</v>
      </c>
      <c r="B265" s="55" t="s">
        <v>26</v>
      </c>
      <c r="C265" s="56">
        <v>1420</v>
      </c>
      <c r="D265" s="56">
        <v>3850</v>
      </c>
      <c r="E265" s="56">
        <v>254.82910000000001</v>
      </c>
      <c r="F265" s="56">
        <v>4510.9859999999999</v>
      </c>
    </row>
    <row r="266" spans="1:6">
      <c r="A266" s="57">
        <v>46244.708333333336</v>
      </c>
      <c r="B266" s="55" t="s">
        <v>26</v>
      </c>
      <c r="C266" s="56">
        <v>1420</v>
      </c>
      <c r="D266" s="56">
        <v>3850</v>
      </c>
      <c r="E266" s="56">
        <v>254.7851</v>
      </c>
      <c r="F266" s="56">
        <v>4502.2380000000003</v>
      </c>
    </row>
    <row r="267" spans="1:6">
      <c r="A267" s="57">
        <v>46244.75</v>
      </c>
      <c r="B267" s="55" t="s">
        <v>26</v>
      </c>
      <c r="C267" s="56">
        <v>1420</v>
      </c>
      <c r="D267" s="56">
        <v>3850</v>
      </c>
      <c r="E267" s="56">
        <v>254.74109999999999</v>
      </c>
      <c r="F267" s="56">
        <v>4493.49</v>
      </c>
    </row>
    <row r="268" spans="1:6">
      <c r="A268" s="57">
        <v>46244.791666666664</v>
      </c>
      <c r="B268" s="55" t="s">
        <v>26</v>
      </c>
      <c r="C268" s="56">
        <v>1420</v>
      </c>
      <c r="D268" s="56">
        <v>3850</v>
      </c>
      <c r="E268" s="56">
        <v>254.69720000000001</v>
      </c>
      <c r="F268" s="56">
        <v>4484.7420000000002</v>
      </c>
    </row>
    <row r="269" spans="1:6">
      <c r="A269" s="57">
        <v>46244.833333333336</v>
      </c>
      <c r="B269" s="55" t="s">
        <v>26</v>
      </c>
      <c r="C269" s="56">
        <v>1420</v>
      </c>
      <c r="D269" s="56">
        <v>3850</v>
      </c>
      <c r="E269" s="56">
        <v>254.6532</v>
      </c>
      <c r="F269" s="56">
        <v>4475.9939999999997</v>
      </c>
    </row>
    <row r="270" spans="1:6">
      <c r="A270" s="57">
        <v>46244.875</v>
      </c>
      <c r="B270" s="55" t="s">
        <v>26</v>
      </c>
      <c r="C270" s="56">
        <v>1420</v>
      </c>
      <c r="D270" s="56">
        <v>3850</v>
      </c>
      <c r="E270" s="56">
        <v>254.60929999999999</v>
      </c>
      <c r="F270" s="56">
        <v>4467.2460000000001</v>
      </c>
    </row>
    <row r="271" spans="1:6">
      <c r="A271" s="57">
        <v>46244.916666666664</v>
      </c>
      <c r="B271" s="55" t="s">
        <v>26</v>
      </c>
      <c r="C271" s="56">
        <v>1420</v>
      </c>
      <c r="D271" s="56">
        <v>3850</v>
      </c>
      <c r="E271" s="56">
        <v>254.56530000000001</v>
      </c>
      <c r="F271" s="56">
        <v>4458.4979999999996</v>
      </c>
    </row>
    <row r="272" spans="1:6">
      <c r="A272" s="57">
        <v>46244.958333333336</v>
      </c>
      <c r="B272" s="55" t="s">
        <v>26</v>
      </c>
      <c r="C272" s="56">
        <v>1420</v>
      </c>
      <c r="D272" s="56">
        <v>3850</v>
      </c>
      <c r="E272" s="56">
        <v>254.5214</v>
      </c>
      <c r="F272" s="56">
        <v>4449.75</v>
      </c>
    </row>
    <row r="273" spans="1:6">
      <c r="A273" s="57">
        <v>46245</v>
      </c>
      <c r="B273" s="55" t="s">
        <v>26</v>
      </c>
      <c r="C273" s="56">
        <v>1420</v>
      </c>
      <c r="D273" s="56">
        <v>3850</v>
      </c>
      <c r="E273" s="56">
        <v>254.47739999999999</v>
      </c>
      <c r="F273" s="56">
        <v>4441.0020000000004</v>
      </c>
    </row>
    <row r="274" spans="1:6">
      <c r="A274" s="57">
        <v>46245.041666666664</v>
      </c>
      <c r="B274" s="55" t="s">
        <v>26</v>
      </c>
      <c r="C274" s="56">
        <v>1420</v>
      </c>
      <c r="D274" s="56">
        <v>3850</v>
      </c>
      <c r="E274" s="56">
        <v>254.43340000000001</v>
      </c>
      <c r="F274" s="56">
        <v>4432.2539999999999</v>
      </c>
    </row>
    <row r="275" spans="1:6">
      <c r="A275" s="57">
        <v>46245.083333333336</v>
      </c>
      <c r="B275" s="55" t="s">
        <v>26</v>
      </c>
      <c r="C275" s="56">
        <v>1420</v>
      </c>
      <c r="D275" s="56">
        <v>3850</v>
      </c>
      <c r="E275" s="56">
        <v>254.3895</v>
      </c>
      <c r="F275" s="56">
        <v>4423.5060000000003</v>
      </c>
    </row>
    <row r="276" spans="1:6">
      <c r="A276" s="57">
        <v>46245.125</v>
      </c>
      <c r="B276" s="55" t="s">
        <v>26</v>
      </c>
      <c r="C276" s="56">
        <v>1420</v>
      </c>
      <c r="D276" s="56">
        <v>3850</v>
      </c>
      <c r="E276" s="56">
        <v>254.34549999999999</v>
      </c>
      <c r="F276" s="56">
        <v>4414.7579999999998</v>
      </c>
    </row>
    <row r="277" spans="1:6">
      <c r="A277" s="57">
        <v>46245.166666666664</v>
      </c>
      <c r="B277" s="55" t="s">
        <v>26</v>
      </c>
      <c r="C277" s="56">
        <v>1420</v>
      </c>
      <c r="D277" s="56">
        <v>3850</v>
      </c>
      <c r="E277" s="56">
        <v>254.30160000000001</v>
      </c>
      <c r="F277" s="56">
        <v>4406.01</v>
      </c>
    </row>
    <row r="278" spans="1:6">
      <c r="A278" s="57">
        <v>46245.208333333336</v>
      </c>
      <c r="B278" s="55" t="s">
        <v>26</v>
      </c>
      <c r="C278" s="56">
        <v>1420</v>
      </c>
      <c r="D278" s="56">
        <v>3850</v>
      </c>
      <c r="E278" s="56">
        <v>254.2576</v>
      </c>
      <c r="F278" s="56">
        <v>4397.2619999999997</v>
      </c>
    </row>
    <row r="279" spans="1:6">
      <c r="A279" s="57">
        <v>46245.25</v>
      </c>
      <c r="B279" s="55" t="s">
        <v>26</v>
      </c>
      <c r="C279" s="56">
        <v>1420</v>
      </c>
      <c r="D279" s="56">
        <v>3850</v>
      </c>
      <c r="E279" s="56">
        <v>254.21360000000001</v>
      </c>
      <c r="F279" s="56">
        <v>4388.5140000000001</v>
      </c>
    </row>
    <row r="280" spans="1:6">
      <c r="A280" s="57">
        <v>46245.291666666664</v>
      </c>
      <c r="B280" s="55" t="s">
        <v>26</v>
      </c>
      <c r="C280" s="56">
        <v>1420</v>
      </c>
      <c r="D280" s="56">
        <v>3850</v>
      </c>
      <c r="E280" s="56">
        <v>254.16970000000001</v>
      </c>
      <c r="F280" s="56">
        <v>4379.7659999999996</v>
      </c>
    </row>
    <row r="281" spans="1:6">
      <c r="A281" s="57">
        <v>46245.333333333336</v>
      </c>
      <c r="B281" s="55" t="s">
        <v>26</v>
      </c>
      <c r="C281" s="56">
        <v>1420</v>
      </c>
      <c r="D281" s="56">
        <v>3850</v>
      </c>
      <c r="E281" s="56">
        <v>254.12569999999999</v>
      </c>
      <c r="F281" s="56">
        <v>4371.018</v>
      </c>
    </row>
    <row r="282" spans="1:6">
      <c r="A282" s="57">
        <v>46245.375</v>
      </c>
      <c r="B282" s="55" t="s">
        <v>26</v>
      </c>
      <c r="C282" s="56">
        <v>1420</v>
      </c>
      <c r="D282" s="56">
        <v>4304.6909999999998</v>
      </c>
      <c r="E282" s="56">
        <v>254.07759999999999</v>
      </c>
      <c r="F282" s="56">
        <v>4361.451</v>
      </c>
    </row>
    <row r="283" spans="1:6">
      <c r="A283" s="57">
        <v>46245.416666666664</v>
      </c>
      <c r="B283" s="55" t="s">
        <v>26</v>
      </c>
      <c r="C283" s="56">
        <v>1420</v>
      </c>
      <c r="D283" s="56">
        <v>4350</v>
      </c>
      <c r="E283" s="56">
        <v>254.02510000000001</v>
      </c>
      <c r="F283" s="56">
        <v>4350.9849999999997</v>
      </c>
    </row>
    <row r="284" spans="1:6">
      <c r="A284" s="57">
        <v>46245.458333333336</v>
      </c>
      <c r="B284" s="55" t="s">
        <v>26</v>
      </c>
      <c r="C284" s="56">
        <v>1420</v>
      </c>
      <c r="D284" s="56">
        <v>4350</v>
      </c>
      <c r="E284" s="56">
        <v>253.97149999999999</v>
      </c>
      <c r="F284" s="56">
        <v>4340.4369999999999</v>
      </c>
    </row>
    <row r="285" spans="1:6">
      <c r="A285" s="57">
        <v>46245.5</v>
      </c>
      <c r="B285" s="55" t="s">
        <v>26</v>
      </c>
      <c r="C285" s="56">
        <v>1420</v>
      </c>
      <c r="D285" s="56">
        <v>4350</v>
      </c>
      <c r="E285" s="56">
        <v>253.91739999999999</v>
      </c>
      <c r="F285" s="56">
        <v>4329.8890000000001</v>
      </c>
    </row>
    <row r="286" spans="1:6">
      <c r="A286" s="57">
        <v>46245.541666666664</v>
      </c>
      <c r="B286" s="55" t="s">
        <v>26</v>
      </c>
      <c r="C286" s="56">
        <v>1420</v>
      </c>
      <c r="D286" s="56">
        <v>4350</v>
      </c>
      <c r="E286" s="56">
        <v>253.86330000000001</v>
      </c>
      <c r="F286" s="56">
        <v>4319.3410000000003</v>
      </c>
    </row>
    <row r="287" spans="1:6">
      <c r="A287" s="57">
        <v>46245.583333333336</v>
      </c>
      <c r="B287" s="55" t="s">
        <v>26</v>
      </c>
      <c r="C287" s="56">
        <v>1420</v>
      </c>
      <c r="D287" s="56">
        <v>4350</v>
      </c>
      <c r="E287" s="56">
        <v>253.8092</v>
      </c>
      <c r="F287" s="56">
        <v>4308.7929999999997</v>
      </c>
    </row>
    <row r="288" spans="1:6">
      <c r="A288" s="57">
        <v>46245.625</v>
      </c>
      <c r="B288" s="55" t="s">
        <v>26</v>
      </c>
      <c r="C288" s="56">
        <v>1420</v>
      </c>
      <c r="D288" s="56">
        <v>4350</v>
      </c>
      <c r="E288" s="56">
        <v>253.7551</v>
      </c>
      <c r="F288" s="56">
        <v>4298.2460000000001</v>
      </c>
    </row>
    <row r="289" spans="1:6">
      <c r="A289" s="57">
        <v>46245.666666666664</v>
      </c>
      <c r="B289" s="55" t="s">
        <v>26</v>
      </c>
      <c r="C289" s="56">
        <v>1420</v>
      </c>
      <c r="D289" s="56">
        <v>4350</v>
      </c>
      <c r="E289" s="56">
        <v>253.70099999999999</v>
      </c>
      <c r="F289" s="56">
        <v>4287.6980000000003</v>
      </c>
    </row>
    <row r="290" spans="1:6">
      <c r="A290" s="57">
        <v>46245.708333333336</v>
      </c>
      <c r="B290" s="55" t="s">
        <v>26</v>
      </c>
      <c r="C290" s="56">
        <v>1420</v>
      </c>
      <c r="D290" s="56">
        <v>4350</v>
      </c>
      <c r="E290" s="56">
        <v>253.64689999999999</v>
      </c>
      <c r="F290" s="56">
        <v>4277.1499999999996</v>
      </c>
    </row>
    <row r="291" spans="1:6">
      <c r="A291" s="57">
        <v>46245.75</v>
      </c>
      <c r="B291" s="55" t="s">
        <v>26</v>
      </c>
      <c r="C291" s="56">
        <v>1420</v>
      </c>
      <c r="D291" s="56">
        <v>4350</v>
      </c>
      <c r="E291" s="56">
        <v>253.59280000000001</v>
      </c>
      <c r="F291" s="56">
        <v>4266.6019999999999</v>
      </c>
    </row>
    <row r="292" spans="1:6">
      <c r="A292" s="57">
        <v>46245.791666666664</v>
      </c>
      <c r="B292" s="55" t="s">
        <v>26</v>
      </c>
      <c r="C292" s="56">
        <v>1420</v>
      </c>
      <c r="D292" s="56">
        <v>4350</v>
      </c>
      <c r="E292" s="56">
        <v>253.53870000000001</v>
      </c>
      <c r="F292" s="56">
        <v>4256.0540000000001</v>
      </c>
    </row>
    <row r="293" spans="1:6">
      <c r="A293" s="57">
        <v>46245.833333333336</v>
      </c>
      <c r="B293" s="55" t="s">
        <v>26</v>
      </c>
      <c r="C293" s="56">
        <v>1420</v>
      </c>
      <c r="D293" s="56">
        <v>4350</v>
      </c>
      <c r="E293" s="56">
        <v>253.4846</v>
      </c>
      <c r="F293" s="56">
        <v>4245.5060000000003</v>
      </c>
    </row>
    <row r="294" spans="1:6">
      <c r="A294" s="57">
        <v>46245.875</v>
      </c>
      <c r="B294" s="55" t="s">
        <v>26</v>
      </c>
      <c r="C294" s="56">
        <v>1420</v>
      </c>
      <c r="D294" s="56">
        <v>4350</v>
      </c>
      <c r="E294" s="56">
        <v>253.4306</v>
      </c>
      <c r="F294" s="56">
        <v>4234.9579999999996</v>
      </c>
    </row>
    <row r="295" spans="1:6">
      <c r="A295" s="57">
        <v>46245.916666666664</v>
      </c>
      <c r="B295" s="55" t="s">
        <v>26</v>
      </c>
      <c r="C295" s="56">
        <v>1420</v>
      </c>
      <c r="D295" s="56">
        <v>4350</v>
      </c>
      <c r="E295" s="56">
        <v>253.37649999999999</v>
      </c>
      <c r="F295" s="56">
        <v>4224.4110000000001</v>
      </c>
    </row>
    <row r="296" spans="1:6">
      <c r="A296" s="57">
        <v>46245.958333333336</v>
      </c>
      <c r="B296" s="55" t="s">
        <v>26</v>
      </c>
      <c r="C296" s="56">
        <v>1420</v>
      </c>
      <c r="D296" s="56">
        <v>4350</v>
      </c>
      <c r="E296" s="56">
        <v>253.32239999999999</v>
      </c>
      <c r="F296" s="56">
        <v>4213.8630000000003</v>
      </c>
    </row>
    <row r="297" spans="1:6">
      <c r="A297" s="57">
        <v>46246</v>
      </c>
      <c r="B297" s="55" t="s">
        <v>26</v>
      </c>
      <c r="C297" s="56">
        <v>1420</v>
      </c>
      <c r="D297" s="56">
        <v>4350</v>
      </c>
      <c r="E297" s="56">
        <v>253.26830000000001</v>
      </c>
      <c r="F297" s="56">
        <v>4203.3149999999996</v>
      </c>
    </row>
    <row r="298" spans="1:6">
      <c r="A298" s="57">
        <v>46246.041666666664</v>
      </c>
      <c r="B298" s="55" t="s">
        <v>26</v>
      </c>
      <c r="C298" s="56">
        <v>1420</v>
      </c>
      <c r="D298" s="56">
        <v>4350</v>
      </c>
      <c r="E298" s="56">
        <v>253.21420000000001</v>
      </c>
      <c r="F298" s="56">
        <v>4192.7669999999998</v>
      </c>
    </row>
    <row r="299" spans="1:6">
      <c r="A299" s="57">
        <v>46246.083333333336</v>
      </c>
      <c r="B299" s="55" t="s">
        <v>26</v>
      </c>
      <c r="C299" s="56">
        <v>1420</v>
      </c>
      <c r="D299" s="56">
        <v>4350</v>
      </c>
      <c r="E299" s="56">
        <v>253.1601</v>
      </c>
      <c r="F299" s="56">
        <v>4182.2190000000001</v>
      </c>
    </row>
    <row r="300" spans="1:6">
      <c r="A300" s="57">
        <v>46246.125</v>
      </c>
      <c r="B300" s="55" t="s">
        <v>26</v>
      </c>
      <c r="C300" s="56">
        <v>1420</v>
      </c>
      <c r="D300" s="56">
        <v>4350</v>
      </c>
      <c r="E300" s="56">
        <v>253.10599999999999</v>
      </c>
      <c r="F300" s="56">
        <v>4171.6710000000003</v>
      </c>
    </row>
    <row r="301" spans="1:6">
      <c r="A301" s="57">
        <v>46246.166666666664</v>
      </c>
      <c r="B301" s="55" t="s">
        <v>26</v>
      </c>
      <c r="C301" s="56">
        <v>1420</v>
      </c>
      <c r="D301" s="56">
        <v>4350</v>
      </c>
      <c r="E301" s="56">
        <v>253.05189999999999</v>
      </c>
      <c r="F301" s="56">
        <v>4161.1239999999998</v>
      </c>
    </row>
    <row r="302" spans="1:6">
      <c r="A302" s="57">
        <v>46246.208333333336</v>
      </c>
      <c r="B302" s="55" t="s">
        <v>26</v>
      </c>
      <c r="C302" s="56">
        <v>1420</v>
      </c>
      <c r="D302" s="56">
        <v>4350</v>
      </c>
      <c r="E302" s="56">
        <v>252.99780000000001</v>
      </c>
      <c r="F302" s="56">
        <v>4150.576</v>
      </c>
    </row>
    <row r="303" spans="1:6">
      <c r="A303" s="57">
        <v>46246.25</v>
      </c>
      <c r="B303" s="55" t="s">
        <v>26</v>
      </c>
      <c r="C303" s="56">
        <v>1420</v>
      </c>
      <c r="D303" s="56">
        <v>4350</v>
      </c>
      <c r="E303" s="56">
        <v>252.94290000000001</v>
      </c>
      <c r="F303" s="56">
        <v>4140.0280000000002</v>
      </c>
    </row>
    <row r="304" spans="1:6">
      <c r="A304" s="57">
        <v>46246.291666666664</v>
      </c>
      <c r="B304" s="55" t="s">
        <v>26</v>
      </c>
      <c r="C304" s="56">
        <v>1420</v>
      </c>
      <c r="D304" s="56">
        <v>4350</v>
      </c>
      <c r="E304" s="56">
        <v>252.8879</v>
      </c>
      <c r="F304" s="56">
        <v>4129.4799999999996</v>
      </c>
    </row>
    <row r="305" spans="1:6">
      <c r="A305" s="57">
        <v>46246.333333333336</v>
      </c>
      <c r="B305" s="55" t="s">
        <v>26</v>
      </c>
      <c r="C305" s="56">
        <v>1420</v>
      </c>
      <c r="D305" s="56">
        <v>4350</v>
      </c>
      <c r="E305" s="56">
        <v>252.833</v>
      </c>
      <c r="F305" s="56">
        <v>4118.9319999999998</v>
      </c>
    </row>
    <row r="306" spans="1:6">
      <c r="A306" s="57">
        <v>46246.375</v>
      </c>
      <c r="B306" s="55" t="s">
        <v>26</v>
      </c>
      <c r="C306" s="56">
        <v>1420</v>
      </c>
      <c r="D306" s="56">
        <v>4350</v>
      </c>
      <c r="E306" s="56">
        <v>252.77799999999999</v>
      </c>
      <c r="F306" s="56">
        <v>4108.384</v>
      </c>
    </row>
    <row r="307" spans="1:6">
      <c r="A307" s="57">
        <v>46246.416666666664</v>
      </c>
      <c r="B307" s="55" t="s">
        <v>26</v>
      </c>
      <c r="C307" s="56">
        <v>1420</v>
      </c>
      <c r="D307" s="56">
        <v>4350</v>
      </c>
      <c r="E307" s="56">
        <v>252.72309999999999</v>
      </c>
      <c r="F307" s="56">
        <v>4097.8360000000002</v>
      </c>
    </row>
    <row r="308" spans="1:6">
      <c r="A308" s="57">
        <v>46246.458333333336</v>
      </c>
      <c r="B308" s="55" t="s">
        <v>26</v>
      </c>
      <c r="C308" s="56">
        <v>1420</v>
      </c>
      <c r="D308" s="56">
        <v>4350</v>
      </c>
      <c r="E308" s="56">
        <v>252.66820000000001</v>
      </c>
      <c r="F308" s="56">
        <v>4087.288</v>
      </c>
    </row>
    <row r="309" spans="1:6">
      <c r="A309" s="57">
        <v>46246.5</v>
      </c>
      <c r="B309" s="55" t="s">
        <v>26</v>
      </c>
      <c r="C309" s="56">
        <v>1420</v>
      </c>
      <c r="D309" s="56">
        <v>4350</v>
      </c>
      <c r="E309" s="56">
        <v>252.61320000000001</v>
      </c>
      <c r="F309" s="56">
        <v>4076.74</v>
      </c>
    </row>
    <row r="310" spans="1:6">
      <c r="A310" s="57">
        <v>46246.541666666664</v>
      </c>
      <c r="B310" s="55" t="s">
        <v>26</v>
      </c>
      <c r="C310" s="56">
        <v>1420</v>
      </c>
      <c r="D310" s="56">
        <v>4350</v>
      </c>
      <c r="E310" s="56">
        <v>252.5583</v>
      </c>
      <c r="F310" s="56">
        <v>4066.192</v>
      </c>
    </row>
    <row r="311" spans="1:6">
      <c r="A311" s="57">
        <v>46246.583333333336</v>
      </c>
      <c r="B311" s="55" t="s">
        <v>26</v>
      </c>
      <c r="C311" s="56">
        <v>1420</v>
      </c>
      <c r="D311" s="56">
        <v>4350</v>
      </c>
      <c r="E311" s="56">
        <v>252.5034</v>
      </c>
      <c r="F311" s="56">
        <v>4055.6439999999998</v>
      </c>
    </row>
    <row r="312" spans="1:6">
      <c r="A312" s="57">
        <v>46246.625</v>
      </c>
      <c r="B312" s="55" t="s">
        <v>26</v>
      </c>
      <c r="C312" s="56">
        <v>1420</v>
      </c>
      <c r="D312" s="56">
        <v>4350</v>
      </c>
      <c r="E312" s="56">
        <v>252.44839999999999</v>
      </c>
      <c r="F312" s="56">
        <v>4045.096</v>
      </c>
    </row>
    <row r="313" spans="1:6">
      <c r="A313" s="57">
        <v>46246.666666666664</v>
      </c>
      <c r="B313" s="55" t="s">
        <v>26</v>
      </c>
      <c r="C313" s="56">
        <v>1420</v>
      </c>
      <c r="D313" s="56">
        <v>4350</v>
      </c>
      <c r="E313" s="56">
        <v>252.39349999999999</v>
      </c>
      <c r="F313" s="56">
        <v>4034.5479999999998</v>
      </c>
    </row>
    <row r="314" spans="1:6">
      <c r="A314" s="57">
        <v>46246.708333333336</v>
      </c>
      <c r="B314" s="55" t="s">
        <v>26</v>
      </c>
      <c r="C314" s="56">
        <v>1420</v>
      </c>
      <c r="D314" s="56">
        <v>4350</v>
      </c>
      <c r="E314" s="56">
        <v>252.33850000000001</v>
      </c>
      <c r="F314" s="56">
        <v>4024</v>
      </c>
    </row>
    <row r="315" spans="1:6">
      <c r="A315" s="57">
        <v>46246.75</v>
      </c>
      <c r="B315" s="55" t="s">
        <v>26</v>
      </c>
      <c r="C315" s="56">
        <v>1420</v>
      </c>
      <c r="D315" s="56">
        <v>4350</v>
      </c>
      <c r="E315" s="56">
        <v>252.28360000000001</v>
      </c>
      <c r="F315" s="56">
        <v>4013.4520000000002</v>
      </c>
    </row>
    <row r="316" spans="1:6">
      <c r="A316" s="57">
        <v>46246.791666666664</v>
      </c>
      <c r="B316" s="55" t="s">
        <v>26</v>
      </c>
      <c r="C316" s="56">
        <v>1420</v>
      </c>
      <c r="D316" s="56">
        <v>4350</v>
      </c>
      <c r="E316" s="56">
        <v>252.2287</v>
      </c>
      <c r="F316" s="56">
        <v>4002.904</v>
      </c>
    </row>
    <row r="317" spans="1:6">
      <c r="A317" s="57">
        <v>46246.833333333336</v>
      </c>
      <c r="B317" s="55" t="s">
        <v>26</v>
      </c>
      <c r="C317" s="56">
        <v>1420</v>
      </c>
      <c r="D317" s="56">
        <v>4350</v>
      </c>
      <c r="E317" s="56">
        <v>252.1737</v>
      </c>
      <c r="F317" s="56">
        <v>3992.355</v>
      </c>
    </row>
    <row r="318" spans="1:6">
      <c r="A318" s="57">
        <v>46246.875</v>
      </c>
      <c r="B318" s="55" t="s">
        <v>26</v>
      </c>
      <c r="C318" s="56">
        <v>1420</v>
      </c>
      <c r="D318" s="56">
        <v>4350</v>
      </c>
      <c r="E318" s="56">
        <v>252.11879999999999</v>
      </c>
      <c r="F318" s="56">
        <v>3981.8069999999998</v>
      </c>
    </row>
    <row r="319" spans="1:6">
      <c r="A319" s="57">
        <v>46246.916666666664</v>
      </c>
      <c r="B319" s="55" t="s">
        <v>26</v>
      </c>
      <c r="C319" s="56">
        <v>1420</v>
      </c>
      <c r="D319" s="56">
        <v>4350</v>
      </c>
      <c r="E319" s="56">
        <v>252.06379999999999</v>
      </c>
      <c r="F319" s="56">
        <v>3971.259</v>
      </c>
    </row>
    <row r="320" spans="1:6">
      <c r="A320" s="57">
        <v>46246.958333333336</v>
      </c>
      <c r="B320" s="55" t="s">
        <v>26</v>
      </c>
      <c r="C320" s="56">
        <v>1420</v>
      </c>
      <c r="D320" s="56">
        <v>4350</v>
      </c>
      <c r="E320" s="56">
        <v>252.00890000000001</v>
      </c>
      <c r="F320" s="56">
        <v>3960.7109999999998</v>
      </c>
    </row>
    <row r="321" spans="1:6">
      <c r="A321" s="57">
        <v>46247</v>
      </c>
      <c r="B321" s="55" t="s">
        <v>26</v>
      </c>
      <c r="C321" s="56">
        <v>1420</v>
      </c>
      <c r="D321" s="56">
        <v>4350</v>
      </c>
      <c r="E321" s="56">
        <v>251.95320000000001</v>
      </c>
      <c r="F321" s="56">
        <v>3950.163</v>
      </c>
    </row>
    <row r="322" spans="1:6">
      <c r="A322" s="57">
        <v>46247.041666666664</v>
      </c>
      <c r="B322" s="55" t="s">
        <v>26</v>
      </c>
      <c r="C322" s="56">
        <v>1420</v>
      </c>
      <c r="D322" s="56">
        <v>4350</v>
      </c>
      <c r="E322" s="56">
        <v>251.8974</v>
      </c>
      <c r="F322" s="56">
        <v>3939.6149999999998</v>
      </c>
    </row>
    <row r="323" spans="1:6">
      <c r="A323" s="57">
        <v>46247.083333333336</v>
      </c>
      <c r="B323" s="55" t="s">
        <v>26</v>
      </c>
      <c r="C323" s="56">
        <v>1420</v>
      </c>
      <c r="D323" s="56">
        <v>4350</v>
      </c>
      <c r="E323" s="56">
        <v>251.8416</v>
      </c>
      <c r="F323" s="56">
        <v>3929.067</v>
      </c>
    </row>
    <row r="324" spans="1:6">
      <c r="A324" s="57">
        <v>46247.125</v>
      </c>
      <c r="B324" s="55" t="s">
        <v>26</v>
      </c>
      <c r="C324" s="56">
        <v>1420</v>
      </c>
      <c r="D324" s="56">
        <v>4350</v>
      </c>
      <c r="E324" s="56">
        <v>251.78579999999999</v>
      </c>
      <c r="F324" s="56">
        <v>3918.5189999999998</v>
      </c>
    </row>
    <row r="325" spans="1:6">
      <c r="A325" s="57">
        <v>46247.166666666664</v>
      </c>
      <c r="B325" s="55" t="s">
        <v>26</v>
      </c>
      <c r="C325" s="56">
        <v>1420</v>
      </c>
      <c r="D325" s="56">
        <v>4350</v>
      </c>
      <c r="E325" s="56">
        <v>251.73</v>
      </c>
      <c r="F325" s="56">
        <v>3907.971</v>
      </c>
    </row>
    <row r="326" spans="1:6">
      <c r="A326" s="57">
        <v>46247.208333333336</v>
      </c>
      <c r="B326" s="55" t="s">
        <v>26</v>
      </c>
      <c r="C326" s="56">
        <v>1420</v>
      </c>
      <c r="D326" s="56">
        <v>4350</v>
      </c>
      <c r="E326" s="56">
        <v>251.67420000000001</v>
      </c>
      <c r="F326" s="56">
        <v>3897.4229999999998</v>
      </c>
    </row>
    <row r="327" spans="1:6">
      <c r="A327" s="57">
        <v>46247.25</v>
      </c>
      <c r="B327" s="55" t="s">
        <v>26</v>
      </c>
      <c r="C327" s="56">
        <v>1420</v>
      </c>
      <c r="D327" s="56">
        <v>4350</v>
      </c>
      <c r="E327" s="56">
        <v>251.61840000000001</v>
      </c>
      <c r="F327" s="56">
        <v>3886.875</v>
      </c>
    </row>
    <row r="328" spans="1:6">
      <c r="A328" s="57">
        <v>46247.291666666664</v>
      </c>
      <c r="B328" s="55" t="s">
        <v>26</v>
      </c>
      <c r="C328" s="56">
        <v>1420</v>
      </c>
      <c r="D328" s="56">
        <v>4350</v>
      </c>
      <c r="E328" s="56">
        <v>251.5626</v>
      </c>
      <c r="F328" s="56">
        <v>3876.326</v>
      </c>
    </row>
    <row r="329" spans="1:6">
      <c r="A329" s="57">
        <v>46247.333333333336</v>
      </c>
      <c r="B329" s="55" t="s">
        <v>26</v>
      </c>
      <c r="C329" s="56">
        <v>1420</v>
      </c>
      <c r="D329" s="56">
        <v>4350</v>
      </c>
      <c r="E329" s="56">
        <v>251.5068</v>
      </c>
      <c r="F329" s="56">
        <v>3865.7779999999998</v>
      </c>
    </row>
    <row r="330" spans="1:6">
      <c r="A330" s="57">
        <v>46247.375</v>
      </c>
      <c r="B330" s="55" t="s">
        <v>26</v>
      </c>
      <c r="C330" s="56">
        <v>1420</v>
      </c>
      <c r="D330" s="56">
        <v>4350</v>
      </c>
      <c r="E330" s="56">
        <v>251.45099999999999</v>
      </c>
      <c r="F330" s="56">
        <v>3855.23</v>
      </c>
    </row>
    <row r="331" spans="1:6">
      <c r="A331" s="57">
        <v>46247.416666666664</v>
      </c>
      <c r="B331" s="55" t="s">
        <v>26</v>
      </c>
      <c r="C331" s="56">
        <v>1420</v>
      </c>
      <c r="D331" s="56">
        <v>4350</v>
      </c>
      <c r="E331" s="56">
        <v>251.39510000000001</v>
      </c>
      <c r="F331" s="56">
        <v>3844.6819999999998</v>
      </c>
    </row>
    <row r="332" spans="1:6">
      <c r="A332" s="57">
        <v>46247.458333333336</v>
      </c>
      <c r="B332" s="55" t="s">
        <v>26</v>
      </c>
      <c r="C332" s="56">
        <v>1420</v>
      </c>
      <c r="D332" s="56">
        <v>4350</v>
      </c>
      <c r="E332" s="56">
        <v>251.33930000000001</v>
      </c>
      <c r="F332" s="56">
        <v>3834.134</v>
      </c>
    </row>
    <row r="333" spans="1:6">
      <c r="A333" s="57">
        <v>46247.5</v>
      </c>
      <c r="B333" s="55" t="s">
        <v>26</v>
      </c>
      <c r="C333" s="56">
        <v>1420</v>
      </c>
      <c r="D333" s="56">
        <v>4350</v>
      </c>
      <c r="E333" s="56">
        <v>251.2835</v>
      </c>
      <c r="F333" s="56">
        <v>3823.5859999999998</v>
      </c>
    </row>
    <row r="334" spans="1:6">
      <c r="A334" s="57">
        <v>46247.541666666664</v>
      </c>
      <c r="B334" s="55" t="s">
        <v>26</v>
      </c>
      <c r="C334" s="56">
        <v>1420</v>
      </c>
      <c r="D334" s="56">
        <v>4350</v>
      </c>
      <c r="E334" s="56">
        <v>251.2277</v>
      </c>
      <c r="F334" s="56">
        <v>3813.038</v>
      </c>
    </row>
    <row r="335" spans="1:6">
      <c r="A335" s="57">
        <v>46247.583333333336</v>
      </c>
      <c r="B335" s="55" t="s">
        <v>26</v>
      </c>
      <c r="C335" s="56">
        <v>1420</v>
      </c>
      <c r="D335" s="56">
        <v>4350</v>
      </c>
      <c r="E335" s="56">
        <v>251.17189999999999</v>
      </c>
      <c r="F335" s="56">
        <v>3802.49</v>
      </c>
    </row>
    <row r="336" spans="1:6">
      <c r="A336" s="57">
        <v>46247.625</v>
      </c>
      <c r="B336" s="55" t="s">
        <v>26</v>
      </c>
      <c r="C336" s="56">
        <v>1420</v>
      </c>
      <c r="D336" s="56">
        <v>4350</v>
      </c>
      <c r="E336" s="56">
        <v>251.11609999999999</v>
      </c>
      <c r="F336" s="56">
        <v>3791.942</v>
      </c>
    </row>
    <row r="337" spans="1:6">
      <c r="A337" s="57">
        <v>46247.666666666664</v>
      </c>
      <c r="B337" s="55" t="s">
        <v>26</v>
      </c>
      <c r="C337" s="56">
        <v>1420</v>
      </c>
      <c r="D337" s="56">
        <v>4350</v>
      </c>
      <c r="E337" s="56">
        <v>251.06030000000001</v>
      </c>
      <c r="F337" s="56">
        <v>3781.3939999999998</v>
      </c>
    </row>
    <row r="338" spans="1:6">
      <c r="A338" s="57">
        <v>46247.708333333336</v>
      </c>
      <c r="B338" s="55" t="s">
        <v>26</v>
      </c>
      <c r="C338" s="56">
        <v>1420</v>
      </c>
      <c r="D338" s="56">
        <v>4350</v>
      </c>
      <c r="E338" s="56">
        <v>251.00450000000001</v>
      </c>
      <c r="F338" s="56">
        <v>3770.8449999999998</v>
      </c>
    </row>
    <row r="339" spans="1:6">
      <c r="A339" s="57">
        <v>46247.75</v>
      </c>
      <c r="B339" s="55" t="s">
        <v>26</v>
      </c>
      <c r="C339" s="56">
        <v>1420</v>
      </c>
      <c r="D339" s="56">
        <v>4350</v>
      </c>
      <c r="E339" s="56">
        <v>250.9478</v>
      </c>
      <c r="F339" s="56">
        <v>3760.297</v>
      </c>
    </row>
    <row r="340" spans="1:6">
      <c r="A340" s="57">
        <v>46247.791666666664</v>
      </c>
      <c r="B340" s="55" t="s">
        <v>26</v>
      </c>
      <c r="C340" s="56">
        <v>1420</v>
      </c>
      <c r="D340" s="56">
        <v>4350</v>
      </c>
      <c r="E340" s="56">
        <v>250.89109999999999</v>
      </c>
      <c r="F340" s="56">
        <v>3749.7489999999998</v>
      </c>
    </row>
    <row r="341" spans="1:6">
      <c r="A341" s="57">
        <v>46247.833333333336</v>
      </c>
      <c r="B341" s="55" t="s">
        <v>26</v>
      </c>
      <c r="C341" s="56">
        <v>1420</v>
      </c>
      <c r="D341" s="56">
        <v>4350</v>
      </c>
      <c r="E341" s="56">
        <v>250.83439999999999</v>
      </c>
      <c r="F341" s="56">
        <v>3739.201</v>
      </c>
    </row>
    <row r="342" spans="1:6">
      <c r="A342" s="57">
        <v>46247.875</v>
      </c>
      <c r="B342" s="55" t="s">
        <v>26</v>
      </c>
      <c r="C342" s="56">
        <v>1420</v>
      </c>
      <c r="D342" s="56">
        <v>4350</v>
      </c>
      <c r="E342" s="56">
        <v>250.77770000000001</v>
      </c>
      <c r="F342" s="56">
        <v>3728.6529999999998</v>
      </c>
    </row>
    <row r="343" spans="1:6">
      <c r="A343" s="57">
        <v>46247.916666666664</v>
      </c>
      <c r="B343" s="55" t="s">
        <v>26</v>
      </c>
      <c r="C343" s="56">
        <v>1420</v>
      </c>
      <c r="D343" s="56">
        <v>4350</v>
      </c>
      <c r="E343" s="56">
        <v>250.721</v>
      </c>
      <c r="F343" s="56">
        <v>3718.105</v>
      </c>
    </row>
    <row r="344" spans="1:6">
      <c r="A344" s="57">
        <v>46247.958333333336</v>
      </c>
      <c r="B344" s="55" t="s">
        <v>26</v>
      </c>
      <c r="C344" s="56">
        <v>1420</v>
      </c>
      <c r="D344" s="56">
        <v>4350</v>
      </c>
      <c r="E344" s="56">
        <v>250.6643</v>
      </c>
      <c r="F344" s="56">
        <v>3707.5569999999998</v>
      </c>
    </row>
    <row r="345" spans="1:6">
      <c r="A345" s="57">
        <v>46248</v>
      </c>
      <c r="B345" s="55" t="s">
        <v>26</v>
      </c>
      <c r="C345" s="56">
        <v>1420</v>
      </c>
      <c r="D345" s="56">
        <v>4350</v>
      </c>
      <c r="E345" s="56">
        <v>250.60759999999999</v>
      </c>
      <c r="F345" s="56">
        <v>3697.009</v>
      </c>
    </row>
    <row r="346" spans="1:6">
      <c r="A346" s="57">
        <v>46248.041666666664</v>
      </c>
      <c r="B346" s="55" t="s">
        <v>26</v>
      </c>
      <c r="C346" s="56">
        <v>1420</v>
      </c>
      <c r="D346" s="56">
        <v>4350</v>
      </c>
      <c r="E346" s="56">
        <v>250.55090000000001</v>
      </c>
      <c r="F346" s="56">
        <v>3686.4609999999998</v>
      </c>
    </row>
    <row r="347" spans="1:6">
      <c r="A347" s="57">
        <v>46248.083333333336</v>
      </c>
      <c r="B347" s="55" t="s">
        <v>26</v>
      </c>
      <c r="C347" s="56">
        <v>1420</v>
      </c>
      <c r="D347" s="56">
        <v>4350</v>
      </c>
      <c r="E347" s="56">
        <v>250.49420000000001</v>
      </c>
      <c r="F347" s="56">
        <v>3675.913</v>
      </c>
    </row>
    <row r="348" spans="1:6">
      <c r="A348" s="57">
        <v>46248.125</v>
      </c>
      <c r="B348" s="55" t="s">
        <v>26</v>
      </c>
      <c r="C348" s="56">
        <v>1420</v>
      </c>
      <c r="D348" s="56">
        <v>4350</v>
      </c>
      <c r="E348" s="56">
        <v>250.4374</v>
      </c>
      <c r="F348" s="56">
        <v>3665.3649999999998</v>
      </c>
    </row>
    <row r="349" spans="1:6">
      <c r="A349" s="57">
        <v>46248.166666666664</v>
      </c>
      <c r="B349" s="55" t="s">
        <v>26</v>
      </c>
      <c r="C349" s="56">
        <v>1420</v>
      </c>
      <c r="D349" s="56">
        <v>4350</v>
      </c>
      <c r="E349" s="56">
        <v>250.38069999999999</v>
      </c>
      <c r="F349" s="56">
        <v>3654.8159999999998</v>
      </c>
    </row>
    <row r="350" spans="1:6">
      <c r="A350" s="57">
        <v>46248.208333333336</v>
      </c>
      <c r="B350" s="55" t="s">
        <v>26</v>
      </c>
      <c r="C350" s="56">
        <v>1420</v>
      </c>
      <c r="D350" s="56">
        <v>4350</v>
      </c>
      <c r="E350" s="56">
        <v>250.32400000000001</v>
      </c>
      <c r="F350" s="56">
        <v>3644.268</v>
      </c>
    </row>
    <row r="351" spans="1:6">
      <c r="A351" s="57">
        <v>46248.25</v>
      </c>
      <c r="B351" s="55" t="s">
        <v>26</v>
      </c>
      <c r="C351" s="56">
        <v>1420</v>
      </c>
      <c r="D351" s="56">
        <v>4350</v>
      </c>
      <c r="E351" s="56">
        <v>250.26730000000001</v>
      </c>
      <c r="F351" s="56">
        <v>3633.72</v>
      </c>
    </row>
    <row r="352" spans="1:6">
      <c r="A352" s="57">
        <v>46248.291666666664</v>
      </c>
      <c r="B352" s="55" t="s">
        <v>26</v>
      </c>
      <c r="C352" s="56">
        <v>1420</v>
      </c>
      <c r="D352" s="56">
        <v>4350</v>
      </c>
      <c r="E352" s="56">
        <v>250.2106</v>
      </c>
      <c r="F352" s="56">
        <v>3623.172</v>
      </c>
    </row>
    <row r="353" spans="1:6">
      <c r="A353" s="57">
        <v>46248.333333333336</v>
      </c>
      <c r="B353" s="55" t="s">
        <v>26</v>
      </c>
      <c r="C353" s="56">
        <v>1420</v>
      </c>
      <c r="D353" s="56">
        <v>4350</v>
      </c>
      <c r="E353" s="56">
        <v>250.15389999999999</v>
      </c>
      <c r="F353" s="56">
        <v>3612.6239999999998</v>
      </c>
    </row>
    <row r="354" spans="1:6">
      <c r="A354" s="57">
        <v>46248.375</v>
      </c>
      <c r="B354" s="55" t="s">
        <v>26</v>
      </c>
      <c r="C354" s="56">
        <v>1420</v>
      </c>
      <c r="D354" s="56">
        <v>4350</v>
      </c>
      <c r="E354" s="56">
        <v>250.09719999999999</v>
      </c>
      <c r="F354" s="56">
        <v>3602.076</v>
      </c>
    </row>
    <row r="355" spans="1:6">
      <c r="A355" s="57">
        <v>46248.416666666664</v>
      </c>
      <c r="B355" s="55" t="s">
        <v>26</v>
      </c>
      <c r="C355" s="56">
        <v>1420</v>
      </c>
      <c r="D355" s="56">
        <v>4350</v>
      </c>
      <c r="E355" s="56">
        <v>250.04050000000001</v>
      </c>
      <c r="F355" s="56">
        <v>3591.5279999999998</v>
      </c>
    </row>
    <row r="356" spans="1:6">
      <c r="A356" s="57">
        <v>46248.458333333336</v>
      </c>
      <c r="B356" s="55" t="s">
        <v>26</v>
      </c>
      <c r="C356" s="56">
        <v>1420</v>
      </c>
      <c r="D356" s="56">
        <v>4350</v>
      </c>
      <c r="E356" s="56">
        <v>249.98339999999999</v>
      </c>
      <c r="F356" s="56">
        <v>3580.98</v>
      </c>
    </row>
    <row r="357" spans="1:6">
      <c r="A357" s="57">
        <v>46248.5</v>
      </c>
      <c r="B357" s="55" t="s">
        <v>26</v>
      </c>
      <c r="C357" s="56">
        <v>1420</v>
      </c>
      <c r="D357" s="56">
        <v>4350</v>
      </c>
      <c r="E357" s="56">
        <v>249.9254</v>
      </c>
      <c r="F357" s="56">
        <v>3570.4319999999998</v>
      </c>
    </row>
    <row r="358" spans="1:6">
      <c r="A358" s="57">
        <v>46248.541666666664</v>
      </c>
      <c r="B358" s="55" t="s">
        <v>26</v>
      </c>
      <c r="C358" s="56">
        <v>1420</v>
      </c>
      <c r="D358" s="56">
        <v>4350</v>
      </c>
      <c r="E358" s="56">
        <v>249.86750000000001</v>
      </c>
      <c r="F358" s="56">
        <v>3559.884</v>
      </c>
    </row>
    <row r="359" spans="1:6">
      <c r="A359" s="57">
        <v>46248.583333333336</v>
      </c>
      <c r="B359" s="55" t="s">
        <v>26</v>
      </c>
      <c r="C359" s="56">
        <v>1420</v>
      </c>
      <c r="D359" s="56">
        <v>4350</v>
      </c>
      <c r="E359" s="56">
        <v>249.80950000000001</v>
      </c>
      <c r="F359" s="56">
        <v>3549.335</v>
      </c>
    </row>
    <row r="360" spans="1:6">
      <c r="A360" s="57">
        <v>46248.625</v>
      </c>
      <c r="B360" s="55" t="s">
        <v>26</v>
      </c>
      <c r="C360" s="56">
        <v>1420</v>
      </c>
      <c r="D360" s="56">
        <v>4350</v>
      </c>
      <c r="E360" s="56">
        <v>249.7516</v>
      </c>
      <c r="F360" s="56">
        <v>3538.7869999999998</v>
      </c>
    </row>
    <row r="361" spans="1:6">
      <c r="A361" s="57">
        <v>46248.666666666664</v>
      </c>
      <c r="B361" s="55" t="s">
        <v>26</v>
      </c>
      <c r="C361" s="56">
        <v>1420</v>
      </c>
      <c r="D361" s="56">
        <v>4350</v>
      </c>
      <c r="E361" s="56">
        <v>249.6936</v>
      </c>
      <c r="F361" s="56">
        <v>3528.239</v>
      </c>
    </row>
    <row r="362" spans="1:6">
      <c r="A362" s="57">
        <v>46248.708333333336</v>
      </c>
      <c r="B362" s="55" t="s">
        <v>26</v>
      </c>
      <c r="C362" s="56">
        <v>1420</v>
      </c>
      <c r="D362" s="56">
        <v>4350</v>
      </c>
      <c r="E362" s="56">
        <v>249.63570000000001</v>
      </c>
      <c r="F362" s="56">
        <v>3517.6909999999998</v>
      </c>
    </row>
    <row r="363" spans="1:6">
      <c r="A363" s="57">
        <v>46248.75</v>
      </c>
      <c r="B363" s="55" t="s">
        <v>26</v>
      </c>
      <c r="C363" s="56">
        <v>1420</v>
      </c>
      <c r="D363" s="56">
        <v>4350</v>
      </c>
      <c r="E363" s="56">
        <v>249.57769999999999</v>
      </c>
      <c r="F363" s="56">
        <v>3507.143</v>
      </c>
    </row>
    <row r="364" spans="1:6">
      <c r="A364" s="57">
        <v>46248.791666666664</v>
      </c>
      <c r="B364" s="55" t="s">
        <v>26</v>
      </c>
      <c r="C364" s="56">
        <v>1420</v>
      </c>
      <c r="D364" s="56">
        <v>4350</v>
      </c>
      <c r="E364" s="56">
        <v>249.5198</v>
      </c>
      <c r="F364" s="56">
        <v>3496.5949999999998</v>
      </c>
    </row>
    <row r="365" spans="1:6">
      <c r="A365" s="57">
        <v>46248.833333333336</v>
      </c>
      <c r="B365" s="55" t="s">
        <v>26</v>
      </c>
      <c r="C365" s="56">
        <v>1420</v>
      </c>
      <c r="D365" s="56">
        <v>4350</v>
      </c>
      <c r="E365" s="56">
        <v>249.46180000000001</v>
      </c>
      <c r="F365" s="56">
        <v>3486.047</v>
      </c>
    </row>
    <row r="366" spans="1:6">
      <c r="A366" s="57">
        <v>46248.875</v>
      </c>
      <c r="B366" s="55" t="s">
        <v>26</v>
      </c>
      <c r="C366" s="56">
        <v>1420</v>
      </c>
      <c r="D366" s="56">
        <v>4350</v>
      </c>
      <c r="E366" s="56">
        <v>249.40379999999999</v>
      </c>
      <c r="F366" s="56">
        <v>3475.4989999999998</v>
      </c>
    </row>
    <row r="367" spans="1:6">
      <c r="A367" s="57">
        <v>46248.916666666664</v>
      </c>
      <c r="B367" s="55" t="s">
        <v>26</v>
      </c>
      <c r="C367" s="56">
        <v>1420</v>
      </c>
      <c r="D367" s="56">
        <v>4438.8239999999996</v>
      </c>
      <c r="E367" s="56">
        <v>249.345</v>
      </c>
      <c r="F367" s="56">
        <v>3464.7910000000002</v>
      </c>
    </row>
    <row r="368" spans="1:6">
      <c r="A368" s="57">
        <v>46248.958333333336</v>
      </c>
      <c r="B368" s="55" t="s">
        <v>26</v>
      </c>
      <c r="C368" s="56">
        <v>1420</v>
      </c>
      <c r="D368" s="56">
        <v>4500</v>
      </c>
      <c r="E368" s="56">
        <v>249.28469999999999</v>
      </c>
      <c r="F368" s="56">
        <v>3453.8130000000001</v>
      </c>
    </row>
    <row r="369" spans="1:6">
      <c r="A369" s="57">
        <v>46249</v>
      </c>
      <c r="B369" s="55" t="s">
        <v>26</v>
      </c>
      <c r="C369" s="56">
        <v>1420</v>
      </c>
      <c r="D369" s="56">
        <v>4500</v>
      </c>
      <c r="E369" s="56">
        <v>249.22380000000001</v>
      </c>
      <c r="F369" s="56">
        <v>3442.7249999999999</v>
      </c>
    </row>
    <row r="370" spans="1:6">
      <c r="A370" s="57">
        <v>46249.041666666664</v>
      </c>
      <c r="B370" s="55" t="s">
        <v>26</v>
      </c>
      <c r="C370" s="56">
        <v>1420</v>
      </c>
      <c r="D370" s="56">
        <v>4500</v>
      </c>
      <c r="E370" s="56">
        <v>249.1628</v>
      </c>
      <c r="F370" s="56">
        <v>3431.6370000000002</v>
      </c>
    </row>
    <row r="371" spans="1:6">
      <c r="A371" s="57">
        <v>46249.083333333336</v>
      </c>
      <c r="B371" s="55" t="s">
        <v>26</v>
      </c>
      <c r="C371" s="56">
        <v>1420</v>
      </c>
      <c r="D371" s="56">
        <v>4500</v>
      </c>
      <c r="E371" s="56">
        <v>249.1019</v>
      </c>
      <c r="F371" s="56">
        <v>3420.55</v>
      </c>
    </row>
    <row r="372" spans="1:6">
      <c r="A372" s="57">
        <v>46249.125</v>
      </c>
      <c r="B372" s="55" t="s">
        <v>26</v>
      </c>
      <c r="C372" s="56">
        <v>1420</v>
      </c>
      <c r="D372" s="56">
        <v>4500</v>
      </c>
      <c r="E372" s="56">
        <v>249.041</v>
      </c>
      <c r="F372" s="56">
        <v>3409.462</v>
      </c>
    </row>
    <row r="373" spans="1:6">
      <c r="A373" s="57">
        <v>46249.166666666664</v>
      </c>
      <c r="B373" s="55" t="s">
        <v>26</v>
      </c>
      <c r="C373" s="56">
        <v>1420</v>
      </c>
      <c r="D373" s="56">
        <v>4500</v>
      </c>
      <c r="E373" s="56">
        <v>248.97970000000001</v>
      </c>
      <c r="F373" s="56">
        <v>3398.3739999999998</v>
      </c>
    </row>
    <row r="374" spans="1:6">
      <c r="A374" s="57">
        <v>46249.208333333336</v>
      </c>
      <c r="B374" s="55" t="s">
        <v>26</v>
      </c>
      <c r="C374" s="56">
        <v>1420</v>
      </c>
      <c r="D374" s="56">
        <v>4500</v>
      </c>
      <c r="E374" s="56">
        <v>248.9178</v>
      </c>
      <c r="F374" s="56">
        <v>3387.2860000000001</v>
      </c>
    </row>
    <row r="375" spans="1:6">
      <c r="A375" s="57">
        <v>46249.25</v>
      </c>
      <c r="B375" s="55" t="s">
        <v>26</v>
      </c>
      <c r="C375" s="56">
        <v>1420</v>
      </c>
      <c r="D375" s="56">
        <v>4500</v>
      </c>
      <c r="E375" s="56">
        <v>248.85589999999999</v>
      </c>
      <c r="F375" s="56">
        <v>3376.1979999999999</v>
      </c>
    </row>
    <row r="376" spans="1:6">
      <c r="A376" s="57">
        <v>46249.291666666664</v>
      </c>
      <c r="B376" s="55" t="s">
        <v>26</v>
      </c>
      <c r="C376" s="56">
        <v>1420</v>
      </c>
      <c r="D376" s="56">
        <v>4500</v>
      </c>
      <c r="E376" s="56">
        <v>248.79390000000001</v>
      </c>
      <c r="F376" s="56">
        <v>3365.11</v>
      </c>
    </row>
    <row r="377" spans="1:6">
      <c r="A377" s="57">
        <v>46249.333333333336</v>
      </c>
      <c r="B377" s="55" t="s">
        <v>26</v>
      </c>
      <c r="C377" s="56">
        <v>1420</v>
      </c>
      <c r="D377" s="56">
        <v>4500</v>
      </c>
      <c r="E377" s="56">
        <v>248.732</v>
      </c>
      <c r="F377" s="56">
        <v>3354.0219999999999</v>
      </c>
    </row>
    <row r="378" spans="1:6">
      <c r="A378" s="57">
        <v>46249.375</v>
      </c>
      <c r="B378" s="55" t="s">
        <v>26</v>
      </c>
      <c r="C378" s="56">
        <v>1420</v>
      </c>
      <c r="D378" s="56">
        <v>4500</v>
      </c>
      <c r="E378" s="56">
        <v>248.67</v>
      </c>
      <c r="F378" s="56">
        <v>3342.9340000000002</v>
      </c>
    </row>
    <row r="379" spans="1:6">
      <c r="A379" s="57">
        <v>46249.416666666664</v>
      </c>
      <c r="B379" s="55" t="s">
        <v>26</v>
      </c>
      <c r="C379" s="56">
        <v>1420</v>
      </c>
      <c r="D379" s="56">
        <v>4500</v>
      </c>
      <c r="E379" s="56">
        <v>248.60810000000001</v>
      </c>
      <c r="F379" s="56">
        <v>3331.846</v>
      </c>
    </row>
    <row r="380" spans="1:6">
      <c r="A380" s="57">
        <v>46249.458333333336</v>
      </c>
      <c r="B380" s="55" t="s">
        <v>26</v>
      </c>
      <c r="C380" s="56">
        <v>1420</v>
      </c>
      <c r="D380" s="56">
        <v>4500</v>
      </c>
      <c r="E380" s="56">
        <v>248.5461</v>
      </c>
      <c r="F380" s="56">
        <v>3320.759</v>
      </c>
    </row>
    <row r="381" spans="1:6">
      <c r="A381" s="57">
        <v>46249.5</v>
      </c>
      <c r="B381" s="55" t="s">
        <v>26</v>
      </c>
      <c r="C381" s="56">
        <v>1420</v>
      </c>
      <c r="D381" s="56">
        <v>4500</v>
      </c>
      <c r="E381" s="56">
        <v>248.48419999999999</v>
      </c>
      <c r="F381" s="56">
        <v>3309.6709999999998</v>
      </c>
    </row>
    <row r="382" spans="1:6">
      <c r="A382" s="57">
        <v>46249.541666666664</v>
      </c>
      <c r="B382" s="55" t="s">
        <v>26</v>
      </c>
      <c r="C382" s="56">
        <v>1420</v>
      </c>
      <c r="D382" s="56">
        <v>4500</v>
      </c>
      <c r="E382" s="56">
        <v>248.42230000000001</v>
      </c>
      <c r="F382" s="56">
        <v>3298.5830000000001</v>
      </c>
    </row>
    <row r="383" spans="1:6">
      <c r="A383" s="57">
        <v>46249.583333333336</v>
      </c>
      <c r="B383" s="55" t="s">
        <v>26</v>
      </c>
      <c r="C383" s="56">
        <v>1420</v>
      </c>
      <c r="D383" s="56">
        <v>4500</v>
      </c>
      <c r="E383" s="56">
        <v>248.3603</v>
      </c>
      <c r="F383" s="56">
        <v>3287.4949999999999</v>
      </c>
    </row>
    <row r="384" spans="1:6">
      <c r="A384" s="57">
        <v>46249.625</v>
      </c>
      <c r="B384" s="55" t="s">
        <v>26</v>
      </c>
      <c r="C384" s="56">
        <v>1420</v>
      </c>
      <c r="D384" s="56">
        <v>4500</v>
      </c>
      <c r="E384" s="56">
        <v>248.29839999999999</v>
      </c>
      <c r="F384" s="56">
        <v>3276.4070000000002</v>
      </c>
    </row>
    <row r="385" spans="1:6">
      <c r="A385" s="57">
        <v>46249.666666666664</v>
      </c>
      <c r="B385" s="55" t="s">
        <v>26</v>
      </c>
      <c r="C385" s="56">
        <v>1420</v>
      </c>
      <c r="D385" s="56">
        <v>4500</v>
      </c>
      <c r="E385" s="56">
        <v>248.2364</v>
      </c>
      <c r="F385" s="56">
        <v>3265.319</v>
      </c>
    </row>
    <row r="386" spans="1:6">
      <c r="A386" s="57">
        <v>46249.708333333336</v>
      </c>
      <c r="B386" s="55" t="s">
        <v>26</v>
      </c>
      <c r="C386" s="56">
        <v>1420</v>
      </c>
      <c r="D386" s="56">
        <v>4500</v>
      </c>
      <c r="E386" s="56">
        <v>248.17449999999999</v>
      </c>
      <c r="F386" s="56">
        <v>3254.2310000000002</v>
      </c>
    </row>
    <row r="387" spans="1:6">
      <c r="A387" s="57">
        <v>46249.75</v>
      </c>
      <c r="B387" s="55" t="s">
        <v>26</v>
      </c>
      <c r="C387" s="56">
        <v>1420</v>
      </c>
      <c r="D387" s="56">
        <v>4500</v>
      </c>
      <c r="E387" s="56">
        <v>248.11250000000001</v>
      </c>
      <c r="F387" s="56">
        <v>3243.143</v>
      </c>
    </row>
    <row r="388" spans="1:6">
      <c r="A388" s="57">
        <v>46249.791666666664</v>
      </c>
      <c r="B388" s="55" t="s">
        <v>26</v>
      </c>
      <c r="C388" s="56">
        <v>1420</v>
      </c>
      <c r="D388" s="56">
        <v>4500</v>
      </c>
      <c r="E388" s="56">
        <v>248.0506</v>
      </c>
      <c r="F388" s="56">
        <v>3232.0549999999998</v>
      </c>
    </row>
    <row r="389" spans="1:6">
      <c r="A389" s="57">
        <v>46249.833333333336</v>
      </c>
      <c r="B389" s="55" t="s">
        <v>26</v>
      </c>
      <c r="C389" s="56">
        <v>1420</v>
      </c>
      <c r="D389" s="56">
        <v>4500</v>
      </c>
      <c r="E389" s="56">
        <v>247.98830000000001</v>
      </c>
      <c r="F389" s="56">
        <v>3220.9679999999998</v>
      </c>
    </row>
    <row r="390" spans="1:6">
      <c r="A390" s="57">
        <v>46249.875</v>
      </c>
      <c r="B390" s="55" t="s">
        <v>26</v>
      </c>
      <c r="C390" s="56">
        <v>1420</v>
      </c>
      <c r="D390" s="56">
        <v>4500</v>
      </c>
      <c r="E390" s="56">
        <v>247.9246</v>
      </c>
      <c r="F390" s="56">
        <v>3209.88</v>
      </c>
    </row>
    <row r="391" spans="1:6">
      <c r="A391" s="57">
        <v>46249.916666666664</v>
      </c>
      <c r="B391" s="55" t="s">
        <v>26</v>
      </c>
      <c r="C391" s="56">
        <v>1420</v>
      </c>
      <c r="D391" s="56">
        <v>4500</v>
      </c>
      <c r="E391" s="56">
        <v>247.86089999999999</v>
      </c>
      <c r="F391" s="56">
        <v>3198.7919999999999</v>
      </c>
    </row>
    <row r="392" spans="1:6">
      <c r="A392" s="57">
        <v>46249.958333333336</v>
      </c>
      <c r="B392" s="55" t="s">
        <v>26</v>
      </c>
      <c r="C392" s="56">
        <v>1420</v>
      </c>
      <c r="D392" s="56">
        <v>4500</v>
      </c>
      <c r="E392" s="56">
        <v>247.7971</v>
      </c>
      <c r="F392" s="56">
        <v>3187.7040000000002</v>
      </c>
    </row>
    <row r="393" spans="1:6">
      <c r="A393" s="57">
        <v>46250</v>
      </c>
      <c r="B393" s="55" t="s">
        <v>26</v>
      </c>
      <c r="C393" s="56">
        <v>1420</v>
      </c>
      <c r="D393" s="56">
        <v>4500</v>
      </c>
      <c r="E393" s="56">
        <v>247.73339999999999</v>
      </c>
      <c r="F393" s="56">
        <v>3176.616</v>
      </c>
    </row>
    <row r="394" spans="1:6">
      <c r="A394" s="57">
        <v>46250.041666666664</v>
      </c>
      <c r="B394" s="55" t="s">
        <v>26</v>
      </c>
      <c r="C394" s="56">
        <v>1420</v>
      </c>
      <c r="D394" s="56">
        <v>4500</v>
      </c>
      <c r="E394" s="56">
        <v>247.66970000000001</v>
      </c>
      <c r="F394" s="56">
        <v>3165.5279999999998</v>
      </c>
    </row>
    <row r="395" spans="1:6">
      <c r="A395" s="57">
        <v>46250.083333333336</v>
      </c>
      <c r="B395" s="55" t="s">
        <v>26</v>
      </c>
      <c r="C395" s="56">
        <v>1420</v>
      </c>
      <c r="D395" s="56">
        <v>4500</v>
      </c>
      <c r="E395" s="56">
        <v>247.60599999999999</v>
      </c>
      <c r="F395" s="56">
        <v>3154.44</v>
      </c>
    </row>
    <row r="396" spans="1:6">
      <c r="A396" s="57">
        <v>46250.125</v>
      </c>
      <c r="B396" s="55" t="s">
        <v>26</v>
      </c>
      <c r="C396" s="56">
        <v>1420</v>
      </c>
      <c r="D396" s="56">
        <v>4500</v>
      </c>
      <c r="E396" s="56">
        <v>247.54230000000001</v>
      </c>
      <c r="F396" s="56">
        <v>3143.3519999999999</v>
      </c>
    </row>
    <row r="397" spans="1:6">
      <c r="A397" s="57">
        <v>46250.166666666664</v>
      </c>
      <c r="B397" s="55" t="s">
        <v>26</v>
      </c>
      <c r="C397" s="56">
        <v>1420</v>
      </c>
      <c r="D397" s="56">
        <v>4500</v>
      </c>
      <c r="E397" s="56">
        <v>247.4785</v>
      </c>
      <c r="F397" s="56">
        <v>3132.2640000000001</v>
      </c>
    </row>
    <row r="398" spans="1:6">
      <c r="A398" s="57">
        <v>46250.208333333336</v>
      </c>
      <c r="B398" s="55" t="s">
        <v>26</v>
      </c>
      <c r="C398" s="56">
        <v>1420</v>
      </c>
      <c r="D398" s="56">
        <v>4500</v>
      </c>
      <c r="E398" s="56">
        <v>247.41480000000001</v>
      </c>
      <c r="F398" s="56">
        <v>3121.1770000000001</v>
      </c>
    </row>
    <row r="399" spans="1:6">
      <c r="A399" s="57">
        <v>46250.25</v>
      </c>
      <c r="B399" s="55" t="s">
        <v>26</v>
      </c>
      <c r="C399" s="56">
        <v>1420</v>
      </c>
      <c r="D399" s="56">
        <v>4500</v>
      </c>
      <c r="E399" s="56">
        <v>247.3511</v>
      </c>
      <c r="F399" s="56">
        <v>3110.0889999999999</v>
      </c>
    </row>
    <row r="400" spans="1:6">
      <c r="A400" s="57">
        <v>46250.291666666664</v>
      </c>
      <c r="B400" s="55" t="s">
        <v>26</v>
      </c>
      <c r="C400" s="56">
        <v>1420</v>
      </c>
      <c r="D400" s="56">
        <v>4500</v>
      </c>
      <c r="E400" s="56">
        <v>247.28739999999999</v>
      </c>
      <c r="F400" s="56">
        <v>3099.0010000000002</v>
      </c>
    </row>
    <row r="401" spans="1:6">
      <c r="A401" s="57">
        <v>46250.333333333336</v>
      </c>
      <c r="B401" s="55" t="s">
        <v>26</v>
      </c>
      <c r="C401" s="56">
        <v>1420</v>
      </c>
      <c r="D401" s="56">
        <v>4500</v>
      </c>
      <c r="E401" s="56">
        <v>247.2236</v>
      </c>
      <c r="F401" s="56">
        <v>3087.913</v>
      </c>
    </row>
    <row r="402" spans="1:6">
      <c r="A402" s="57">
        <v>46250.375</v>
      </c>
      <c r="B402" s="55" t="s">
        <v>26</v>
      </c>
      <c r="C402" s="56">
        <v>1420</v>
      </c>
      <c r="D402" s="56">
        <v>4500</v>
      </c>
      <c r="E402" s="56">
        <v>247.15989999999999</v>
      </c>
      <c r="F402" s="56">
        <v>3076.8249999999998</v>
      </c>
    </row>
    <row r="403" spans="1:6">
      <c r="A403" s="57">
        <v>46250.416666666664</v>
      </c>
      <c r="B403" s="55" t="s">
        <v>26</v>
      </c>
      <c r="C403" s="56">
        <v>1420</v>
      </c>
      <c r="D403" s="56">
        <v>4500</v>
      </c>
      <c r="E403" s="56">
        <v>247.09620000000001</v>
      </c>
      <c r="F403" s="56">
        <v>3065.7370000000001</v>
      </c>
    </row>
    <row r="404" spans="1:6">
      <c r="A404" s="57">
        <v>46250.458333333336</v>
      </c>
      <c r="B404" s="55" t="s">
        <v>26</v>
      </c>
      <c r="C404" s="56">
        <v>1420</v>
      </c>
      <c r="D404" s="56">
        <v>4500</v>
      </c>
      <c r="E404" s="56">
        <v>247.0325</v>
      </c>
      <c r="F404" s="56">
        <v>3054.6489999999999</v>
      </c>
    </row>
    <row r="405" spans="1:6">
      <c r="A405" s="57">
        <v>46250.5</v>
      </c>
      <c r="B405" s="55" t="s">
        <v>26</v>
      </c>
      <c r="C405" s="56">
        <v>1420</v>
      </c>
      <c r="D405" s="56">
        <v>4500</v>
      </c>
      <c r="E405" s="56">
        <v>246.9684</v>
      </c>
      <c r="F405" s="56">
        <v>3043.5610000000001</v>
      </c>
    </row>
    <row r="406" spans="1:6">
      <c r="A406" s="57">
        <v>46250.541666666664</v>
      </c>
      <c r="B406" s="55" t="s">
        <v>26</v>
      </c>
      <c r="C406" s="56">
        <v>1420</v>
      </c>
      <c r="D406" s="56">
        <v>4500</v>
      </c>
      <c r="E406" s="56">
        <v>246.90389999999999</v>
      </c>
      <c r="F406" s="56">
        <v>3032.473</v>
      </c>
    </row>
    <row r="407" spans="1:6">
      <c r="A407" s="57">
        <v>46250.583333333336</v>
      </c>
      <c r="B407" s="55" t="s">
        <v>26</v>
      </c>
      <c r="C407" s="56">
        <v>1420</v>
      </c>
      <c r="D407" s="56">
        <v>4500</v>
      </c>
      <c r="E407" s="56">
        <v>246.83940000000001</v>
      </c>
      <c r="F407" s="56">
        <v>3021.3850000000002</v>
      </c>
    </row>
    <row r="408" spans="1:6">
      <c r="A408" s="57">
        <v>46250.625</v>
      </c>
      <c r="B408" s="55" t="s">
        <v>26</v>
      </c>
      <c r="C408" s="56">
        <v>1420</v>
      </c>
      <c r="D408" s="56">
        <v>4500</v>
      </c>
      <c r="E408" s="56">
        <v>246.77500000000001</v>
      </c>
      <c r="F408" s="56">
        <v>3010.2979999999998</v>
      </c>
    </row>
    <row r="409" spans="1:6">
      <c r="A409" s="57">
        <v>46250.666666666664</v>
      </c>
      <c r="B409" s="55" t="s">
        <v>26</v>
      </c>
      <c r="C409" s="56">
        <v>1420</v>
      </c>
      <c r="D409" s="56">
        <v>4500</v>
      </c>
      <c r="E409" s="56">
        <v>246.7105</v>
      </c>
      <c r="F409" s="56">
        <v>2999.21</v>
      </c>
    </row>
    <row r="410" spans="1:6">
      <c r="A410" s="57">
        <v>46250.708333333336</v>
      </c>
      <c r="B410" s="55" t="s">
        <v>26</v>
      </c>
      <c r="C410" s="56">
        <v>1420</v>
      </c>
      <c r="D410" s="56">
        <v>4500</v>
      </c>
      <c r="E410" s="56">
        <v>246.64609999999999</v>
      </c>
      <c r="F410" s="56">
        <v>2988.1219999999998</v>
      </c>
    </row>
    <row r="411" spans="1:6">
      <c r="A411" s="57">
        <v>46250.75</v>
      </c>
      <c r="B411" s="55" t="s">
        <v>26</v>
      </c>
      <c r="C411" s="56">
        <v>1420</v>
      </c>
      <c r="D411" s="56">
        <v>4500</v>
      </c>
      <c r="E411" s="56">
        <v>246.58160000000001</v>
      </c>
      <c r="F411" s="56">
        <v>2977.0340000000001</v>
      </c>
    </row>
    <row r="412" spans="1:6">
      <c r="A412" s="57">
        <v>46250.791666666664</v>
      </c>
      <c r="B412" s="55" t="s">
        <v>26</v>
      </c>
      <c r="C412" s="56">
        <v>1420</v>
      </c>
      <c r="D412" s="56">
        <v>4500</v>
      </c>
      <c r="E412" s="56">
        <v>246.5171</v>
      </c>
      <c r="F412" s="56">
        <v>2965.9459999999999</v>
      </c>
    </row>
    <row r="413" spans="1:6">
      <c r="A413" s="57">
        <v>46250.833333333336</v>
      </c>
      <c r="B413" s="55" t="s">
        <v>26</v>
      </c>
      <c r="C413" s="56">
        <v>1420</v>
      </c>
      <c r="D413" s="56">
        <v>4500</v>
      </c>
      <c r="E413" s="56">
        <v>246.45269999999999</v>
      </c>
      <c r="F413" s="56">
        <v>2954.8580000000002</v>
      </c>
    </row>
    <row r="414" spans="1:6">
      <c r="A414" s="57">
        <v>46250.875</v>
      </c>
      <c r="B414" s="55" t="s">
        <v>26</v>
      </c>
      <c r="C414" s="56">
        <v>1420</v>
      </c>
      <c r="D414" s="56">
        <v>4500</v>
      </c>
      <c r="E414" s="56">
        <v>246.38820000000001</v>
      </c>
      <c r="F414" s="56">
        <v>2943.77</v>
      </c>
    </row>
    <row r="415" spans="1:6">
      <c r="A415" s="57">
        <v>46250.916666666664</v>
      </c>
      <c r="B415" s="55" t="s">
        <v>26</v>
      </c>
      <c r="C415" s="56">
        <v>1420</v>
      </c>
      <c r="D415" s="56">
        <v>4500</v>
      </c>
      <c r="E415" s="56">
        <v>246.3237</v>
      </c>
      <c r="F415" s="56">
        <v>2932.6819999999998</v>
      </c>
    </row>
    <row r="416" spans="1:6">
      <c r="A416" s="57">
        <v>46250.958333333336</v>
      </c>
      <c r="B416" s="55" t="s">
        <v>26</v>
      </c>
      <c r="C416" s="56">
        <v>1420</v>
      </c>
      <c r="D416" s="56">
        <v>4500</v>
      </c>
      <c r="E416" s="56">
        <v>246.2593</v>
      </c>
      <c r="F416" s="56">
        <v>2921.5940000000001</v>
      </c>
    </row>
    <row r="417" spans="1:6">
      <c r="A417" s="57">
        <v>46251</v>
      </c>
      <c r="B417" s="55" t="s">
        <v>26</v>
      </c>
      <c r="C417" s="56">
        <v>1420</v>
      </c>
      <c r="D417" s="56">
        <v>4500</v>
      </c>
      <c r="E417" s="56">
        <v>246.19479999999999</v>
      </c>
      <c r="F417" s="56">
        <v>2910.5070000000001</v>
      </c>
    </row>
    <row r="418" spans="1:6">
      <c r="A418" s="57">
        <v>46251.041666666664</v>
      </c>
      <c r="B418" s="55" t="s">
        <v>26</v>
      </c>
      <c r="C418" s="56">
        <v>1420</v>
      </c>
      <c r="D418" s="56">
        <v>4500</v>
      </c>
      <c r="E418" s="56">
        <v>246.13030000000001</v>
      </c>
      <c r="F418" s="56">
        <v>2899.4189999999999</v>
      </c>
    </row>
    <row r="419" spans="1:6">
      <c r="A419" s="57">
        <v>46251.083333333336</v>
      </c>
      <c r="B419" s="55" t="s">
        <v>26</v>
      </c>
      <c r="C419" s="56">
        <v>1420</v>
      </c>
      <c r="D419" s="56">
        <v>4500</v>
      </c>
      <c r="E419" s="56">
        <v>246.0659</v>
      </c>
      <c r="F419" s="56">
        <v>2888.3310000000001</v>
      </c>
    </row>
    <row r="420" spans="1:6">
      <c r="A420" s="57">
        <v>46251.125</v>
      </c>
      <c r="B420" s="55" t="s">
        <v>26</v>
      </c>
      <c r="C420" s="56">
        <v>1420</v>
      </c>
      <c r="D420" s="56">
        <v>4500</v>
      </c>
      <c r="E420" s="56">
        <v>246.00139999999999</v>
      </c>
      <c r="F420" s="56">
        <v>2877.2429999999999</v>
      </c>
    </row>
    <row r="421" spans="1:6">
      <c r="A421" s="57">
        <v>46251.166666666664</v>
      </c>
      <c r="B421" s="55" t="s">
        <v>26</v>
      </c>
      <c r="C421" s="56">
        <v>1420</v>
      </c>
      <c r="D421" s="56">
        <v>4500</v>
      </c>
      <c r="E421" s="56">
        <v>245.93510000000001</v>
      </c>
      <c r="F421" s="56">
        <v>2866.1550000000002</v>
      </c>
    </row>
    <row r="422" spans="1:6">
      <c r="A422" s="57">
        <v>46251.208333333336</v>
      </c>
      <c r="B422" s="55" t="s">
        <v>26</v>
      </c>
      <c r="C422" s="56">
        <v>1420</v>
      </c>
      <c r="D422" s="56">
        <v>4500</v>
      </c>
      <c r="E422" s="56">
        <v>245.86869999999999</v>
      </c>
      <c r="F422" s="56">
        <v>2855.067</v>
      </c>
    </row>
    <row r="423" spans="1:6">
      <c r="A423" s="57">
        <v>46251.25</v>
      </c>
      <c r="B423" s="55" t="s">
        <v>26</v>
      </c>
      <c r="C423" s="56">
        <v>1420</v>
      </c>
      <c r="D423" s="56">
        <v>4500</v>
      </c>
      <c r="E423" s="56">
        <v>245.8023</v>
      </c>
      <c r="F423" s="56">
        <v>2843.9789999999998</v>
      </c>
    </row>
    <row r="424" spans="1:6">
      <c r="A424" s="57">
        <v>46251.291666666664</v>
      </c>
      <c r="B424" s="55" t="s">
        <v>26</v>
      </c>
      <c r="C424" s="56">
        <v>1420</v>
      </c>
      <c r="D424" s="56">
        <v>4500</v>
      </c>
      <c r="E424" s="56">
        <v>245.73589999999999</v>
      </c>
      <c r="F424" s="56">
        <v>2832.8910000000001</v>
      </c>
    </row>
    <row r="425" spans="1:6">
      <c r="A425" s="57">
        <v>46251.333333333336</v>
      </c>
      <c r="B425" s="55" t="s">
        <v>26</v>
      </c>
      <c r="C425" s="56">
        <v>1420</v>
      </c>
      <c r="D425" s="56">
        <v>4500</v>
      </c>
      <c r="E425" s="56">
        <v>245.6695</v>
      </c>
      <c r="F425" s="56">
        <v>2821.8029999999999</v>
      </c>
    </row>
    <row r="426" spans="1:6">
      <c r="A426" s="57">
        <v>46251.375</v>
      </c>
      <c r="B426" s="55" t="s">
        <v>26</v>
      </c>
      <c r="C426" s="56">
        <v>1420</v>
      </c>
      <c r="D426" s="56">
        <v>4500</v>
      </c>
      <c r="E426" s="56">
        <v>245.60310000000001</v>
      </c>
      <c r="F426" s="56">
        <v>2810.7159999999999</v>
      </c>
    </row>
    <row r="427" spans="1:6">
      <c r="A427" s="57">
        <v>46251.416666666664</v>
      </c>
      <c r="B427" s="55" t="s">
        <v>26</v>
      </c>
      <c r="C427" s="56">
        <v>1420</v>
      </c>
      <c r="D427" s="56">
        <v>4500</v>
      </c>
      <c r="E427" s="56">
        <v>245.5367</v>
      </c>
      <c r="F427" s="56">
        <v>2799.6280000000002</v>
      </c>
    </row>
    <row r="428" spans="1:6">
      <c r="A428" s="57">
        <v>46251.458333333336</v>
      </c>
      <c r="B428" s="55" t="s">
        <v>26</v>
      </c>
      <c r="C428" s="56">
        <v>1420</v>
      </c>
      <c r="D428" s="56">
        <v>4500</v>
      </c>
      <c r="E428" s="56">
        <v>245.47030000000001</v>
      </c>
      <c r="F428" s="56">
        <v>2788.54</v>
      </c>
    </row>
    <row r="429" spans="1:6">
      <c r="A429" s="57">
        <v>46251.5</v>
      </c>
      <c r="B429" s="55" t="s">
        <v>26</v>
      </c>
      <c r="C429" s="56">
        <v>1420</v>
      </c>
      <c r="D429" s="56">
        <v>4500</v>
      </c>
      <c r="E429" s="56">
        <v>245.40389999999999</v>
      </c>
      <c r="F429" s="56">
        <v>2777.4520000000002</v>
      </c>
    </row>
    <row r="430" spans="1:6">
      <c r="A430" s="57">
        <v>46251.541666666664</v>
      </c>
      <c r="B430" s="55" t="s">
        <v>26</v>
      </c>
      <c r="C430" s="56">
        <v>1420</v>
      </c>
      <c r="D430" s="56">
        <v>4500</v>
      </c>
      <c r="E430" s="56">
        <v>245.33750000000001</v>
      </c>
      <c r="F430" s="56">
        <v>2766.364</v>
      </c>
    </row>
    <row r="431" spans="1:6">
      <c r="A431" s="57">
        <v>46251.583333333336</v>
      </c>
      <c r="B431" s="55" t="s">
        <v>26</v>
      </c>
      <c r="C431" s="56">
        <v>1420</v>
      </c>
      <c r="D431" s="56">
        <v>4500</v>
      </c>
      <c r="E431" s="56">
        <v>245.27109999999999</v>
      </c>
      <c r="F431" s="56">
        <v>2755.2759999999998</v>
      </c>
    </row>
    <row r="432" spans="1:6">
      <c r="A432" s="57">
        <v>46251.625</v>
      </c>
      <c r="B432" s="55" t="s">
        <v>26</v>
      </c>
      <c r="C432" s="56">
        <v>1420</v>
      </c>
      <c r="D432" s="56">
        <v>4500</v>
      </c>
      <c r="E432" s="56">
        <v>245.2047</v>
      </c>
      <c r="F432" s="56">
        <v>2744.1880000000001</v>
      </c>
    </row>
    <row r="433" spans="1:6">
      <c r="A433" s="57">
        <v>46251.666666666664</v>
      </c>
      <c r="B433" s="55" t="s">
        <v>26</v>
      </c>
      <c r="C433" s="56">
        <v>1420</v>
      </c>
      <c r="D433" s="56">
        <v>4500</v>
      </c>
      <c r="E433" s="56">
        <v>245.13829999999999</v>
      </c>
      <c r="F433" s="56">
        <v>2733.1</v>
      </c>
    </row>
    <row r="434" spans="1:6">
      <c r="A434" s="57">
        <v>46251.708333333336</v>
      </c>
      <c r="B434" s="55" t="s">
        <v>26</v>
      </c>
      <c r="C434" s="56">
        <v>1420</v>
      </c>
      <c r="D434" s="56">
        <v>4500</v>
      </c>
      <c r="E434" s="56">
        <v>245.0719</v>
      </c>
      <c r="F434" s="56">
        <v>2722.0120000000002</v>
      </c>
    </row>
    <row r="435" spans="1:6">
      <c r="A435" s="57">
        <v>46251.75</v>
      </c>
      <c r="B435" s="55" t="s">
        <v>26</v>
      </c>
      <c r="C435" s="56">
        <v>1420</v>
      </c>
      <c r="D435" s="56">
        <v>4500</v>
      </c>
      <c r="E435" s="56">
        <v>245.00550000000001</v>
      </c>
      <c r="F435" s="56">
        <v>2710.9250000000002</v>
      </c>
    </row>
    <row r="436" spans="1:6">
      <c r="A436" s="57">
        <v>46251.791666666664</v>
      </c>
      <c r="B436" s="55" t="s">
        <v>26</v>
      </c>
      <c r="C436" s="56">
        <v>1420</v>
      </c>
      <c r="D436" s="56">
        <v>4500</v>
      </c>
      <c r="E436" s="56">
        <v>244.93799999999999</v>
      </c>
      <c r="F436" s="56">
        <v>2699.837</v>
      </c>
    </row>
    <row r="437" spans="1:6">
      <c r="A437" s="57">
        <v>46251.833333333336</v>
      </c>
      <c r="B437" s="55" t="s">
        <v>26</v>
      </c>
      <c r="C437" s="56">
        <v>1420</v>
      </c>
      <c r="D437" s="56">
        <v>4500</v>
      </c>
      <c r="E437" s="56">
        <v>244.87039999999999</v>
      </c>
      <c r="F437" s="56">
        <v>2688.7489999999998</v>
      </c>
    </row>
    <row r="438" spans="1:6">
      <c r="A438" s="57">
        <v>46251.875</v>
      </c>
      <c r="B438" s="55" t="s">
        <v>26</v>
      </c>
      <c r="C438" s="56">
        <v>1420</v>
      </c>
      <c r="D438" s="56">
        <v>4500</v>
      </c>
      <c r="E438" s="56">
        <v>244.80279999999999</v>
      </c>
      <c r="F438" s="56">
        <v>2677.6610000000001</v>
      </c>
    </row>
    <row r="439" spans="1:6">
      <c r="A439" s="57">
        <v>46251.916666666664</v>
      </c>
      <c r="B439" s="55" t="s">
        <v>26</v>
      </c>
      <c r="C439" s="56">
        <v>1420</v>
      </c>
      <c r="D439" s="56">
        <v>4500</v>
      </c>
      <c r="E439" s="56">
        <v>244.73519999999999</v>
      </c>
      <c r="F439" s="56">
        <v>2666.5729999999999</v>
      </c>
    </row>
    <row r="440" spans="1:6">
      <c r="A440" s="57">
        <v>46251.958333333336</v>
      </c>
      <c r="B440" s="55" t="s">
        <v>26</v>
      </c>
      <c r="C440" s="56">
        <v>1420</v>
      </c>
      <c r="D440" s="56">
        <v>4500</v>
      </c>
      <c r="E440" s="56">
        <v>244.66759999999999</v>
      </c>
      <c r="F440" s="56">
        <v>2655.4850000000001</v>
      </c>
    </row>
    <row r="441" spans="1:6">
      <c r="A441" s="57">
        <v>46252</v>
      </c>
      <c r="B441" s="55" t="s">
        <v>26</v>
      </c>
      <c r="C441" s="56">
        <v>1420</v>
      </c>
      <c r="D441" s="56">
        <v>4500</v>
      </c>
      <c r="E441" s="56">
        <v>244.6</v>
      </c>
      <c r="F441" s="56">
        <v>2644.3969999999999</v>
      </c>
    </row>
    <row r="442" spans="1:6">
      <c r="A442" s="57">
        <v>46252.041666666664</v>
      </c>
      <c r="B442" s="55" t="s">
        <v>26</v>
      </c>
      <c r="C442" s="56">
        <v>1420</v>
      </c>
      <c r="D442" s="56">
        <v>4500</v>
      </c>
      <c r="E442" s="56">
        <v>244.5324</v>
      </c>
      <c r="F442" s="56">
        <v>2633.3090000000002</v>
      </c>
    </row>
    <row r="443" spans="1:6">
      <c r="A443" s="57">
        <v>46252.083333333336</v>
      </c>
      <c r="B443" s="55" t="s">
        <v>26</v>
      </c>
      <c r="C443" s="56">
        <v>1420</v>
      </c>
      <c r="D443" s="56">
        <v>4500</v>
      </c>
      <c r="E443" s="56">
        <v>244.4648</v>
      </c>
      <c r="F443" s="56">
        <v>2622.221</v>
      </c>
    </row>
    <row r="444" spans="1:6">
      <c r="A444" s="57">
        <v>46252.125</v>
      </c>
      <c r="B444" s="55" t="s">
        <v>26</v>
      </c>
      <c r="C444" s="56">
        <v>1420</v>
      </c>
      <c r="D444" s="56">
        <v>4500</v>
      </c>
      <c r="E444" s="56">
        <v>244.3972</v>
      </c>
      <c r="F444" s="56">
        <v>2611.134</v>
      </c>
    </row>
    <row r="445" spans="1:6">
      <c r="A445" s="57">
        <v>46252.166666666664</v>
      </c>
      <c r="B445" s="55" t="s">
        <v>26</v>
      </c>
      <c r="C445" s="56">
        <v>1420</v>
      </c>
      <c r="D445" s="56">
        <v>4500</v>
      </c>
      <c r="E445" s="56">
        <v>244.3295</v>
      </c>
      <c r="F445" s="56">
        <v>2600.0459999999998</v>
      </c>
    </row>
    <row r="446" spans="1:6">
      <c r="A446" s="57">
        <v>46252.208333333336</v>
      </c>
      <c r="B446" s="55" t="s">
        <v>26</v>
      </c>
      <c r="C446" s="56">
        <v>1420</v>
      </c>
      <c r="D446" s="56">
        <v>4500</v>
      </c>
      <c r="E446" s="56">
        <v>244.2619</v>
      </c>
      <c r="F446" s="56">
        <v>2588.9580000000001</v>
      </c>
    </row>
    <row r="447" spans="1:6">
      <c r="A447" s="57">
        <v>46252.25</v>
      </c>
      <c r="B447" s="55" t="s">
        <v>26</v>
      </c>
      <c r="C447" s="56">
        <v>1420</v>
      </c>
      <c r="D447" s="56">
        <v>4500</v>
      </c>
      <c r="E447" s="56">
        <v>244.1943</v>
      </c>
      <c r="F447" s="56">
        <v>2577.87</v>
      </c>
    </row>
    <row r="448" spans="1:6">
      <c r="A448" s="57">
        <v>46252.291666666664</v>
      </c>
      <c r="B448" s="55" t="s">
        <v>26</v>
      </c>
      <c r="C448" s="56">
        <v>1420</v>
      </c>
      <c r="D448" s="56">
        <v>4500</v>
      </c>
      <c r="E448" s="56">
        <v>244.1267</v>
      </c>
      <c r="F448" s="56">
        <v>2566.7820000000002</v>
      </c>
    </row>
    <row r="449" spans="1:6">
      <c r="A449" s="57">
        <v>46252.333333333336</v>
      </c>
      <c r="B449" s="55" t="s">
        <v>26</v>
      </c>
      <c r="C449" s="56">
        <v>1420</v>
      </c>
      <c r="D449" s="56">
        <v>4500</v>
      </c>
      <c r="E449" s="56">
        <v>244.0591</v>
      </c>
      <c r="F449" s="56">
        <v>2555.694</v>
      </c>
    </row>
    <row r="450" spans="1:6">
      <c r="A450" s="57">
        <v>46252.375</v>
      </c>
      <c r="B450" s="55" t="s">
        <v>26</v>
      </c>
      <c r="C450" s="56">
        <v>1420</v>
      </c>
      <c r="D450" s="56">
        <v>4500</v>
      </c>
      <c r="E450" s="56">
        <v>243.9913</v>
      </c>
      <c r="F450" s="56">
        <v>2544.6060000000002</v>
      </c>
    </row>
    <row r="451" spans="1:6">
      <c r="A451" s="57">
        <v>46252.416666666664</v>
      </c>
      <c r="B451" s="55" t="s">
        <v>26</v>
      </c>
      <c r="C451" s="56">
        <v>1420</v>
      </c>
      <c r="D451" s="56">
        <v>4500</v>
      </c>
      <c r="E451" s="56">
        <v>243.922</v>
      </c>
      <c r="F451" s="56">
        <v>2533.518</v>
      </c>
    </row>
    <row r="452" spans="1:6">
      <c r="A452" s="57">
        <v>46252.458333333336</v>
      </c>
      <c r="B452" s="55" t="s">
        <v>26</v>
      </c>
      <c r="C452" s="56">
        <v>1420</v>
      </c>
      <c r="D452" s="56">
        <v>4500</v>
      </c>
      <c r="E452" s="56">
        <v>243.8527</v>
      </c>
      <c r="F452" s="56">
        <v>2522.4299999999998</v>
      </c>
    </row>
    <row r="453" spans="1:6">
      <c r="A453" s="57">
        <v>46252.5</v>
      </c>
      <c r="B453" s="55" t="s">
        <v>26</v>
      </c>
      <c r="C453" s="56">
        <v>1420</v>
      </c>
      <c r="D453" s="56">
        <v>4500</v>
      </c>
      <c r="E453" s="56">
        <v>243.7834</v>
      </c>
      <c r="F453" s="56">
        <v>2511.3429999999998</v>
      </c>
    </row>
    <row r="454" spans="1:6">
      <c r="A454" s="57">
        <v>46252.541666666664</v>
      </c>
      <c r="B454" s="55" t="s">
        <v>26</v>
      </c>
      <c r="C454" s="56">
        <v>1420</v>
      </c>
      <c r="D454" s="56">
        <v>4500</v>
      </c>
      <c r="E454" s="56">
        <v>243.7141</v>
      </c>
      <c r="F454" s="56">
        <v>2500.2550000000001</v>
      </c>
    </row>
    <row r="455" spans="1:6">
      <c r="A455" s="57">
        <v>46252.583333333336</v>
      </c>
      <c r="B455" s="55" t="s">
        <v>26</v>
      </c>
      <c r="C455" s="56">
        <v>1420</v>
      </c>
      <c r="D455" s="56">
        <v>4500</v>
      </c>
      <c r="E455" s="56">
        <v>243.6448</v>
      </c>
      <c r="F455" s="56">
        <v>2489.1669999999999</v>
      </c>
    </row>
    <row r="456" spans="1:6">
      <c r="A456" s="57">
        <v>46252.625</v>
      </c>
      <c r="B456" s="55" t="s">
        <v>26</v>
      </c>
      <c r="C456" s="56">
        <v>1420</v>
      </c>
      <c r="D456" s="56">
        <v>4500</v>
      </c>
      <c r="E456" s="56">
        <v>243.57550000000001</v>
      </c>
      <c r="F456" s="56">
        <v>2478.0790000000002</v>
      </c>
    </row>
    <row r="457" spans="1:6">
      <c r="A457" s="57">
        <v>46252.666666666664</v>
      </c>
      <c r="B457" s="55" t="s">
        <v>26</v>
      </c>
      <c r="C457" s="56">
        <v>1420</v>
      </c>
      <c r="D457" s="56">
        <v>4500</v>
      </c>
      <c r="E457" s="56">
        <v>243.50620000000001</v>
      </c>
      <c r="F457" s="56">
        <v>2466.991</v>
      </c>
    </row>
    <row r="458" spans="1:6">
      <c r="A458" s="57">
        <v>46252.708333333336</v>
      </c>
      <c r="B458" s="55" t="s">
        <v>26</v>
      </c>
      <c r="C458" s="56">
        <v>1420</v>
      </c>
      <c r="D458" s="56">
        <v>4500</v>
      </c>
      <c r="E458" s="56">
        <v>243.43690000000001</v>
      </c>
      <c r="F458" s="56">
        <v>2455.9029999999998</v>
      </c>
    </row>
    <row r="459" spans="1:6">
      <c r="A459" s="57">
        <v>46252.75</v>
      </c>
      <c r="B459" s="55" t="s">
        <v>26</v>
      </c>
      <c r="C459" s="56">
        <v>1420</v>
      </c>
      <c r="D459" s="56">
        <v>4500</v>
      </c>
      <c r="E459" s="56">
        <v>243.36760000000001</v>
      </c>
      <c r="F459" s="56">
        <v>2444.8150000000001</v>
      </c>
    </row>
    <row r="460" spans="1:6">
      <c r="A460" s="57">
        <v>46252.791666666664</v>
      </c>
      <c r="B460" s="55" t="s">
        <v>26</v>
      </c>
      <c r="C460" s="56">
        <v>1420</v>
      </c>
      <c r="D460" s="56">
        <v>4500</v>
      </c>
      <c r="E460" s="56">
        <v>243.29830000000001</v>
      </c>
      <c r="F460" s="56">
        <v>2433.7269999999999</v>
      </c>
    </row>
    <row r="461" spans="1:6">
      <c r="A461" s="57">
        <v>46252.833333333336</v>
      </c>
      <c r="B461" s="55" t="s">
        <v>26</v>
      </c>
      <c r="C461" s="56">
        <v>1420</v>
      </c>
      <c r="D461" s="56">
        <v>4500</v>
      </c>
      <c r="E461" s="56">
        <v>243.22900000000001</v>
      </c>
      <c r="F461" s="56">
        <v>2422.6390000000001</v>
      </c>
    </row>
    <row r="462" spans="1:6">
      <c r="A462" s="57">
        <v>46252.875</v>
      </c>
      <c r="B462" s="55" t="s">
        <v>26</v>
      </c>
      <c r="C462" s="56">
        <v>1420</v>
      </c>
      <c r="D462" s="56">
        <v>4500</v>
      </c>
      <c r="E462" s="56">
        <v>243.15969999999999</v>
      </c>
      <c r="F462" s="56">
        <v>2411.5520000000001</v>
      </c>
    </row>
    <row r="463" spans="1:6">
      <c r="A463" s="57">
        <v>46252.916666666664</v>
      </c>
      <c r="B463" s="55" t="s">
        <v>26</v>
      </c>
      <c r="C463" s="56">
        <v>1420</v>
      </c>
      <c r="D463" s="56">
        <v>4500</v>
      </c>
      <c r="E463" s="56">
        <v>243.09039999999999</v>
      </c>
      <c r="F463" s="56">
        <v>2400.4639999999999</v>
      </c>
    </row>
    <row r="464" spans="1:6">
      <c r="A464" s="57">
        <v>46252.958333333336</v>
      </c>
      <c r="B464" s="55" t="s">
        <v>26</v>
      </c>
      <c r="C464" s="56">
        <v>1420</v>
      </c>
      <c r="D464" s="56">
        <v>4500</v>
      </c>
      <c r="E464" s="56">
        <v>243.02109999999999</v>
      </c>
      <c r="F464" s="56">
        <v>2389.3760000000002</v>
      </c>
    </row>
    <row r="465" spans="1:6">
      <c r="A465" s="57">
        <v>46253</v>
      </c>
      <c r="B465" s="55" t="s">
        <v>26</v>
      </c>
      <c r="C465" s="56">
        <v>1420</v>
      </c>
      <c r="D465" s="56">
        <v>4500</v>
      </c>
      <c r="E465" s="56">
        <v>242.9502</v>
      </c>
      <c r="F465" s="56">
        <v>2378.288</v>
      </c>
    </row>
    <row r="466" spans="1:6">
      <c r="A466" s="57">
        <v>46253.041666666664</v>
      </c>
      <c r="B466" s="55" t="s">
        <v>26</v>
      </c>
      <c r="C466" s="56">
        <v>1420</v>
      </c>
      <c r="D466" s="56">
        <v>4500</v>
      </c>
      <c r="E466" s="56">
        <v>242.87870000000001</v>
      </c>
      <c r="F466" s="56">
        <v>2367.1999999999998</v>
      </c>
    </row>
    <row r="467" spans="1:6">
      <c r="A467" s="57">
        <v>46253.083333333336</v>
      </c>
      <c r="B467" s="55" t="s">
        <v>26</v>
      </c>
      <c r="C467" s="56">
        <v>1420</v>
      </c>
      <c r="D467" s="56">
        <v>4500</v>
      </c>
      <c r="E467" s="56">
        <v>242.80719999999999</v>
      </c>
      <c r="F467" s="56">
        <v>2356.1120000000001</v>
      </c>
    </row>
    <row r="468" spans="1:6">
      <c r="A468" s="57">
        <v>46253.125</v>
      </c>
      <c r="B468" s="55" t="s">
        <v>26</v>
      </c>
      <c r="C468" s="56">
        <v>1420</v>
      </c>
      <c r="D468" s="56">
        <v>4500</v>
      </c>
      <c r="E468" s="56">
        <v>242.73560000000001</v>
      </c>
      <c r="F468" s="56">
        <v>2345.0239999999999</v>
      </c>
    </row>
    <row r="469" spans="1:6">
      <c r="A469" s="57">
        <v>46253.166666666664</v>
      </c>
      <c r="B469" s="55" t="s">
        <v>26</v>
      </c>
      <c r="C469" s="56">
        <v>1420</v>
      </c>
      <c r="D469" s="56">
        <v>4500</v>
      </c>
      <c r="E469" s="56">
        <v>242.66409999999999</v>
      </c>
      <c r="F469" s="56">
        <v>2333.9360000000001</v>
      </c>
    </row>
    <row r="470" spans="1:6">
      <c r="A470" s="57">
        <v>46253.208333333336</v>
      </c>
      <c r="B470" s="55" t="s">
        <v>26</v>
      </c>
      <c r="C470" s="56">
        <v>1420</v>
      </c>
      <c r="D470" s="56">
        <v>4500</v>
      </c>
      <c r="E470" s="56">
        <v>242.5926</v>
      </c>
      <c r="F470" s="56">
        <v>2322.848</v>
      </c>
    </row>
    <row r="471" spans="1:6">
      <c r="A471" s="57">
        <v>46253.25</v>
      </c>
      <c r="B471" s="55" t="s">
        <v>26</v>
      </c>
      <c r="C471" s="56">
        <v>1420</v>
      </c>
      <c r="D471" s="56">
        <v>4500</v>
      </c>
      <c r="E471" s="56">
        <v>242.52099999999999</v>
      </c>
      <c r="F471" s="56">
        <v>2311.7600000000002</v>
      </c>
    </row>
    <row r="472" spans="1:6">
      <c r="A472" s="57">
        <v>46253.291666666664</v>
      </c>
      <c r="B472" s="55" t="s">
        <v>26</v>
      </c>
      <c r="C472" s="56">
        <v>1420</v>
      </c>
      <c r="D472" s="56">
        <v>4500</v>
      </c>
      <c r="E472" s="56">
        <v>242.4495</v>
      </c>
      <c r="F472" s="56">
        <v>2300.6729999999998</v>
      </c>
    </row>
    <row r="473" spans="1:6">
      <c r="A473" s="57">
        <v>46253.333333333336</v>
      </c>
      <c r="B473" s="55" t="s">
        <v>26</v>
      </c>
      <c r="C473" s="56">
        <v>1420</v>
      </c>
      <c r="D473" s="56">
        <v>4500</v>
      </c>
      <c r="E473" s="56">
        <v>242.37799999999999</v>
      </c>
      <c r="F473" s="56">
        <v>2289.585</v>
      </c>
    </row>
    <row r="474" spans="1:6">
      <c r="A474" s="57">
        <v>46253.375</v>
      </c>
      <c r="B474" s="55" t="s">
        <v>26</v>
      </c>
      <c r="C474" s="56">
        <v>1420</v>
      </c>
      <c r="D474" s="56">
        <v>4500</v>
      </c>
      <c r="E474" s="56">
        <v>242.3064</v>
      </c>
      <c r="F474" s="56">
        <v>2278.4969999999998</v>
      </c>
    </row>
    <row r="475" spans="1:6">
      <c r="A475" s="57">
        <v>46253.416666666664</v>
      </c>
      <c r="B475" s="55" t="s">
        <v>26</v>
      </c>
      <c r="C475" s="56">
        <v>1420</v>
      </c>
      <c r="D475" s="56">
        <v>4500</v>
      </c>
      <c r="E475" s="56">
        <v>242.23490000000001</v>
      </c>
      <c r="F475" s="56">
        <v>2267.4090000000001</v>
      </c>
    </row>
    <row r="476" spans="1:6">
      <c r="A476" s="57">
        <v>46253.458333333336</v>
      </c>
      <c r="B476" s="55" t="s">
        <v>26</v>
      </c>
      <c r="C476" s="56">
        <v>1420</v>
      </c>
      <c r="D476" s="56">
        <v>4500</v>
      </c>
      <c r="E476" s="56">
        <v>242.1634</v>
      </c>
      <c r="F476" s="56">
        <v>2256.3209999999999</v>
      </c>
    </row>
    <row r="477" spans="1:6">
      <c r="A477" s="57">
        <v>46253.5</v>
      </c>
      <c r="B477" s="55" t="s">
        <v>26</v>
      </c>
      <c r="C477" s="56">
        <v>1420</v>
      </c>
      <c r="D477" s="56">
        <v>4500</v>
      </c>
      <c r="E477" s="56">
        <v>242.09180000000001</v>
      </c>
      <c r="F477" s="56">
        <v>2245.2330000000002</v>
      </c>
    </row>
    <row r="478" spans="1:6">
      <c r="A478" s="57">
        <v>46253.541666666664</v>
      </c>
      <c r="B478" s="55" t="s">
        <v>26</v>
      </c>
      <c r="C478" s="56">
        <v>1420</v>
      </c>
      <c r="D478" s="56">
        <v>4500</v>
      </c>
      <c r="E478" s="56">
        <v>242.02029999999999</v>
      </c>
      <c r="F478" s="56">
        <v>2234.145</v>
      </c>
    </row>
    <row r="479" spans="1:6">
      <c r="A479" s="57">
        <v>46253.583333333336</v>
      </c>
      <c r="B479" s="55" t="s">
        <v>26</v>
      </c>
      <c r="C479" s="56">
        <v>1420</v>
      </c>
      <c r="D479" s="56">
        <v>4500</v>
      </c>
      <c r="E479" s="56">
        <v>241.94710000000001</v>
      </c>
      <c r="F479" s="56">
        <v>2223.0569999999998</v>
      </c>
    </row>
    <row r="480" spans="1:6">
      <c r="A480" s="57">
        <v>46253.625</v>
      </c>
      <c r="B480" s="55" t="s">
        <v>26</v>
      </c>
      <c r="C480" s="56">
        <v>1420</v>
      </c>
      <c r="D480" s="56">
        <v>4500</v>
      </c>
      <c r="E480" s="56">
        <v>241.87309999999999</v>
      </c>
      <c r="F480" s="56">
        <v>2211.9690000000001</v>
      </c>
    </row>
    <row r="481" spans="1:6">
      <c r="A481" s="57">
        <v>46253.666666666664</v>
      </c>
      <c r="B481" s="55" t="s">
        <v>26</v>
      </c>
      <c r="C481" s="56">
        <v>1420</v>
      </c>
      <c r="D481" s="56">
        <v>4500</v>
      </c>
      <c r="E481" s="56">
        <v>241.79920000000001</v>
      </c>
      <c r="F481" s="56">
        <v>2200.8820000000001</v>
      </c>
    </row>
    <row r="482" spans="1:6">
      <c r="A482" s="57">
        <v>46253.708333333336</v>
      </c>
      <c r="B482" s="55" t="s">
        <v>26</v>
      </c>
      <c r="C482" s="56">
        <v>1420</v>
      </c>
      <c r="D482" s="56">
        <v>4500</v>
      </c>
      <c r="E482" s="56">
        <v>241.7253</v>
      </c>
      <c r="F482" s="56">
        <v>2189.7939999999999</v>
      </c>
    </row>
    <row r="483" spans="1:6">
      <c r="A483" s="57">
        <v>46253.75</v>
      </c>
      <c r="B483" s="55" t="s">
        <v>26</v>
      </c>
      <c r="C483" s="56">
        <v>1420</v>
      </c>
      <c r="D483" s="56">
        <v>4500</v>
      </c>
      <c r="E483" s="56">
        <v>241.6514</v>
      </c>
      <c r="F483" s="56">
        <v>2178.7060000000001</v>
      </c>
    </row>
    <row r="484" spans="1:6">
      <c r="A484" s="57">
        <v>46253.791666666664</v>
      </c>
      <c r="B484" s="55" t="s">
        <v>26</v>
      </c>
      <c r="C484" s="56">
        <v>1420</v>
      </c>
      <c r="D484" s="56">
        <v>4500</v>
      </c>
      <c r="E484" s="56">
        <v>241.57749999999999</v>
      </c>
      <c r="F484" s="56">
        <v>2167.6179999999999</v>
      </c>
    </row>
    <row r="485" spans="1:6">
      <c r="A485" s="57">
        <v>46253.833333333336</v>
      </c>
      <c r="B485" s="55" t="s">
        <v>26</v>
      </c>
      <c r="C485" s="56">
        <v>1420</v>
      </c>
      <c r="D485" s="56">
        <v>4500</v>
      </c>
      <c r="E485" s="56">
        <v>241.5035</v>
      </c>
      <c r="F485" s="56">
        <v>2156.5300000000002</v>
      </c>
    </row>
    <row r="486" spans="1:6">
      <c r="A486" s="57">
        <v>46253.875</v>
      </c>
      <c r="B486" s="55" t="s">
        <v>26</v>
      </c>
      <c r="C486" s="56">
        <v>1420</v>
      </c>
      <c r="D486" s="56">
        <v>4500</v>
      </c>
      <c r="E486" s="56">
        <v>241.42959999999999</v>
      </c>
      <c r="F486" s="56">
        <v>2145.442</v>
      </c>
    </row>
    <row r="487" spans="1:6">
      <c r="A487" s="57">
        <v>46253.916666666664</v>
      </c>
      <c r="B487" s="55" t="s">
        <v>26</v>
      </c>
      <c r="C487" s="56">
        <v>1420</v>
      </c>
      <c r="D487" s="56">
        <v>4500</v>
      </c>
      <c r="E487" s="56">
        <v>241.35570000000001</v>
      </c>
      <c r="F487" s="56">
        <v>2134.3539999999998</v>
      </c>
    </row>
    <row r="488" spans="1:6">
      <c r="A488" s="57">
        <v>46253.958333333336</v>
      </c>
      <c r="B488" s="55" t="s">
        <v>26</v>
      </c>
      <c r="C488" s="56">
        <v>1420</v>
      </c>
      <c r="D488" s="56">
        <v>4500</v>
      </c>
      <c r="E488" s="56">
        <v>241.2818</v>
      </c>
      <c r="F488" s="56">
        <v>2123.2660000000001</v>
      </c>
    </row>
    <row r="489" spans="1:6">
      <c r="A489" s="57">
        <v>46254</v>
      </c>
      <c r="B489" s="55" t="s">
        <v>26</v>
      </c>
      <c r="C489" s="56">
        <v>1420</v>
      </c>
      <c r="D489" s="56">
        <v>4500</v>
      </c>
      <c r="E489" s="56">
        <v>241.2079</v>
      </c>
      <c r="F489" s="56">
        <v>2112.1779999999999</v>
      </c>
    </row>
    <row r="490" spans="1:6">
      <c r="A490" s="57">
        <v>46254.041666666664</v>
      </c>
      <c r="B490" s="55" t="s">
        <v>26</v>
      </c>
      <c r="C490" s="56">
        <v>1420</v>
      </c>
      <c r="D490" s="56">
        <v>4500</v>
      </c>
      <c r="E490" s="56">
        <v>241.13390000000001</v>
      </c>
      <c r="F490" s="56">
        <v>2101.0909999999999</v>
      </c>
    </row>
    <row r="491" spans="1:6">
      <c r="A491" s="57">
        <v>46254.083333333336</v>
      </c>
      <c r="B491" s="55" t="s">
        <v>26</v>
      </c>
      <c r="C491" s="56">
        <v>1420</v>
      </c>
      <c r="D491" s="56">
        <v>4500</v>
      </c>
      <c r="E491" s="56">
        <v>241.06</v>
      </c>
      <c r="F491" s="56">
        <v>2090.0030000000002</v>
      </c>
    </row>
    <row r="492" spans="1:6">
      <c r="A492" s="57">
        <v>46254.125</v>
      </c>
      <c r="B492" s="55" t="s">
        <v>26</v>
      </c>
      <c r="C492" s="56">
        <v>1420</v>
      </c>
      <c r="D492" s="56">
        <v>4500</v>
      </c>
      <c r="E492" s="56">
        <v>240.98560000000001</v>
      </c>
      <c r="F492" s="56">
        <v>2078.915</v>
      </c>
    </row>
    <row r="493" spans="1:6">
      <c r="A493" s="57">
        <v>46254.166666666664</v>
      </c>
      <c r="B493" s="55" t="s">
        <v>26</v>
      </c>
      <c r="C493" s="56">
        <v>1420</v>
      </c>
      <c r="D493" s="56">
        <v>4500</v>
      </c>
      <c r="E493" s="56">
        <v>240.9091</v>
      </c>
      <c r="F493" s="56">
        <v>2067.8270000000002</v>
      </c>
    </row>
    <row r="494" spans="1:6">
      <c r="A494" s="57">
        <v>46254.208333333336</v>
      </c>
      <c r="B494" s="55" t="s">
        <v>26</v>
      </c>
      <c r="C494" s="56">
        <v>1420</v>
      </c>
      <c r="D494" s="56">
        <v>4500</v>
      </c>
      <c r="E494" s="56">
        <v>240.83269999999999</v>
      </c>
      <c r="F494" s="56">
        <v>2056.739</v>
      </c>
    </row>
    <row r="495" spans="1:6">
      <c r="A495" s="57">
        <v>46254.25</v>
      </c>
      <c r="B495" s="55" t="s">
        <v>26</v>
      </c>
      <c r="C495" s="56">
        <v>1420</v>
      </c>
      <c r="D495" s="56">
        <v>4500</v>
      </c>
      <c r="E495" s="56">
        <v>240.75620000000001</v>
      </c>
      <c r="F495" s="56">
        <v>2045.6510000000001</v>
      </c>
    </row>
    <row r="496" spans="1:6">
      <c r="A496" s="57">
        <v>46254.291666666664</v>
      </c>
      <c r="B496" s="55" t="s">
        <v>26</v>
      </c>
      <c r="C496" s="56">
        <v>1420</v>
      </c>
      <c r="D496" s="56">
        <v>4500</v>
      </c>
      <c r="E496" s="56">
        <v>240.6797</v>
      </c>
      <c r="F496" s="56">
        <v>2034.5630000000001</v>
      </c>
    </row>
    <row r="497" spans="1:6">
      <c r="A497" s="57">
        <v>46254.333333333336</v>
      </c>
      <c r="B497" s="55" t="s">
        <v>26</v>
      </c>
      <c r="C497" s="56">
        <v>1420</v>
      </c>
      <c r="D497" s="56">
        <v>4500</v>
      </c>
      <c r="E497" s="56">
        <v>240.60329999999999</v>
      </c>
      <c r="F497" s="56">
        <v>2023.4749999999999</v>
      </c>
    </row>
    <row r="498" spans="1:6">
      <c r="A498" s="57">
        <v>46254.375</v>
      </c>
      <c r="B498" s="55" t="s">
        <v>26</v>
      </c>
      <c r="C498" s="56">
        <v>1420</v>
      </c>
      <c r="D498" s="56">
        <v>4500</v>
      </c>
      <c r="E498" s="56">
        <v>240.52680000000001</v>
      </c>
      <c r="F498" s="56">
        <v>2012.3869999999999</v>
      </c>
    </row>
    <row r="499" spans="1:6">
      <c r="A499" s="57">
        <v>46254.416666666664</v>
      </c>
      <c r="B499" s="55" t="s">
        <v>26</v>
      </c>
      <c r="C499" s="56">
        <v>1420</v>
      </c>
      <c r="D499" s="56">
        <v>4500</v>
      </c>
      <c r="E499" s="56">
        <v>240.4503</v>
      </c>
      <c r="F499" s="56">
        <v>2001.299</v>
      </c>
    </row>
    <row r="500" spans="1:6">
      <c r="A500" s="57">
        <v>46254.458333333336</v>
      </c>
      <c r="B500" s="55" t="s">
        <v>26</v>
      </c>
      <c r="C500" s="56">
        <v>1420</v>
      </c>
      <c r="D500" s="56">
        <v>4500</v>
      </c>
      <c r="E500" s="56">
        <v>240.37389999999999</v>
      </c>
      <c r="F500" s="56">
        <v>1990.211</v>
      </c>
    </row>
    <row r="501" spans="1:6">
      <c r="A501" s="57">
        <v>46254.5</v>
      </c>
      <c r="B501" s="55" t="s">
        <v>26</v>
      </c>
      <c r="C501" s="56">
        <v>1420</v>
      </c>
      <c r="D501" s="56">
        <v>4500</v>
      </c>
      <c r="E501" s="56">
        <v>240.29740000000001</v>
      </c>
      <c r="F501" s="56">
        <v>1979.123</v>
      </c>
    </row>
    <row r="502" spans="1:6">
      <c r="A502" s="57">
        <v>46254.541666666664</v>
      </c>
      <c r="B502" s="55" t="s">
        <v>26</v>
      </c>
      <c r="C502" s="56">
        <v>1420</v>
      </c>
      <c r="D502" s="56">
        <v>4500</v>
      </c>
      <c r="E502" s="56">
        <v>240.2209</v>
      </c>
      <c r="F502" s="56">
        <v>1968.0350000000001</v>
      </c>
    </row>
    <row r="503" spans="1:6">
      <c r="A503" s="57">
        <v>46254.583333333336</v>
      </c>
      <c r="B503" s="55" t="s">
        <v>26</v>
      </c>
      <c r="C503" s="56">
        <v>1420</v>
      </c>
      <c r="D503" s="56">
        <v>4500</v>
      </c>
      <c r="E503" s="56">
        <v>240.14449999999999</v>
      </c>
      <c r="F503" s="56">
        <v>1956.9469999999999</v>
      </c>
    </row>
    <row r="504" spans="1:6">
      <c r="A504" s="57">
        <v>46254.625</v>
      </c>
      <c r="B504" s="55" t="s">
        <v>26</v>
      </c>
      <c r="C504" s="56">
        <v>1420</v>
      </c>
      <c r="D504" s="56">
        <v>4500</v>
      </c>
      <c r="E504" s="56">
        <v>240.06800000000001</v>
      </c>
      <c r="F504" s="56">
        <v>1945.8589999999999</v>
      </c>
    </row>
    <row r="505" spans="1:6">
      <c r="A505" s="57">
        <v>46254.666666666664</v>
      </c>
      <c r="B505" s="55" t="s">
        <v>26</v>
      </c>
      <c r="C505" s="56">
        <v>1420</v>
      </c>
      <c r="D505" s="56">
        <v>4500</v>
      </c>
      <c r="E505" s="56">
        <v>239.99119999999999</v>
      </c>
      <c r="F505" s="56">
        <v>1934.771</v>
      </c>
    </row>
    <row r="506" spans="1:6">
      <c r="A506" s="57">
        <v>46254.708333333336</v>
      </c>
      <c r="B506" s="55" t="s">
        <v>26</v>
      </c>
      <c r="C506" s="56">
        <v>1420</v>
      </c>
      <c r="D506" s="56">
        <v>4500</v>
      </c>
      <c r="E506" s="56">
        <v>239.91200000000001</v>
      </c>
      <c r="F506" s="56">
        <v>1923.683</v>
      </c>
    </row>
    <row r="507" spans="1:6">
      <c r="A507" s="57">
        <v>46254.75</v>
      </c>
      <c r="B507" s="55" t="s">
        <v>26</v>
      </c>
      <c r="C507" s="56">
        <v>1420</v>
      </c>
      <c r="D507" s="56">
        <v>4500</v>
      </c>
      <c r="E507" s="56">
        <v>239.83279999999999</v>
      </c>
      <c r="F507" s="56">
        <v>1912.595</v>
      </c>
    </row>
    <row r="508" spans="1:6">
      <c r="A508" s="57">
        <v>46254.791666666664</v>
      </c>
      <c r="B508" s="55" t="s">
        <v>26</v>
      </c>
      <c r="C508" s="56">
        <v>1420</v>
      </c>
      <c r="D508" s="56">
        <v>4500</v>
      </c>
      <c r="E508" s="56">
        <v>239.75360000000001</v>
      </c>
      <c r="F508" s="56">
        <v>1901.5070000000001</v>
      </c>
    </row>
    <row r="509" spans="1:6">
      <c r="A509" s="57">
        <v>46254.833333333336</v>
      </c>
      <c r="B509" s="55" t="s">
        <v>26</v>
      </c>
      <c r="C509" s="56">
        <v>1420</v>
      </c>
      <c r="D509" s="56">
        <v>4500</v>
      </c>
      <c r="E509" s="56">
        <v>239.67439999999999</v>
      </c>
      <c r="F509" s="56">
        <v>1890.4190000000001</v>
      </c>
    </row>
    <row r="510" spans="1:6">
      <c r="A510" s="57">
        <v>46254.875</v>
      </c>
      <c r="B510" s="55" t="s">
        <v>26</v>
      </c>
      <c r="C510" s="56">
        <v>1420</v>
      </c>
      <c r="D510" s="56">
        <v>4500</v>
      </c>
      <c r="E510" s="56">
        <v>239.59520000000001</v>
      </c>
      <c r="F510" s="56">
        <v>1879.3309999999999</v>
      </c>
    </row>
    <row r="511" spans="1:6">
      <c r="A511" s="57">
        <v>46254.916666666664</v>
      </c>
      <c r="B511" s="55" t="s">
        <v>26</v>
      </c>
      <c r="C511" s="56">
        <v>1420</v>
      </c>
      <c r="D511" s="56">
        <v>4500</v>
      </c>
      <c r="E511" s="56">
        <v>239.51599999999999</v>
      </c>
      <c r="F511" s="56">
        <v>1868.2429999999999</v>
      </c>
    </row>
    <row r="512" spans="1:6">
      <c r="A512" s="57">
        <v>46254.958333333336</v>
      </c>
      <c r="B512" s="55" t="s">
        <v>26</v>
      </c>
      <c r="C512" s="56">
        <v>1420</v>
      </c>
      <c r="D512" s="56">
        <v>4500</v>
      </c>
      <c r="E512" s="56">
        <v>239.43680000000001</v>
      </c>
      <c r="F512" s="56">
        <v>1857.155</v>
      </c>
    </row>
    <row r="513" spans="1:6">
      <c r="A513" s="57">
        <v>46255</v>
      </c>
      <c r="B513" s="55" t="s">
        <v>26</v>
      </c>
      <c r="C513" s="56">
        <v>1420</v>
      </c>
      <c r="D513" s="56">
        <v>4500</v>
      </c>
      <c r="E513" s="56">
        <v>239.35759999999999</v>
      </c>
      <c r="F513" s="56">
        <v>1846.067</v>
      </c>
    </row>
    <row r="514" spans="1:6">
      <c r="A514" s="57">
        <v>46255.041666666664</v>
      </c>
      <c r="B514" s="55" t="s">
        <v>26</v>
      </c>
      <c r="C514" s="56">
        <v>1420</v>
      </c>
      <c r="D514" s="56">
        <v>4500</v>
      </c>
      <c r="E514" s="56">
        <v>239.2784</v>
      </c>
      <c r="F514" s="56">
        <v>1834.979</v>
      </c>
    </row>
    <row r="515" spans="1:6">
      <c r="A515" s="57">
        <v>46255.083333333336</v>
      </c>
      <c r="B515" s="55" t="s">
        <v>26</v>
      </c>
      <c r="C515" s="56">
        <v>1420</v>
      </c>
      <c r="D515" s="56">
        <v>4500</v>
      </c>
      <c r="E515" s="56">
        <v>239.19919999999999</v>
      </c>
      <c r="F515" s="56">
        <v>1823.8910000000001</v>
      </c>
    </row>
    <row r="516" spans="1:6">
      <c r="A516" s="57">
        <v>46255.125</v>
      </c>
      <c r="B516" s="55" t="s">
        <v>26</v>
      </c>
      <c r="C516" s="56">
        <v>1420</v>
      </c>
      <c r="D516" s="56">
        <v>4500</v>
      </c>
      <c r="E516" s="56">
        <v>239.12</v>
      </c>
      <c r="F516" s="56">
        <v>1812.8030000000001</v>
      </c>
    </row>
    <row r="517" spans="1:6">
      <c r="A517" s="57">
        <v>46255.166666666664</v>
      </c>
      <c r="B517" s="55" t="s">
        <v>26</v>
      </c>
      <c r="C517" s="56">
        <v>1420</v>
      </c>
      <c r="D517" s="56">
        <v>4500</v>
      </c>
      <c r="E517" s="56">
        <v>239.04079999999999</v>
      </c>
      <c r="F517" s="56">
        <v>1801.7149999999999</v>
      </c>
    </row>
    <row r="518" spans="1:6">
      <c r="A518" s="57">
        <v>46255.208333333336</v>
      </c>
      <c r="B518" s="55" t="s">
        <v>26</v>
      </c>
      <c r="C518" s="56">
        <v>1420</v>
      </c>
      <c r="D518" s="56">
        <v>4500</v>
      </c>
      <c r="E518" s="56">
        <v>238.96019999999999</v>
      </c>
      <c r="F518" s="56">
        <v>1790.627</v>
      </c>
    </row>
    <row r="519" spans="1:6">
      <c r="A519" s="57">
        <v>46255.25</v>
      </c>
      <c r="B519" s="55" t="s">
        <v>26</v>
      </c>
      <c r="C519" s="56">
        <v>1420</v>
      </c>
      <c r="D519" s="56">
        <v>4500</v>
      </c>
      <c r="E519" s="56">
        <v>238.87809999999999</v>
      </c>
      <c r="F519" s="56">
        <v>1779.539</v>
      </c>
    </row>
    <row r="520" spans="1:6">
      <c r="A520" s="57">
        <v>46255.291666666664</v>
      </c>
      <c r="B520" s="55" t="s">
        <v>26</v>
      </c>
      <c r="C520" s="56">
        <v>1420</v>
      </c>
      <c r="D520" s="56">
        <v>4500</v>
      </c>
      <c r="E520" s="56">
        <v>238.79589999999999</v>
      </c>
      <c r="F520" s="56">
        <v>1768.451</v>
      </c>
    </row>
    <row r="521" spans="1:6">
      <c r="A521" s="57">
        <v>46255.333333333336</v>
      </c>
      <c r="B521" s="55" t="s">
        <v>26</v>
      </c>
      <c r="C521" s="56">
        <v>1420</v>
      </c>
      <c r="D521" s="56">
        <v>4500</v>
      </c>
      <c r="E521" s="56">
        <v>238.71379999999999</v>
      </c>
      <c r="F521" s="56">
        <v>1757.3630000000001</v>
      </c>
    </row>
    <row r="522" spans="1:6">
      <c r="A522" s="57">
        <v>46255.375</v>
      </c>
      <c r="B522" s="55" t="s">
        <v>26</v>
      </c>
      <c r="C522" s="56">
        <v>1420</v>
      </c>
      <c r="D522" s="56">
        <v>4500</v>
      </c>
      <c r="E522" s="56">
        <v>238.6317</v>
      </c>
      <c r="F522" s="56">
        <v>1746.2750000000001</v>
      </c>
    </row>
    <row r="523" spans="1:6">
      <c r="A523" s="57">
        <v>46255.416666666664</v>
      </c>
      <c r="B523" s="55" t="s">
        <v>26</v>
      </c>
      <c r="C523" s="56">
        <v>1420</v>
      </c>
      <c r="D523" s="56">
        <v>4500</v>
      </c>
      <c r="E523" s="56">
        <v>238.54949999999999</v>
      </c>
      <c r="F523" s="56">
        <v>1735.1869999999999</v>
      </c>
    </row>
    <row r="524" spans="1:6">
      <c r="A524" s="57">
        <v>46255.458333333336</v>
      </c>
      <c r="B524" s="55" t="s">
        <v>26</v>
      </c>
      <c r="C524" s="56">
        <v>1420</v>
      </c>
      <c r="D524" s="56">
        <v>4500</v>
      </c>
      <c r="E524" s="56">
        <v>238.4674</v>
      </c>
      <c r="F524" s="56">
        <v>1724.0989999999999</v>
      </c>
    </row>
    <row r="525" spans="1:6">
      <c r="A525" s="57">
        <v>46255.5</v>
      </c>
      <c r="B525" s="55" t="s">
        <v>26</v>
      </c>
      <c r="C525" s="56">
        <v>1420</v>
      </c>
      <c r="D525" s="56">
        <v>4500</v>
      </c>
      <c r="E525" s="56">
        <v>238.3853</v>
      </c>
      <c r="F525" s="56">
        <v>1713.011</v>
      </c>
    </row>
    <row r="526" spans="1:6">
      <c r="A526" s="57">
        <v>46255.541666666664</v>
      </c>
      <c r="B526" s="55" t="s">
        <v>26</v>
      </c>
      <c r="C526" s="56">
        <v>1420</v>
      </c>
      <c r="D526" s="56">
        <v>4500</v>
      </c>
      <c r="E526" s="56">
        <v>238.3031</v>
      </c>
      <c r="F526" s="56">
        <v>1701.923</v>
      </c>
    </row>
    <row r="527" spans="1:6">
      <c r="A527" s="57">
        <v>46255.583333333336</v>
      </c>
      <c r="B527" s="55" t="s">
        <v>26</v>
      </c>
      <c r="C527" s="56">
        <v>1420</v>
      </c>
      <c r="D527" s="56">
        <v>4500</v>
      </c>
      <c r="E527" s="56">
        <v>238.221</v>
      </c>
      <c r="F527" s="56">
        <v>1690.835</v>
      </c>
    </row>
    <row r="528" spans="1:6">
      <c r="A528" s="57">
        <v>46255.625</v>
      </c>
      <c r="B528" s="55" t="s">
        <v>26</v>
      </c>
      <c r="C528" s="56">
        <v>1420</v>
      </c>
      <c r="D528" s="56">
        <v>4500</v>
      </c>
      <c r="E528" s="56">
        <v>238.13890000000001</v>
      </c>
      <c r="F528" s="56">
        <v>1679.7470000000001</v>
      </c>
    </row>
    <row r="529" spans="1:6">
      <c r="A529" s="57">
        <v>46255.666666666664</v>
      </c>
      <c r="B529" s="55" t="s">
        <v>26</v>
      </c>
      <c r="C529" s="56">
        <v>1420</v>
      </c>
      <c r="D529" s="56">
        <v>4500</v>
      </c>
      <c r="E529" s="56">
        <v>238.05670000000001</v>
      </c>
      <c r="F529" s="56">
        <v>1668.6590000000001</v>
      </c>
    </row>
    <row r="530" spans="1:6">
      <c r="A530" s="57">
        <v>46255.708333333336</v>
      </c>
      <c r="B530" s="55" t="s">
        <v>26</v>
      </c>
      <c r="C530" s="56">
        <v>1420</v>
      </c>
      <c r="D530" s="56">
        <v>4500</v>
      </c>
      <c r="E530" s="56">
        <v>237.97380000000001</v>
      </c>
      <c r="F530" s="56">
        <v>1657.5709999999999</v>
      </c>
    </row>
    <row r="531" spans="1:6">
      <c r="A531" s="57">
        <v>46255.75</v>
      </c>
      <c r="B531" s="55" t="s">
        <v>26</v>
      </c>
      <c r="C531" s="56">
        <v>1420</v>
      </c>
      <c r="D531" s="56">
        <v>4500</v>
      </c>
      <c r="E531" s="56">
        <v>237.88919999999999</v>
      </c>
      <c r="F531" s="56">
        <v>1646.4829999999999</v>
      </c>
    </row>
    <row r="532" spans="1:6">
      <c r="A532" s="57">
        <v>46255.791666666664</v>
      </c>
      <c r="B532" s="55" t="s">
        <v>26</v>
      </c>
      <c r="C532" s="56">
        <v>1420</v>
      </c>
      <c r="D532" s="56">
        <v>4500</v>
      </c>
      <c r="E532" s="56">
        <v>237.80449999999999</v>
      </c>
      <c r="F532" s="56">
        <v>1635.395</v>
      </c>
    </row>
    <row r="533" spans="1:6">
      <c r="A533" s="57">
        <v>46255.833333333336</v>
      </c>
      <c r="B533" s="55" t="s">
        <v>26</v>
      </c>
      <c r="C533" s="56">
        <v>1420</v>
      </c>
      <c r="D533" s="56">
        <v>4500</v>
      </c>
      <c r="E533" s="56">
        <v>237.7199</v>
      </c>
      <c r="F533" s="56">
        <v>1624.307</v>
      </c>
    </row>
    <row r="534" spans="1:6">
      <c r="A534" s="57">
        <v>46255.875</v>
      </c>
      <c r="B534" s="55" t="s">
        <v>26</v>
      </c>
      <c r="C534" s="56">
        <v>1420</v>
      </c>
      <c r="D534" s="56">
        <v>4500</v>
      </c>
      <c r="E534" s="56">
        <v>237.6353</v>
      </c>
      <c r="F534" s="56">
        <v>1613.2190000000001</v>
      </c>
    </row>
    <row r="535" spans="1:6">
      <c r="A535" s="57">
        <v>46255.916666666664</v>
      </c>
      <c r="B535" s="55" t="s">
        <v>26</v>
      </c>
      <c r="C535" s="56">
        <v>1420</v>
      </c>
      <c r="D535" s="56">
        <v>4500</v>
      </c>
      <c r="E535" s="56">
        <v>237.5506</v>
      </c>
      <c r="F535" s="56">
        <v>1602.13</v>
      </c>
    </row>
    <row r="536" spans="1:6">
      <c r="A536" s="57">
        <v>46255.958333333336</v>
      </c>
      <c r="B536" s="55" t="s">
        <v>26</v>
      </c>
      <c r="C536" s="56">
        <v>1420</v>
      </c>
      <c r="D536" s="56">
        <v>4500</v>
      </c>
      <c r="E536" s="56">
        <v>237.46600000000001</v>
      </c>
      <c r="F536" s="56">
        <v>1591.0419999999999</v>
      </c>
    </row>
    <row r="537" spans="1:6">
      <c r="A537" s="57">
        <v>46256</v>
      </c>
      <c r="B537" s="55" t="s">
        <v>26</v>
      </c>
      <c r="C537" s="56">
        <v>1420</v>
      </c>
      <c r="D537" s="56">
        <v>4500</v>
      </c>
      <c r="E537" s="56">
        <v>237.38130000000001</v>
      </c>
      <c r="F537" s="56">
        <v>1579.954</v>
      </c>
    </row>
    <row r="538" spans="1:6">
      <c r="A538" s="57">
        <v>46256.041666666664</v>
      </c>
      <c r="B538" s="55" t="s">
        <v>26</v>
      </c>
      <c r="C538" s="56">
        <v>1420</v>
      </c>
      <c r="D538" s="56">
        <v>4500</v>
      </c>
      <c r="E538" s="56">
        <v>237.29669999999999</v>
      </c>
      <c r="F538" s="56">
        <v>1568.866</v>
      </c>
    </row>
    <row r="539" spans="1:6">
      <c r="A539" s="57">
        <v>46256.083333333336</v>
      </c>
      <c r="B539" s="55" t="s">
        <v>26</v>
      </c>
      <c r="C539" s="56">
        <v>1420</v>
      </c>
      <c r="D539" s="56">
        <v>4500</v>
      </c>
      <c r="E539" s="56">
        <v>237.21209999999999</v>
      </c>
      <c r="F539" s="56">
        <v>1557.778</v>
      </c>
    </row>
    <row r="540" spans="1:6">
      <c r="A540" s="57">
        <v>46256.125</v>
      </c>
      <c r="B540" s="55" t="s">
        <v>26</v>
      </c>
      <c r="C540" s="56">
        <v>1420</v>
      </c>
      <c r="D540" s="56">
        <v>4500</v>
      </c>
      <c r="E540" s="56">
        <v>237.12739999999999</v>
      </c>
      <c r="F540" s="56">
        <v>1546.69</v>
      </c>
    </row>
    <row r="541" spans="1:6">
      <c r="A541" s="57">
        <v>46256.166666666664</v>
      </c>
      <c r="B541" s="55" t="s">
        <v>26</v>
      </c>
      <c r="C541" s="56">
        <v>1420</v>
      </c>
      <c r="D541" s="56">
        <v>4500</v>
      </c>
      <c r="E541" s="56">
        <v>237.0428</v>
      </c>
      <c r="F541" s="56">
        <v>1535.6020000000001</v>
      </c>
    </row>
    <row r="542" spans="1:6">
      <c r="A542" s="57">
        <v>46256.208333333336</v>
      </c>
      <c r="B542" s="55" t="s">
        <v>26</v>
      </c>
      <c r="C542" s="56">
        <v>1420</v>
      </c>
      <c r="D542" s="56">
        <v>4500</v>
      </c>
      <c r="E542" s="56">
        <v>236.95580000000001</v>
      </c>
      <c r="F542" s="56">
        <v>1524.5139999999999</v>
      </c>
    </row>
    <row r="543" spans="1:6">
      <c r="A543" s="57">
        <v>46256.25</v>
      </c>
      <c r="B543" s="55" t="s">
        <v>26</v>
      </c>
      <c r="C543" s="56">
        <v>1420</v>
      </c>
      <c r="D543" s="56">
        <v>4500</v>
      </c>
      <c r="E543" s="56">
        <v>236.8663</v>
      </c>
      <c r="F543" s="56">
        <v>1513.4259999999999</v>
      </c>
    </row>
    <row r="544" spans="1:6">
      <c r="A544" s="57">
        <v>46256.291666666664</v>
      </c>
      <c r="B544" s="55" t="s">
        <v>26</v>
      </c>
      <c r="C544" s="56">
        <v>1420</v>
      </c>
      <c r="D544" s="56">
        <v>4500</v>
      </c>
      <c r="E544" s="56">
        <v>236.77690000000001</v>
      </c>
      <c r="F544" s="56">
        <v>1502.338</v>
      </c>
    </row>
    <row r="545" spans="1:6">
      <c r="A545" s="57">
        <v>46256.333333333336</v>
      </c>
      <c r="B545" s="55" t="s">
        <v>26</v>
      </c>
      <c r="C545" s="56">
        <v>1420</v>
      </c>
      <c r="D545" s="56">
        <v>4500</v>
      </c>
      <c r="E545" s="56">
        <v>236.6875</v>
      </c>
      <c r="F545" s="56">
        <v>1491.25</v>
      </c>
    </row>
    <row r="546" spans="1:6">
      <c r="A546" s="57">
        <v>46256.375</v>
      </c>
      <c r="B546" s="55" t="s">
        <v>26</v>
      </c>
      <c r="C546" s="56">
        <v>1420</v>
      </c>
      <c r="D546" s="56">
        <v>4500</v>
      </c>
      <c r="E546" s="56">
        <v>236.59809999999999</v>
      </c>
      <c r="F546" s="56">
        <v>1480.162</v>
      </c>
    </row>
    <row r="547" spans="1:6">
      <c r="A547" s="57">
        <v>46256.416666666664</v>
      </c>
      <c r="B547" s="55" t="s">
        <v>26</v>
      </c>
      <c r="C547" s="56">
        <v>1420</v>
      </c>
      <c r="D547" s="56">
        <v>4500</v>
      </c>
      <c r="E547" s="56">
        <v>236.5087</v>
      </c>
      <c r="F547" s="56">
        <v>1469.0740000000001</v>
      </c>
    </row>
    <row r="548" spans="1:6">
      <c r="A548" s="57">
        <v>46256.458333333336</v>
      </c>
      <c r="B548" s="55" t="s">
        <v>26</v>
      </c>
      <c r="C548" s="56">
        <v>1420</v>
      </c>
      <c r="D548" s="56">
        <v>4500</v>
      </c>
      <c r="E548" s="56">
        <v>236.41929999999999</v>
      </c>
      <c r="F548" s="56">
        <v>1457.9860000000001</v>
      </c>
    </row>
    <row r="549" spans="1:6">
      <c r="A549" s="57">
        <v>46256.5</v>
      </c>
      <c r="B549" s="55" t="s">
        <v>26</v>
      </c>
      <c r="C549" s="56">
        <v>1420</v>
      </c>
      <c r="D549" s="56">
        <v>4500</v>
      </c>
      <c r="E549" s="56">
        <v>236.32980000000001</v>
      </c>
      <c r="F549" s="56">
        <v>1446.8979999999999</v>
      </c>
    </row>
    <row r="550" spans="1:6">
      <c r="A550" s="57">
        <v>46256.541666666664</v>
      </c>
      <c r="B550" s="55" t="s">
        <v>26</v>
      </c>
      <c r="C550" s="56">
        <v>1420</v>
      </c>
      <c r="D550" s="56">
        <v>4500</v>
      </c>
      <c r="E550" s="56">
        <v>236.24039999999999</v>
      </c>
      <c r="F550" s="56">
        <v>1435.81</v>
      </c>
    </row>
    <row r="551" spans="1:6">
      <c r="A551" s="57">
        <v>46256.583333333336</v>
      </c>
      <c r="B551" s="55" t="s">
        <v>26</v>
      </c>
      <c r="C551" s="56">
        <v>1420</v>
      </c>
      <c r="D551" s="56">
        <v>4500</v>
      </c>
      <c r="E551" s="56">
        <v>236.15100000000001</v>
      </c>
      <c r="F551" s="56">
        <v>1424.722</v>
      </c>
    </row>
    <row r="552" spans="1:6">
      <c r="A552" s="57">
        <v>46256.625</v>
      </c>
      <c r="B552" s="55" t="s">
        <v>26</v>
      </c>
      <c r="C552" s="56">
        <v>1420</v>
      </c>
      <c r="D552" s="56">
        <v>4500</v>
      </c>
      <c r="E552" s="56">
        <v>236.0616</v>
      </c>
      <c r="F552" s="56">
        <v>1413.634</v>
      </c>
    </row>
    <row r="553" spans="1:6">
      <c r="A553" s="57">
        <v>46256.666666666664</v>
      </c>
      <c r="B553" s="55" t="s">
        <v>26</v>
      </c>
      <c r="C553" s="56">
        <v>1420</v>
      </c>
      <c r="D553" s="56">
        <v>4500</v>
      </c>
      <c r="E553" s="56">
        <v>235.97049999999999</v>
      </c>
      <c r="F553" s="56">
        <v>1402.546</v>
      </c>
    </row>
    <row r="554" spans="1:6">
      <c r="A554" s="57">
        <v>46256.708333333336</v>
      </c>
      <c r="B554" s="55" t="s">
        <v>26</v>
      </c>
      <c r="C554" s="56">
        <v>1420</v>
      </c>
      <c r="D554" s="56">
        <v>4500</v>
      </c>
      <c r="E554" s="56">
        <v>235.87569999999999</v>
      </c>
      <c r="F554" s="56">
        <v>1391.4580000000001</v>
      </c>
    </row>
    <row r="555" spans="1:6">
      <c r="A555" s="57">
        <v>46256.75</v>
      </c>
      <c r="B555" s="55" t="s">
        <v>26</v>
      </c>
      <c r="C555" s="56">
        <v>1420</v>
      </c>
      <c r="D555" s="56">
        <v>4500</v>
      </c>
      <c r="E555" s="56">
        <v>235.7809</v>
      </c>
      <c r="F555" s="56">
        <v>1380.37</v>
      </c>
    </row>
    <row r="556" spans="1:6">
      <c r="A556" s="57">
        <v>46256.791666666664</v>
      </c>
      <c r="B556" s="55" t="s">
        <v>26</v>
      </c>
      <c r="C556" s="56">
        <v>1420</v>
      </c>
      <c r="D556" s="56">
        <v>4500</v>
      </c>
      <c r="E556" s="56">
        <v>235.68620000000001</v>
      </c>
      <c r="F556" s="56">
        <v>1369.2819999999999</v>
      </c>
    </row>
    <row r="557" spans="1:6">
      <c r="A557" s="57">
        <v>46256.833333333336</v>
      </c>
      <c r="B557" s="55" t="s">
        <v>26</v>
      </c>
      <c r="C557" s="56">
        <v>1420</v>
      </c>
      <c r="D557" s="56">
        <v>4500</v>
      </c>
      <c r="E557" s="56">
        <v>235.59139999999999</v>
      </c>
      <c r="F557" s="56">
        <v>1358.194</v>
      </c>
    </row>
    <row r="558" spans="1:6">
      <c r="A558" s="57">
        <v>46256.875</v>
      </c>
      <c r="B558" s="55" t="s">
        <v>26</v>
      </c>
      <c r="C558" s="56">
        <v>1420</v>
      </c>
      <c r="D558" s="56">
        <v>4500</v>
      </c>
      <c r="E558" s="56">
        <v>235.4966</v>
      </c>
      <c r="F558" s="56">
        <v>1347.106</v>
      </c>
    </row>
    <row r="559" spans="1:6">
      <c r="A559" s="57">
        <v>46256.916666666664</v>
      </c>
      <c r="B559" s="55" t="s">
        <v>26</v>
      </c>
      <c r="C559" s="56">
        <v>1420</v>
      </c>
      <c r="D559" s="56">
        <v>4500</v>
      </c>
      <c r="E559" s="56">
        <v>235.40190000000001</v>
      </c>
      <c r="F559" s="56">
        <v>1336.018</v>
      </c>
    </row>
    <row r="560" spans="1:6">
      <c r="A560" s="57">
        <v>46256.958333333336</v>
      </c>
      <c r="B560" s="55" t="s">
        <v>26</v>
      </c>
      <c r="C560" s="56">
        <v>1420</v>
      </c>
      <c r="D560" s="56">
        <v>4500</v>
      </c>
      <c r="E560" s="56">
        <v>235.30709999999999</v>
      </c>
      <c r="F560" s="56">
        <v>1324.93</v>
      </c>
    </row>
    <row r="561" spans="1:6">
      <c r="A561" s="57">
        <v>46257</v>
      </c>
      <c r="B561" s="55" t="s">
        <v>26</v>
      </c>
      <c r="C561" s="56">
        <v>1420</v>
      </c>
      <c r="D561" s="56">
        <v>4500</v>
      </c>
      <c r="E561" s="56">
        <v>235.2123</v>
      </c>
      <c r="F561" s="56">
        <v>1313.8420000000001</v>
      </c>
    </row>
    <row r="562" spans="1:6">
      <c r="A562" s="57">
        <v>46257.041666666664</v>
      </c>
      <c r="B562" s="55" t="s">
        <v>26</v>
      </c>
      <c r="C562" s="56">
        <v>1420</v>
      </c>
      <c r="D562" s="56">
        <v>4500</v>
      </c>
      <c r="E562" s="56">
        <v>235.11760000000001</v>
      </c>
      <c r="F562" s="56">
        <v>1302.7539999999999</v>
      </c>
    </row>
    <row r="563" spans="1:6">
      <c r="A563" s="57">
        <v>46257.083333333336</v>
      </c>
      <c r="B563" s="55" t="s">
        <v>26</v>
      </c>
      <c r="C563" s="56">
        <v>1420</v>
      </c>
      <c r="D563" s="56">
        <v>4500</v>
      </c>
      <c r="E563" s="56">
        <v>235.02279999999999</v>
      </c>
      <c r="F563" s="56">
        <v>1291.6659999999999</v>
      </c>
    </row>
    <row r="564" spans="1:6">
      <c r="A564" s="57">
        <v>46257.125</v>
      </c>
      <c r="B564" s="55" t="s">
        <v>26</v>
      </c>
      <c r="C564" s="56">
        <v>1420</v>
      </c>
      <c r="D564" s="56">
        <v>1420</v>
      </c>
      <c r="E564" s="56">
        <v>235</v>
      </c>
      <c r="F564" s="56">
        <v>1289</v>
      </c>
    </row>
    <row r="565" spans="1:6">
      <c r="A565" s="57">
        <v>46257.166666666664</v>
      </c>
      <c r="B565" s="55" t="s">
        <v>26</v>
      </c>
      <c r="C565" s="56">
        <v>1420</v>
      </c>
      <c r="D565" s="56">
        <v>1420</v>
      </c>
      <c r="E565" s="56">
        <v>235</v>
      </c>
      <c r="F565" s="56">
        <v>1289</v>
      </c>
    </row>
    <row r="566" spans="1:6">
      <c r="A566" s="57">
        <v>46257.208333333336</v>
      </c>
      <c r="B566" s="55" t="s">
        <v>26</v>
      </c>
      <c r="C566" s="56">
        <v>1420</v>
      </c>
      <c r="D566" s="56">
        <v>1420</v>
      </c>
      <c r="E566" s="56">
        <v>235</v>
      </c>
      <c r="F566" s="56">
        <v>1289</v>
      </c>
    </row>
    <row r="567" spans="1:6">
      <c r="A567" s="57">
        <v>46257.25</v>
      </c>
      <c r="B567" s="55" t="s">
        <v>26</v>
      </c>
      <c r="C567" s="56">
        <v>1420</v>
      </c>
      <c r="D567" s="56">
        <v>1420</v>
      </c>
      <c r="E567" s="56">
        <v>235</v>
      </c>
      <c r="F567" s="56">
        <v>1289</v>
      </c>
    </row>
    <row r="568" spans="1:6">
      <c r="A568" s="57">
        <v>46257.291666666664</v>
      </c>
      <c r="B568" s="55" t="s">
        <v>26</v>
      </c>
      <c r="C568" s="56">
        <v>1420</v>
      </c>
      <c r="D568" s="56">
        <v>1420</v>
      </c>
      <c r="E568" s="56">
        <v>235</v>
      </c>
      <c r="F568" s="56">
        <v>1289</v>
      </c>
    </row>
    <row r="569" spans="1:6">
      <c r="A569" s="57">
        <v>46257.333333333336</v>
      </c>
      <c r="B569" s="55" t="s">
        <v>26</v>
      </c>
      <c r="C569" s="56">
        <v>1420</v>
      </c>
      <c r="D569" s="56">
        <v>1420</v>
      </c>
      <c r="E569" s="56">
        <v>235</v>
      </c>
      <c r="F569" s="56">
        <v>1289</v>
      </c>
    </row>
    <row r="570" spans="1:6">
      <c r="A570" s="57">
        <v>46257.375</v>
      </c>
      <c r="B570" s="55" t="s">
        <v>26</v>
      </c>
      <c r="C570" s="56">
        <v>1420</v>
      </c>
      <c r="D570" s="56">
        <v>1420</v>
      </c>
      <c r="E570" s="56">
        <v>235</v>
      </c>
      <c r="F570" s="56">
        <v>1289</v>
      </c>
    </row>
    <row r="571" spans="1:6">
      <c r="A571" s="57">
        <v>46257.416666666664</v>
      </c>
      <c r="B571" s="55" t="s">
        <v>26</v>
      </c>
      <c r="C571" s="56">
        <v>1420</v>
      </c>
      <c r="D571" s="56">
        <v>1420</v>
      </c>
      <c r="E571" s="56">
        <v>235</v>
      </c>
      <c r="F571" s="56">
        <v>1289</v>
      </c>
    </row>
    <row r="572" spans="1:6">
      <c r="A572" s="57">
        <v>46257.458333333336</v>
      </c>
      <c r="B572" s="55" t="s">
        <v>26</v>
      </c>
      <c r="C572" s="56">
        <v>1420</v>
      </c>
      <c r="D572" s="56">
        <v>1420</v>
      </c>
      <c r="E572" s="56">
        <v>235</v>
      </c>
      <c r="F572" s="56">
        <v>1289</v>
      </c>
    </row>
    <row r="573" spans="1:6">
      <c r="A573" s="57">
        <v>46257.5</v>
      </c>
      <c r="B573" s="55" t="s">
        <v>26</v>
      </c>
      <c r="C573" s="56">
        <v>1420</v>
      </c>
      <c r="D573" s="56">
        <v>1420</v>
      </c>
      <c r="E573" s="56">
        <v>235</v>
      </c>
      <c r="F573" s="56">
        <v>1289</v>
      </c>
    </row>
    <row r="574" spans="1:6">
      <c r="A574" s="57">
        <v>46257.541666666664</v>
      </c>
      <c r="B574" s="55" t="s">
        <v>26</v>
      </c>
      <c r="C574" s="56">
        <v>1420</v>
      </c>
      <c r="D574" s="56">
        <v>1420</v>
      </c>
      <c r="E574" s="56">
        <v>235</v>
      </c>
      <c r="F574" s="56">
        <v>1289</v>
      </c>
    </row>
    <row r="575" spans="1:6">
      <c r="A575" s="57">
        <v>46257.583333333336</v>
      </c>
      <c r="B575" s="55" t="s">
        <v>26</v>
      </c>
      <c r="C575" s="56">
        <v>1420</v>
      </c>
      <c r="D575" s="56">
        <v>1420</v>
      </c>
      <c r="E575" s="56">
        <v>235</v>
      </c>
      <c r="F575" s="56">
        <v>1289</v>
      </c>
    </row>
    <row r="576" spans="1:6">
      <c r="A576" s="57">
        <v>46257.625</v>
      </c>
      <c r="B576" s="55" t="s">
        <v>26</v>
      </c>
      <c r="C576" s="56">
        <v>1420</v>
      </c>
      <c r="D576" s="56">
        <v>1420</v>
      </c>
      <c r="E576" s="56">
        <v>235</v>
      </c>
      <c r="F576" s="56">
        <v>1289</v>
      </c>
    </row>
    <row r="577" spans="1:6">
      <c r="A577" s="57">
        <v>46257.666666666664</v>
      </c>
      <c r="B577" s="55" t="s">
        <v>26</v>
      </c>
      <c r="C577" s="56">
        <v>1420</v>
      </c>
      <c r="D577" s="56">
        <v>1420</v>
      </c>
      <c r="E577" s="56">
        <v>235</v>
      </c>
      <c r="F577" s="56">
        <v>1289</v>
      </c>
    </row>
    <row r="578" spans="1:6">
      <c r="A578" s="57">
        <v>46257.708333333336</v>
      </c>
      <c r="B578" s="55" t="s">
        <v>26</v>
      </c>
      <c r="C578" s="56">
        <v>1420</v>
      </c>
      <c r="D578" s="56">
        <v>1420</v>
      </c>
      <c r="E578" s="56">
        <v>235</v>
      </c>
      <c r="F578" s="56">
        <v>1289</v>
      </c>
    </row>
    <row r="579" spans="1:6">
      <c r="A579" s="57">
        <v>46257.75</v>
      </c>
      <c r="B579" s="55" t="s">
        <v>26</v>
      </c>
      <c r="C579" s="56">
        <v>1420</v>
      </c>
      <c r="D579" s="56">
        <v>1420</v>
      </c>
      <c r="E579" s="56">
        <v>235</v>
      </c>
      <c r="F579" s="56">
        <v>1289</v>
      </c>
    </row>
    <row r="580" spans="1:6">
      <c r="A580" s="57">
        <v>46257.791666666664</v>
      </c>
      <c r="B580" s="55" t="s">
        <v>26</v>
      </c>
      <c r="C580" s="56">
        <v>1420</v>
      </c>
      <c r="D580" s="56">
        <v>1420</v>
      </c>
      <c r="E580" s="56">
        <v>235</v>
      </c>
      <c r="F580" s="56">
        <v>1289</v>
      </c>
    </row>
    <row r="581" spans="1:6">
      <c r="A581" s="57">
        <v>46257.833333333336</v>
      </c>
      <c r="B581" s="55" t="s">
        <v>26</v>
      </c>
      <c r="C581" s="56">
        <v>1420</v>
      </c>
      <c r="D581" s="56">
        <v>1420</v>
      </c>
      <c r="E581" s="56">
        <v>235</v>
      </c>
      <c r="F581" s="56">
        <v>1289</v>
      </c>
    </row>
    <row r="582" spans="1:6">
      <c r="A582" s="57">
        <v>46257.875</v>
      </c>
      <c r="B582" s="55" t="s">
        <v>26</v>
      </c>
      <c r="C582" s="56">
        <v>1420</v>
      </c>
      <c r="D582" s="56">
        <v>1420</v>
      </c>
      <c r="E582" s="56">
        <v>235</v>
      </c>
      <c r="F582" s="56">
        <v>1289</v>
      </c>
    </row>
    <row r="583" spans="1:6">
      <c r="A583" s="57">
        <v>46257.916666666664</v>
      </c>
      <c r="B583" s="55" t="s">
        <v>26</v>
      </c>
      <c r="C583" s="56">
        <v>1420</v>
      </c>
      <c r="D583" s="56">
        <v>1420</v>
      </c>
      <c r="E583" s="56">
        <v>235</v>
      </c>
      <c r="F583" s="56">
        <v>1289</v>
      </c>
    </row>
    <row r="584" spans="1:6">
      <c r="A584" s="57">
        <v>46257.958333333336</v>
      </c>
      <c r="B584" s="55" t="s">
        <v>26</v>
      </c>
      <c r="C584" s="56">
        <v>1420</v>
      </c>
      <c r="D584" s="56">
        <v>1420</v>
      </c>
      <c r="E584" s="56">
        <v>235</v>
      </c>
      <c r="F584" s="56">
        <v>1289</v>
      </c>
    </row>
    <row r="585" spans="1:6">
      <c r="A585" s="57">
        <v>46258</v>
      </c>
      <c r="B585" s="55" t="s">
        <v>26</v>
      </c>
      <c r="C585" s="56">
        <v>1420</v>
      </c>
      <c r="D585" s="56">
        <v>1420</v>
      </c>
      <c r="E585" s="56">
        <v>235</v>
      </c>
      <c r="F585" s="56">
        <v>1289</v>
      </c>
    </row>
    <row r="586" spans="1:6">
      <c r="A586" s="57">
        <v>46258.041666666664</v>
      </c>
      <c r="B586" s="55" t="s">
        <v>26</v>
      </c>
      <c r="C586" s="56">
        <v>1420</v>
      </c>
      <c r="D586" s="56">
        <v>1420</v>
      </c>
      <c r="E586" s="56">
        <v>235</v>
      </c>
      <c r="F586" s="56">
        <v>1289</v>
      </c>
    </row>
    <row r="587" spans="1:6">
      <c r="A587" s="57">
        <v>46258.083333333336</v>
      </c>
      <c r="B587" s="55" t="s">
        <v>26</v>
      </c>
      <c r="C587" s="56">
        <v>1420</v>
      </c>
      <c r="D587" s="56">
        <v>1420</v>
      </c>
      <c r="E587" s="56">
        <v>235</v>
      </c>
      <c r="F587" s="56">
        <v>1289</v>
      </c>
    </row>
    <row r="588" spans="1:6">
      <c r="A588" s="57">
        <v>46258.125</v>
      </c>
      <c r="B588" s="55" t="s">
        <v>26</v>
      </c>
      <c r="C588" s="56">
        <v>1420</v>
      </c>
      <c r="D588" s="56">
        <v>1420</v>
      </c>
      <c r="E588" s="56">
        <v>235</v>
      </c>
      <c r="F588" s="56">
        <v>1289</v>
      </c>
    </row>
    <row r="589" spans="1:6">
      <c r="A589" s="57">
        <v>46258.166666666664</v>
      </c>
      <c r="B589" s="55" t="s">
        <v>26</v>
      </c>
      <c r="C589" s="56">
        <v>1420</v>
      </c>
      <c r="D589" s="56">
        <v>1420</v>
      </c>
      <c r="E589" s="56">
        <v>235</v>
      </c>
      <c r="F589" s="56">
        <v>1289</v>
      </c>
    </row>
    <row r="590" spans="1:6">
      <c r="A590" s="57">
        <v>46258.208333333336</v>
      </c>
      <c r="B590" s="55" t="s">
        <v>26</v>
      </c>
      <c r="C590" s="56">
        <v>1420</v>
      </c>
      <c r="D590" s="56">
        <v>1420</v>
      </c>
      <c r="E590" s="56">
        <v>235</v>
      </c>
      <c r="F590" s="56">
        <v>1289</v>
      </c>
    </row>
    <row r="591" spans="1:6">
      <c r="A591" s="57">
        <v>46258.25</v>
      </c>
      <c r="B591" s="55" t="s">
        <v>26</v>
      </c>
      <c r="C591" s="56">
        <v>1420</v>
      </c>
      <c r="D591" s="56">
        <v>1420</v>
      </c>
      <c r="E591" s="56">
        <v>235</v>
      </c>
      <c r="F591" s="56">
        <v>1289</v>
      </c>
    </row>
    <row r="592" spans="1:6">
      <c r="A592" s="57">
        <v>46258.291666666664</v>
      </c>
      <c r="B592" s="55" t="s">
        <v>26</v>
      </c>
      <c r="C592" s="56">
        <v>1420</v>
      </c>
      <c r="D592" s="56">
        <v>1420</v>
      </c>
      <c r="E592" s="56">
        <v>235</v>
      </c>
      <c r="F592" s="56">
        <v>1289</v>
      </c>
    </row>
    <row r="593" spans="1:6">
      <c r="A593" s="57">
        <v>46258.333333333336</v>
      </c>
      <c r="B593" s="55" t="s">
        <v>26</v>
      </c>
      <c r="C593" s="56">
        <v>1420</v>
      </c>
      <c r="D593" s="56">
        <v>1420</v>
      </c>
      <c r="E593" s="56">
        <v>235</v>
      </c>
      <c r="F593" s="56">
        <v>1289</v>
      </c>
    </row>
    <row r="594" spans="1:6">
      <c r="A594" s="57">
        <v>46258.375</v>
      </c>
      <c r="B594" s="55" t="s">
        <v>26</v>
      </c>
      <c r="C594" s="56">
        <v>1420</v>
      </c>
      <c r="D594" s="56">
        <v>1420</v>
      </c>
      <c r="E594" s="56">
        <v>235</v>
      </c>
      <c r="F594" s="56">
        <v>1289</v>
      </c>
    </row>
    <row r="595" spans="1:6">
      <c r="A595" s="57">
        <v>46258.416666666664</v>
      </c>
      <c r="B595" s="55" t="s">
        <v>26</v>
      </c>
      <c r="C595" s="56">
        <v>1420</v>
      </c>
      <c r="D595" s="56">
        <v>1420</v>
      </c>
      <c r="E595" s="56">
        <v>235</v>
      </c>
      <c r="F595" s="56">
        <v>1289</v>
      </c>
    </row>
    <row r="596" spans="1:6">
      <c r="A596" s="57">
        <v>46258.458333333336</v>
      </c>
      <c r="B596" s="55" t="s">
        <v>26</v>
      </c>
      <c r="C596" s="56">
        <v>1420</v>
      </c>
      <c r="D596" s="56">
        <v>1420</v>
      </c>
      <c r="E596" s="56">
        <v>235</v>
      </c>
      <c r="F596" s="56">
        <v>1289</v>
      </c>
    </row>
    <row r="597" spans="1:6">
      <c r="A597" s="57">
        <v>46258.5</v>
      </c>
      <c r="B597" s="55" t="s">
        <v>26</v>
      </c>
      <c r="C597" s="56">
        <v>1420</v>
      </c>
      <c r="D597" s="56">
        <v>1420</v>
      </c>
      <c r="E597" s="56">
        <v>235</v>
      </c>
      <c r="F597" s="56">
        <v>1289</v>
      </c>
    </row>
    <row r="598" spans="1:6">
      <c r="A598" s="57">
        <v>46258.541666666664</v>
      </c>
      <c r="B598" s="55" t="s">
        <v>26</v>
      </c>
      <c r="C598" s="56">
        <v>1420</v>
      </c>
      <c r="D598" s="56">
        <v>1420</v>
      </c>
      <c r="E598" s="56">
        <v>235</v>
      </c>
      <c r="F598" s="56">
        <v>1289</v>
      </c>
    </row>
    <row r="599" spans="1:6">
      <c r="A599" s="57">
        <v>46258.583333333336</v>
      </c>
      <c r="B599" s="55" t="s">
        <v>26</v>
      </c>
      <c r="C599" s="56">
        <v>1420</v>
      </c>
      <c r="D599" s="56">
        <v>1420</v>
      </c>
      <c r="E599" s="56">
        <v>235</v>
      </c>
      <c r="F599" s="56">
        <v>1289</v>
      </c>
    </row>
    <row r="600" spans="1:6">
      <c r="A600" s="57">
        <v>46258.625</v>
      </c>
      <c r="B600" s="55" t="s">
        <v>26</v>
      </c>
      <c r="C600" s="56">
        <v>1420</v>
      </c>
      <c r="D600" s="56">
        <v>1420</v>
      </c>
      <c r="E600" s="56">
        <v>235</v>
      </c>
      <c r="F600" s="56">
        <v>1289</v>
      </c>
    </row>
    <row r="601" spans="1:6">
      <c r="A601" s="57">
        <v>46258.666666666664</v>
      </c>
      <c r="B601" s="55" t="s">
        <v>26</v>
      </c>
      <c r="C601" s="56">
        <v>1420</v>
      </c>
      <c r="D601" s="56">
        <v>1420</v>
      </c>
      <c r="E601" s="56">
        <v>235</v>
      </c>
      <c r="F601" s="56">
        <v>1289</v>
      </c>
    </row>
    <row r="602" spans="1:6">
      <c r="A602" s="57">
        <v>46258.708333333336</v>
      </c>
      <c r="B602" s="55" t="s">
        <v>26</v>
      </c>
      <c r="C602" s="56">
        <v>1420</v>
      </c>
      <c r="D602" s="56">
        <v>1420</v>
      </c>
      <c r="E602" s="56">
        <v>235</v>
      </c>
      <c r="F602" s="56">
        <v>1289</v>
      </c>
    </row>
    <row r="603" spans="1:6">
      <c r="A603" s="57">
        <v>46258.75</v>
      </c>
      <c r="B603" s="55" t="s">
        <v>26</v>
      </c>
      <c r="C603" s="56">
        <v>1420</v>
      </c>
      <c r="D603" s="56">
        <v>1420</v>
      </c>
      <c r="E603" s="56">
        <v>235</v>
      </c>
      <c r="F603" s="56">
        <v>1289</v>
      </c>
    </row>
    <row r="604" spans="1:6">
      <c r="A604" s="57">
        <v>46258.791666666664</v>
      </c>
      <c r="B604" s="55" t="s">
        <v>26</v>
      </c>
      <c r="C604" s="56">
        <v>1420</v>
      </c>
      <c r="D604" s="56">
        <v>1420</v>
      </c>
      <c r="E604" s="56">
        <v>235</v>
      </c>
      <c r="F604" s="56">
        <v>1289</v>
      </c>
    </row>
    <row r="605" spans="1:6">
      <c r="A605" s="57">
        <v>46258.833333333336</v>
      </c>
      <c r="B605" s="55" t="s">
        <v>26</v>
      </c>
      <c r="C605" s="56">
        <v>1420</v>
      </c>
      <c r="D605" s="56">
        <v>1420</v>
      </c>
      <c r="E605" s="56">
        <v>235</v>
      </c>
      <c r="F605" s="56">
        <v>1289</v>
      </c>
    </row>
    <row r="606" spans="1:6">
      <c r="A606" s="57">
        <v>46258.875</v>
      </c>
      <c r="B606" s="55" t="s">
        <v>26</v>
      </c>
      <c r="C606" s="56">
        <v>1420</v>
      </c>
      <c r="D606" s="56">
        <v>1420</v>
      </c>
      <c r="E606" s="56">
        <v>235</v>
      </c>
      <c r="F606" s="56">
        <v>1289</v>
      </c>
    </row>
    <row r="607" spans="1:6">
      <c r="A607" s="57">
        <v>46258.916666666664</v>
      </c>
      <c r="B607" s="55" t="s">
        <v>26</v>
      </c>
      <c r="C607" s="56">
        <v>1420</v>
      </c>
      <c r="D607" s="56">
        <v>1420</v>
      </c>
      <c r="E607" s="56">
        <v>235</v>
      </c>
      <c r="F607" s="56">
        <v>1289</v>
      </c>
    </row>
    <row r="608" spans="1:6">
      <c r="A608" s="57">
        <v>46258.958333333336</v>
      </c>
      <c r="B608" s="55" t="s">
        <v>26</v>
      </c>
      <c r="C608" s="56">
        <v>1420</v>
      </c>
      <c r="D608" s="56">
        <v>1420</v>
      </c>
      <c r="E608" s="56">
        <v>235</v>
      </c>
      <c r="F608" s="56">
        <v>1289</v>
      </c>
    </row>
    <row r="609" spans="1:6">
      <c r="A609" s="57">
        <v>46259</v>
      </c>
      <c r="B609" s="55" t="s">
        <v>26</v>
      </c>
      <c r="C609" s="56">
        <v>1420</v>
      </c>
      <c r="D609" s="56">
        <v>1420</v>
      </c>
      <c r="E609" s="56">
        <v>235</v>
      </c>
      <c r="F609" s="56">
        <v>1289</v>
      </c>
    </row>
    <row r="610" spans="1:6">
      <c r="A610" s="57">
        <v>46259.041666666664</v>
      </c>
      <c r="B610" s="55" t="s">
        <v>26</v>
      </c>
      <c r="C610" s="56">
        <v>1420</v>
      </c>
      <c r="D610" s="56">
        <v>1420</v>
      </c>
      <c r="E610" s="56">
        <v>235</v>
      </c>
      <c r="F610" s="56">
        <v>1289</v>
      </c>
    </row>
    <row r="611" spans="1:6">
      <c r="A611" s="57">
        <v>46259.083333333336</v>
      </c>
      <c r="B611" s="55" t="s">
        <v>26</v>
      </c>
      <c r="C611" s="56">
        <v>1420</v>
      </c>
      <c r="D611" s="56">
        <v>1420</v>
      </c>
      <c r="E611" s="56">
        <v>235</v>
      </c>
      <c r="F611" s="56">
        <v>1289</v>
      </c>
    </row>
    <row r="612" spans="1:6">
      <c r="A612" s="57">
        <v>46259.125</v>
      </c>
      <c r="B612" s="55" t="s">
        <v>26</v>
      </c>
      <c r="C612" s="56">
        <v>1420</v>
      </c>
      <c r="D612" s="56">
        <v>1420</v>
      </c>
      <c r="E612" s="56">
        <v>235</v>
      </c>
      <c r="F612" s="56">
        <v>1289</v>
      </c>
    </row>
    <row r="613" spans="1:6">
      <c r="A613" s="57">
        <v>46259.166666666664</v>
      </c>
      <c r="B613" s="55" t="s">
        <v>26</v>
      </c>
      <c r="C613" s="56">
        <v>1420</v>
      </c>
      <c r="D613" s="56">
        <v>1420</v>
      </c>
      <c r="E613" s="56">
        <v>235</v>
      </c>
      <c r="F613" s="56">
        <v>1289</v>
      </c>
    </row>
    <row r="614" spans="1:6">
      <c r="A614" s="57">
        <v>46259.208333333336</v>
      </c>
      <c r="B614" s="55" t="s">
        <v>26</v>
      </c>
      <c r="C614" s="56">
        <v>1420</v>
      </c>
      <c r="D614" s="56">
        <v>1420</v>
      </c>
      <c r="E614" s="56">
        <v>235</v>
      </c>
      <c r="F614" s="56">
        <v>1289</v>
      </c>
    </row>
    <row r="615" spans="1:6">
      <c r="A615" s="57">
        <v>46259.25</v>
      </c>
      <c r="B615" s="55" t="s">
        <v>26</v>
      </c>
      <c r="C615" s="56">
        <v>1420</v>
      </c>
      <c r="D615" s="56">
        <v>1420</v>
      </c>
      <c r="E615" s="56">
        <v>235</v>
      </c>
      <c r="F615" s="56">
        <v>1289</v>
      </c>
    </row>
    <row r="616" spans="1:6">
      <c r="A616" s="57">
        <v>46259.291666666664</v>
      </c>
      <c r="B616" s="55" t="s">
        <v>26</v>
      </c>
      <c r="C616" s="56">
        <v>1420</v>
      </c>
      <c r="D616" s="56">
        <v>1420</v>
      </c>
      <c r="E616" s="56">
        <v>235</v>
      </c>
      <c r="F616" s="56">
        <v>1289</v>
      </c>
    </row>
    <row r="617" spans="1:6">
      <c r="A617" s="57">
        <v>46259.333333333336</v>
      </c>
      <c r="B617" s="55" t="s">
        <v>26</v>
      </c>
      <c r="C617" s="56">
        <v>1420</v>
      </c>
      <c r="D617" s="56">
        <v>1420</v>
      </c>
      <c r="E617" s="56">
        <v>235</v>
      </c>
      <c r="F617" s="56">
        <v>1289</v>
      </c>
    </row>
    <row r="618" spans="1:6">
      <c r="A618" s="57">
        <v>46259.375</v>
      </c>
      <c r="B618" s="55" t="s">
        <v>26</v>
      </c>
      <c r="C618" s="56">
        <v>1420</v>
      </c>
      <c r="D618" s="56">
        <v>1420</v>
      </c>
      <c r="E618" s="56">
        <v>235</v>
      </c>
      <c r="F618" s="56">
        <v>1289</v>
      </c>
    </row>
    <row r="619" spans="1:6">
      <c r="A619" s="57">
        <v>46259.416666666664</v>
      </c>
      <c r="B619" s="55" t="s">
        <v>26</v>
      </c>
      <c r="C619" s="56">
        <v>1420</v>
      </c>
      <c r="D619" s="56">
        <v>1420</v>
      </c>
      <c r="E619" s="56">
        <v>235</v>
      </c>
      <c r="F619" s="56">
        <v>1289</v>
      </c>
    </row>
    <row r="620" spans="1:6">
      <c r="A620" s="57">
        <v>46259.458333333336</v>
      </c>
      <c r="B620" s="55" t="s">
        <v>26</v>
      </c>
      <c r="C620" s="56">
        <v>1420</v>
      </c>
      <c r="D620" s="56">
        <v>1420</v>
      </c>
      <c r="E620" s="56">
        <v>235</v>
      </c>
      <c r="F620" s="56">
        <v>1289</v>
      </c>
    </row>
    <row r="621" spans="1:6">
      <c r="A621" s="57">
        <v>46259.5</v>
      </c>
      <c r="B621" s="55" t="s">
        <v>26</v>
      </c>
      <c r="C621" s="56">
        <v>1420</v>
      </c>
      <c r="D621" s="56">
        <v>1420</v>
      </c>
      <c r="E621" s="56">
        <v>235</v>
      </c>
      <c r="F621" s="56">
        <v>1289</v>
      </c>
    </row>
    <row r="622" spans="1:6">
      <c r="A622" s="57">
        <v>46259.541666666664</v>
      </c>
      <c r="B622" s="55" t="s">
        <v>26</v>
      </c>
      <c r="C622" s="56">
        <v>1420</v>
      </c>
      <c r="D622" s="56">
        <v>1420</v>
      </c>
      <c r="E622" s="56">
        <v>235</v>
      </c>
      <c r="F622" s="56">
        <v>1289</v>
      </c>
    </row>
    <row r="623" spans="1:6">
      <c r="A623" s="57">
        <v>46259.583333333336</v>
      </c>
      <c r="B623" s="55" t="s">
        <v>26</v>
      </c>
      <c r="C623" s="56">
        <v>1420</v>
      </c>
      <c r="D623" s="56">
        <v>1420</v>
      </c>
      <c r="E623" s="56">
        <v>235</v>
      </c>
      <c r="F623" s="56">
        <v>1289</v>
      </c>
    </row>
    <row r="624" spans="1:6">
      <c r="A624" s="57">
        <v>46259.625</v>
      </c>
      <c r="B624" s="55" t="s">
        <v>26</v>
      </c>
      <c r="C624" s="56">
        <v>1420</v>
      </c>
      <c r="D624" s="56">
        <v>1420</v>
      </c>
      <c r="E624" s="56">
        <v>235</v>
      </c>
      <c r="F624" s="56">
        <v>1289</v>
      </c>
    </row>
    <row r="625" spans="1:6">
      <c r="A625" s="57">
        <v>46259.666666666664</v>
      </c>
      <c r="B625" s="55" t="s">
        <v>26</v>
      </c>
      <c r="C625" s="56">
        <v>1420</v>
      </c>
      <c r="D625" s="56">
        <v>1420</v>
      </c>
      <c r="E625" s="56">
        <v>235</v>
      </c>
      <c r="F625" s="56">
        <v>1289</v>
      </c>
    </row>
    <row r="626" spans="1:6">
      <c r="A626" s="57">
        <v>46259.708333333336</v>
      </c>
      <c r="B626" s="55" t="s">
        <v>26</v>
      </c>
      <c r="C626" s="56">
        <v>1420</v>
      </c>
      <c r="D626" s="56">
        <v>1420</v>
      </c>
      <c r="E626" s="56">
        <v>235</v>
      </c>
      <c r="F626" s="56">
        <v>1289</v>
      </c>
    </row>
    <row r="627" spans="1:6">
      <c r="A627" s="57">
        <v>46259.75</v>
      </c>
      <c r="B627" s="55" t="s">
        <v>26</v>
      </c>
      <c r="C627" s="56">
        <v>1420</v>
      </c>
      <c r="D627" s="56">
        <v>1420</v>
      </c>
      <c r="E627" s="56">
        <v>235</v>
      </c>
      <c r="F627" s="56">
        <v>1289</v>
      </c>
    </row>
    <row r="628" spans="1:6">
      <c r="A628" s="57">
        <v>46259.791666666664</v>
      </c>
      <c r="B628" s="55" t="s">
        <v>26</v>
      </c>
      <c r="C628" s="56">
        <v>1420</v>
      </c>
      <c r="D628" s="56">
        <v>1420</v>
      </c>
      <c r="E628" s="56">
        <v>235</v>
      </c>
      <c r="F628" s="56">
        <v>1289</v>
      </c>
    </row>
    <row r="629" spans="1:6">
      <c r="A629" s="57">
        <v>46259.833333333336</v>
      </c>
      <c r="B629" s="55" t="s">
        <v>26</v>
      </c>
      <c r="C629" s="56">
        <v>1420</v>
      </c>
      <c r="D629" s="56">
        <v>1420</v>
      </c>
      <c r="E629" s="56">
        <v>235</v>
      </c>
      <c r="F629" s="56">
        <v>1289</v>
      </c>
    </row>
    <row r="630" spans="1:6">
      <c r="A630" s="57">
        <v>46259.875</v>
      </c>
      <c r="B630" s="55" t="s">
        <v>26</v>
      </c>
      <c r="C630" s="56">
        <v>1420</v>
      </c>
      <c r="D630" s="56">
        <v>1420</v>
      </c>
      <c r="E630" s="56">
        <v>235</v>
      </c>
      <c r="F630" s="56">
        <v>1289</v>
      </c>
    </row>
    <row r="631" spans="1:6">
      <c r="A631" s="57">
        <v>46259.916666666664</v>
      </c>
      <c r="B631" s="55" t="s">
        <v>26</v>
      </c>
      <c r="C631" s="56">
        <v>1420</v>
      </c>
      <c r="D631" s="56">
        <v>1420</v>
      </c>
      <c r="E631" s="56">
        <v>235</v>
      </c>
      <c r="F631" s="56">
        <v>1289</v>
      </c>
    </row>
    <row r="632" spans="1:6">
      <c r="A632" s="57">
        <v>46259.958333333336</v>
      </c>
      <c r="B632" s="55" t="s">
        <v>26</v>
      </c>
      <c r="C632" s="56">
        <v>1420</v>
      </c>
      <c r="D632" s="56">
        <v>1420</v>
      </c>
      <c r="E632" s="56">
        <v>235</v>
      </c>
      <c r="F632" s="56">
        <v>1289</v>
      </c>
    </row>
    <row r="633" spans="1:6">
      <c r="A633" s="57">
        <v>46260</v>
      </c>
      <c r="B633" s="55" t="s">
        <v>26</v>
      </c>
      <c r="C633" s="56">
        <v>1420</v>
      </c>
      <c r="D633" s="56">
        <v>1420</v>
      </c>
      <c r="E633" s="56">
        <v>235</v>
      </c>
      <c r="F633" s="56">
        <v>1289</v>
      </c>
    </row>
    <row r="634" spans="1:6">
      <c r="A634" s="57">
        <v>46260.041666666664</v>
      </c>
      <c r="B634" s="55" t="s">
        <v>26</v>
      </c>
      <c r="C634" s="56">
        <v>1420</v>
      </c>
      <c r="D634" s="56">
        <v>1420</v>
      </c>
      <c r="E634" s="56">
        <v>235</v>
      </c>
      <c r="F634" s="56">
        <v>1289</v>
      </c>
    </row>
    <row r="635" spans="1:6">
      <c r="A635" s="57">
        <v>46260.083333333336</v>
      </c>
      <c r="B635" s="55" t="s">
        <v>26</v>
      </c>
      <c r="C635" s="56">
        <v>1420</v>
      </c>
      <c r="D635" s="56">
        <v>1420</v>
      </c>
      <c r="E635" s="56">
        <v>235</v>
      </c>
      <c r="F635" s="56">
        <v>1289</v>
      </c>
    </row>
    <row r="636" spans="1:6">
      <c r="A636" s="57">
        <v>46260.125</v>
      </c>
      <c r="B636" s="55" t="s">
        <v>26</v>
      </c>
      <c r="C636" s="56">
        <v>1420</v>
      </c>
      <c r="D636" s="56">
        <v>1420</v>
      </c>
      <c r="E636" s="56">
        <v>235</v>
      </c>
      <c r="F636" s="56">
        <v>1289</v>
      </c>
    </row>
    <row r="637" spans="1:6">
      <c r="A637" s="57">
        <v>46260.166666666664</v>
      </c>
      <c r="B637" s="55" t="s">
        <v>26</v>
      </c>
      <c r="C637" s="56">
        <v>1420</v>
      </c>
      <c r="D637" s="56">
        <v>1420</v>
      </c>
      <c r="E637" s="56">
        <v>235</v>
      </c>
      <c r="F637" s="56">
        <v>1289</v>
      </c>
    </row>
    <row r="638" spans="1:6">
      <c r="A638" s="57">
        <v>46260.208333333336</v>
      </c>
      <c r="B638" s="55" t="s">
        <v>26</v>
      </c>
      <c r="C638" s="56">
        <v>1420</v>
      </c>
      <c r="D638" s="56">
        <v>1420</v>
      </c>
      <c r="E638" s="56">
        <v>235</v>
      </c>
      <c r="F638" s="56">
        <v>1289</v>
      </c>
    </row>
    <row r="639" spans="1:6">
      <c r="A639" s="57">
        <v>46260.25</v>
      </c>
      <c r="B639" s="55" t="s">
        <v>26</v>
      </c>
      <c r="C639" s="56">
        <v>1420</v>
      </c>
      <c r="D639" s="56">
        <v>1420</v>
      </c>
      <c r="E639" s="56">
        <v>235</v>
      </c>
      <c r="F639" s="56">
        <v>1289</v>
      </c>
    </row>
    <row r="640" spans="1:6">
      <c r="A640" s="57">
        <v>46260.291666666664</v>
      </c>
      <c r="B640" s="55" t="s">
        <v>26</v>
      </c>
      <c r="C640" s="56">
        <v>1420</v>
      </c>
      <c r="D640" s="56">
        <v>1420</v>
      </c>
      <c r="E640" s="56">
        <v>235</v>
      </c>
      <c r="F640" s="56">
        <v>1289</v>
      </c>
    </row>
    <row r="641" spans="1:6">
      <c r="A641" s="57">
        <v>46260.333333333336</v>
      </c>
      <c r="B641" s="55" t="s">
        <v>26</v>
      </c>
      <c r="C641" s="56">
        <v>1420</v>
      </c>
      <c r="D641" s="56">
        <v>1420</v>
      </c>
      <c r="E641" s="56">
        <v>235</v>
      </c>
      <c r="F641" s="56">
        <v>1289</v>
      </c>
    </row>
    <row r="642" spans="1:6">
      <c r="A642" s="57">
        <v>46260.375</v>
      </c>
      <c r="B642" s="55" t="s">
        <v>26</v>
      </c>
      <c r="C642" s="56">
        <v>1420</v>
      </c>
      <c r="D642" s="56">
        <v>1420</v>
      </c>
      <c r="E642" s="56">
        <v>235</v>
      </c>
      <c r="F642" s="56">
        <v>1289</v>
      </c>
    </row>
    <row r="643" spans="1:6">
      <c r="A643" s="57">
        <v>46260.416666666664</v>
      </c>
      <c r="B643" s="55" t="s">
        <v>26</v>
      </c>
      <c r="C643" s="56">
        <v>1420</v>
      </c>
      <c r="D643" s="56">
        <v>1420</v>
      </c>
      <c r="E643" s="56">
        <v>235</v>
      </c>
      <c r="F643" s="56">
        <v>1289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43"/>
  <sheetViews>
    <sheetView topLeftCell="A614" workbookViewId="0">
      <selection activeCell="A2" sqref="A2:F643"/>
    </sheetView>
  </sheetViews>
  <sheetFormatPr defaultRowHeight="13.5"/>
  <cols>
    <col min="1" max="1" width="18.875" style="19" customWidth="1"/>
    <col min="16" max="19" width="9" style="15"/>
  </cols>
  <sheetData>
    <row r="1" spans="1:9">
      <c r="A1" s="25" t="s">
        <v>30</v>
      </c>
      <c r="B1" s="34" t="s">
        <v>20</v>
      </c>
      <c r="C1" s="34" t="s">
        <v>21</v>
      </c>
      <c r="D1" s="34" t="s">
        <v>22</v>
      </c>
      <c r="E1" s="34" t="s">
        <v>23</v>
      </c>
      <c r="F1" s="34" t="s">
        <v>24</v>
      </c>
    </row>
    <row r="2" spans="1:9" ht="33">
      <c r="A2" s="58">
        <v>46233.708333333336</v>
      </c>
      <c r="B2" s="59" t="s">
        <v>27</v>
      </c>
      <c r="C2" s="60">
        <v>0</v>
      </c>
      <c r="D2" s="60">
        <v>300</v>
      </c>
      <c r="E2" s="60">
        <v>316.18189999999998</v>
      </c>
      <c r="F2" s="60">
        <v>478.00470000000001</v>
      </c>
      <c r="H2" s="2" t="s">
        <v>3</v>
      </c>
      <c r="I2" s="8">
        <f>MAX(C:C)</f>
        <v>9129</v>
      </c>
    </row>
    <row r="3" spans="1:9" ht="33">
      <c r="A3" s="58">
        <v>46233.75</v>
      </c>
      <c r="B3" s="59" t="s">
        <v>27</v>
      </c>
      <c r="C3" s="60">
        <v>0</v>
      </c>
      <c r="D3" s="60">
        <v>300</v>
      </c>
      <c r="E3" s="60">
        <v>316.15390000000002</v>
      </c>
      <c r="F3" s="60">
        <v>476.92469999999997</v>
      </c>
      <c r="H3" s="3" t="s">
        <v>4</v>
      </c>
      <c r="I3" s="8">
        <f>MAX(D:D)</f>
        <v>3241.7979999999998</v>
      </c>
    </row>
    <row r="4" spans="1:9" ht="33">
      <c r="A4" s="58">
        <v>46233.791666666664</v>
      </c>
      <c r="B4" s="59" t="s">
        <v>27</v>
      </c>
      <c r="C4" s="60">
        <v>0</v>
      </c>
      <c r="D4" s="60">
        <v>300</v>
      </c>
      <c r="E4" s="60">
        <v>316.12580000000003</v>
      </c>
      <c r="F4" s="60">
        <v>475.84469999999999</v>
      </c>
      <c r="H4" s="2" t="s">
        <v>5</v>
      </c>
      <c r="I4" s="8">
        <f>I6-F2</f>
        <v>282.95789999999994</v>
      </c>
    </row>
    <row r="5" spans="1:9" ht="33">
      <c r="A5" s="58">
        <v>46233.833333333336</v>
      </c>
      <c r="B5" s="59" t="s">
        <v>27</v>
      </c>
      <c r="C5" s="60">
        <v>0</v>
      </c>
      <c r="D5" s="60">
        <v>300</v>
      </c>
      <c r="E5" s="60">
        <v>316.09780000000001</v>
      </c>
      <c r="F5" s="60">
        <v>474.7647</v>
      </c>
      <c r="H5" s="2" t="s">
        <v>6</v>
      </c>
      <c r="I5" s="8">
        <f>MAX(E:E)</f>
        <v>323.0102</v>
      </c>
    </row>
    <row r="6" spans="1:9" ht="33">
      <c r="A6" s="58">
        <v>46233.875</v>
      </c>
      <c r="B6" s="59" t="s">
        <v>27</v>
      </c>
      <c r="C6" s="60">
        <v>2</v>
      </c>
      <c r="D6" s="60">
        <v>300</v>
      </c>
      <c r="E6" s="60">
        <v>316.06979999999999</v>
      </c>
      <c r="F6" s="60">
        <v>473.68830000000003</v>
      </c>
      <c r="H6" s="2" t="s">
        <v>7</v>
      </c>
      <c r="I6" s="8">
        <f>MAX(F:F)</f>
        <v>760.96259999999995</v>
      </c>
    </row>
    <row r="7" spans="1:9">
      <c r="A7" s="58">
        <v>46233.916666666664</v>
      </c>
      <c r="B7" s="59" t="s">
        <v>27</v>
      </c>
      <c r="C7" s="60">
        <v>4</v>
      </c>
      <c r="D7" s="60">
        <v>300</v>
      </c>
      <c r="E7" s="60">
        <v>316.0421</v>
      </c>
      <c r="F7" s="60">
        <v>472.6191</v>
      </c>
    </row>
    <row r="8" spans="1:9">
      <c r="A8" s="58">
        <v>46233.958333333336</v>
      </c>
      <c r="B8" s="59" t="s">
        <v>27</v>
      </c>
      <c r="C8" s="60">
        <v>8.5</v>
      </c>
      <c r="D8" s="60">
        <v>300</v>
      </c>
      <c r="E8" s="60">
        <v>316.01459999999997</v>
      </c>
      <c r="F8" s="60">
        <v>471.5616</v>
      </c>
    </row>
    <row r="9" spans="1:9">
      <c r="A9" s="58">
        <v>46234</v>
      </c>
      <c r="B9" s="59" t="s">
        <v>27</v>
      </c>
      <c r="C9" s="60">
        <v>13</v>
      </c>
      <c r="D9" s="60">
        <v>300</v>
      </c>
      <c r="E9" s="60">
        <v>315.98700000000002</v>
      </c>
      <c r="F9" s="60">
        <v>470.52030000000002</v>
      </c>
    </row>
    <row r="10" spans="1:9">
      <c r="A10" s="58">
        <v>46234.041666666664</v>
      </c>
      <c r="B10" s="59" t="s">
        <v>27</v>
      </c>
      <c r="C10" s="60">
        <v>178</v>
      </c>
      <c r="D10" s="60">
        <v>300</v>
      </c>
      <c r="E10" s="60">
        <v>315.96710000000002</v>
      </c>
      <c r="F10" s="60">
        <v>469.78410000000002</v>
      </c>
    </row>
    <row r="11" spans="1:9">
      <c r="A11" s="58">
        <v>46234.083333333336</v>
      </c>
      <c r="B11" s="59" t="s">
        <v>27</v>
      </c>
      <c r="C11" s="60">
        <v>343</v>
      </c>
      <c r="D11" s="60">
        <v>343</v>
      </c>
      <c r="E11" s="60">
        <v>315.96120000000002</v>
      </c>
      <c r="F11" s="60">
        <v>469.56450000000001</v>
      </c>
    </row>
    <row r="12" spans="1:9">
      <c r="A12" s="58">
        <v>46234.125</v>
      </c>
      <c r="B12" s="59" t="s">
        <v>27</v>
      </c>
      <c r="C12" s="60">
        <v>3963.5</v>
      </c>
      <c r="D12" s="60">
        <v>1000</v>
      </c>
      <c r="E12" s="60">
        <v>316.10129999999998</v>
      </c>
      <c r="F12" s="60">
        <v>474.89879999999999</v>
      </c>
    </row>
    <row r="13" spans="1:9">
      <c r="A13" s="58">
        <v>46234.166666666664</v>
      </c>
      <c r="B13" s="59" t="s">
        <v>27</v>
      </c>
      <c r="C13" s="60">
        <v>7584</v>
      </c>
      <c r="D13" s="60">
        <v>1000</v>
      </c>
      <c r="E13" s="60">
        <v>316.54759999999999</v>
      </c>
      <c r="F13" s="60">
        <v>492.08429999999998</v>
      </c>
    </row>
    <row r="14" spans="1:9">
      <c r="A14" s="58">
        <v>46234.208333333336</v>
      </c>
      <c r="B14" s="59" t="s">
        <v>27</v>
      </c>
      <c r="C14" s="60">
        <v>8356.5</v>
      </c>
      <c r="D14" s="60">
        <v>1000</v>
      </c>
      <c r="E14" s="60">
        <v>317.19940000000003</v>
      </c>
      <c r="F14" s="60">
        <v>517.17719999999997</v>
      </c>
    </row>
    <row r="15" spans="1:9">
      <c r="A15" s="58">
        <v>46234.25</v>
      </c>
      <c r="B15" s="59" t="s">
        <v>27</v>
      </c>
      <c r="C15" s="60">
        <v>9129</v>
      </c>
      <c r="D15" s="60">
        <v>1000</v>
      </c>
      <c r="E15" s="60">
        <v>317.92340000000002</v>
      </c>
      <c r="F15" s="60">
        <v>545.05110000000002</v>
      </c>
    </row>
    <row r="16" spans="1:9">
      <c r="A16" s="58">
        <v>46234.291666666664</v>
      </c>
      <c r="B16" s="59" t="s">
        <v>27</v>
      </c>
      <c r="C16" s="60">
        <v>8307</v>
      </c>
      <c r="D16" s="60">
        <v>1000</v>
      </c>
      <c r="E16" s="60">
        <v>318.62090000000001</v>
      </c>
      <c r="F16" s="60">
        <v>572.83590000000004</v>
      </c>
    </row>
    <row r="17" spans="1:19">
      <c r="A17" s="58">
        <v>46234.333333333336</v>
      </c>
      <c r="B17" s="59" t="s">
        <v>27</v>
      </c>
      <c r="C17" s="60">
        <v>7485</v>
      </c>
      <c r="D17" s="60">
        <v>1000</v>
      </c>
      <c r="E17" s="60">
        <v>319.24149999999997</v>
      </c>
      <c r="F17" s="60">
        <v>597.66150000000005</v>
      </c>
    </row>
    <row r="18" spans="1:19">
      <c r="A18" s="58">
        <v>46234.375</v>
      </c>
      <c r="B18" s="59" t="s">
        <v>27</v>
      </c>
      <c r="C18" s="60">
        <v>5602</v>
      </c>
      <c r="D18" s="60">
        <v>1000</v>
      </c>
      <c r="E18" s="60">
        <v>319.74040000000002</v>
      </c>
      <c r="F18" s="60">
        <v>617.61810000000003</v>
      </c>
    </row>
    <row r="19" spans="1:19">
      <c r="A19" s="58">
        <v>46234.416666666664</v>
      </c>
      <c r="B19" s="59" t="s">
        <v>27</v>
      </c>
      <c r="C19" s="60">
        <v>3719</v>
      </c>
      <c r="D19" s="60">
        <v>1000</v>
      </c>
      <c r="E19" s="60">
        <v>320.0643</v>
      </c>
      <c r="F19" s="60">
        <v>630.79589999999996</v>
      </c>
    </row>
    <row r="20" spans="1:19" s="7" customFormat="1">
      <c r="A20" s="58">
        <v>46234.458333333336</v>
      </c>
      <c r="B20" s="59" t="s">
        <v>27</v>
      </c>
      <c r="C20" s="60">
        <v>2887</v>
      </c>
      <c r="D20" s="60">
        <v>1000</v>
      </c>
      <c r="E20" s="60">
        <v>320.25490000000002</v>
      </c>
      <c r="F20" s="60">
        <v>639.08669999999995</v>
      </c>
      <c r="P20" s="15"/>
      <c r="Q20" s="15"/>
      <c r="R20" s="15"/>
      <c r="S20" s="15"/>
    </row>
    <row r="21" spans="1:19">
      <c r="A21" s="58">
        <v>46234.5</v>
      </c>
      <c r="B21" s="59" t="s">
        <v>27</v>
      </c>
      <c r="C21" s="60">
        <v>2055</v>
      </c>
      <c r="D21" s="60">
        <v>1000</v>
      </c>
      <c r="E21" s="60">
        <v>320.3766</v>
      </c>
      <c r="F21" s="60">
        <v>644.38229999999999</v>
      </c>
    </row>
    <row r="22" spans="1:19">
      <c r="A22" s="58">
        <v>46234.541666666664</v>
      </c>
      <c r="B22" s="59" t="s">
        <v>27</v>
      </c>
      <c r="C22" s="60">
        <v>1665.5</v>
      </c>
      <c r="D22" s="60">
        <v>1000</v>
      </c>
      <c r="E22" s="60">
        <v>320.44779999999997</v>
      </c>
      <c r="F22" s="60">
        <v>647.47919999999999</v>
      </c>
    </row>
    <row r="23" spans="1:19">
      <c r="A23" s="58">
        <v>46234.583333333336</v>
      </c>
      <c r="B23" s="59" t="s">
        <v>27</v>
      </c>
      <c r="C23" s="60">
        <v>1276</v>
      </c>
      <c r="D23" s="60">
        <v>1000</v>
      </c>
      <c r="E23" s="60">
        <v>320.48680000000002</v>
      </c>
      <c r="F23" s="60">
        <v>649.1739</v>
      </c>
    </row>
    <row r="24" spans="1:19">
      <c r="A24" s="58">
        <v>46234.625</v>
      </c>
      <c r="B24" s="59" t="s">
        <v>27</v>
      </c>
      <c r="C24" s="60">
        <v>1055.5</v>
      </c>
      <c r="D24" s="60">
        <v>1000</v>
      </c>
      <c r="E24" s="60">
        <v>320.50049999999999</v>
      </c>
      <c r="F24" s="60">
        <v>649.77059999999994</v>
      </c>
    </row>
    <row r="25" spans="1:19">
      <c r="A25" s="58">
        <v>46234.666666666664</v>
      </c>
      <c r="B25" s="59" t="s">
        <v>27</v>
      </c>
      <c r="C25" s="60">
        <v>835</v>
      </c>
      <c r="D25" s="60">
        <v>1000</v>
      </c>
      <c r="E25" s="60">
        <v>320.49590000000001</v>
      </c>
      <c r="F25" s="60">
        <v>649.57349999999997</v>
      </c>
    </row>
    <row r="26" spans="1:19">
      <c r="A26" s="58">
        <v>46234.708333333336</v>
      </c>
      <c r="B26" s="59" t="s">
        <v>27</v>
      </c>
      <c r="C26" s="60">
        <v>820</v>
      </c>
      <c r="D26" s="60">
        <v>1000</v>
      </c>
      <c r="E26" s="60">
        <v>320.48169999999999</v>
      </c>
      <c r="F26" s="60">
        <v>648.95249999999999</v>
      </c>
    </row>
    <row r="27" spans="1:19">
      <c r="A27" s="58">
        <v>46234.75</v>
      </c>
      <c r="B27" s="59" t="s">
        <v>27</v>
      </c>
      <c r="C27" s="60">
        <v>805</v>
      </c>
      <c r="D27" s="60">
        <v>1000</v>
      </c>
      <c r="E27" s="60">
        <v>320.46620000000001</v>
      </c>
      <c r="F27" s="60">
        <v>648.27750000000003</v>
      </c>
    </row>
    <row r="28" spans="1:19">
      <c r="A28" s="58">
        <v>46234.791666666664</v>
      </c>
      <c r="B28" s="59" t="s">
        <v>27</v>
      </c>
      <c r="C28" s="60">
        <v>900</v>
      </c>
      <c r="D28" s="60">
        <v>1000</v>
      </c>
      <c r="E28" s="60">
        <v>320.45389999999998</v>
      </c>
      <c r="F28" s="60">
        <v>647.74649999999997</v>
      </c>
    </row>
    <row r="29" spans="1:19">
      <c r="A29" s="58">
        <v>46234.833333333336</v>
      </c>
      <c r="B29" s="59" t="s">
        <v>27</v>
      </c>
      <c r="C29" s="60">
        <v>995</v>
      </c>
      <c r="D29" s="60">
        <v>1000</v>
      </c>
      <c r="E29" s="60">
        <v>320.44959999999998</v>
      </c>
      <c r="F29" s="60">
        <v>647.5575</v>
      </c>
    </row>
    <row r="30" spans="1:19">
      <c r="A30" s="58">
        <v>46234.875</v>
      </c>
      <c r="B30" s="59" t="s">
        <v>27</v>
      </c>
      <c r="C30" s="60">
        <v>960.5</v>
      </c>
      <c r="D30" s="60">
        <v>1000</v>
      </c>
      <c r="E30" s="60">
        <v>320.44779999999997</v>
      </c>
      <c r="F30" s="60">
        <v>647.47739999999999</v>
      </c>
    </row>
    <row r="31" spans="1:19">
      <c r="A31" s="58">
        <v>46234.916666666664</v>
      </c>
      <c r="B31" s="59" t="s">
        <v>27</v>
      </c>
      <c r="C31" s="60">
        <v>926</v>
      </c>
      <c r="D31" s="60">
        <v>0</v>
      </c>
      <c r="E31" s="60">
        <v>320.48439999999999</v>
      </c>
      <c r="F31" s="60">
        <v>649.07309999999995</v>
      </c>
    </row>
    <row r="32" spans="1:19">
      <c r="A32" s="58">
        <v>46234.958333333336</v>
      </c>
      <c r="B32" s="59" t="s">
        <v>27</v>
      </c>
      <c r="C32" s="60">
        <v>921.5</v>
      </c>
      <c r="D32" s="60">
        <v>0</v>
      </c>
      <c r="E32" s="60">
        <v>320.5609</v>
      </c>
      <c r="F32" s="60">
        <v>652.39859999999999</v>
      </c>
    </row>
    <row r="33" spans="1:6">
      <c r="A33" s="58">
        <v>46235</v>
      </c>
      <c r="B33" s="59" t="s">
        <v>27</v>
      </c>
      <c r="C33" s="60">
        <v>917</v>
      </c>
      <c r="D33" s="60">
        <v>0</v>
      </c>
      <c r="E33" s="60">
        <v>320.637</v>
      </c>
      <c r="F33" s="60">
        <v>655.7079</v>
      </c>
    </row>
    <row r="34" spans="1:6">
      <c r="A34" s="58">
        <v>46235.041666666664</v>
      </c>
      <c r="B34" s="59" t="s">
        <v>27</v>
      </c>
      <c r="C34" s="60">
        <v>918.5</v>
      </c>
      <c r="D34" s="60">
        <v>0</v>
      </c>
      <c r="E34" s="60">
        <v>320.71289999999999</v>
      </c>
      <c r="F34" s="60">
        <v>659.01179999999999</v>
      </c>
    </row>
    <row r="35" spans="1:6">
      <c r="A35" s="58">
        <v>46235.083333333336</v>
      </c>
      <c r="B35" s="59" t="s">
        <v>27</v>
      </c>
      <c r="C35" s="60">
        <v>920</v>
      </c>
      <c r="D35" s="60">
        <v>0</v>
      </c>
      <c r="E35" s="60">
        <v>320.78899999999999</v>
      </c>
      <c r="F35" s="60">
        <v>662.32119999999998</v>
      </c>
    </row>
    <row r="36" spans="1:6">
      <c r="A36" s="58">
        <v>46235.125</v>
      </c>
      <c r="B36" s="59" t="s">
        <v>27</v>
      </c>
      <c r="C36" s="60">
        <v>905</v>
      </c>
      <c r="D36" s="60">
        <v>0</v>
      </c>
      <c r="E36" s="60">
        <v>320.86450000000002</v>
      </c>
      <c r="F36" s="60">
        <v>665.60609999999997</v>
      </c>
    </row>
    <row r="37" spans="1:6">
      <c r="A37" s="58">
        <v>46235.166666666664</v>
      </c>
      <c r="B37" s="59" t="s">
        <v>27</v>
      </c>
      <c r="C37" s="60">
        <v>890</v>
      </c>
      <c r="D37" s="60">
        <v>0</v>
      </c>
      <c r="E37" s="60">
        <v>320.93880000000001</v>
      </c>
      <c r="F37" s="60">
        <v>668.83720000000005</v>
      </c>
    </row>
    <row r="38" spans="1:6">
      <c r="A38" s="58">
        <v>46235.208333333336</v>
      </c>
      <c r="B38" s="59" t="s">
        <v>27</v>
      </c>
      <c r="C38" s="60">
        <v>1088.5</v>
      </c>
      <c r="D38" s="60">
        <v>0</v>
      </c>
      <c r="E38" s="60">
        <v>321.02069999999998</v>
      </c>
      <c r="F38" s="60">
        <v>672.39840000000004</v>
      </c>
    </row>
    <row r="39" spans="1:6">
      <c r="A39" s="58">
        <v>46235.25</v>
      </c>
      <c r="B39" s="59" t="s">
        <v>27</v>
      </c>
      <c r="C39" s="60">
        <v>1287</v>
      </c>
      <c r="D39" s="60">
        <v>0</v>
      </c>
      <c r="E39" s="60">
        <v>321.11900000000003</v>
      </c>
      <c r="F39" s="60">
        <v>676.67430000000002</v>
      </c>
    </row>
    <row r="40" spans="1:6">
      <c r="A40" s="58">
        <v>46235.291666666664</v>
      </c>
      <c r="B40" s="59" t="s">
        <v>27</v>
      </c>
      <c r="C40" s="60">
        <v>1386</v>
      </c>
      <c r="D40" s="60">
        <v>0</v>
      </c>
      <c r="E40" s="60">
        <v>321.2296</v>
      </c>
      <c r="F40" s="60">
        <v>681.48569999999995</v>
      </c>
    </row>
    <row r="41" spans="1:6">
      <c r="A41" s="58">
        <v>46235.333333333336</v>
      </c>
      <c r="B41" s="59" t="s">
        <v>27</v>
      </c>
      <c r="C41" s="60">
        <v>1485</v>
      </c>
      <c r="D41" s="60">
        <v>0</v>
      </c>
      <c r="E41" s="60">
        <v>321.34840000000003</v>
      </c>
      <c r="F41" s="60">
        <v>686.65350000000001</v>
      </c>
    </row>
    <row r="42" spans="1:6">
      <c r="A42" s="58">
        <v>46235.375</v>
      </c>
      <c r="B42" s="59" t="s">
        <v>27</v>
      </c>
      <c r="C42" s="60">
        <v>1575</v>
      </c>
      <c r="D42" s="60">
        <v>0</v>
      </c>
      <c r="E42" s="60">
        <v>321.47500000000002</v>
      </c>
      <c r="F42" s="60">
        <v>692.16150000000005</v>
      </c>
    </row>
    <row r="43" spans="1:6">
      <c r="A43" s="58">
        <v>46235.416666666664</v>
      </c>
      <c r="B43" s="59" t="s">
        <v>27</v>
      </c>
      <c r="C43" s="60">
        <v>1665</v>
      </c>
      <c r="D43" s="60">
        <v>0</v>
      </c>
      <c r="E43" s="60">
        <v>321.60899999999998</v>
      </c>
      <c r="F43" s="60">
        <v>697.99350000000004</v>
      </c>
    </row>
    <row r="44" spans="1:6">
      <c r="A44" s="58">
        <v>46235.458333333336</v>
      </c>
      <c r="B44" s="59" t="s">
        <v>27</v>
      </c>
      <c r="C44" s="60">
        <v>1595.5</v>
      </c>
      <c r="D44" s="60">
        <v>0</v>
      </c>
      <c r="E44" s="60">
        <v>321.74400000000003</v>
      </c>
      <c r="F44" s="60">
        <v>703.86239999999998</v>
      </c>
    </row>
    <row r="45" spans="1:6">
      <c r="A45" s="58">
        <v>46235.5</v>
      </c>
      <c r="B45" s="59" t="s">
        <v>27</v>
      </c>
      <c r="C45" s="60">
        <v>1526</v>
      </c>
      <c r="D45" s="60">
        <v>0</v>
      </c>
      <c r="E45" s="60">
        <v>321.87310000000002</v>
      </c>
      <c r="F45" s="60">
        <v>709.48109999999997</v>
      </c>
    </row>
    <row r="46" spans="1:6">
      <c r="A46" s="58">
        <v>46235.541666666664</v>
      </c>
      <c r="B46" s="59" t="s">
        <v>27</v>
      </c>
      <c r="C46" s="60">
        <v>1489</v>
      </c>
      <c r="D46" s="60">
        <v>0</v>
      </c>
      <c r="E46" s="60">
        <v>321.99790000000002</v>
      </c>
      <c r="F46" s="60">
        <v>714.90809999999999</v>
      </c>
    </row>
    <row r="47" spans="1:6">
      <c r="A47" s="58">
        <v>46235.583333333336</v>
      </c>
      <c r="B47" s="59" t="s">
        <v>27</v>
      </c>
      <c r="C47" s="60">
        <v>1452</v>
      </c>
      <c r="D47" s="60">
        <v>0</v>
      </c>
      <c r="E47" s="60">
        <v>322.11430000000001</v>
      </c>
      <c r="F47" s="60">
        <v>720.20190000000002</v>
      </c>
    </row>
    <row r="48" spans="1:6">
      <c r="A48" s="58">
        <v>46235.625</v>
      </c>
      <c r="B48" s="59" t="s">
        <v>27</v>
      </c>
      <c r="C48" s="60">
        <v>1645</v>
      </c>
      <c r="D48" s="60">
        <v>0</v>
      </c>
      <c r="E48" s="60">
        <v>322.23680000000002</v>
      </c>
      <c r="F48" s="60">
        <v>725.77650000000006</v>
      </c>
    </row>
    <row r="49" spans="1:6">
      <c r="A49" s="58">
        <v>46235.666666666664</v>
      </c>
      <c r="B49" s="59" t="s">
        <v>27</v>
      </c>
      <c r="C49" s="60">
        <v>1838</v>
      </c>
      <c r="D49" s="60">
        <v>0</v>
      </c>
      <c r="E49" s="60">
        <v>322.37459999999999</v>
      </c>
      <c r="F49" s="60">
        <v>732.04589999999996</v>
      </c>
    </row>
    <row r="50" spans="1:6">
      <c r="A50" s="58">
        <v>46235.708333333336</v>
      </c>
      <c r="B50" s="59" t="s">
        <v>27</v>
      </c>
      <c r="C50" s="60">
        <v>2074</v>
      </c>
      <c r="D50" s="60">
        <v>0</v>
      </c>
      <c r="E50" s="60">
        <v>322.52940000000001</v>
      </c>
      <c r="F50" s="60">
        <v>739.08749999999998</v>
      </c>
    </row>
    <row r="51" spans="1:6">
      <c r="A51" s="58">
        <v>46235.75</v>
      </c>
      <c r="B51" s="59" t="s">
        <v>27</v>
      </c>
      <c r="C51" s="60">
        <v>2310</v>
      </c>
      <c r="D51" s="60">
        <v>0</v>
      </c>
      <c r="E51" s="60">
        <v>322.70280000000002</v>
      </c>
      <c r="F51" s="60">
        <v>746.9787</v>
      </c>
    </row>
    <row r="52" spans="1:6">
      <c r="A52" s="58">
        <v>46235.791666666664</v>
      </c>
      <c r="B52" s="59" t="s">
        <v>27</v>
      </c>
      <c r="C52" s="60">
        <v>2395</v>
      </c>
      <c r="D52" s="60">
        <v>0</v>
      </c>
      <c r="E52" s="60">
        <v>322.88889999999998</v>
      </c>
      <c r="F52" s="60">
        <v>755.44770000000005</v>
      </c>
    </row>
    <row r="53" spans="1:6">
      <c r="A53" s="58">
        <v>46235.833333333336</v>
      </c>
      <c r="B53" s="59" t="s">
        <v>27</v>
      </c>
      <c r="C53" s="60">
        <v>2480</v>
      </c>
      <c r="D53" s="60">
        <v>2274.0810000000001</v>
      </c>
      <c r="E53" s="60">
        <v>322.99189999999999</v>
      </c>
      <c r="F53" s="60">
        <v>760.12929999999994</v>
      </c>
    </row>
    <row r="54" spans="1:6">
      <c r="A54" s="58">
        <v>46235.875</v>
      </c>
      <c r="B54" s="59" t="s">
        <v>27</v>
      </c>
      <c r="C54" s="60">
        <v>2381.5</v>
      </c>
      <c r="D54" s="60">
        <v>2381.4960000000001</v>
      </c>
      <c r="E54" s="60">
        <v>323</v>
      </c>
      <c r="F54" s="60">
        <v>760.5</v>
      </c>
    </row>
    <row r="55" spans="1:6">
      <c r="A55" s="58">
        <v>46235.916666666664</v>
      </c>
      <c r="B55" s="59" t="s">
        <v>27</v>
      </c>
      <c r="C55" s="60">
        <v>2283</v>
      </c>
      <c r="D55" s="60">
        <v>2283</v>
      </c>
      <c r="E55" s="60">
        <v>323</v>
      </c>
      <c r="F55" s="60">
        <v>760.5</v>
      </c>
    </row>
    <row r="56" spans="1:6">
      <c r="A56" s="58">
        <v>46235.958333333336</v>
      </c>
      <c r="B56" s="59" t="s">
        <v>27</v>
      </c>
      <c r="C56" s="60">
        <v>2281</v>
      </c>
      <c r="D56" s="60">
        <v>2281</v>
      </c>
      <c r="E56" s="60">
        <v>323</v>
      </c>
      <c r="F56" s="60">
        <v>760.5</v>
      </c>
    </row>
    <row r="57" spans="1:6">
      <c r="A57" s="58">
        <v>46236</v>
      </c>
      <c r="B57" s="59" t="s">
        <v>27</v>
      </c>
      <c r="C57" s="60">
        <v>2279</v>
      </c>
      <c r="D57" s="60">
        <v>2279</v>
      </c>
      <c r="E57" s="60">
        <v>323</v>
      </c>
      <c r="F57" s="60">
        <v>760.5</v>
      </c>
    </row>
    <row r="58" spans="1:6">
      <c r="A58" s="58">
        <v>46236.041666666664</v>
      </c>
      <c r="B58" s="59" t="s">
        <v>27</v>
      </c>
      <c r="C58" s="60">
        <v>2611</v>
      </c>
      <c r="D58" s="60">
        <v>2611</v>
      </c>
      <c r="E58" s="60">
        <v>323</v>
      </c>
      <c r="F58" s="60">
        <v>760.5</v>
      </c>
    </row>
    <row r="59" spans="1:6">
      <c r="A59" s="58">
        <v>46236.083333333336</v>
      </c>
      <c r="B59" s="59" t="s">
        <v>27</v>
      </c>
      <c r="C59" s="60">
        <v>2943</v>
      </c>
      <c r="D59" s="60">
        <v>2943</v>
      </c>
      <c r="E59" s="60">
        <v>323</v>
      </c>
      <c r="F59" s="60">
        <v>760.5</v>
      </c>
    </row>
    <row r="60" spans="1:6">
      <c r="A60" s="58">
        <v>46236.125</v>
      </c>
      <c r="B60" s="59" t="s">
        <v>27</v>
      </c>
      <c r="C60" s="60">
        <v>3154</v>
      </c>
      <c r="D60" s="60">
        <v>3154</v>
      </c>
      <c r="E60" s="60">
        <v>323</v>
      </c>
      <c r="F60" s="60">
        <v>760.5</v>
      </c>
    </row>
    <row r="61" spans="1:6">
      <c r="A61" s="58">
        <v>46236.166666666664</v>
      </c>
      <c r="B61" s="59" t="s">
        <v>27</v>
      </c>
      <c r="C61" s="60">
        <v>3365</v>
      </c>
      <c r="D61" s="60">
        <v>3240.1039999999998</v>
      </c>
      <c r="E61" s="60">
        <v>323.00490000000002</v>
      </c>
      <c r="F61" s="60">
        <v>760.72479999999996</v>
      </c>
    </row>
    <row r="62" spans="1:6">
      <c r="A62" s="58">
        <v>46236.208333333336</v>
      </c>
      <c r="B62" s="59" t="s">
        <v>27</v>
      </c>
      <c r="C62" s="60">
        <v>3249</v>
      </c>
      <c r="D62" s="60">
        <v>3241.7979999999998</v>
      </c>
      <c r="E62" s="60">
        <v>323.0102</v>
      </c>
      <c r="F62" s="60">
        <v>760.96259999999995</v>
      </c>
    </row>
    <row r="63" spans="1:6">
      <c r="A63" s="58">
        <v>46236.25</v>
      </c>
      <c r="B63" s="59" t="s">
        <v>27</v>
      </c>
      <c r="C63" s="60">
        <v>3133</v>
      </c>
      <c r="D63" s="60">
        <v>3240.51</v>
      </c>
      <c r="E63" s="60">
        <v>323.00619999999998</v>
      </c>
      <c r="F63" s="60">
        <v>760.78200000000004</v>
      </c>
    </row>
    <row r="64" spans="1:6">
      <c r="A64" s="58">
        <v>46236.291666666664</v>
      </c>
      <c r="B64" s="59" t="s">
        <v>27</v>
      </c>
      <c r="C64" s="60">
        <v>2945.5</v>
      </c>
      <c r="D64" s="60">
        <v>2970.09</v>
      </c>
      <c r="E64" s="60">
        <v>323.00099999999998</v>
      </c>
      <c r="F64" s="60">
        <v>760.54430000000002</v>
      </c>
    </row>
    <row r="65" spans="1:6">
      <c r="A65" s="58">
        <v>46236.333333333336</v>
      </c>
      <c r="B65" s="59" t="s">
        <v>27</v>
      </c>
      <c r="C65" s="60">
        <v>2758</v>
      </c>
      <c r="D65" s="60">
        <v>2758</v>
      </c>
      <c r="E65" s="60">
        <v>323</v>
      </c>
      <c r="F65" s="60">
        <v>760.5</v>
      </c>
    </row>
    <row r="66" spans="1:6">
      <c r="A66" s="58">
        <v>46236.375</v>
      </c>
      <c r="B66" s="59" t="s">
        <v>27</v>
      </c>
      <c r="C66" s="60">
        <v>2578</v>
      </c>
      <c r="D66" s="60">
        <v>2578</v>
      </c>
      <c r="E66" s="60">
        <v>323</v>
      </c>
      <c r="F66" s="60">
        <v>760.5</v>
      </c>
    </row>
    <row r="67" spans="1:6">
      <c r="A67" s="58">
        <v>46236.416666666664</v>
      </c>
      <c r="B67" s="59" t="s">
        <v>27</v>
      </c>
      <c r="C67" s="60">
        <v>2398</v>
      </c>
      <c r="D67" s="60">
        <v>2398</v>
      </c>
      <c r="E67" s="60">
        <v>323</v>
      </c>
      <c r="F67" s="60">
        <v>760.5</v>
      </c>
    </row>
    <row r="68" spans="1:6">
      <c r="A68" s="58">
        <v>46236.458333333336</v>
      </c>
      <c r="B68" s="59" t="s">
        <v>27</v>
      </c>
      <c r="C68" s="60">
        <v>2178</v>
      </c>
      <c r="D68" s="60">
        <v>2178</v>
      </c>
      <c r="E68" s="60">
        <v>323</v>
      </c>
      <c r="F68" s="60">
        <v>760.5</v>
      </c>
    </row>
    <row r="69" spans="1:6">
      <c r="A69" s="58">
        <v>46236.5</v>
      </c>
      <c r="B69" s="59" t="s">
        <v>27</v>
      </c>
      <c r="C69" s="60">
        <v>1958</v>
      </c>
      <c r="D69" s="60">
        <v>1958</v>
      </c>
      <c r="E69" s="60">
        <v>323</v>
      </c>
      <c r="F69" s="60">
        <v>760.5</v>
      </c>
    </row>
    <row r="70" spans="1:6">
      <c r="A70" s="58">
        <v>46236.541666666664</v>
      </c>
      <c r="B70" s="59" t="s">
        <v>27</v>
      </c>
      <c r="C70" s="60">
        <v>1728.5</v>
      </c>
      <c r="D70" s="60">
        <v>1728.5</v>
      </c>
      <c r="E70" s="60">
        <v>323</v>
      </c>
      <c r="F70" s="60">
        <v>760.5</v>
      </c>
    </row>
    <row r="71" spans="1:6">
      <c r="A71" s="58">
        <v>46236.583333333336</v>
      </c>
      <c r="B71" s="59" t="s">
        <v>27</v>
      </c>
      <c r="C71" s="60">
        <v>1499</v>
      </c>
      <c r="D71" s="60">
        <v>1499</v>
      </c>
      <c r="E71" s="60">
        <v>323</v>
      </c>
      <c r="F71" s="60">
        <v>760.5</v>
      </c>
    </row>
    <row r="72" spans="1:6">
      <c r="A72" s="58">
        <v>46236.625</v>
      </c>
      <c r="B72" s="59" t="s">
        <v>27</v>
      </c>
      <c r="C72" s="60">
        <v>1318.5</v>
      </c>
      <c r="D72" s="60">
        <v>1318.5</v>
      </c>
      <c r="E72" s="60">
        <v>323</v>
      </c>
      <c r="F72" s="60">
        <v>760.5</v>
      </c>
    </row>
    <row r="73" spans="1:6">
      <c r="A73" s="58">
        <v>46236.666666666664</v>
      </c>
      <c r="B73" s="59" t="s">
        <v>27</v>
      </c>
      <c r="C73" s="60">
        <v>1138</v>
      </c>
      <c r="D73" s="60">
        <v>1138</v>
      </c>
      <c r="E73" s="60">
        <v>323</v>
      </c>
      <c r="F73" s="60">
        <v>760.5</v>
      </c>
    </row>
    <row r="74" spans="1:6">
      <c r="A74" s="58">
        <v>46236.708333333336</v>
      </c>
      <c r="B74" s="59" t="s">
        <v>27</v>
      </c>
      <c r="C74" s="60">
        <v>1039</v>
      </c>
      <c r="D74" s="60">
        <v>1039</v>
      </c>
      <c r="E74" s="60">
        <v>323</v>
      </c>
      <c r="F74" s="60">
        <v>760.5</v>
      </c>
    </row>
    <row r="75" spans="1:6">
      <c r="A75" s="58">
        <v>46236.75</v>
      </c>
      <c r="B75" s="59" t="s">
        <v>27</v>
      </c>
      <c r="C75" s="60">
        <v>940</v>
      </c>
      <c r="D75" s="60">
        <v>940</v>
      </c>
      <c r="E75" s="60">
        <v>323</v>
      </c>
      <c r="F75" s="60">
        <v>760.5</v>
      </c>
    </row>
    <row r="76" spans="1:6">
      <c r="A76" s="58">
        <v>46236.791666666664</v>
      </c>
      <c r="B76" s="59" t="s">
        <v>27</v>
      </c>
      <c r="C76" s="60">
        <v>909.5</v>
      </c>
      <c r="D76" s="60">
        <v>909.5</v>
      </c>
      <c r="E76" s="60">
        <v>323</v>
      </c>
      <c r="F76" s="60">
        <v>760.5</v>
      </c>
    </row>
    <row r="77" spans="1:6">
      <c r="A77" s="58">
        <v>46236.833333333336</v>
      </c>
      <c r="B77" s="59" t="s">
        <v>27</v>
      </c>
      <c r="C77" s="60">
        <v>879</v>
      </c>
      <c r="D77" s="60">
        <v>879</v>
      </c>
      <c r="E77" s="60">
        <v>323</v>
      </c>
      <c r="F77" s="60">
        <v>760.5</v>
      </c>
    </row>
    <row r="78" spans="1:6">
      <c r="A78" s="58">
        <v>46236.875</v>
      </c>
      <c r="B78" s="59" t="s">
        <v>27</v>
      </c>
      <c r="C78" s="60">
        <v>848</v>
      </c>
      <c r="D78" s="60">
        <v>848</v>
      </c>
      <c r="E78" s="60">
        <v>323</v>
      </c>
      <c r="F78" s="60">
        <v>760.5</v>
      </c>
    </row>
    <row r="79" spans="1:6">
      <c r="A79" s="58">
        <v>46236.916666666664</v>
      </c>
      <c r="B79" s="59" t="s">
        <v>27</v>
      </c>
      <c r="C79" s="60">
        <v>817</v>
      </c>
      <c r="D79" s="60">
        <v>817</v>
      </c>
      <c r="E79" s="60">
        <v>323</v>
      </c>
      <c r="F79" s="60">
        <v>760.5</v>
      </c>
    </row>
    <row r="80" spans="1:6">
      <c r="A80" s="58">
        <v>46236.958333333336</v>
      </c>
      <c r="B80" s="59" t="s">
        <v>27</v>
      </c>
      <c r="C80" s="60">
        <v>786.5</v>
      </c>
      <c r="D80" s="60">
        <v>786.5</v>
      </c>
      <c r="E80" s="60">
        <v>323</v>
      </c>
      <c r="F80" s="60">
        <v>760.5</v>
      </c>
    </row>
    <row r="81" spans="1:6">
      <c r="A81" s="58">
        <v>46237</v>
      </c>
      <c r="B81" s="59" t="s">
        <v>27</v>
      </c>
      <c r="C81" s="60">
        <v>756</v>
      </c>
      <c r="D81" s="60">
        <v>756</v>
      </c>
      <c r="E81" s="60">
        <v>323</v>
      </c>
      <c r="F81" s="60">
        <v>760.5</v>
      </c>
    </row>
    <row r="82" spans="1:6">
      <c r="A82" s="58">
        <v>46237.041666666664</v>
      </c>
      <c r="B82" s="59" t="s">
        <v>27</v>
      </c>
      <c r="C82" s="60">
        <v>712</v>
      </c>
      <c r="D82" s="60">
        <v>712</v>
      </c>
      <c r="E82" s="60">
        <v>323</v>
      </c>
      <c r="F82" s="60">
        <v>760.5</v>
      </c>
    </row>
    <row r="83" spans="1:6">
      <c r="A83" s="58">
        <v>46237.083333333336</v>
      </c>
      <c r="B83" s="59" t="s">
        <v>27</v>
      </c>
      <c r="C83" s="60">
        <v>668</v>
      </c>
      <c r="D83" s="60">
        <v>668</v>
      </c>
      <c r="E83" s="60">
        <v>323</v>
      </c>
      <c r="F83" s="60">
        <v>760.5</v>
      </c>
    </row>
    <row r="84" spans="1:6">
      <c r="A84" s="58">
        <v>46237.125</v>
      </c>
      <c r="B84" s="59" t="s">
        <v>27</v>
      </c>
      <c r="C84" s="60">
        <v>605.5</v>
      </c>
      <c r="D84" s="60">
        <v>605.5</v>
      </c>
      <c r="E84" s="60">
        <v>323</v>
      </c>
      <c r="F84" s="60">
        <v>760.5</v>
      </c>
    </row>
    <row r="85" spans="1:6">
      <c r="A85" s="58">
        <v>46237.166666666664</v>
      </c>
      <c r="B85" s="59" t="s">
        <v>27</v>
      </c>
      <c r="C85" s="60">
        <v>543</v>
      </c>
      <c r="D85" s="60">
        <v>543</v>
      </c>
      <c r="E85" s="60">
        <v>323</v>
      </c>
      <c r="F85" s="60">
        <v>760.5</v>
      </c>
    </row>
    <row r="86" spans="1:6">
      <c r="A86" s="58">
        <v>46237.208333333336</v>
      </c>
      <c r="B86" s="59" t="s">
        <v>27</v>
      </c>
      <c r="C86" s="60">
        <v>484.5</v>
      </c>
      <c r="D86" s="60">
        <v>484.5</v>
      </c>
      <c r="E86" s="60">
        <v>323</v>
      </c>
      <c r="F86" s="60">
        <v>760.5</v>
      </c>
    </row>
    <row r="87" spans="1:6">
      <c r="A87" s="58">
        <v>46237.25</v>
      </c>
      <c r="B87" s="59" t="s">
        <v>27</v>
      </c>
      <c r="C87" s="60">
        <v>426</v>
      </c>
      <c r="D87" s="60">
        <v>426</v>
      </c>
      <c r="E87" s="60">
        <v>323</v>
      </c>
      <c r="F87" s="60">
        <v>760.5</v>
      </c>
    </row>
    <row r="88" spans="1:6">
      <c r="A88" s="58">
        <v>46237.291666666664</v>
      </c>
      <c r="B88" s="59" t="s">
        <v>27</v>
      </c>
      <c r="C88" s="60">
        <v>377.5</v>
      </c>
      <c r="D88" s="60">
        <v>377.5</v>
      </c>
      <c r="E88" s="60">
        <v>323</v>
      </c>
      <c r="F88" s="60">
        <v>760.5</v>
      </c>
    </row>
    <row r="89" spans="1:6">
      <c r="A89" s="58">
        <v>46237.333333333336</v>
      </c>
      <c r="B89" s="59" t="s">
        <v>27</v>
      </c>
      <c r="C89" s="60">
        <v>329</v>
      </c>
      <c r="D89" s="60">
        <v>329</v>
      </c>
      <c r="E89" s="60">
        <v>323</v>
      </c>
      <c r="F89" s="60">
        <v>760.5</v>
      </c>
    </row>
    <row r="90" spans="1:6">
      <c r="A90" s="58">
        <v>46237.375</v>
      </c>
      <c r="B90" s="59" t="s">
        <v>27</v>
      </c>
      <c r="C90" s="60">
        <v>293.5</v>
      </c>
      <c r="D90" s="60">
        <v>293.5</v>
      </c>
      <c r="E90" s="60">
        <v>323</v>
      </c>
      <c r="F90" s="60">
        <v>760.5</v>
      </c>
    </row>
    <row r="91" spans="1:6">
      <c r="A91" s="58">
        <v>46237.416666666664</v>
      </c>
      <c r="B91" s="59" t="s">
        <v>27</v>
      </c>
      <c r="C91" s="60">
        <v>258</v>
      </c>
      <c r="D91" s="60">
        <v>258</v>
      </c>
      <c r="E91" s="60">
        <v>323</v>
      </c>
      <c r="F91" s="60">
        <v>760.5</v>
      </c>
    </row>
    <row r="92" spans="1:6">
      <c r="A92" s="58">
        <v>46237.458333333336</v>
      </c>
      <c r="B92" s="59" t="s">
        <v>27</v>
      </c>
      <c r="C92" s="60">
        <v>231.5</v>
      </c>
      <c r="D92" s="60">
        <v>231.5</v>
      </c>
      <c r="E92" s="60">
        <v>323</v>
      </c>
      <c r="F92" s="60">
        <v>760.5</v>
      </c>
    </row>
    <row r="93" spans="1:6">
      <c r="A93" s="58">
        <v>46237.5</v>
      </c>
      <c r="B93" s="59" t="s">
        <v>27</v>
      </c>
      <c r="C93" s="60">
        <v>205</v>
      </c>
      <c r="D93" s="60">
        <v>205</v>
      </c>
      <c r="E93" s="60">
        <v>323</v>
      </c>
      <c r="F93" s="60">
        <v>760.5</v>
      </c>
    </row>
    <row r="94" spans="1:6">
      <c r="A94" s="58">
        <v>46237.541666666664</v>
      </c>
      <c r="B94" s="59" t="s">
        <v>27</v>
      </c>
      <c r="C94" s="60">
        <v>186</v>
      </c>
      <c r="D94" s="60">
        <v>186</v>
      </c>
      <c r="E94" s="60">
        <v>323</v>
      </c>
      <c r="F94" s="60">
        <v>760.5</v>
      </c>
    </row>
    <row r="95" spans="1:6">
      <c r="A95" s="58">
        <v>46237.583333333336</v>
      </c>
      <c r="B95" s="59" t="s">
        <v>27</v>
      </c>
      <c r="C95" s="60">
        <v>167</v>
      </c>
      <c r="D95" s="60">
        <v>167</v>
      </c>
      <c r="E95" s="60">
        <v>323</v>
      </c>
      <c r="F95" s="60">
        <v>760.5</v>
      </c>
    </row>
    <row r="96" spans="1:6">
      <c r="A96" s="58">
        <v>46237.625</v>
      </c>
      <c r="B96" s="59" t="s">
        <v>27</v>
      </c>
      <c r="C96" s="60">
        <v>275</v>
      </c>
      <c r="D96" s="60">
        <v>275</v>
      </c>
      <c r="E96" s="60">
        <v>323</v>
      </c>
      <c r="F96" s="60">
        <v>760.5</v>
      </c>
    </row>
    <row r="97" spans="1:6">
      <c r="A97" s="58">
        <v>46237.666666666664</v>
      </c>
      <c r="B97" s="59" t="s">
        <v>27</v>
      </c>
      <c r="C97" s="60">
        <v>383</v>
      </c>
      <c r="D97" s="60">
        <v>383</v>
      </c>
      <c r="E97" s="60">
        <v>323</v>
      </c>
      <c r="F97" s="60">
        <v>760.5</v>
      </c>
    </row>
    <row r="98" spans="1:6">
      <c r="A98" s="58">
        <v>46237.708333333336</v>
      </c>
      <c r="B98" s="59" t="s">
        <v>27</v>
      </c>
      <c r="C98" s="60">
        <v>577</v>
      </c>
      <c r="D98" s="60">
        <v>577</v>
      </c>
      <c r="E98" s="60">
        <v>323</v>
      </c>
      <c r="F98" s="60">
        <v>760.5</v>
      </c>
    </row>
    <row r="99" spans="1:6">
      <c r="A99" s="58">
        <v>46237.75</v>
      </c>
      <c r="B99" s="59" t="s">
        <v>27</v>
      </c>
      <c r="C99" s="60">
        <v>771</v>
      </c>
      <c r="D99" s="60">
        <v>771</v>
      </c>
      <c r="E99" s="60">
        <v>323</v>
      </c>
      <c r="F99" s="60">
        <v>760.5</v>
      </c>
    </row>
    <row r="100" spans="1:6">
      <c r="A100" s="58">
        <v>46237.791666666664</v>
      </c>
      <c r="B100" s="59" t="s">
        <v>27</v>
      </c>
      <c r="C100" s="60">
        <v>787</v>
      </c>
      <c r="D100" s="60">
        <v>787</v>
      </c>
      <c r="E100" s="60">
        <v>323</v>
      </c>
      <c r="F100" s="60">
        <v>760.5</v>
      </c>
    </row>
    <row r="101" spans="1:6">
      <c r="A101" s="58">
        <v>46237.833333333336</v>
      </c>
      <c r="B101" s="59" t="s">
        <v>27</v>
      </c>
      <c r="C101" s="60">
        <v>803</v>
      </c>
      <c r="D101" s="60">
        <v>803</v>
      </c>
      <c r="E101" s="60">
        <v>323</v>
      </c>
      <c r="F101" s="60">
        <v>760.5</v>
      </c>
    </row>
    <row r="102" spans="1:6">
      <c r="A102" s="58">
        <v>46237.875</v>
      </c>
      <c r="B102" s="59" t="s">
        <v>27</v>
      </c>
      <c r="C102" s="60">
        <v>707.5</v>
      </c>
      <c r="D102" s="60">
        <v>707.5</v>
      </c>
      <c r="E102" s="60">
        <v>323</v>
      </c>
      <c r="F102" s="60">
        <v>760.5</v>
      </c>
    </row>
    <row r="103" spans="1:6">
      <c r="A103" s="58">
        <v>46237.916666666664</v>
      </c>
      <c r="B103" s="59" t="s">
        <v>27</v>
      </c>
      <c r="C103" s="60">
        <v>612</v>
      </c>
      <c r="D103" s="60">
        <v>612</v>
      </c>
      <c r="E103" s="60">
        <v>323</v>
      </c>
      <c r="F103" s="60">
        <v>760.5</v>
      </c>
    </row>
    <row r="104" spans="1:6">
      <c r="A104" s="58">
        <v>46237.958333333336</v>
      </c>
      <c r="B104" s="59" t="s">
        <v>27</v>
      </c>
      <c r="C104" s="60">
        <v>519.5</v>
      </c>
      <c r="D104" s="60">
        <v>519.5</v>
      </c>
      <c r="E104" s="60">
        <v>323</v>
      </c>
      <c r="F104" s="60">
        <v>760.5</v>
      </c>
    </row>
    <row r="105" spans="1:6">
      <c r="A105" s="58">
        <v>46238</v>
      </c>
      <c r="B105" s="59" t="s">
        <v>27</v>
      </c>
      <c r="C105" s="60">
        <v>427</v>
      </c>
      <c r="D105" s="60">
        <v>427</v>
      </c>
      <c r="E105" s="60">
        <v>323</v>
      </c>
      <c r="F105" s="60">
        <v>760.5</v>
      </c>
    </row>
    <row r="106" spans="1:6">
      <c r="A106" s="58">
        <v>46238.041666666664</v>
      </c>
      <c r="B106" s="59" t="s">
        <v>27</v>
      </c>
      <c r="C106" s="60">
        <v>363</v>
      </c>
      <c r="D106" s="60">
        <v>363</v>
      </c>
      <c r="E106" s="60">
        <v>323</v>
      </c>
      <c r="F106" s="60">
        <v>760.5</v>
      </c>
    </row>
    <row r="107" spans="1:6">
      <c r="A107" s="58">
        <v>46238.083333333336</v>
      </c>
      <c r="B107" s="59" t="s">
        <v>27</v>
      </c>
      <c r="C107" s="60">
        <v>299</v>
      </c>
      <c r="D107" s="60">
        <v>299</v>
      </c>
      <c r="E107" s="60">
        <v>323</v>
      </c>
      <c r="F107" s="60">
        <v>760.5</v>
      </c>
    </row>
    <row r="108" spans="1:6">
      <c r="A108" s="58">
        <v>46238.125</v>
      </c>
      <c r="B108" s="59" t="s">
        <v>27</v>
      </c>
      <c r="C108" s="60">
        <v>259.5</v>
      </c>
      <c r="D108" s="60">
        <v>259.5</v>
      </c>
      <c r="E108" s="60">
        <v>323</v>
      </c>
      <c r="F108" s="60">
        <v>760.5</v>
      </c>
    </row>
    <row r="109" spans="1:6">
      <c r="A109" s="58">
        <v>46238.166666666664</v>
      </c>
      <c r="B109" s="59" t="s">
        <v>27</v>
      </c>
      <c r="C109" s="60">
        <v>220</v>
      </c>
      <c r="D109" s="60">
        <v>220</v>
      </c>
      <c r="E109" s="60">
        <v>323</v>
      </c>
      <c r="F109" s="60">
        <v>760.5</v>
      </c>
    </row>
    <row r="110" spans="1:6">
      <c r="A110" s="58">
        <v>46238.208333333336</v>
      </c>
      <c r="B110" s="59" t="s">
        <v>27</v>
      </c>
      <c r="C110" s="60">
        <v>196.5</v>
      </c>
      <c r="D110" s="60">
        <v>196.5</v>
      </c>
      <c r="E110" s="60">
        <v>323</v>
      </c>
      <c r="F110" s="60">
        <v>760.5</v>
      </c>
    </row>
    <row r="111" spans="1:6">
      <c r="A111" s="58">
        <v>46238.25</v>
      </c>
      <c r="B111" s="59" t="s">
        <v>27</v>
      </c>
      <c r="C111" s="60">
        <v>173</v>
      </c>
      <c r="D111" s="60">
        <v>173</v>
      </c>
      <c r="E111" s="60">
        <v>323</v>
      </c>
      <c r="F111" s="60">
        <v>760.5</v>
      </c>
    </row>
    <row r="112" spans="1:6">
      <c r="A112" s="58">
        <v>46238.291666666664</v>
      </c>
      <c r="B112" s="59" t="s">
        <v>27</v>
      </c>
      <c r="C112" s="60">
        <v>158</v>
      </c>
      <c r="D112" s="60">
        <v>158</v>
      </c>
      <c r="E112" s="60">
        <v>323</v>
      </c>
      <c r="F112" s="60">
        <v>760.5</v>
      </c>
    </row>
    <row r="113" spans="1:6">
      <c r="A113" s="58">
        <v>46238.333333333336</v>
      </c>
      <c r="B113" s="59" t="s">
        <v>27</v>
      </c>
      <c r="C113" s="60">
        <v>143</v>
      </c>
      <c r="D113" s="60">
        <v>143</v>
      </c>
      <c r="E113" s="60">
        <v>323</v>
      </c>
      <c r="F113" s="60">
        <v>760.5</v>
      </c>
    </row>
    <row r="114" spans="1:6">
      <c r="A114" s="58">
        <v>46238.375</v>
      </c>
      <c r="B114" s="59" t="s">
        <v>27</v>
      </c>
      <c r="C114" s="60">
        <v>132.5</v>
      </c>
      <c r="D114" s="60">
        <v>132.5</v>
      </c>
      <c r="E114" s="60">
        <v>323</v>
      </c>
      <c r="F114" s="60">
        <v>760.5</v>
      </c>
    </row>
    <row r="115" spans="1:6">
      <c r="A115" s="58">
        <v>46238.416666666664</v>
      </c>
      <c r="B115" s="59" t="s">
        <v>27</v>
      </c>
      <c r="C115" s="60">
        <v>122</v>
      </c>
      <c r="D115" s="60">
        <v>122</v>
      </c>
      <c r="E115" s="60">
        <v>323</v>
      </c>
      <c r="F115" s="60">
        <v>760.5</v>
      </c>
    </row>
    <row r="116" spans="1:6">
      <c r="A116" s="58">
        <v>46238.458333333336</v>
      </c>
      <c r="B116" s="59" t="s">
        <v>27</v>
      </c>
      <c r="C116" s="60">
        <v>114</v>
      </c>
      <c r="D116" s="60">
        <v>114</v>
      </c>
      <c r="E116" s="60">
        <v>323</v>
      </c>
      <c r="F116" s="60">
        <v>760.5</v>
      </c>
    </row>
    <row r="117" spans="1:6">
      <c r="A117" s="58">
        <v>46238.5</v>
      </c>
      <c r="B117" s="59" t="s">
        <v>27</v>
      </c>
      <c r="C117" s="60">
        <v>106</v>
      </c>
      <c r="D117" s="60">
        <v>106</v>
      </c>
      <c r="E117" s="60">
        <v>323</v>
      </c>
      <c r="F117" s="60">
        <v>760.5</v>
      </c>
    </row>
    <row r="118" spans="1:6">
      <c r="A118" s="58">
        <v>46238.541666666664</v>
      </c>
      <c r="B118" s="59" t="s">
        <v>27</v>
      </c>
      <c r="C118" s="60">
        <v>99</v>
      </c>
      <c r="D118" s="60">
        <v>99</v>
      </c>
      <c r="E118" s="60">
        <v>323</v>
      </c>
      <c r="F118" s="60">
        <v>760.5</v>
      </c>
    </row>
    <row r="119" spans="1:6">
      <c r="A119" s="58">
        <v>46238.583333333336</v>
      </c>
      <c r="B119" s="59" t="s">
        <v>27</v>
      </c>
      <c r="C119" s="60">
        <v>92</v>
      </c>
      <c r="D119" s="60">
        <v>92</v>
      </c>
      <c r="E119" s="60">
        <v>323</v>
      </c>
      <c r="F119" s="60">
        <v>760.5</v>
      </c>
    </row>
    <row r="120" spans="1:6">
      <c r="A120" s="58">
        <v>46238.625</v>
      </c>
      <c r="B120" s="59" t="s">
        <v>27</v>
      </c>
      <c r="C120" s="60">
        <v>86.5</v>
      </c>
      <c r="D120" s="60">
        <v>86.5</v>
      </c>
      <c r="E120" s="60">
        <v>323</v>
      </c>
      <c r="F120" s="60">
        <v>760.5</v>
      </c>
    </row>
    <row r="121" spans="1:6">
      <c r="A121" s="58">
        <v>46238.666666666664</v>
      </c>
      <c r="B121" s="59" t="s">
        <v>27</v>
      </c>
      <c r="C121" s="60">
        <v>81</v>
      </c>
      <c r="D121" s="60">
        <v>81</v>
      </c>
      <c r="E121" s="60">
        <v>323</v>
      </c>
      <c r="F121" s="60">
        <v>760.5</v>
      </c>
    </row>
    <row r="122" spans="1:6">
      <c r="A122" s="58">
        <v>46238.708333333336</v>
      </c>
      <c r="B122" s="59" t="s">
        <v>27</v>
      </c>
      <c r="C122" s="60">
        <v>76</v>
      </c>
      <c r="D122" s="60">
        <v>76</v>
      </c>
      <c r="E122" s="60">
        <v>323</v>
      </c>
      <c r="F122" s="60">
        <v>760.5</v>
      </c>
    </row>
    <row r="123" spans="1:6">
      <c r="A123" s="58">
        <v>46238.75</v>
      </c>
      <c r="B123" s="59" t="s">
        <v>27</v>
      </c>
      <c r="C123" s="60">
        <v>71</v>
      </c>
      <c r="D123" s="60">
        <v>71</v>
      </c>
      <c r="E123" s="60">
        <v>323</v>
      </c>
      <c r="F123" s="60">
        <v>760.5</v>
      </c>
    </row>
    <row r="124" spans="1:6">
      <c r="A124" s="58">
        <v>46238.791666666664</v>
      </c>
      <c r="B124" s="59" t="s">
        <v>27</v>
      </c>
      <c r="C124" s="60">
        <v>67</v>
      </c>
      <c r="D124" s="60">
        <v>67</v>
      </c>
      <c r="E124" s="60">
        <v>323</v>
      </c>
      <c r="F124" s="60">
        <v>760.5</v>
      </c>
    </row>
    <row r="125" spans="1:6">
      <c r="A125" s="58">
        <v>46238.833333333336</v>
      </c>
      <c r="B125" s="59" t="s">
        <v>27</v>
      </c>
      <c r="C125" s="60">
        <v>63</v>
      </c>
      <c r="D125" s="60">
        <v>63</v>
      </c>
      <c r="E125" s="60">
        <v>323</v>
      </c>
      <c r="F125" s="60">
        <v>760.5</v>
      </c>
    </row>
    <row r="126" spans="1:6">
      <c r="A126" s="58">
        <v>46238.875</v>
      </c>
      <c r="B126" s="59" t="s">
        <v>27</v>
      </c>
      <c r="C126" s="60">
        <v>59.5</v>
      </c>
      <c r="D126" s="60">
        <v>59.5</v>
      </c>
      <c r="E126" s="60">
        <v>323</v>
      </c>
      <c r="F126" s="60">
        <v>760.5</v>
      </c>
    </row>
    <row r="127" spans="1:6">
      <c r="A127" s="58">
        <v>46238.916666666664</v>
      </c>
      <c r="B127" s="59" t="s">
        <v>27</v>
      </c>
      <c r="C127" s="60">
        <v>56</v>
      </c>
      <c r="D127" s="60">
        <v>56</v>
      </c>
      <c r="E127" s="60">
        <v>323</v>
      </c>
      <c r="F127" s="60">
        <v>760.5</v>
      </c>
    </row>
    <row r="128" spans="1:6">
      <c r="A128" s="58">
        <v>46238.958333333336</v>
      </c>
      <c r="B128" s="59" t="s">
        <v>27</v>
      </c>
      <c r="C128" s="60">
        <v>52.5</v>
      </c>
      <c r="D128" s="60">
        <v>52.5</v>
      </c>
      <c r="E128" s="60">
        <v>323</v>
      </c>
      <c r="F128" s="60">
        <v>760.5</v>
      </c>
    </row>
    <row r="129" spans="1:6">
      <c r="A129" s="58">
        <v>46239</v>
      </c>
      <c r="B129" s="59" t="s">
        <v>27</v>
      </c>
      <c r="C129" s="60">
        <v>49</v>
      </c>
      <c r="D129" s="60">
        <v>49</v>
      </c>
      <c r="E129" s="60">
        <v>323</v>
      </c>
      <c r="F129" s="60">
        <v>760.5</v>
      </c>
    </row>
    <row r="130" spans="1:6">
      <c r="A130" s="58">
        <v>46239.041666666664</v>
      </c>
      <c r="B130" s="59" t="s">
        <v>27</v>
      </c>
      <c r="C130" s="60">
        <v>46.5</v>
      </c>
      <c r="D130" s="60">
        <v>46.5</v>
      </c>
      <c r="E130" s="60">
        <v>323</v>
      </c>
      <c r="F130" s="60">
        <v>760.5</v>
      </c>
    </row>
    <row r="131" spans="1:6">
      <c r="A131" s="58">
        <v>46239.083333333336</v>
      </c>
      <c r="B131" s="59" t="s">
        <v>27</v>
      </c>
      <c r="C131" s="60">
        <v>44</v>
      </c>
      <c r="D131" s="60">
        <v>44</v>
      </c>
      <c r="E131" s="60">
        <v>323</v>
      </c>
      <c r="F131" s="60">
        <v>760.5</v>
      </c>
    </row>
    <row r="132" spans="1:6">
      <c r="A132" s="58">
        <v>46239.125</v>
      </c>
      <c r="B132" s="59" t="s">
        <v>27</v>
      </c>
      <c r="C132" s="60">
        <v>42</v>
      </c>
      <c r="D132" s="60">
        <v>42</v>
      </c>
      <c r="E132" s="60">
        <v>323</v>
      </c>
      <c r="F132" s="60">
        <v>760.5</v>
      </c>
    </row>
    <row r="133" spans="1:6">
      <c r="A133" s="58">
        <v>46239.166666666664</v>
      </c>
      <c r="B133" s="59" t="s">
        <v>27</v>
      </c>
      <c r="C133" s="60">
        <v>40</v>
      </c>
      <c r="D133" s="60">
        <v>40</v>
      </c>
      <c r="E133" s="60">
        <v>323</v>
      </c>
      <c r="F133" s="60">
        <v>760.5</v>
      </c>
    </row>
    <row r="134" spans="1:6">
      <c r="A134" s="58">
        <v>46239.208333333336</v>
      </c>
      <c r="B134" s="59" t="s">
        <v>27</v>
      </c>
      <c r="C134" s="60">
        <v>37.5</v>
      </c>
      <c r="D134" s="60">
        <v>37.5</v>
      </c>
      <c r="E134" s="60">
        <v>323</v>
      </c>
      <c r="F134" s="60">
        <v>760.5</v>
      </c>
    </row>
    <row r="135" spans="1:6">
      <c r="A135" s="58">
        <v>46239.25</v>
      </c>
      <c r="B135" s="59" t="s">
        <v>27</v>
      </c>
      <c r="C135" s="60">
        <v>35</v>
      </c>
      <c r="D135" s="60">
        <v>35</v>
      </c>
      <c r="E135" s="60">
        <v>323</v>
      </c>
      <c r="F135" s="60">
        <v>760.5</v>
      </c>
    </row>
    <row r="136" spans="1:6">
      <c r="A136" s="58">
        <v>46239.291666666664</v>
      </c>
      <c r="B136" s="59" t="s">
        <v>27</v>
      </c>
      <c r="C136" s="60">
        <v>33.5</v>
      </c>
      <c r="D136" s="60">
        <v>33.5</v>
      </c>
      <c r="E136" s="60">
        <v>323</v>
      </c>
      <c r="F136" s="60">
        <v>760.5</v>
      </c>
    </row>
    <row r="137" spans="1:6">
      <c r="A137" s="58">
        <v>46239.333333333336</v>
      </c>
      <c r="B137" s="59" t="s">
        <v>27</v>
      </c>
      <c r="C137" s="60">
        <v>32</v>
      </c>
      <c r="D137" s="60">
        <v>32</v>
      </c>
      <c r="E137" s="60">
        <v>323</v>
      </c>
      <c r="F137" s="60">
        <v>760.5</v>
      </c>
    </row>
    <row r="138" spans="1:6">
      <c r="A138" s="58">
        <v>46239.375</v>
      </c>
      <c r="B138" s="59" t="s">
        <v>27</v>
      </c>
      <c r="C138" s="60">
        <v>30.5</v>
      </c>
      <c r="D138" s="60">
        <v>30.5</v>
      </c>
      <c r="E138" s="60">
        <v>323</v>
      </c>
      <c r="F138" s="60">
        <v>760.5</v>
      </c>
    </row>
    <row r="139" spans="1:6">
      <c r="A139" s="58">
        <v>46239.416666666664</v>
      </c>
      <c r="B139" s="59" t="s">
        <v>27</v>
      </c>
      <c r="C139" s="60">
        <v>29</v>
      </c>
      <c r="D139" s="60">
        <v>29</v>
      </c>
      <c r="E139" s="60">
        <v>323</v>
      </c>
      <c r="F139" s="60">
        <v>760.5</v>
      </c>
    </row>
    <row r="140" spans="1:6">
      <c r="A140" s="58">
        <v>46239.458333333336</v>
      </c>
      <c r="B140" s="59" t="s">
        <v>27</v>
      </c>
      <c r="C140" s="60">
        <v>27.5</v>
      </c>
      <c r="D140" s="60">
        <v>58.514159999999997</v>
      </c>
      <c r="E140" s="60">
        <v>322.99880000000002</v>
      </c>
      <c r="F140" s="60">
        <v>760.44420000000002</v>
      </c>
    </row>
    <row r="141" spans="1:6">
      <c r="A141" s="58">
        <v>46239.5</v>
      </c>
      <c r="B141" s="59" t="s">
        <v>27</v>
      </c>
      <c r="C141" s="60">
        <v>26</v>
      </c>
      <c r="D141" s="60">
        <v>211.66890000000001</v>
      </c>
      <c r="E141" s="60">
        <v>322.99020000000002</v>
      </c>
      <c r="F141" s="60">
        <v>760.05409999999995</v>
      </c>
    </row>
    <row r="142" spans="1:6">
      <c r="A142" s="58">
        <v>46239.541666666664</v>
      </c>
      <c r="B142" s="59" t="s">
        <v>27</v>
      </c>
      <c r="C142" s="60">
        <v>24.5</v>
      </c>
      <c r="D142" s="60">
        <v>350.41359999999997</v>
      </c>
      <c r="E142" s="60">
        <v>322.97000000000003</v>
      </c>
      <c r="F142" s="60">
        <v>759.13329999999996</v>
      </c>
    </row>
    <row r="143" spans="1:6">
      <c r="A143" s="58">
        <v>46239.583333333336</v>
      </c>
      <c r="B143" s="59" t="s">
        <v>27</v>
      </c>
      <c r="C143" s="60">
        <v>23</v>
      </c>
      <c r="D143" s="60">
        <v>489.1583</v>
      </c>
      <c r="E143" s="60">
        <v>322.93860000000001</v>
      </c>
      <c r="F143" s="60">
        <v>757.70759999999996</v>
      </c>
    </row>
    <row r="144" spans="1:6">
      <c r="A144" s="58">
        <v>46239.625</v>
      </c>
      <c r="B144" s="59" t="s">
        <v>27</v>
      </c>
      <c r="C144" s="60">
        <v>21.5</v>
      </c>
      <c r="D144" s="60">
        <v>500</v>
      </c>
      <c r="E144" s="60">
        <v>322.90120000000002</v>
      </c>
      <c r="F144" s="60">
        <v>756.00720000000001</v>
      </c>
    </row>
    <row r="145" spans="1:6">
      <c r="A145" s="58">
        <v>46239.666666666664</v>
      </c>
      <c r="B145" s="59" t="s">
        <v>27</v>
      </c>
      <c r="C145" s="60">
        <v>20</v>
      </c>
      <c r="D145" s="60">
        <v>500</v>
      </c>
      <c r="E145" s="60">
        <v>322.86329999999998</v>
      </c>
      <c r="F145" s="60">
        <v>754.28189999999995</v>
      </c>
    </row>
    <row r="146" spans="1:6">
      <c r="A146" s="58">
        <v>46239.708333333336</v>
      </c>
      <c r="B146" s="59" t="s">
        <v>27</v>
      </c>
      <c r="C146" s="60">
        <v>19.5</v>
      </c>
      <c r="D146" s="60">
        <v>500</v>
      </c>
      <c r="E146" s="60">
        <v>322.82530000000003</v>
      </c>
      <c r="F146" s="60">
        <v>752.553</v>
      </c>
    </row>
    <row r="147" spans="1:6">
      <c r="A147" s="58">
        <v>46239.75</v>
      </c>
      <c r="B147" s="59" t="s">
        <v>27</v>
      </c>
      <c r="C147" s="60">
        <v>19</v>
      </c>
      <c r="D147" s="60">
        <v>500</v>
      </c>
      <c r="E147" s="60">
        <v>322.78730000000002</v>
      </c>
      <c r="F147" s="60">
        <v>750.82230000000004</v>
      </c>
    </row>
    <row r="148" spans="1:6">
      <c r="A148" s="58">
        <v>46239.791666666664</v>
      </c>
      <c r="B148" s="59" t="s">
        <v>27</v>
      </c>
      <c r="C148" s="60">
        <v>17.5</v>
      </c>
      <c r="D148" s="60">
        <v>500</v>
      </c>
      <c r="E148" s="60">
        <v>322.74919999999997</v>
      </c>
      <c r="F148" s="60">
        <v>749.08799999999997</v>
      </c>
    </row>
    <row r="149" spans="1:6">
      <c r="A149" s="58">
        <v>46239.833333333336</v>
      </c>
      <c r="B149" s="59" t="s">
        <v>27</v>
      </c>
      <c r="C149" s="60">
        <v>16</v>
      </c>
      <c r="D149" s="60">
        <v>500</v>
      </c>
      <c r="E149" s="60">
        <v>322.71089999999998</v>
      </c>
      <c r="F149" s="60">
        <v>747.34829999999999</v>
      </c>
    </row>
    <row r="150" spans="1:6">
      <c r="A150" s="58">
        <v>46239.875</v>
      </c>
      <c r="B150" s="59" t="s">
        <v>27</v>
      </c>
      <c r="C150" s="60">
        <v>15</v>
      </c>
      <c r="D150" s="60">
        <v>500</v>
      </c>
      <c r="E150" s="60">
        <v>322.67259999999999</v>
      </c>
      <c r="F150" s="60">
        <v>745.60410000000002</v>
      </c>
    </row>
    <row r="151" spans="1:6">
      <c r="A151" s="58">
        <v>46239.916666666664</v>
      </c>
      <c r="B151" s="59" t="s">
        <v>27</v>
      </c>
      <c r="C151" s="60">
        <v>14</v>
      </c>
      <c r="D151" s="60">
        <v>500</v>
      </c>
      <c r="E151" s="60">
        <v>322.63420000000002</v>
      </c>
      <c r="F151" s="60">
        <v>743.85630000000003</v>
      </c>
    </row>
    <row r="152" spans="1:6">
      <c r="A152" s="58">
        <v>46239.958333333336</v>
      </c>
      <c r="B152" s="59" t="s">
        <v>27</v>
      </c>
      <c r="C152" s="60">
        <v>13.5</v>
      </c>
      <c r="D152" s="60">
        <v>500</v>
      </c>
      <c r="E152" s="60">
        <v>322.59570000000002</v>
      </c>
      <c r="F152" s="60">
        <v>742.10580000000004</v>
      </c>
    </row>
    <row r="153" spans="1:6">
      <c r="A153" s="58">
        <v>46240</v>
      </c>
      <c r="B153" s="59" t="s">
        <v>27</v>
      </c>
      <c r="C153" s="60">
        <v>13</v>
      </c>
      <c r="D153" s="60">
        <v>500</v>
      </c>
      <c r="E153" s="60">
        <v>322.55720000000002</v>
      </c>
      <c r="F153" s="60">
        <v>740.35350000000005</v>
      </c>
    </row>
    <row r="154" spans="1:6">
      <c r="A154" s="58">
        <v>46240.041666666664</v>
      </c>
      <c r="B154" s="59" t="s">
        <v>27</v>
      </c>
      <c r="C154" s="60">
        <v>12</v>
      </c>
      <c r="D154" s="60">
        <v>500</v>
      </c>
      <c r="E154" s="60">
        <v>322.51859999999999</v>
      </c>
      <c r="F154" s="60">
        <v>738.59849999999994</v>
      </c>
    </row>
    <row r="155" spans="1:6">
      <c r="A155" s="58">
        <v>46240.083333333336</v>
      </c>
      <c r="B155" s="59" t="s">
        <v>27</v>
      </c>
      <c r="C155" s="60">
        <v>11</v>
      </c>
      <c r="D155" s="60">
        <v>500</v>
      </c>
      <c r="E155" s="60">
        <v>322.48</v>
      </c>
      <c r="F155" s="60">
        <v>736.83989999999994</v>
      </c>
    </row>
    <row r="156" spans="1:6">
      <c r="A156" s="58">
        <v>46240.125</v>
      </c>
      <c r="B156" s="59" t="s">
        <v>27</v>
      </c>
      <c r="C156" s="60">
        <v>10.5</v>
      </c>
      <c r="D156" s="60">
        <v>500</v>
      </c>
      <c r="E156" s="60">
        <v>322.44130000000001</v>
      </c>
      <c r="F156" s="60">
        <v>735.07860000000005</v>
      </c>
    </row>
    <row r="157" spans="1:6">
      <c r="A157" s="58">
        <v>46240.166666666664</v>
      </c>
      <c r="B157" s="59" t="s">
        <v>27</v>
      </c>
      <c r="C157" s="60">
        <v>10</v>
      </c>
      <c r="D157" s="60">
        <v>500</v>
      </c>
      <c r="E157" s="60">
        <v>322.40249999999997</v>
      </c>
      <c r="F157" s="60">
        <v>733.31550000000004</v>
      </c>
    </row>
    <row r="158" spans="1:6">
      <c r="A158" s="58">
        <v>46240.208333333336</v>
      </c>
      <c r="B158" s="59" t="s">
        <v>27</v>
      </c>
      <c r="C158" s="60">
        <v>9.5</v>
      </c>
      <c r="D158" s="60">
        <v>500</v>
      </c>
      <c r="E158" s="60">
        <v>322.36369999999999</v>
      </c>
      <c r="F158" s="60">
        <v>731.55060000000003</v>
      </c>
    </row>
    <row r="159" spans="1:6">
      <c r="A159" s="58">
        <v>46240.25</v>
      </c>
      <c r="B159" s="59" t="s">
        <v>27</v>
      </c>
      <c r="C159" s="60">
        <v>9</v>
      </c>
      <c r="D159" s="60">
        <v>500</v>
      </c>
      <c r="E159" s="60">
        <v>322.32490000000001</v>
      </c>
      <c r="F159" s="60">
        <v>729.78390000000002</v>
      </c>
    </row>
    <row r="160" spans="1:6">
      <c r="A160" s="58">
        <v>46240.291666666664</v>
      </c>
      <c r="B160" s="59" t="s">
        <v>27</v>
      </c>
      <c r="C160" s="60">
        <v>8.5</v>
      </c>
      <c r="D160" s="60">
        <v>500</v>
      </c>
      <c r="E160" s="60">
        <v>322.286</v>
      </c>
      <c r="F160" s="60">
        <v>728.0154</v>
      </c>
    </row>
    <row r="161" spans="1:6">
      <c r="A161" s="58">
        <v>46240.333333333336</v>
      </c>
      <c r="B161" s="59" t="s">
        <v>27</v>
      </c>
      <c r="C161" s="60">
        <v>8</v>
      </c>
      <c r="D161" s="60">
        <v>500</v>
      </c>
      <c r="E161" s="60">
        <v>322.24709999999999</v>
      </c>
      <c r="F161" s="60">
        <v>726.24509999999998</v>
      </c>
    </row>
    <row r="162" spans="1:6">
      <c r="A162" s="58">
        <v>46240.375</v>
      </c>
      <c r="B162" s="59" t="s">
        <v>27</v>
      </c>
      <c r="C162" s="60">
        <v>7.5</v>
      </c>
      <c r="D162" s="60">
        <v>500</v>
      </c>
      <c r="E162" s="60">
        <v>322.20819999999998</v>
      </c>
      <c r="F162" s="60">
        <v>724.47299999999996</v>
      </c>
    </row>
    <row r="163" spans="1:6">
      <c r="A163" s="58">
        <v>46240.416666666664</v>
      </c>
      <c r="B163" s="59" t="s">
        <v>27</v>
      </c>
      <c r="C163" s="60">
        <v>7</v>
      </c>
      <c r="D163" s="60">
        <v>500</v>
      </c>
      <c r="E163" s="60">
        <v>322.16919999999999</v>
      </c>
      <c r="F163" s="60">
        <v>722.69899999999996</v>
      </c>
    </row>
    <row r="164" spans="1:6">
      <c r="A164" s="58">
        <v>46240.458333333336</v>
      </c>
      <c r="B164" s="59" t="s">
        <v>27</v>
      </c>
      <c r="C164" s="60">
        <v>6.5</v>
      </c>
      <c r="D164" s="60">
        <v>500</v>
      </c>
      <c r="E164" s="60">
        <v>322.1302</v>
      </c>
      <c r="F164" s="60">
        <v>720.92330000000004</v>
      </c>
    </row>
    <row r="165" spans="1:6">
      <c r="A165" s="58">
        <v>46240.5</v>
      </c>
      <c r="B165" s="59" t="s">
        <v>27</v>
      </c>
      <c r="C165" s="60">
        <v>6</v>
      </c>
      <c r="D165" s="60">
        <v>500</v>
      </c>
      <c r="E165" s="60">
        <v>322.09109999999998</v>
      </c>
      <c r="F165" s="60">
        <v>719.14580000000001</v>
      </c>
    </row>
    <row r="166" spans="1:6">
      <c r="A166" s="58">
        <v>46240.541666666664</v>
      </c>
      <c r="B166" s="59" t="s">
        <v>27</v>
      </c>
      <c r="C166" s="60">
        <v>5.5</v>
      </c>
      <c r="D166" s="60">
        <v>500</v>
      </c>
      <c r="E166" s="60">
        <v>322.05200000000002</v>
      </c>
      <c r="F166" s="60">
        <v>717.36649999999997</v>
      </c>
    </row>
    <row r="167" spans="1:6">
      <c r="A167" s="58">
        <v>46240.583333333336</v>
      </c>
      <c r="B167" s="59" t="s">
        <v>27</v>
      </c>
      <c r="C167" s="60">
        <v>5</v>
      </c>
      <c r="D167" s="60">
        <v>500</v>
      </c>
      <c r="E167" s="60">
        <v>322.0129</v>
      </c>
      <c r="F167" s="60">
        <v>715.58540000000005</v>
      </c>
    </row>
    <row r="168" spans="1:6">
      <c r="A168" s="58">
        <v>46240.625</v>
      </c>
      <c r="B168" s="59" t="s">
        <v>27</v>
      </c>
      <c r="C168" s="60">
        <v>5</v>
      </c>
      <c r="D168" s="60">
        <v>500</v>
      </c>
      <c r="E168" s="60">
        <v>321.97250000000003</v>
      </c>
      <c r="F168" s="60">
        <v>713.80340000000001</v>
      </c>
    </row>
    <row r="169" spans="1:6">
      <c r="A169" s="58">
        <v>46240.666666666664</v>
      </c>
      <c r="B169" s="59" t="s">
        <v>27</v>
      </c>
      <c r="C169" s="60">
        <v>5</v>
      </c>
      <c r="D169" s="60">
        <v>500</v>
      </c>
      <c r="E169" s="60">
        <v>321.93150000000003</v>
      </c>
      <c r="F169" s="60">
        <v>712.02139999999997</v>
      </c>
    </row>
    <row r="170" spans="1:6">
      <c r="A170" s="58">
        <v>46240.708333333336</v>
      </c>
      <c r="B170" s="59" t="s">
        <v>27</v>
      </c>
      <c r="C170" s="60">
        <v>4.5</v>
      </c>
      <c r="D170" s="60">
        <v>500</v>
      </c>
      <c r="E170" s="60">
        <v>321.89049999999997</v>
      </c>
      <c r="F170" s="60">
        <v>710.23850000000004</v>
      </c>
    </row>
    <row r="171" spans="1:6">
      <c r="A171" s="58">
        <v>46240.75</v>
      </c>
      <c r="B171" s="59" t="s">
        <v>27</v>
      </c>
      <c r="C171" s="60">
        <v>4</v>
      </c>
      <c r="D171" s="60">
        <v>500</v>
      </c>
      <c r="E171" s="60">
        <v>321.84949999999998</v>
      </c>
      <c r="F171" s="60">
        <v>708.4538</v>
      </c>
    </row>
    <row r="172" spans="1:6">
      <c r="A172" s="58">
        <v>46240.791666666664</v>
      </c>
      <c r="B172" s="59" t="s">
        <v>27</v>
      </c>
      <c r="C172" s="60">
        <v>3.5</v>
      </c>
      <c r="D172" s="60">
        <v>500</v>
      </c>
      <c r="E172" s="60">
        <v>321.80840000000001</v>
      </c>
      <c r="F172" s="60">
        <v>706.66729999999995</v>
      </c>
    </row>
    <row r="173" spans="1:6">
      <c r="A173" s="58">
        <v>46240.833333333336</v>
      </c>
      <c r="B173" s="59" t="s">
        <v>27</v>
      </c>
      <c r="C173" s="60">
        <v>3</v>
      </c>
      <c r="D173" s="60">
        <v>500</v>
      </c>
      <c r="E173" s="60">
        <v>321.76729999999998</v>
      </c>
      <c r="F173" s="60">
        <v>704.87900000000002</v>
      </c>
    </row>
    <row r="174" spans="1:6">
      <c r="A174" s="58">
        <v>46240.875</v>
      </c>
      <c r="B174" s="59" t="s">
        <v>27</v>
      </c>
      <c r="C174" s="60">
        <v>3</v>
      </c>
      <c r="D174" s="60">
        <v>500</v>
      </c>
      <c r="E174" s="60">
        <v>321.72620000000001</v>
      </c>
      <c r="F174" s="60">
        <v>703.08979999999997</v>
      </c>
    </row>
    <row r="175" spans="1:6">
      <c r="A175" s="58">
        <v>46240.916666666664</v>
      </c>
      <c r="B175" s="59" t="s">
        <v>27</v>
      </c>
      <c r="C175" s="60">
        <v>3</v>
      </c>
      <c r="D175" s="60">
        <v>500</v>
      </c>
      <c r="E175" s="60">
        <v>321.68509999999998</v>
      </c>
      <c r="F175" s="60">
        <v>701.30060000000003</v>
      </c>
    </row>
    <row r="176" spans="1:6">
      <c r="A176" s="58">
        <v>46240.958333333336</v>
      </c>
      <c r="B176" s="59" t="s">
        <v>27</v>
      </c>
      <c r="C176" s="60">
        <v>2.5</v>
      </c>
      <c r="D176" s="60">
        <v>500</v>
      </c>
      <c r="E176" s="60">
        <v>321.64389999999997</v>
      </c>
      <c r="F176" s="60">
        <v>699.51049999999998</v>
      </c>
    </row>
    <row r="177" spans="1:6">
      <c r="A177" s="58">
        <v>46241</v>
      </c>
      <c r="B177" s="59" t="s">
        <v>27</v>
      </c>
      <c r="C177" s="60">
        <v>2</v>
      </c>
      <c r="D177" s="60">
        <v>500</v>
      </c>
      <c r="E177" s="60">
        <v>321.60270000000003</v>
      </c>
      <c r="F177" s="60">
        <v>697.71860000000004</v>
      </c>
    </row>
    <row r="178" spans="1:6">
      <c r="A178" s="58">
        <v>46241.041666666664</v>
      </c>
      <c r="B178" s="59" t="s">
        <v>27</v>
      </c>
      <c r="C178" s="60">
        <v>2</v>
      </c>
      <c r="D178" s="60">
        <v>500</v>
      </c>
      <c r="E178" s="60">
        <v>321.56150000000002</v>
      </c>
      <c r="F178" s="60">
        <v>695.92579999999998</v>
      </c>
    </row>
    <row r="179" spans="1:6">
      <c r="A179" s="58">
        <v>46241.083333333336</v>
      </c>
      <c r="B179" s="59" t="s">
        <v>27</v>
      </c>
      <c r="C179" s="60">
        <v>2</v>
      </c>
      <c r="D179" s="60">
        <v>500</v>
      </c>
      <c r="E179" s="60">
        <v>321.52030000000002</v>
      </c>
      <c r="F179" s="60">
        <v>694.13310000000001</v>
      </c>
    </row>
    <row r="180" spans="1:6">
      <c r="A180" s="58">
        <v>46241.125</v>
      </c>
      <c r="B180" s="59" t="s">
        <v>27</v>
      </c>
      <c r="C180" s="60">
        <v>1.5</v>
      </c>
      <c r="D180" s="60">
        <v>500</v>
      </c>
      <c r="E180" s="60">
        <v>321.47910000000002</v>
      </c>
      <c r="F180" s="60">
        <v>692.33939999999996</v>
      </c>
    </row>
    <row r="181" spans="1:6">
      <c r="A181" s="58">
        <v>46241.166666666664</v>
      </c>
      <c r="B181" s="59" t="s">
        <v>27</v>
      </c>
      <c r="C181" s="60">
        <v>1</v>
      </c>
      <c r="D181" s="60">
        <v>500</v>
      </c>
      <c r="E181" s="60">
        <v>321.43779999999998</v>
      </c>
      <c r="F181" s="60">
        <v>690.54390000000001</v>
      </c>
    </row>
    <row r="182" spans="1:6">
      <c r="A182" s="58">
        <v>46241.208333333336</v>
      </c>
      <c r="B182" s="59" t="s">
        <v>27</v>
      </c>
      <c r="C182" s="60">
        <v>1</v>
      </c>
      <c r="D182" s="60">
        <v>500</v>
      </c>
      <c r="E182" s="60">
        <v>321.3965</v>
      </c>
      <c r="F182" s="60">
        <v>688.74749999999995</v>
      </c>
    </row>
    <row r="183" spans="1:6">
      <c r="A183" s="58">
        <v>46241.25</v>
      </c>
      <c r="B183" s="59" t="s">
        <v>27</v>
      </c>
      <c r="C183" s="60">
        <v>1</v>
      </c>
      <c r="D183" s="60">
        <v>500</v>
      </c>
      <c r="E183" s="60">
        <v>321.35520000000002</v>
      </c>
      <c r="F183" s="60">
        <v>686.9511</v>
      </c>
    </row>
    <row r="184" spans="1:6">
      <c r="A184" s="58">
        <v>46241.291666666664</v>
      </c>
      <c r="B184" s="59" t="s">
        <v>27</v>
      </c>
      <c r="C184" s="60">
        <v>1</v>
      </c>
      <c r="D184" s="60">
        <v>500</v>
      </c>
      <c r="E184" s="60">
        <v>321.31389999999999</v>
      </c>
      <c r="F184" s="60">
        <v>685.15470000000005</v>
      </c>
    </row>
    <row r="185" spans="1:6">
      <c r="A185" s="58">
        <v>46241.333333333336</v>
      </c>
      <c r="B185" s="59" t="s">
        <v>27</v>
      </c>
      <c r="C185" s="60">
        <v>1</v>
      </c>
      <c r="D185" s="60">
        <v>500</v>
      </c>
      <c r="E185" s="60">
        <v>321.27260000000001</v>
      </c>
      <c r="F185" s="60">
        <v>683.35829999999999</v>
      </c>
    </row>
    <row r="186" spans="1:6">
      <c r="A186" s="58">
        <v>46241.375</v>
      </c>
      <c r="B186" s="59" t="s">
        <v>27</v>
      </c>
      <c r="C186" s="60">
        <v>0.5</v>
      </c>
      <c r="D186" s="60">
        <v>500</v>
      </c>
      <c r="E186" s="60">
        <v>321.23129999999998</v>
      </c>
      <c r="F186" s="60">
        <v>681.56100000000004</v>
      </c>
    </row>
    <row r="187" spans="1:6">
      <c r="A187" s="58">
        <v>46241.416666666664</v>
      </c>
      <c r="B187" s="59" t="s">
        <v>27</v>
      </c>
      <c r="C187" s="75">
        <v>8.3799999999999996E-9</v>
      </c>
      <c r="D187" s="60">
        <v>500</v>
      </c>
      <c r="E187" s="60">
        <v>321.18990000000002</v>
      </c>
      <c r="F187" s="60">
        <v>679.76199999999994</v>
      </c>
    </row>
    <row r="188" spans="1:6">
      <c r="A188" s="58">
        <v>46241.458333333336</v>
      </c>
      <c r="B188" s="59" t="s">
        <v>27</v>
      </c>
      <c r="C188" s="60">
        <v>0</v>
      </c>
      <c r="D188" s="60">
        <v>500</v>
      </c>
      <c r="E188" s="60">
        <v>321.14859999999999</v>
      </c>
      <c r="F188" s="60">
        <v>677.96199999999999</v>
      </c>
    </row>
    <row r="189" spans="1:6">
      <c r="A189" s="58">
        <v>46241.5</v>
      </c>
      <c r="B189" s="59" t="s">
        <v>27</v>
      </c>
      <c r="C189" s="60">
        <v>0</v>
      </c>
      <c r="D189" s="60">
        <v>500</v>
      </c>
      <c r="E189" s="60">
        <v>321.10719999999998</v>
      </c>
      <c r="F189" s="60">
        <v>676.16200000000003</v>
      </c>
    </row>
    <row r="190" spans="1:6">
      <c r="A190" s="58">
        <v>46241.541666666664</v>
      </c>
      <c r="B190" s="59" t="s">
        <v>27</v>
      </c>
      <c r="C190" s="60">
        <v>0</v>
      </c>
      <c r="D190" s="60">
        <v>500</v>
      </c>
      <c r="E190" s="60">
        <v>321.06580000000002</v>
      </c>
      <c r="F190" s="60">
        <v>674.36199999999997</v>
      </c>
    </row>
    <row r="191" spans="1:6">
      <c r="A191" s="58">
        <v>46241.583333333336</v>
      </c>
      <c r="B191" s="59" t="s">
        <v>27</v>
      </c>
      <c r="C191" s="60">
        <v>0</v>
      </c>
      <c r="D191" s="60">
        <v>500</v>
      </c>
      <c r="E191" s="60">
        <v>321.02440000000001</v>
      </c>
      <c r="F191" s="60">
        <v>672.56200000000001</v>
      </c>
    </row>
    <row r="192" spans="1:6">
      <c r="A192" s="58">
        <v>46241.625</v>
      </c>
      <c r="B192" s="59" t="s">
        <v>27</v>
      </c>
      <c r="C192" s="60">
        <v>0</v>
      </c>
      <c r="D192" s="60">
        <v>500</v>
      </c>
      <c r="E192" s="60">
        <v>320.983</v>
      </c>
      <c r="F192" s="60">
        <v>670.76199999999994</v>
      </c>
    </row>
    <row r="193" spans="1:6">
      <c r="A193" s="58">
        <v>46241.666666666664</v>
      </c>
      <c r="B193" s="59" t="s">
        <v>27</v>
      </c>
      <c r="C193" s="60">
        <v>0</v>
      </c>
      <c r="D193" s="60">
        <v>500</v>
      </c>
      <c r="E193" s="60">
        <v>320.94170000000003</v>
      </c>
      <c r="F193" s="60">
        <v>668.96199999999999</v>
      </c>
    </row>
    <row r="194" spans="1:6">
      <c r="A194" s="58">
        <v>46241.708333333336</v>
      </c>
      <c r="B194" s="59" t="s">
        <v>27</v>
      </c>
      <c r="C194" s="60">
        <v>0</v>
      </c>
      <c r="D194" s="60">
        <v>500</v>
      </c>
      <c r="E194" s="60">
        <v>320.90030000000002</v>
      </c>
      <c r="F194" s="60">
        <v>667.16200000000003</v>
      </c>
    </row>
    <row r="195" spans="1:6">
      <c r="A195" s="58">
        <v>46241.75</v>
      </c>
      <c r="B195" s="59" t="s">
        <v>27</v>
      </c>
      <c r="C195" s="60">
        <v>0</v>
      </c>
      <c r="D195" s="60">
        <v>500</v>
      </c>
      <c r="E195" s="60">
        <v>320.85890000000001</v>
      </c>
      <c r="F195" s="60">
        <v>665.36210000000005</v>
      </c>
    </row>
    <row r="196" spans="1:6">
      <c r="A196" s="58">
        <v>46241.791666666664</v>
      </c>
      <c r="B196" s="59" t="s">
        <v>27</v>
      </c>
      <c r="C196" s="60">
        <v>0</v>
      </c>
      <c r="D196" s="60">
        <v>500</v>
      </c>
      <c r="E196" s="60">
        <v>320.8175</v>
      </c>
      <c r="F196" s="60">
        <v>663.56209999999999</v>
      </c>
    </row>
    <row r="197" spans="1:6">
      <c r="A197" s="58">
        <v>46241.833333333336</v>
      </c>
      <c r="B197" s="59" t="s">
        <v>27</v>
      </c>
      <c r="C197" s="60">
        <v>0</v>
      </c>
      <c r="D197" s="60">
        <v>500</v>
      </c>
      <c r="E197" s="60">
        <v>320.77620000000002</v>
      </c>
      <c r="F197" s="60">
        <v>661.76210000000003</v>
      </c>
    </row>
    <row r="198" spans="1:6">
      <c r="A198" s="58">
        <v>46241.875</v>
      </c>
      <c r="B198" s="59" t="s">
        <v>27</v>
      </c>
      <c r="C198" s="60">
        <v>0</v>
      </c>
      <c r="D198" s="60">
        <v>500</v>
      </c>
      <c r="E198" s="60">
        <v>320.73480000000001</v>
      </c>
      <c r="F198" s="60">
        <v>659.96209999999996</v>
      </c>
    </row>
    <row r="199" spans="1:6">
      <c r="A199" s="58">
        <v>46241.916666666664</v>
      </c>
      <c r="B199" s="59" t="s">
        <v>27</v>
      </c>
      <c r="C199" s="60">
        <v>0</v>
      </c>
      <c r="D199" s="60">
        <v>500</v>
      </c>
      <c r="E199" s="60">
        <v>320.6934</v>
      </c>
      <c r="F199" s="60">
        <v>658.16210000000001</v>
      </c>
    </row>
    <row r="200" spans="1:6">
      <c r="A200" s="58">
        <v>46241.958333333336</v>
      </c>
      <c r="B200" s="59" t="s">
        <v>27</v>
      </c>
      <c r="C200" s="60">
        <v>0</v>
      </c>
      <c r="D200" s="60">
        <v>500</v>
      </c>
      <c r="E200" s="60">
        <v>320.65199999999999</v>
      </c>
      <c r="F200" s="60">
        <v>656.36210000000005</v>
      </c>
    </row>
    <row r="201" spans="1:6">
      <c r="A201" s="58">
        <v>46242</v>
      </c>
      <c r="B201" s="59" t="s">
        <v>27</v>
      </c>
      <c r="C201" s="60">
        <v>0</v>
      </c>
      <c r="D201" s="60">
        <v>500</v>
      </c>
      <c r="E201" s="60">
        <v>320.61059999999998</v>
      </c>
      <c r="F201" s="60">
        <v>654.56209999999999</v>
      </c>
    </row>
    <row r="202" spans="1:6">
      <c r="A202" s="58">
        <v>46242.041666666664</v>
      </c>
      <c r="B202" s="59" t="s">
        <v>27</v>
      </c>
      <c r="C202" s="60">
        <v>0</v>
      </c>
      <c r="D202" s="60">
        <v>500</v>
      </c>
      <c r="E202" s="60">
        <v>320.56920000000002</v>
      </c>
      <c r="F202" s="60">
        <v>652.76210000000003</v>
      </c>
    </row>
    <row r="203" spans="1:6">
      <c r="A203" s="58">
        <v>46242.083333333336</v>
      </c>
      <c r="B203" s="59" t="s">
        <v>27</v>
      </c>
      <c r="C203" s="60">
        <v>0</v>
      </c>
      <c r="D203" s="60">
        <v>500</v>
      </c>
      <c r="E203" s="60">
        <v>320.52789999999999</v>
      </c>
      <c r="F203" s="60">
        <v>650.96220000000005</v>
      </c>
    </row>
    <row r="204" spans="1:6">
      <c r="A204" s="58">
        <v>46242.125</v>
      </c>
      <c r="B204" s="59" t="s">
        <v>27</v>
      </c>
      <c r="C204" s="60">
        <v>0</v>
      </c>
      <c r="D204" s="60">
        <v>500</v>
      </c>
      <c r="E204" s="60">
        <v>320.48649999999998</v>
      </c>
      <c r="F204" s="60">
        <v>649.16219999999998</v>
      </c>
    </row>
    <row r="205" spans="1:6">
      <c r="A205" s="58">
        <v>46242.166666666664</v>
      </c>
      <c r="B205" s="59" t="s">
        <v>27</v>
      </c>
      <c r="C205" s="60">
        <v>0</v>
      </c>
      <c r="D205" s="60">
        <v>500</v>
      </c>
      <c r="E205" s="60">
        <v>320.44510000000002</v>
      </c>
      <c r="F205" s="60">
        <v>647.36220000000003</v>
      </c>
    </row>
    <row r="206" spans="1:6">
      <c r="A206" s="58">
        <v>46242.208333333336</v>
      </c>
      <c r="B206" s="59" t="s">
        <v>27</v>
      </c>
      <c r="C206" s="60">
        <v>0</v>
      </c>
      <c r="D206" s="60">
        <v>500</v>
      </c>
      <c r="E206" s="60">
        <v>320.40370000000001</v>
      </c>
      <c r="F206" s="60">
        <v>645.56219999999996</v>
      </c>
    </row>
    <row r="207" spans="1:6">
      <c r="A207" s="58">
        <v>46242.25</v>
      </c>
      <c r="B207" s="59" t="s">
        <v>27</v>
      </c>
      <c r="C207" s="60">
        <v>0</v>
      </c>
      <c r="D207" s="60">
        <v>500</v>
      </c>
      <c r="E207" s="60">
        <v>320.3623</v>
      </c>
      <c r="F207" s="60">
        <v>643.76220000000001</v>
      </c>
    </row>
    <row r="208" spans="1:6">
      <c r="A208" s="58">
        <v>46242.291666666664</v>
      </c>
      <c r="B208" s="59" t="s">
        <v>27</v>
      </c>
      <c r="C208" s="60">
        <v>0</v>
      </c>
      <c r="D208" s="60">
        <v>500</v>
      </c>
      <c r="E208" s="60">
        <v>320.32100000000003</v>
      </c>
      <c r="F208" s="60">
        <v>641.96220000000005</v>
      </c>
    </row>
    <row r="209" spans="1:6">
      <c r="A209" s="58">
        <v>46242.333333333336</v>
      </c>
      <c r="B209" s="59" t="s">
        <v>27</v>
      </c>
      <c r="C209" s="60">
        <v>0</v>
      </c>
      <c r="D209" s="60">
        <v>500</v>
      </c>
      <c r="E209" s="60">
        <v>320.27960000000002</v>
      </c>
      <c r="F209" s="60">
        <v>640.16219999999998</v>
      </c>
    </row>
    <row r="210" spans="1:6">
      <c r="A210" s="58">
        <v>46242.375</v>
      </c>
      <c r="B210" s="59" t="s">
        <v>27</v>
      </c>
      <c r="C210" s="60">
        <v>0</v>
      </c>
      <c r="D210" s="60">
        <v>500</v>
      </c>
      <c r="E210" s="60">
        <v>320.23820000000001</v>
      </c>
      <c r="F210" s="60">
        <v>638.36220000000003</v>
      </c>
    </row>
    <row r="211" spans="1:6">
      <c r="A211" s="58">
        <v>46242.416666666664</v>
      </c>
      <c r="B211" s="59" t="s">
        <v>27</v>
      </c>
      <c r="C211" s="60">
        <v>0</v>
      </c>
      <c r="D211" s="60">
        <v>500</v>
      </c>
      <c r="E211" s="60">
        <v>320.1968</v>
      </c>
      <c r="F211" s="60">
        <v>636.56230000000005</v>
      </c>
    </row>
    <row r="212" spans="1:6">
      <c r="A212" s="58">
        <v>46242.458333333336</v>
      </c>
      <c r="B212" s="59" t="s">
        <v>27</v>
      </c>
      <c r="C212" s="60">
        <v>0</v>
      </c>
      <c r="D212" s="60">
        <v>500</v>
      </c>
      <c r="E212" s="60">
        <v>320.15550000000002</v>
      </c>
      <c r="F212" s="60">
        <v>634.76229999999998</v>
      </c>
    </row>
    <row r="213" spans="1:6">
      <c r="A213" s="58">
        <v>46242.5</v>
      </c>
      <c r="B213" s="59" t="s">
        <v>27</v>
      </c>
      <c r="C213" s="60">
        <v>0</v>
      </c>
      <c r="D213" s="60">
        <v>500</v>
      </c>
      <c r="E213" s="60">
        <v>320.11410000000001</v>
      </c>
      <c r="F213" s="60">
        <v>632.96230000000003</v>
      </c>
    </row>
    <row r="214" spans="1:6">
      <c r="A214" s="58">
        <v>46242.541666666664</v>
      </c>
      <c r="B214" s="59" t="s">
        <v>27</v>
      </c>
      <c r="C214" s="60">
        <v>0</v>
      </c>
      <c r="D214" s="60">
        <v>500</v>
      </c>
      <c r="E214" s="60">
        <v>320.0727</v>
      </c>
      <c r="F214" s="60">
        <v>631.16229999999996</v>
      </c>
    </row>
    <row r="215" spans="1:6">
      <c r="A215" s="58">
        <v>46242.583333333336</v>
      </c>
      <c r="B215" s="59" t="s">
        <v>27</v>
      </c>
      <c r="C215" s="60">
        <v>0</v>
      </c>
      <c r="D215" s="60">
        <v>500</v>
      </c>
      <c r="E215" s="60">
        <v>320.03129999999999</v>
      </c>
      <c r="F215" s="60">
        <v>629.3623</v>
      </c>
    </row>
    <row r="216" spans="1:6">
      <c r="A216" s="58">
        <v>46242.625</v>
      </c>
      <c r="B216" s="59" t="s">
        <v>27</v>
      </c>
      <c r="C216" s="60">
        <v>0</v>
      </c>
      <c r="D216" s="60">
        <v>500</v>
      </c>
      <c r="E216" s="60">
        <v>319.98899999999998</v>
      </c>
      <c r="F216" s="60">
        <v>627.56230000000005</v>
      </c>
    </row>
    <row r="217" spans="1:6">
      <c r="A217" s="58">
        <v>46242.666666666664</v>
      </c>
      <c r="B217" s="59" t="s">
        <v>27</v>
      </c>
      <c r="C217" s="60">
        <v>0</v>
      </c>
      <c r="D217" s="60">
        <v>500</v>
      </c>
      <c r="E217" s="60">
        <v>319.94409999999999</v>
      </c>
      <c r="F217" s="60">
        <v>625.76229999999998</v>
      </c>
    </row>
    <row r="218" spans="1:6">
      <c r="A218" s="58">
        <v>46242.708333333336</v>
      </c>
      <c r="B218" s="59" t="s">
        <v>27</v>
      </c>
      <c r="C218" s="60">
        <v>0</v>
      </c>
      <c r="D218" s="60">
        <v>500</v>
      </c>
      <c r="E218" s="60">
        <v>319.899</v>
      </c>
      <c r="F218" s="60">
        <v>623.96230000000003</v>
      </c>
    </row>
    <row r="219" spans="1:6">
      <c r="A219" s="58">
        <v>46242.75</v>
      </c>
      <c r="B219" s="59" t="s">
        <v>27</v>
      </c>
      <c r="C219" s="60">
        <v>0</v>
      </c>
      <c r="D219" s="60">
        <v>500</v>
      </c>
      <c r="E219" s="60">
        <v>319.85410000000002</v>
      </c>
      <c r="F219" s="60">
        <v>622.16240000000005</v>
      </c>
    </row>
    <row r="220" spans="1:6">
      <c r="A220" s="58">
        <v>46242.791666666664</v>
      </c>
      <c r="B220" s="59" t="s">
        <v>27</v>
      </c>
      <c r="C220" s="60">
        <v>0</v>
      </c>
      <c r="D220" s="60">
        <v>500</v>
      </c>
      <c r="E220" s="60">
        <v>319.8091</v>
      </c>
      <c r="F220" s="60">
        <v>620.36239999999998</v>
      </c>
    </row>
    <row r="221" spans="1:6">
      <c r="A221" s="58">
        <v>46242.833333333336</v>
      </c>
      <c r="B221" s="59" t="s">
        <v>27</v>
      </c>
      <c r="C221" s="60">
        <v>0</v>
      </c>
      <c r="D221" s="60">
        <v>500</v>
      </c>
      <c r="E221" s="60">
        <v>319.76409999999998</v>
      </c>
      <c r="F221" s="60">
        <v>618.56240000000003</v>
      </c>
    </row>
    <row r="222" spans="1:6">
      <c r="A222" s="58">
        <v>46242.875</v>
      </c>
      <c r="B222" s="59" t="s">
        <v>27</v>
      </c>
      <c r="C222" s="60">
        <v>0</v>
      </c>
      <c r="D222" s="60">
        <v>500</v>
      </c>
      <c r="E222" s="60">
        <v>319.71910000000003</v>
      </c>
      <c r="F222" s="60">
        <v>616.76239999999996</v>
      </c>
    </row>
    <row r="223" spans="1:6">
      <c r="A223" s="58">
        <v>46242.916666666664</v>
      </c>
      <c r="B223" s="59" t="s">
        <v>27</v>
      </c>
      <c r="C223" s="60">
        <v>0</v>
      </c>
      <c r="D223" s="60">
        <v>500</v>
      </c>
      <c r="E223" s="60">
        <v>319.67410000000001</v>
      </c>
      <c r="F223" s="60">
        <v>614.9624</v>
      </c>
    </row>
    <row r="224" spans="1:6">
      <c r="A224" s="58">
        <v>46242.958333333336</v>
      </c>
      <c r="B224" s="59" t="s">
        <v>27</v>
      </c>
      <c r="C224" s="60">
        <v>0</v>
      </c>
      <c r="D224" s="60">
        <v>500</v>
      </c>
      <c r="E224" s="60">
        <v>319.62909999999999</v>
      </c>
      <c r="F224" s="60">
        <v>613.16240000000005</v>
      </c>
    </row>
    <row r="225" spans="1:6">
      <c r="A225" s="58">
        <v>46243</v>
      </c>
      <c r="B225" s="59" t="s">
        <v>27</v>
      </c>
      <c r="C225" s="60">
        <v>0</v>
      </c>
      <c r="D225" s="60">
        <v>500</v>
      </c>
      <c r="E225" s="60">
        <v>319.584</v>
      </c>
      <c r="F225" s="60">
        <v>611.36239999999998</v>
      </c>
    </row>
    <row r="226" spans="1:6">
      <c r="A226" s="58">
        <v>46243.041666666664</v>
      </c>
      <c r="B226" s="59" t="s">
        <v>27</v>
      </c>
      <c r="C226" s="60">
        <v>0</v>
      </c>
      <c r="D226" s="60">
        <v>500</v>
      </c>
      <c r="E226" s="60">
        <v>319.53910000000002</v>
      </c>
      <c r="F226" s="60">
        <v>609.56240000000003</v>
      </c>
    </row>
    <row r="227" spans="1:6">
      <c r="A227" s="58">
        <v>46243.083333333336</v>
      </c>
      <c r="B227" s="59" t="s">
        <v>27</v>
      </c>
      <c r="C227" s="60">
        <v>0</v>
      </c>
      <c r="D227" s="60">
        <v>500</v>
      </c>
      <c r="E227" s="60">
        <v>319.49400000000003</v>
      </c>
      <c r="F227" s="60">
        <v>607.76250000000005</v>
      </c>
    </row>
    <row r="228" spans="1:6">
      <c r="A228" s="58">
        <v>46243.125</v>
      </c>
      <c r="B228" s="59" t="s">
        <v>27</v>
      </c>
      <c r="C228" s="60">
        <v>0</v>
      </c>
      <c r="D228" s="60">
        <v>500</v>
      </c>
      <c r="E228" s="60">
        <v>319.44909999999999</v>
      </c>
      <c r="F228" s="60">
        <v>605.96249999999998</v>
      </c>
    </row>
    <row r="229" spans="1:6">
      <c r="A229" s="58">
        <v>46243.166666666664</v>
      </c>
      <c r="B229" s="59" t="s">
        <v>27</v>
      </c>
      <c r="C229" s="60">
        <v>0</v>
      </c>
      <c r="D229" s="60">
        <v>500</v>
      </c>
      <c r="E229" s="60">
        <v>319.40410000000003</v>
      </c>
      <c r="F229" s="60">
        <v>604.16250000000002</v>
      </c>
    </row>
    <row r="230" spans="1:6">
      <c r="A230" s="58">
        <v>46243.208333333336</v>
      </c>
      <c r="B230" s="59" t="s">
        <v>27</v>
      </c>
      <c r="C230" s="60">
        <v>0</v>
      </c>
      <c r="D230" s="60">
        <v>500</v>
      </c>
      <c r="E230" s="60">
        <v>319.35910000000001</v>
      </c>
      <c r="F230" s="60">
        <v>602.36249999999995</v>
      </c>
    </row>
    <row r="231" spans="1:6">
      <c r="A231" s="58">
        <v>46243.25</v>
      </c>
      <c r="B231" s="59" t="s">
        <v>27</v>
      </c>
      <c r="C231" s="60">
        <v>0</v>
      </c>
      <c r="D231" s="60">
        <v>500</v>
      </c>
      <c r="E231" s="60">
        <v>319.3141</v>
      </c>
      <c r="F231" s="60">
        <v>600.5625</v>
      </c>
    </row>
    <row r="232" spans="1:6">
      <c r="A232" s="58">
        <v>46243.291666666664</v>
      </c>
      <c r="B232" s="59" t="s">
        <v>27</v>
      </c>
      <c r="C232" s="60">
        <v>0</v>
      </c>
      <c r="D232" s="60">
        <v>500</v>
      </c>
      <c r="E232" s="60">
        <v>319.26909999999998</v>
      </c>
      <c r="F232" s="60">
        <v>598.76250000000005</v>
      </c>
    </row>
    <row r="233" spans="1:6">
      <c r="A233" s="58">
        <v>46243.333333333336</v>
      </c>
      <c r="B233" s="59" t="s">
        <v>27</v>
      </c>
      <c r="C233" s="60">
        <v>0</v>
      </c>
      <c r="D233" s="60">
        <v>500</v>
      </c>
      <c r="E233" s="60">
        <v>319.22410000000002</v>
      </c>
      <c r="F233" s="60">
        <v>596.96249999999998</v>
      </c>
    </row>
    <row r="234" spans="1:6">
      <c r="A234" s="58">
        <v>46243.375</v>
      </c>
      <c r="B234" s="59" t="s">
        <v>27</v>
      </c>
      <c r="C234" s="60">
        <v>0</v>
      </c>
      <c r="D234" s="60">
        <v>500</v>
      </c>
      <c r="E234" s="60">
        <v>319.17910000000001</v>
      </c>
      <c r="F234" s="60">
        <v>595.16250000000002</v>
      </c>
    </row>
    <row r="235" spans="1:6">
      <c r="A235" s="58">
        <v>46243.416666666664</v>
      </c>
      <c r="B235" s="59" t="s">
        <v>27</v>
      </c>
      <c r="C235" s="60">
        <v>0</v>
      </c>
      <c r="D235" s="60">
        <v>500</v>
      </c>
      <c r="E235" s="60">
        <v>319.13409999999999</v>
      </c>
      <c r="F235" s="60">
        <v>593.36249999999995</v>
      </c>
    </row>
    <row r="236" spans="1:6">
      <c r="A236" s="58">
        <v>46243.458333333336</v>
      </c>
      <c r="B236" s="59" t="s">
        <v>27</v>
      </c>
      <c r="C236" s="60">
        <v>0</v>
      </c>
      <c r="D236" s="60">
        <v>500</v>
      </c>
      <c r="E236" s="60">
        <v>319.08909999999997</v>
      </c>
      <c r="F236" s="60">
        <v>591.56259999999997</v>
      </c>
    </row>
    <row r="237" spans="1:6">
      <c r="A237" s="58">
        <v>46243.5</v>
      </c>
      <c r="B237" s="59" t="s">
        <v>27</v>
      </c>
      <c r="C237" s="60">
        <v>0</v>
      </c>
      <c r="D237" s="60">
        <v>500</v>
      </c>
      <c r="E237" s="60">
        <v>319.04410000000001</v>
      </c>
      <c r="F237" s="60">
        <v>589.76260000000002</v>
      </c>
    </row>
    <row r="238" spans="1:6">
      <c r="A238" s="58">
        <v>46243.541666666664</v>
      </c>
      <c r="B238" s="59" t="s">
        <v>27</v>
      </c>
      <c r="C238" s="60">
        <v>0</v>
      </c>
      <c r="D238" s="60">
        <v>500</v>
      </c>
      <c r="E238" s="60">
        <v>318.9991</v>
      </c>
      <c r="F238" s="60">
        <v>587.96259999999995</v>
      </c>
    </row>
    <row r="239" spans="1:6">
      <c r="A239" s="58">
        <v>46243.583333333336</v>
      </c>
      <c r="B239" s="59" t="s">
        <v>27</v>
      </c>
      <c r="C239" s="60">
        <v>0</v>
      </c>
      <c r="D239" s="60">
        <v>500</v>
      </c>
      <c r="E239" s="60">
        <v>318.95409999999998</v>
      </c>
      <c r="F239" s="60">
        <v>586.1626</v>
      </c>
    </row>
    <row r="240" spans="1:6">
      <c r="A240" s="58">
        <v>46243.625</v>
      </c>
      <c r="B240" s="59" t="s">
        <v>27</v>
      </c>
      <c r="C240" s="60">
        <v>0</v>
      </c>
      <c r="D240" s="60">
        <v>500</v>
      </c>
      <c r="E240" s="60">
        <v>318.90910000000002</v>
      </c>
      <c r="F240" s="60">
        <v>584.36260000000004</v>
      </c>
    </row>
    <row r="241" spans="1:6">
      <c r="A241" s="58">
        <v>46243.666666666664</v>
      </c>
      <c r="B241" s="59" t="s">
        <v>27</v>
      </c>
      <c r="C241" s="60">
        <v>0</v>
      </c>
      <c r="D241" s="60">
        <v>500</v>
      </c>
      <c r="E241" s="60">
        <v>318.86410000000001</v>
      </c>
      <c r="F241" s="60">
        <v>582.56259999999997</v>
      </c>
    </row>
    <row r="242" spans="1:6">
      <c r="A242" s="58">
        <v>46243.708333333336</v>
      </c>
      <c r="B242" s="59" t="s">
        <v>27</v>
      </c>
      <c r="C242" s="60">
        <v>0</v>
      </c>
      <c r="D242" s="60">
        <v>500</v>
      </c>
      <c r="E242" s="60">
        <v>318.81909999999999</v>
      </c>
      <c r="F242" s="60">
        <v>580.76260000000002</v>
      </c>
    </row>
    <row r="243" spans="1:6">
      <c r="A243" s="58">
        <v>46243.75</v>
      </c>
      <c r="B243" s="59" t="s">
        <v>27</v>
      </c>
      <c r="C243" s="60">
        <v>0</v>
      </c>
      <c r="D243" s="60">
        <v>500</v>
      </c>
      <c r="E243" s="60">
        <v>318.77409999999998</v>
      </c>
      <c r="F243" s="60">
        <v>578.96259999999995</v>
      </c>
    </row>
    <row r="244" spans="1:6">
      <c r="A244" s="58">
        <v>46243.791666666664</v>
      </c>
      <c r="B244" s="59" t="s">
        <v>27</v>
      </c>
      <c r="C244" s="60">
        <v>0</v>
      </c>
      <c r="D244" s="60">
        <v>500</v>
      </c>
      <c r="E244" s="60">
        <v>318.72910000000002</v>
      </c>
      <c r="F244" s="60">
        <v>577.16269999999997</v>
      </c>
    </row>
    <row r="245" spans="1:6">
      <c r="A245" s="58">
        <v>46243.833333333336</v>
      </c>
      <c r="B245" s="59" t="s">
        <v>27</v>
      </c>
      <c r="C245" s="60">
        <v>0</v>
      </c>
      <c r="D245" s="60">
        <v>500</v>
      </c>
      <c r="E245" s="60">
        <v>318.6841</v>
      </c>
      <c r="F245" s="60">
        <v>575.36270000000002</v>
      </c>
    </row>
    <row r="246" spans="1:6">
      <c r="A246" s="58">
        <v>46243.875</v>
      </c>
      <c r="B246" s="59" t="s">
        <v>27</v>
      </c>
      <c r="C246" s="60">
        <v>0</v>
      </c>
      <c r="D246" s="60">
        <v>500</v>
      </c>
      <c r="E246" s="60">
        <v>318.63909999999998</v>
      </c>
      <c r="F246" s="60">
        <v>573.56269999999995</v>
      </c>
    </row>
    <row r="247" spans="1:6">
      <c r="A247" s="58">
        <v>46243.916666666664</v>
      </c>
      <c r="B247" s="59" t="s">
        <v>27</v>
      </c>
      <c r="C247" s="60">
        <v>0</v>
      </c>
      <c r="D247" s="60">
        <v>500</v>
      </c>
      <c r="E247" s="60">
        <v>318.59410000000003</v>
      </c>
      <c r="F247" s="60">
        <v>571.7627</v>
      </c>
    </row>
    <row r="248" spans="1:6">
      <c r="A248" s="58">
        <v>46243.958333333336</v>
      </c>
      <c r="B248" s="59" t="s">
        <v>27</v>
      </c>
      <c r="C248" s="60">
        <v>0</v>
      </c>
      <c r="D248" s="60">
        <v>500</v>
      </c>
      <c r="E248" s="60">
        <v>318.54910000000001</v>
      </c>
      <c r="F248" s="60">
        <v>569.96270000000004</v>
      </c>
    </row>
    <row r="249" spans="1:6">
      <c r="A249" s="58">
        <v>46244</v>
      </c>
      <c r="B249" s="59" t="s">
        <v>27</v>
      </c>
      <c r="C249" s="60">
        <v>0</v>
      </c>
      <c r="D249" s="60">
        <v>500</v>
      </c>
      <c r="E249" s="60">
        <v>318.50409999999999</v>
      </c>
      <c r="F249" s="60">
        <v>568.16269999999997</v>
      </c>
    </row>
    <row r="250" spans="1:6">
      <c r="A250" s="58">
        <v>46244.041666666664</v>
      </c>
      <c r="B250" s="59" t="s">
        <v>27</v>
      </c>
      <c r="C250" s="60">
        <v>0</v>
      </c>
      <c r="D250" s="60">
        <v>500</v>
      </c>
      <c r="E250" s="60">
        <v>318.45909999999998</v>
      </c>
      <c r="F250" s="60">
        <v>566.36270000000002</v>
      </c>
    </row>
    <row r="251" spans="1:6">
      <c r="A251" s="58">
        <v>46244.083333333336</v>
      </c>
      <c r="B251" s="59" t="s">
        <v>27</v>
      </c>
      <c r="C251" s="60">
        <v>0</v>
      </c>
      <c r="D251" s="60">
        <v>500</v>
      </c>
      <c r="E251" s="60">
        <v>318.41410000000002</v>
      </c>
      <c r="F251" s="60">
        <v>564.56269999999995</v>
      </c>
    </row>
    <row r="252" spans="1:6">
      <c r="A252" s="58">
        <v>46244.125</v>
      </c>
      <c r="B252" s="59" t="s">
        <v>27</v>
      </c>
      <c r="C252" s="60">
        <v>0</v>
      </c>
      <c r="D252" s="60">
        <v>500</v>
      </c>
      <c r="E252" s="60">
        <v>318.3691</v>
      </c>
      <c r="F252" s="60">
        <v>562.76279999999997</v>
      </c>
    </row>
    <row r="253" spans="1:6">
      <c r="A253" s="58">
        <v>46244.166666666664</v>
      </c>
      <c r="B253" s="59" t="s">
        <v>27</v>
      </c>
      <c r="C253" s="60">
        <v>0</v>
      </c>
      <c r="D253" s="60">
        <v>500</v>
      </c>
      <c r="E253" s="60">
        <v>318.32409999999999</v>
      </c>
      <c r="F253" s="60">
        <v>560.96280000000002</v>
      </c>
    </row>
    <row r="254" spans="1:6">
      <c r="A254" s="58">
        <v>46244.208333333336</v>
      </c>
      <c r="B254" s="59" t="s">
        <v>27</v>
      </c>
      <c r="C254" s="60">
        <v>0</v>
      </c>
      <c r="D254" s="60">
        <v>500</v>
      </c>
      <c r="E254" s="60">
        <v>318.27910000000003</v>
      </c>
      <c r="F254" s="60">
        <v>559.16279999999995</v>
      </c>
    </row>
    <row r="255" spans="1:6">
      <c r="A255" s="58">
        <v>46244.25</v>
      </c>
      <c r="B255" s="59" t="s">
        <v>27</v>
      </c>
      <c r="C255" s="60">
        <v>0</v>
      </c>
      <c r="D255" s="60">
        <v>500</v>
      </c>
      <c r="E255" s="60">
        <v>318.23410000000001</v>
      </c>
      <c r="F255" s="60">
        <v>557.36279999999999</v>
      </c>
    </row>
    <row r="256" spans="1:6">
      <c r="A256" s="58">
        <v>46244.291666666664</v>
      </c>
      <c r="B256" s="59" t="s">
        <v>27</v>
      </c>
      <c r="C256" s="60">
        <v>0</v>
      </c>
      <c r="D256" s="60">
        <v>500</v>
      </c>
      <c r="E256" s="60">
        <v>318.1891</v>
      </c>
      <c r="F256" s="60">
        <v>555.56280000000004</v>
      </c>
    </row>
    <row r="257" spans="1:6">
      <c r="A257" s="58">
        <v>46244.333333333336</v>
      </c>
      <c r="B257" s="59" t="s">
        <v>27</v>
      </c>
      <c r="C257" s="60">
        <v>0</v>
      </c>
      <c r="D257" s="60">
        <v>500</v>
      </c>
      <c r="E257" s="60">
        <v>318.14409999999998</v>
      </c>
      <c r="F257" s="60">
        <v>553.76279999999997</v>
      </c>
    </row>
    <row r="258" spans="1:6">
      <c r="A258" s="58">
        <v>46244.375</v>
      </c>
      <c r="B258" s="59" t="s">
        <v>27</v>
      </c>
      <c r="C258" s="60">
        <v>0</v>
      </c>
      <c r="D258" s="60">
        <v>500</v>
      </c>
      <c r="E258" s="60">
        <v>318.09910000000002</v>
      </c>
      <c r="F258" s="60">
        <v>551.96280000000002</v>
      </c>
    </row>
    <row r="259" spans="1:6">
      <c r="A259" s="58">
        <v>46244.416666666664</v>
      </c>
      <c r="B259" s="59" t="s">
        <v>27</v>
      </c>
      <c r="C259" s="60">
        <v>0</v>
      </c>
      <c r="D259" s="60">
        <v>500</v>
      </c>
      <c r="E259" s="60">
        <v>318.05410000000001</v>
      </c>
      <c r="F259" s="60">
        <v>550.16279999999995</v>
      </c>
    </row>
    <row r="260" spans="1:6">
      <c r="A260" s="58">
        <v>46244.458333333336</v>
      </c>
      <c r="B260" s="59" t="s">
        <v>27</v>
      </c>
      <c r="C260" s="60">
        <v>0</v>
      </c>
      <c r="D260" s="60">
        <v>500</v>
      </c>
      <c r="E260" s="60">
        <v>318.00909999999999</v>
      </c>
      <c r="F260" s="60">
        <v>548.36289999999997</v>
      </c>
    </row>
    <row r="261" spans="1:6">
      <c r="A261" s="58">
        <v>46244.5</v>
      </c>
      <c r="B261" s="59" t="s">
        <v>27</v>
      </c>
      <c r="C261" s="60">
        <v>0</v>
      </c>
      <c r="D261" s="60">
        <v>500</v>
      </c>
      <c r="E261" s="60">
        <v>317.96269999999998</v>
      </c>
      <c r="F261" s="60">
        <v>546.56290000000001</v>
      </c>
    </row>
    <row r="262" spans="1:6">
      <c r="A262" s="58">
        <v>46244.541666666664</v>
      </c>
      <c r="B262" s="59" t="s">
        <v>27</v>
      </c>
      <c r="C262" s="60">
        <v>0</v>
      </c>
      <c r="D262" s="60">
        <v>500</v>
      </c>
      <c r="E262" s="60">
        <v>317.91590000000002</v>
      </c>
      <c r="F262" s="60">
        <v>544.76289999999995</v>
      </c>
    </row>
    <row r="263" spans="1:6">
      <c r="A263" s="58">
        <v>46244.583333333336</v>
      </c>
      <c r="B263" s="59" t="s">
        <v>27</v>
      </c>
      <c r="C263" s="60">
        <v>0</v>
      </c>
      <c r="D263" s="60">
        <v>500</v>
      </c>
      <c r="E263" s="60">
        <v>317.86919999999998</v>
      </c>
      <c r="F263" s="60">
        <v>542.96289999999999</v>
      </c>
    </row>
    <row r="264" spans="1:6">
      <c r="A264" s="58">
        <v>46244.625</v>
      </c>
      <c r="B264" s="59" t="s">
        <v>27</v>
      </c>
      <c r="C264" s="60">
        <v>0</v>
      </c>
      <c r="D264" s="60">
        <v>500</v>
      </c>
      <c r="E264" s="60">
        <v>317.82240000000002</v>
      </c>
      <c r="F264" s="60">
        <v>541.16290000000004</v>
      </c>
    </row>
    <row r="265" spans="1:6">
      <c r="A265" s="58">
        <v>46244.666666666664</v>
      </c>
      <c r="B265" s="59" t="s">
        <v>27</v>
      </c>
      <c r="C265" s="60">
        <v>0</v>
      </c>
      <c r="D265" s="60">
        <v>500</v>
      </c>
      <c r="E265" s="60">
        <v>317.77569999999997</v>
      </c>
      <c r="F265" s="60">
        <v>539.36289999999997</v>
      </c>
    </row>
    <row r="266" spans="1:6">
      <c r="A266" s="58">
        <v>46244.708333333336</v>
      </c>
      <c r="B266" s="59" t="s">
        <v>27</v>
      </c>
      <c r="C266" s="60">
        <v>0</v>
      </c>
      <c r="D266" s="60">
        <v>500</v>
      </c>
      <c r="E266" s="60">
        <v>317.72890000000001</v>
      </c>
      <c r="F266" s="60">
        <v>537.56290000000001</v>
      </c>
    </row>
    <row r="267" spans="1:6">
      <c r="A267" s="58">
        <v>46244.75</v>
      </c>
      <c r="B267" s="59" t="s">
        <v>27</v>
      </c>
      <c r="C267" s="60">
        <v>0</v>
      </c>
      <c r="D267" s="60">
        <v>500</v>
      </c>
      <c r="E267" s="60">
        <v>317.68220000000002</v>
      </c>
      <c r="F267" s="60">
        <v>535.76289999999995</v>
      </c>
    </row>
    <row r="268" spans="1:6">
      <c r="A268" s="58">
        <v>46244.791666666664</v>
      </c>
      <c r="B268" s="59" t="s">
        <v>27</v>
      </c>
      <c r="C268" s="60">
        <v>0</v>
      </c>
      <c r="D268" s="60">
        <v>500</v>
      </c>
      <c r="E268" s="60">
        <v>317.6354</v>
      </c>
      <c r="F268" s="60">
        <v>533.96299999999997</v>
      </c>
    </row>
    <row r="269" spans="1:6">
      <c r="A269" s="58">
        <v>46244.833333333336</v>
      </c>
      <c r="B269" s="59" t="s">
        <v>27</v>
      </c>
      <c r="C269" s="60">
        <v>0</v>
      </c>
      <c r="D269" s="60">
        <v>500</v>
      </c>
      <c r="E269" s="60">
        <v>317.58870000000002</v>
      </c>
      <c r="F269" s="60">
        <v>532.16300000000001</v>
      </c>
    </row>
    <row r="270" spans="1:6">
      <c r="A270" s="58">
        <v>46244.875</v>
      </c>
      <c r="B270" s="59" t="s">
        <v>27</v>
      </c>
      <c r="C270" s="60">
        <v>0</v>
      </c>
      <c r="D270" s="60">
        <v>500</v>
      </c>
      <c r="E270" s="60">
        <v>317.5419</v>
      </c>
      <c r="F270" s="60">
        <v>530.36300000000006</v>
      </c>
    </row>
    <row r="271" spans="1:6">
      <c r="A271" s="58">
        <v>46244.916666666664</v>
      </c>
      <c r="B271" s="59" t="s">
        <v>27</v>
      </c>
      <c r="C271" s="60">
        <v>0</v>
      </c>
      <c r="D271" s="60">
        <v>500</v>
      </c>
      <c r="E271" s="60">
        <v>317.49509999999998</v>
      </c>
      <c r="F271" s="60">
        <v>528.56299999999999</v>
      </c>
    </row>
    <row r="272" spans="1:6">
      <c r="A272" s="58">
        <v>46244.958333333336</v>
      </c>
      <c r="B272" s="59" t="s">
        <v>27</v>
      </c>
      <c r="C272" s="60">
        <v>0</v>
      </c>
      <c r="D272" s="60">
        <v>500</v>
      </c>
      <c r="E272" s="60">
        <v>317.44839999999999</v>
      </c>
      <c r="F272" s="60">
        <v>526.76300000000003</v>
      </c>
    </row>
    <row r="273" spans="1:6">
      <c r="A273" s="58">
        <v>46245</v>
      </c>
      <c r="B273" s="59" t="s">
        <v>27</v>
      </c>
      <c r="C273" s="60">
        <v>0</v>
      </c>
      <c r="D273" s="60">
        <v>500</v>
      </c>
      <c r="E273" s="60">
        <v>317.40159999999997</v>
      </c>
      <c r="F273" s="60">
        <v>524.96299999999997</v>
      </c>
    </row>
    <row r="274" spans="1:6">
      <c r="A274" s="58">
        <v>46245.041666666664</v>
      </c>
      <c r="B274" s="59" t="s">
        <v>27</v>
      </c>
      <c r="C274" s="60">
        <v>0</v>
      </c>
      <c r="D274" s="60">
        <v>500</v>
      </c>
      <c r="E274" s="60">
        <v>317.35489999999999</v>
      </c>
      <c r="F274" s="60">
        <v>523.16300000000001</v>
      </c>
    </row>
    <row r="275" spans="1:6">
      <c r="A275" s="58">
        <v>46245.083333333336</v>
      </c>
      <c r="B275" s="59" t="s">
        <v>27</v>
      </c>
      <c r="C275" s="60">
        <v>0</v>
      </c>
      <c r="D275" s="60">
        <v>500</v>
      </c>
      <c r="E275" s="60">
        <v>317.30810000000002</v>
      </c>
      <c r="F275" s="60">
        <v>521.36300000000006</v>
      </c>
    </row>
    <row r="276" spans="1:6">
      <c r="A276" s="58">
        <v>46245.125</v>
      </c>
      <c r="B276" s="59" t="s">
        <v>27</v>
      </c>
      <c r="C276" s="60">
        <v>0</v>
      </c>
      <c r="D276" s="60">
        <v>500</v>
      </c>
      <c r="E276" s="60">
        <v>317.26139999999998</v>
      </c>
      <c r="F276" s="60">
        <v>519.56299999999999</v>
      </c>
    </row>
    <row r="277" spans="1:6">
      <c r="A277" s="58">
        <v>46245.166666666664</v>
      </c>
      <c r="B277" s="59" t="s">
        <v>27</v>
      </c>
      <c r="C277" s="60">
        <v>0</v>
      </c>
      <c r="D277" s="60">
        <v>500</v>
      </c>
      <c r="E277" s="60">
        <v>317.21460000000002</v>
      </c>
      <c r="F277" s="60">
        <v>517.76310000000001</v>
      </c>
    </row>
    <row r="278" spans="1:6">
      <c r="A278" s="58">
        <v>46245.208333333336</v>
      </c>
      <c r="B278" s="59" t="s">
        <v>27</v>
      </c>
      <c r="C278" s="60">
        <v>0</v>
      </c>
      <c r="D278" s="60">
        <v>500</v>
      </c>
      <c r="E278" s="60">
        <v>317.16789999999997</v>
      </c>
      <c r="F278" s="60">
        <v>515.96310000000005</v>
      </c>
    </row>
    <row r="279" spans="1:6">
      <c r="A279" s="58">
        <v>46245.25</v>
      </c>
      <c r="B279" s="59" t="s">
        <v>27</v>
      </c>
      <c r="C279" s="60">
        <v>0</v>
      </c>
      <c r="D279" s="60">
        <v>500</v>
      </c>
      <c r="E279" s="60">
        <v>317.12110000000001</v>
      </c>
      <c r="F279" s="60">
        <v>514.16309999999999</v>
      </c>
    </row>
    <row r="280" spans="1:6">
      <c r="A280" s="58">
        <v>46245.291666666664</v>
      </c>
      <c r="B280" s="59" t="s">
        <v>27</v>
      </c>
      <c r="C280" s="60">
        <v>0</v>
      </c>
      <c r="D280" s="60">
        <v>500</v>
      </c>
      <c r="E280" s="60">
        <v>317.07440000000003</v>
      </c>
      <c r="F280" s="60">
        <v>512.36310000000003</v>
      </c>
    </row>
    <row r="281" spans="1:6">
      <c r="A281" s="58">
        <v>46245.333333333336</v>
      </c>
      <c r="B281" s="59" t="s">
        <v>27</v>
      </c>
      <c r="C281" s="60">
        <v>0</v>
      </c>
      <c r="D281" s="60">
        <v>500</v>
      </c>
      <c r="E281" s="60">
        <v>317.02760000000001</v>
      </c>
      <c r="F281" s="60">
        <v>510.56310000000002</v>
      </c>
    </row>
    <row r="282" spans="1:6">
      <c r="A282" s="58">
        <v>46245.375</v>
      </c>
      <c r="B282" s="59" t="s">
        <v>27</v>
      </c>
      <c r="C282" s="60">
        <v>0</v>
      </c>
      <c r="D282" s="60">
        <v>45.308430000000001</v>
      </c>
      <c r="E282" s="60">
        <v>317.00209999999998</v>
      </c>
      <c r="F282" s="60">
        <v>509.58150000000001</v>
      </c>
    </row>
    <row r="283" spans="1:6">
      <c r="A283" s="58">
        <v>46245.416666666664</v>
      </c>
      <c r="B283" s="59" t="s">
        <v>27</v>
      </c>
      <c r="C283" s="60">
        <v>0</v>
      </c>
      <c r="D283" s="60">
        <v>0</v>
      </c>
      <c r="E283" s="60">
        <v>317</v>
      </c>
      <c r="F283" s="60">
        <v>509.5</v>
      </c>
    </row>
    <row r="284" spans="1:6">
      <c r="A284" s="58">
        <v>46245.458333333336</v>
      </c>
      <c r="B284" s="59" t="s">
        <v>27</v>
      </c>
      <c r="C284" s="60">
        <v>0</v>
      </c>
      <c r="D284" s="60">
        <v>0</v>
      </c>
      <c r="E284" s="60">
        <v>317</v>
      </c>
      <c r="F284" s="60">
        <v>509.5</v>
      </c>
    </row>
    <row r="285" spans="1:6">
      <c r="A285" s="58">
        <v>46245.5</v>
      </c>
      <c r="B285" s="59" t="s">
        <v>27</v>
      </c>
      <c r="C285" s="60">
        <v>0</v>
      </c>
      <c r="D285" s="60">
        <v>0</v>
      </c>
      <c r="E285" s="60">
        <v>317</v>
      </c>
      <c r="F285" s="60">
        <v>509.5</v>
      </c>
    </row>
    <row r="286" spans="1:6">
      <c r="A286" s="58">
        <v>46245.541666666664</v>
      </c>
      <c r="B286" s="59" t="s">
        <v>27</v>
      </c>
      <c r="C286" s="60">
        <v>0</v>
      </c>
      <c r="D286" s="60">
        <v>0</v>
      </c>
      <c r="E286" s="60">
        <v>317</v>
      </c>
      <c r="F286" s="60">
        <v>509.5</v>
      </c>
    </row>
    <row r="287" spans="1:6">
      <c r="A287" s="58">
        <v>46245.583333333336</v>
      </c>
      <c r="B287" s="59" t="s">
        <v>27</v>
      </c>
      <c r="C287" s="60">
        <v>0</v>
      </c>
      <c r="D287" s="60">
        <v>0</v>
      </c>
      <c r="E287" s="60">
        <v>317</v>
      </c>
      <c r="F287" s="60">
        <v>509.5</v>
      </c>
    </row>
    <row r="288" spans="1:6">
      <c r="A288" s="58">
        <v>46245.625</v>
      </c>
      <c r="B288" s="59" t="s">
        <v>27</v>
      </c>
      <c r="C288" s="60">
        <v>0</v>
      </c>
      <c r="D288" s="60">
        <v>0</v>
      </c>
      <c r="E288" s="60">
        <v>317</v>
      </c>
      <c r="F288" s="60">
        <v>509.5</v>
      </c>
    </row>
    <row r="289" spans="1:6">
      <c r="A289" s="58">
        <v>46245.666666666664</v>
      </c>
      <c r="B289" s="59" t="s">
        <v>27</v>
      </c>
      <c r="C289" s="60">
        <v>0</v>
      </c>
      <c r="D289" s="60">
        <v>0</v>
      </c>
      <c r="E289" s="60">
        <v>317</v>
      </c>
      <c r="F289" s="60">
        <v>509.5</v>
      </c>
    </row>
    <row r="290" spans="1:6">
      <c r="A290" s="58">
        <v>46245.708333333336</v>
      </c>
      <c r="B290" s="59" t="s">
        <v>27</v>
      </c>
      <c r="C290" s="60">
        <v>0</v>
      </c>
      <c r="D290" s="60">
        <v>0</v>
      </c>
      <c r="E290" s="60">
        <v>317</v>
      </c>
      <c r="F290" s="60">
        <v>509.5</v>
      </c>
    </row>
    <row r="291" spans="1:6">
      <c r="A291" s="58">
        <v>46245.75</v>
      </c>
      <c r="B291" s="59" t="s">
        <v>27</v>
      </c>
      <c r="C291" s="60">
        <v>0</v>
      </c>
      <c r="D291" s="60">
        <v>0</v>
      </c>
      <c r="E291" s="60">
        <v>317</v>
      </c>
      <c r="F291" s="60">
        <v>509.5</v>
      </c>
    </row>
    <row r="292" spans="1:6">
      <c r="A292" s="58">
        <v>46245.791666666664</v>
      </c>
      <c r="B292" s="59" t="s">
        <v>27</v>
      </c>
      <c r="C292" s="60">
        <v>0</v>
      </c>
      <c r="D292" s="60">
        <v>0</v>
      </c>
      <c r="E292" s="60">
        <v>317</v>
      </c>
      <c r="F292" s="60">
        <v>509.5</v>
      </c>
    </row>
    <row r="293" spans="1:6">
      <c r="A293" s="58">
        <v>46245.833333333336</v>
      </c>
      <c r="B293" s="59" t="s">
        <v>27</v>
      </c>
      <c r="C293" s="60">
        <v>0</v>
      </c>
      <c r="D293" s="60">
        <v>0</v>
      </c>
      <c r="E293" s="60">
        <v>317</v>
      </c>
      <c r="F293" s="60">
        <v>509.5</v>
      </c>
    </row>
    <row r="294" spans="1:6">
      <c r="A294" s="58">
        <v>46245.875</v>
      </c>
      <c r="B294" s="59" t="s">
        <v>27</v>
      </c>
      <c r="C294" s="60">
        <v>0</v>
      </c>
      <c r="D294" s="60">
        <v>0</v>
      </c>
      <c r="E294" s="60">
        <v>317</v>
      </c>
      <c r="F294" s="60">
        <v>509.5</v>
      </c>
    </row>
    <row r="295" spans="1:6">
      <c r="A295" s="58">
        <v>46245.916666666664</v>
      </c>
      <c r="B295" s="59" t="s">
        <v>27</v>
      </c>
      <c r="C295" s="60">
        <v>0</v>
      </c>
      <c r="D295" s="60">
        <v>0</v>
      </c>
      <c r="E295" s="60">
        <v>317</v>
      </c>
      <c r="F295" s="60">
        <v>509.5</v>
      </c>
    </row>
    <row r="296" spans="1:6">
      <c r="A296" s="58">
        <v>46245.958333333336</v>
      </c>
      <c r="B296" s="59" t="s">
        <v>27</v>
      </c>
      <c r="C296" s="60">
        <v>0</v>
      </c>
      <c r="D296" s="60">
        <v>0</v>
      </c>
      <c r="E296" s="60">
        <v>317</v>
      </c>
      <c r="F296" s="60">
        <v>509.5</v>
      </c>
    </row>
    <row r="297" spans="1:6">
      <c r="A297" s="58">
        <v>46246</v>
      </c>
      <c r="B297" s="59" t="s">
        <v>27</v>
      </c>
      <c r="C297" s="60">
        <v>0</v>
      </c>
      <c r="D297" s="60">
        <v>0</v>
      </c>
      <c r="E297" s="60">
        <v>317</v>
      </c>
      <c r="F297" s="60">
        <v>509.5</v>
      </c>
    </row>
    <row r="298" spans="1:6">
      <c r="A298" s="58">
        <v>46246.041666666664</v>
      </c>
      <c r="B298" s="59" t="s">
        <v>27</v>
      </c>
      <c r="C298" s="60">
        <v>0</v>
      </c>
      <c r="D298" s="60">
        <v>0</v>
      </c>
      <c r="E298" s="60">
        <v>317</v>
      </c>
      <c r="F298" s="60">
        <v>509.5</v>
      </c>
    </row>
    <row r="299" spans="1:6">
      <c r="A299" s="58">
        <v>46246.083333333336</v>
      </c>
      <c r="B299" s="59" t="s">
        <v>27</v>
      </c>
      <c r="C299" s="60">
        <v>0</v>
      </c>
      <c r="D299" s="60">
        <v>0</v>
      </c>
      <c r="E299" s="60">
        <v>317</v>
      </c>
      <c r="F299" s="60">
        <v>509.5</v>
      </c>
    </row>
    <row r="300" spans="1:6">
      <c r="A300" s="58">
        <v>46246.125</v>
      </c>
      <c r="B300" s="59" t="s">
        <v>27</v>
      </c>
      <c r="C300" s="60">
        <v>0</v>
      </c>
      <c r="D300" s="60">
        <v>0</v>
      </c>
      <c r="E300" s="60">
        <v>317</v>
      </c>
      <c r="F300" s="60">
        <v>509.5</v>
      </c>
    </row>
    <row r="301" spans="1:6">
      <c r="A301" s="58">
        <v>46246.166666666664</v>
      </c>
      <c r="B301" s="59" t="s">
        <v>27</v>
      </c>
      <c r="C301" s="60">
        <v>0</v>
      </c>
      <c r="D301" s="60">
        <v>0</v>
      </c>
      <c r="E301" s="60">
        <v>317</v>
      </c>
      <c r="F301" s="60">
        <v>509.5</v>
      </c>
    </row>
    <row r="302" spans="1:6">
      <c r="A302" s="58">
        <v>46246.208333333336</v>
      </c>
      <c r="B302" s="59" t="s">
        <v>27</v>
      </c>
      <c r="C302" s="60">
        <v>0</v>
      </c>
      <c r="D302" s="60">
        <v>0</v>
      </c>
      <c r="E302" s="60">
        <v>317</v>
      </c>
      <c r="F302" s="60">
        <v>509.5</v>
      </c>
    </row>
    <row r="303" spans="1:6">
      <c r="A303" s="58">
        <v>46246.25</v>
      </c>
      <c r="B303" s="59" t="s">
        <v>27</v>
      </c>
      <c r="C303" s="60">
        <v>0</v>
      </c>
      <c r="D303" s="60">
        <v>0</v>
      </c>
      <c r="E303" s="60">
        <v>317</v>
      </c>
      <c r="F303" s="60">
        <v>509.5</v>
      </c>
    </row>
    <row r="304" spans="1:6">
      <c r="A304" s="58">
        <v>46246.291666666664</v>
      </c>
      <c r="B304" s="59" t="s">
        <v>27</v>
      </c>
      <c r="C304" s="60">
        <v>0</v>
      </c>
      <c r="D304" s="60">
        <v>0</v>
      </c>
      <c r="E304" s="60">
        <v>317</v>
      </c>
      <c r="F304" s="60">
        <v>509.5</v>
      </c>
    </row>
    <row r="305" spans="1:6">
      <c r="A305" s="58">
        <v>46246.333333333336</v>
      </c>
      <c r="B305" s="59" t="s">
        <v>27</v>
      </c>
      <c r="C305" s="60">
        <v>0</v>
      </c>
      <c r="D305" s="60">
        <v>0</v>
      </c>
      <c r="E305" s="60">
        <v>317</v>
      </c>
      <c r="F305" s="60">
        <v>509.5</v>
      </c>
    </row>
    <row r="306" spans="1:6">
      <c r="A306" s="58">
        <v>46246.375</v>
      </c>
      <c r="B306" s="59" t="s">
        <v>27</v>
      </c>
      <c r="C306" s="60">
        <v>0</v>
      </c>
      <c r="D306" s="60">
        <v>0</v>
      </c>
      <c r="E306" s="60">
        <v>317</v>
      </c>
      <c r="F306" s="60">
        <v>509.5</v>
      </c>
    </row>
    <row r="307" spans="1:6">
      <c r="A307" s="58">
        <v>46246.416666666664</v>
      </c>
      <c r="B307" s="59" t="s">
        <v>27</v>
      </c>
      <c r="C307" s="60">
        <v>0</v>
      </c>
      <c r="D307" s="60">
        <v>0</v>
      </c>
      <c r="E307" s="60">
        <v>317</v>
      </c>
      <c r="F307" s="60">
        <v>509.5</v>
      </c>
    </row>
    <row r="308" spans="1:6">
      <c r="A308" s="58">
        <v>46246.458333333336</v>
      </c>
      <c r="B308" s="59" t="s">
        <v>27</v>
      </c>
      <c r="C308" s="60">
        <v>0</v>
      </c>
      <c r="D308" s="60">
        <v>0</v>
      </c>
      <c r="E308" s="60">
        <v>317</v>
      </c>
      <c r="F308" s="60">
        <v>509.5</v>
      </c>
    </row>
    <row r="309" spans="1:6">
      <c r="A309" s="58">
        <v>46246.5</v>
      </c>
      <c r="B309" s="59" t="s">
        <v>27</v>
      </c>
      <c r="C309" s="60">
        <v>0</v>
      </c>
      <c r="D309" s="60">
        <v>0</v>
      </c>
      <c r="E309" s="60">
        <v>317</v>
      </c>
      <c r="F309" s="60">
        <v>509.5</v>
      </c>
    </row>
    <row r="310" spans="1:6">
      <c r="A310" s="58">
        <v>46246.541666666664</v>
      </c>
      <c r="B310" s="59" t="s">
        <v>27</v>
      </c>
      <c r="C310" s="60">
        <v>0</v>
      </c>
      <c r="D310" s="60">
        <v>0</v>
      </c>
      <c r="E310" s="60">
        <v>317</v>
      </c>
      <c r="F310" s="60">
        <v>509.5</v>
      </c>
    </row>
    <row r="311" spans="1:6">
      <c r="A311" s="58">
        <v>46246.583333333336</v>
      </c>
      <c r="B311" s="59" t="s">
        <v>27</v>
      </c>
      <c r="C311" s="60">
        <v>0</v>
      </c>
      <c r="D311" s="60">
        <v>0</v>
      </c>
      <c r="E311" s="60">
        <v>317</v>
      </c>
      <c r="F311" s="60">
        <v>509.5</v>
      </c>
    </row>
    <row r="312" spans="1:6">
      <c r="A312" s="58">
        <v>46246.625</v>
      </c>
      <c r="B312" s="59" t="s">
        <v>27</v>
      </c>
      <c r="C312" s="60">
        <v>0</v>
      </c>
      <c r="D312" s="60">
        <v>0</v>
      </c>
      <c r="E312" s="60">
        <v>317</v>
      </c>
      <c r="F312" s="60">
        <v>509.5</v>
      </c>
    </row>
    <row r="313" spans="1:6">
      <c r="A313" s="58">
        <v>46246.666666666664</v>
      </c>
      <c r="B313" s="59" t="s">
        <v>27</v>
      </c>
      <c r="C313" s="60">
        <v>0</v>
      </c>
      <c r="D313" s="60">
        <v>0</v>
      </c>
      <c r="E313" s="60">
        <v>317</v>
      </c>
      <c r="F313" s="60">
        <v>509.5</v>
      </c>
    </row>
    <row r="314" spans="1:6">
      <c r="A314" s="58">
        <v>46246.708333333336</v>
      </c>
      <c r="B314" s="59" t="s">
        <v>27</v>
      </c>
      <c r="C314" s="60">
        <v>0</v>
      </c>
      <c r="D314" s="60">
        <v>0</v>
      </c>
      <c r="E314" s="60">
        <v>317</v>
      </c>
      <c r="F314" s="60">
        <v>509.5</v>
      </c>
    </row>
    <row r="315" spans="1:6">
      <c r="A315" s="58">
        <v>46246.75</v>
      </c>
      <c r="B315" s="59" t="s">
        <v>27</v>
      </c>
      <c r="C315" s="60">
        <v>0</v>
      </c>
      <c r="D315" s="60">
        <v>0</v>
      </c>
      <c r="E315" s="60">
        <v>317</v>
      </c>
      <c r="F315" s="60">
        <v>509.5</v>
      </c>
    </row>
    <row r="316" spans="1:6">
      <c r="A316" s="58">
        <v>46246.791666666664</v>
      </c>
      <c r="B316" s="59" t="s">
        <v>27</v>
      </c>
      <c r="C316" s="60">
        <v>0</v>
      </c>
      <c r="D316" s="60">
        <v>0</v>
      </c>
      <c r="E316" s="60">
        <v>317</v>
      </c>
      <c r="F316" s="60">
        <v>509.5</v>
      </c>
    </row>
    <row r="317" spans="1:6">
      <c r="A317" s="58">
        <v>46246.833333333336</v>
      </c>
      <c r="B317" s="59" t="s">
        <v>27</v>
      </c>
      <c r="C317" s="60">
        <v>0</v>
      </c>
      <c r="D317" s="60">
        <v>0</v>
      </c>
      <c r="E317" s="60">
        <v>317</v>
      </c>
      <c r="F317" s="60">
        <v>509.5</v>
      </c>
    </row>
    <row r="318" spans="1:6">
      <c r="A318" s="58">
        <v>46246.875</v>
      </c>
      <c r="B318" s="59" t="s">
        <v>27</v>
      </c>
      <c r="C318" s="60">
        <v>0</v>
      </c>
      <c r="D318" s="60">
        <v>0</v>
      </c>
      <c r="E318" s="60">
        <v>317</v>
      </c>
      <c r="F318" s="60">
        <v>509.5</v>
      </c>
    </row>
    <row r="319" spans="1:6">
      <c r="A319" s="58">
        <v>46246.916666666664</v>
      </c>
      <c r="B319" s="59" t="s">
        <v>27</v>
      </c>
      <c r="C319" s="60">
        <v>0</v>
      </c>
      <c r="D319" s="60">
        <v>0</v>
      </c>
      <c r="E319" s="60">
        <v>317</v>
      </c>
      <c r="F319" s="60">
        <v>509.5</v>
      </c>
    </row>
    <row r="320" spans="1:6">
      <c r="A320" s="58">
        <v>46246.958333333336</v>
      </c>
      <c r="B320" s="59" t="s">
        <v>27</v>
      </c>
      <c r="C320" s="60">
        <v>0</v>
      </c>
      <c r="D320" s="60">
        <v>0</v>
      </c>
      <c r="E320" s="60">
        <v>317</v>
      </c>
      <c r="F320" s="60">
        <v>509.5</v>
      </c>
    </row>
    <row r="321" spans="1:6">
      <c r="A321" s="58">
        <v>46247</v>
      </c>
      <c r="B321" s="59" t="s">
        <v>27</v>
      </c>
      <c r="C321" s="60">
        <v>0</v>
      </c>
      <c r="D321" s="60">
        <v>0</v>
      </c>
      <c r="E321" s="60">
        <v>317</v>
      </c>
      <c r="F321" s="60">
        <v>509.5</v>
      </c>
    </row>
    <row r="322" spans="1:6">
      <c r="A322" s="58">
        <v>46247.041666666664</v>
      </c>
      <c r="B322" s="59" t="s">
        <v>27</v>
      </c>
      <c r="C322" s="60">
        <v>0</v>
      </c>
      <c r="D322" s="60">
        <v>0</v>
      </c>
      <c r="E322" s="60">
        <v>317</v>
      </c>
      <c r="F322" s="60">
        <v>509.5</v>
      </c>
    </row>
    <row r="323" spans="1:6">
      <c r="A323" s="58">
        <v>46247.083333333336</v>
      </c>
      <c r="B323" s="59" t="s">
        <v>27</v>
      </c>
      <c r="C323" s="60">
        <v>0</v>
      </c>
      <c r="D323" s="60">
        <v>0</v>
      </c>
      <c r="E323" s="60">
        <v>317</v>
      </c>
      <c r="F323" s="60">
        <v>509.5</v>
      </c>
    </row>
    <row r="324" spans="1:6">
      <c r="A324" s="58">
        <v>46247.125</v>
      </c>
      <c r="B324" s="59" t="s">
        <v>27</v>
      </c>
      <c r="C324" s="60">
        <v>0</v>
      </c>
      <c r="D324" s="60">
        <v>0</v>
      </c>
      <c r="E324" s="60">
        <v>317</v>
      </c>
      <c r="F324" s="60">
        <v>509.5</v>
      </c>
    </row>
    <row r="325" spans="1:6">
      <c r="A325" s="58">
        <v>46247.166666666664</v>
      </c>
      <c r="B325" s="59" t="s">
        <v>27</v>
      </c>
      <c r="C325" s="60">
        <v>0</v>
      </c>
      <c r="D325" s="60">
        <v>0</v>
      </c>
      <c r="E325" s="60">
        <v>317</v>
      </c>
      <c r="F325" s="60">
        <v>509.5</v>
      </c>
    </row>
    <row r="326" spans="1:6">
      <c r="A326" s="58">
        <v>46247.208333333336</v>
      </c>
      <c r="B326" s="59" t="s">
        <v>27</v>
      </c>
      <c r="C326" s="60">
        <v>0</v>
      </c>
      <c r="D326" s="60">
        <v>0</v>
      </c>
      <c r="E326" s="60">
        <v>317</v>
      </c>
      <c r="F326" s="60">
        <v>509.5</v>
      </c>
    </row>
    <row r="327" spans="1:6">
      <c r="A327" s="58">
        <v>46247.25</v>
      </c>
      <c r="B327" s="59" t="s">
        <v>27</v>
      </c>
      <c r="C327" s="60">
        <v>0</v>
      </c>
      <c r="D327" s="60">
        <v>0</v>
      </c>
      <c r="E327" s="60">
        <v>317</v>
      </c>
      <c r="F327" s="60">
        <v>509.5</v>
      </c>
    </row>
    <row r="328" spans="1:6">
      <c r="A328" s="58">
        <v>46247.291666666664</v>
      </c>
      <c r="B328" s="59" t="s">
        <v>27</v>
      </c>
      <c r="C328" s="60">
        <v>0</v>
      </c>
      <c r="D328" s="60">
        <v>0</v>
      </c>
      <c r="E328" s="60">
        <v>317</v>
      </c>
      <c r="F328" s="60">
        <v>509.5</v>
      </c>
    </row>
    <row r="329" spans="1:6">
      <c r="A329" s="58">
        <v>46247.333333333336</v>
      </c>
      <c r="B329" s="59" t="s">
        <v>27</v>
      </c>
      <c r="C329" s="60">
        <v>0</v>
      </c>
      <c r="D329" s="60">
        <v>0</v>
      </c>
      <c r="E329" s="60">
        <v>317</v>
      </c>
      <c r="F329" s="60">
        <v>509.5</v>
      </c>
    </row>
    <row r="330" spans="1:6">
      <c r="A330" s="58">
        <v>46247.375</v>
      </c>
      <c r="B330" s="59" t="s">
        <v>27</v>
      </c>
      <c r="C330" s="60">
        <v>0</v>
      </c>
      <c r="D330" s="60">
        <v>0</v>
      </c>
      <c r="E330" s="60">
        <v>317</v>
      </c>
      <c r="F330" s="60">
        <v>509.5</v>
      </c>
    </row>
    <row r="331" spans="1:6">
      <c r="A331" s="58">
        <v>46247.416666666664</v>
      </c>
      <c r="B331" s="59" t="s">
        <v>27</v>
      </c>
      <c r="C331" s="60">
        <v>0</v>
      </c>
      <c r="D331" s="60">
        <v>0</v>
      </c>
      <c r="E331" s="60">
        <v>317</v>
      </c>
      <c r="F331" s="60">
        <v>509.5</v>
      </c>
    </row>
    <row r="332" spans="1:6">
      <c r="A332" s="58">
        <v>46247.458333333336</v>
      </c>
      <c r="B332" s="59" t="s">
        <v>27</v>
      </c>
      <c r="C332" s="60">
        <v>0</v>
      </c>
      <c r="D332" s="60">
        <v>0</v>
      </c>
      <c r="E332" s="60">
        <v>317</v>
      </c>
      <c r="F332" s="60">
        <v>509.5</v>
      </c>
    </row>
    <row r="333" spans="1:6">
      <c r="A333" s="58">
        <v>46247.5</v>
      </c>
      <c r="B333" s="59" t="s">
        <v>27</v>
      </c>
      <c r="C333" s="60">
        <v>0</v>
      </c>
      <c r="D333" s="60">
        <v>0</v>
      </c>
      <c r="E333" s="60">
        <v>317</v>
      </c>
      <c r="F333" s="60">
        <v>509.5</v>
      </c>
    </row>
    <row r="334" spans="1:6">
      <c r="A334" s="58">
        <v>46247.541666666664</v>
      </c>
      <c r="B334" s="59" t="s">
        <v>27</v>
      </c>
      <c r="C334" s="60">
        <v>0</v>
      </c>
      <c r="D334" s="60">
        <v>0</v>
      </c>
      <c r="E334" s="60">
        <v>317</v>
      </c>
      <c r="F334" s="60">
        <v>509.5</v>
      </c>
    </row>
    <row r="335" spans="1:6">
      <c r="A335" s="58">
        <v>46247.583333333336</v>
      </c>
      <c r="B335" s="59" t="s">
        <v>27</v>
      </c>
      <c r="C335" s="60">
        <v>0</v>
      </c>
      <c r="D335" s="60">
        <v>0</v>
      </c>
      <c r="E335" s="60">
        <v>317</v>
      </c>
      <c r="F335" s="60">
        <v>509.5</v>
      </c>
    </row>
    <row r="336" spans="1:6">
      <c r="A336" s="58">
        <v>46247.625</v>
      </c>
      <c r="B336" s="59" t="s">
        <v>27</v>
      </c>
      <c r="C336" s="60">
        <v>0</v>
      </c>
      <c r="D336" s="60">
        <v>0</v>
      </c>
      <c r="E336" s="60">
        <v>317</v>
      </c>
      <c r="F336" s="60">
        <v>509.5</v>
      </c>
    </row>
    <row r="337" spans="1:6">
      <c r="A337" s="58">
        <v>46247.666666666664</v>
      </c>
      <c r="B337" s="59" t="s">
        <v>27</v>
      </c>
      <c r="C337" s="60">
        <v>0</v>
      </c>
      <c r="D337" s="60">
        <v>0</v>
      </c>
      <c r="E337" s="60">
        <v>317</v>
      </c>
      <c r="F337" s="60">
        <v>509.5</v>
      </c>
    </row>
    <row r="338" spans="1:6">
      <c r="A338" s="58">
        <v>46247.708333333336</v>
      </c>
      <c r="B338" s="59" t="s">
        <v>27</v>
      </c>
      <c r="C338" s="60">
        <v>0</v>
      </c>
      <c r="D338" s="60">
        <v>0</v>
      </c>
      <c r="E338" s="60">
        <v>317</v>
      </c>
      <c r="F338" s="60">
        <v>509.5</v>
      </c>
    </row>
    <row r="339" spans="1:6">
      <c r="A339" s="58">
        <v>46247.75</v>
      </c>
      <c r="B339" s="59" t="s">
        <v>27</v>
      </c>
      <c r="C339" s="60">
        <v>0</v>
      </c>
      <c r="D339" s="60">
        <v>0</v>
      </c>
      <c r="E339" s="60">
        <v>317</v>
      </c>
      <c r="F339" s="60">
        <v>509.5</v>
      </c>
    </row>
    <row r="340" spans="1:6">
      <c r="A340" s="58">
        <v>46247.791666666664</v>
      </c>
      <c r="B340" s="59" t="s">
        <v>27</v>
      </c>
      <c r="C340" s="60">
        <v>0</v>
      </c>
      <c r="D340" s="60">
        <v>0</v>
      </c>
      <c r="E340" s="60">
        <v>317</v>
      </c>
      <c r="F340" s="60">
        <v>509.5</v>
      </c>
    </row>
    <row r="341" spans="1:6">
      <c r="A341" s="58">
        <v>46247.833333333336</v>
      </c>
      <c r="B341" s="59" t="s">
        <v>27</v>
      </c>
      <c r="C341" s="60">
        <v>0</v>
      </c>
      <c r="D341" s="60">
        <v>0</v>
      </c>
      <c r="E341" s="60">
        <v>317</v>
      </c>
      <c r="F341" s="60">
        <v>509.5</v>
      </c>
    </row>
    <row r="342" spans="1:6">
      <c r="A342" s="58">
        <v>46247.875</v>
      </c>
      <c r="B342" s="59" t="s">
        <v>27</v>
      </c>
      <c r="C342" s="60">
        <v>0</v>
      </c>
      <c r="D342" s="60">
        <v>0</v>
      </c>
      <c r="E342" s="60">
        <v>317</v>
      </c>
      <c r="F342" s="60">
        <v>509.5</v>
      </c>
    </row>
    <row r="343" spans="1:6">
      <c r="A343" s="58">
        <v>46247.916666666664</v>
      </c>
      <c r="B343" s="59" t="s">
        <v>27</v>
      </c>
      <c r="C343" s="60">
        <v>0</v>
      </c>
      <c r="D343" s="60">
        <v>0</v>
      </c>
      <c r="E343" s="60">
        <v>317</v>
      </c>
      <c r="F343" s="60">
        <v>509.5</v>
      </c>
    </row>
    <row r="344" spans="1:6">
      <c r="A344" s="58">
        <v>46247.958333333336</v>
      </c>
      <c r="B344" s="59" t="s">
        <v>27</v>
      </c>
      <c r="C344" s="60">
        <v>0</v>
      </c>
      <c r="D344" s="60">
        <v>0</v>
      </c>
      <c r="E344" s="60">
        <v>317</v>
      </c>
      <c r="F344" s="60">
        <v>509.5</v>
      </c>
    </row>
    <row r="345" spans="1:6">
      <c r="A345" s="58">
        <v>46248</v>
      </c>
      <c r="B345" s="59" t="s">
        <v>27</v>
      </c>
      <c r="C345" s="60">
        <v>0</v>
      </c>
      <c r="D345" s="60">
        <v>0</v>
      </c>
      <c r="E345" s="60">
        <v>317</v>
      </c>
      <c r="F345" s="60">
        <v>509.5</v>
      </c>
    </row>
    <row r="346" spans="1:6">
      <c r="A346" s="58">
        <v>46248.041666666664</v>
      </c>
      <c r="B346" s="59" t="s">
        <v>27</v>
      </c>
      <c r="C346" s="60">
        <v>0</v>
      </c>
      <c r="D346" s="60">
        <v>0</v>
      </c>
      <c r="E346" s="60">
        <v>317</v>
      </c>
      <c r="F346" s="60">
        <v>509.5</v>
      </c>
    </row>
    <row r="347" spans="1:6">
      <c r="A347" s="58">
        <v>46248.083333333336</v>
      </c>
      <c r="B347" s="59" t="s">
        <v>27</v>
      </c>
      <c r="C347" s="60">
        <v>0</v>
      </c>
      <c r="D347" s="60">
        <v>0</v>
      </c>
      <c r="E347" s="60">
        <v>317</v>
      </c>
      <c r="F347" s="60">
        <v>509.5</v>
      </c>
    </row>
    <row r="348" spans="1:6">
      <c r="A348" s="58">
        <v>46248.125</v>
      </c>
      <c r="B348" s="59" t="s">
        <v>27</v>
      </c>
      <c r="C348" s="60">
        <v>0</v>
      </c>
      <c r="D348" s="60">
        <v>0</v>
      </c>
      <c r="E348" s="60">
        <v>317</v>
      </c>
      <c r="F348" s="60">
        <v>509.5</v>
      </c>
    </row>
    <row r="349" spans="1:6">
      <c r="A349" s="58">
        <v>46248.166666666664</v>
      </c>
      <c r="B349" s="59" t="s">
        <v>27</v>
      </c>
      <c r="C349" s="60">
        <v>0</v>
      </c>
      <c r="D349" s="60">
        <v>0</v>
      </c>
      <c r="E349" s="60">
        <v>317</v>
      </c>
      <c r="F349" s="60">
        <v>509.5</v>
      </c>
    </row>
    <row r="350" spans="1:6">
      <c r="A350" s="58">
        <v>46248.208333333336</v>
      </c>
      <c r="B350" s="59" t="s">
        <v>27</v>
      </c>
      <c r="C350" s="60">
        <v>0</v>
      </c>
      <c r="D350" s="60">
        <v>0</v>
      </c>
      <c r="E350" s="60">
        <v>317</v>
      </c>
      <c r="F350" s="60">
        <v>509.5</v>
      </c>
    </row>
    <row r="351" spans="1:6">
      <c r="A351" s="58">
        <v>46248.25</v>
      </c>
      <c r="B351" s="59" t="s">
        <v>27</v>
      </c>
      <c r="C351" s="60">
        <v>0</v>
      </c>
      <c r="D351" s="60">
        <v>0</v>
      </c>
      <c r="E351" s="60">
        <v>317</v>
      </c>
      <c r="F351" s="60">
        <v>509.5</v>
      </c>
    </row>
    <row r="352" spans="1:6">
      <c r="A352" s="58">
        <v>46248.291666666664</v>
      </c>
      <c r="B352" s="59" t="s">
        <v>27</v>
      </c>
      <c r="C352" s="60">
        <v>0</v>
      </c>
      <c r="D352" s="60">
        <v>0</v>
      </c>
      <c r="E352" s="60">
        <v>317</v>
      </c>
      <c r="F352" s="60">
        <v>509.5</v>
      </c>
    </row>
    <row r="353" spans="1:6">
      <c r="A353" s="58">
        <v>46248.333333333336</v>
      </c>
      <c r="B353" s="59" t="s">
        <v>27</v>
      </c>
      <c r="C353" s="60">
        <v>0</v>
      </c>
      <c r="D353" s="60">
        <v>0</v>
      </c>
      <c r="E353" s="60">
        <v>317</v>
      </c>
      <c r="F353" s="60">
        <v>509.5</v>
      </c>
    </row>
    <row r="354" spans="1:6">
      <c r="A354" s="58">
        <v>46248.375</v>
      </c>
      <c r="B354" s="59" t="s">
        <v>27</v>
      </c>
      <c r="C354" s="60">
        <v>0</v>
      </c>
      <c r="D354" s="60">
        <v>0</v>
      </c>
      <c r="E354" s="60">
        <v>317</v>
      </c>
      <c r="F354" s="60">
        <v>509.5</v>
      </c>
    </row>
    <row r="355" spans="1:6">
      <c r="A355" s="58">
        <v>46248.416666666664</v>
      </c>
      <c r="B355" s="59" t="s">
        <v>27</v>
      </c>
      <c r="C355" s="60">
        <v>0</v>
      </c>
      <c r="D355" s="60">
        <v>0</v>
      </c>
      <c r="E355" s="60">
        <v>317</v>
      </c>
      <c r="F355" s="60">
        <v>509.5</v>
      </c>
    </row>
    <row r="356" spans="1:6">
      <c r="A356" s="58">
        <v>46248.458333333336</v>
      </c>
      <c r="B356" s="59" t="s">
        <v>27</v>
      </c>
      <c r="C356" s="60">
        <v>0</v>
      </c>
      <c r="D356" s="60">
        <v>0</v>
      </c>
      <c r="E356" s="60">
        <v>317</v>
      </c>
      <c r="F356" s="60">
        <v>509.5</v>
      </c>
    </row>
    <row r="357" spans="1:6">
      <c r="A357" s="58">
        <v>46248.5</v>
      </c>
      <c r="B357" s="59" t="s">
        <v>27</v>
      </c>
      <c r="C357" s="60">
        <v>0</v>
      </c>
      <c r="D357" s="60">
        <v>0</v>
      </c>
      <c r="E357" s="60">
        <v>317</v>
      </c>
      <c r="F357" s="60">
        <v>509.5</v>
      </c>
    </row>
    <row r="358" spans="1:6">
      <c r="A358" s="58">
        <v>46248.541666666664</v>
      </c>
      <c r="B358" s="59" t="s">
        <v>27</v>
      </c>
      <c r="C358" s="60">
        <v>0</v>
      </c>
      <c r="D358" s="60">
        <v>0</v>
      </c>
      <c r="E358" s="60">
        <v>317</v>
      </c>
      <c r="F358" s="60">
        <v>509.5</v>
      </c>
    </row>
    <row r="359" spans="1:6">
      <c r="A359" s="58">
        <v>46248.583333333336</v>
      </c>
      <c r="B359" s="59" t="s">
        <v>27</v>
      </c>
      <c r="C359" s="60">
        <v>0</v>
      </c>
      <c r="D359" s="60">
        <v>0</v>
      </c>
      <c r="E359" s="60">
        <v>317</v>
      </c>
      <c r="F359" s="60">
        <v>509.5</v>
      </c>
    </row>
    <row r="360" spans="1:6">
      <c r="A360" s="58">
        <v>46248.625</v>
      </c>
      <c r="B360" s="59" t="s">
        <v>27</v>
      </c>
      <c r="C360" s="60">
        <v>0</v>
      </c>
      <c r="D360" s="60">
        <v>0</v>
      </c>
      <c r="E360" s="60">
        <v>317</v>
      </c>
      <c r="F360" s="60">
        <v>509.5</v>
      </c>
    </row>
    <row r="361" spans="1:6">
      <c r="A361" s="58">
        <v>46248.666666666664</v>
      </c>
      <c r="B361" s="59" t="s">
        <v>27</v>
      </c>
      <c r="C361" s="60">
        <v>0</v>
      </c>
      <c r="D361" s="60">
        <v>0</v>
      </c>
      <c r="E361" s="60">
        <v>317</v>
      </c>
      <c r="F361" s="60">
        <v>509.5</v>
      </c>
    </row>
    <row r="362" spans="1:6">
      <c r="A362" s="58">
        <v>46248.708333333336</v>
      </c>
      <c r="B362" s="59" t="s">
        <v>27</v>
      </c>
      <c r="C362" s="60">
        <v>0</v>
      </c>
      <c r="D362" s="60">
        <v>0</v>
      </c>
      <c r="E362" s="60">
        <v>317</v>
      </c>
      <c r="F362" s="60">
        <v>509.5</v>
      </c>
    </row>
    <row r="363" spans="1:6">
      <c r="A363" s="58">
        <v>46248.75</v>
      </c>
      <c r="B363" s="59" t="s">
        <v>27</v>
      </c>
      <c r="C363" s="60">
        <v>0</v>
      </c>
      <c r="D363" s="60">
        <v>0</v>
      </c>
      <c r="E363" s="60">
        <v>317</v>
      </c>
      <c r="F363" s="60">
        <v>509.5</v>
      </c>
    </row>
    <row r="364" spans="1:6">
      <c r="A364" s="58">
        <v>46248.791666666664</v>
      </c>
      <c r="B364" s="59" t="s">
        <v>27</v>
      </c>
      <c r="C364" s="60">
        <v>0</v>
      </c>
      <c r="D364" s="60">
        <v>0</v>
      </c>
      <c r="E364" s="60">
        <v>317</v>
      </c>
      <c r="F364" s="60">
        <v>509.5</v>
      </c>
    </row>
    <row r="365" spans="1:6">
      <c r="A365" s="58">
        <v>46248.833333333336</v>
      </c>
      <c r="B365" s="59" t="s">
        <v>27</v>
      </c>
      <c r="C365" s="60">
        <v>0</v>
      </c>
      <c r="D365" s="60">
        <v>0</v>
      </c>
      <c r="E365" s="60">
        <v>317</v>
      </c>
      <c r="F365" s="60">
        <v>509.5</v>
      </c>
    </row>
    <row r="366" spans="1:6">
      <c r="A366" s="58">
        <v>46248.875</v>
      </c>
      <c r="B366" s="59" t="s">
        <v>27</v>
      </c>
      <c r="C366" s="60">
        <v>0</v>
      </c>
      <c r="D366" s="60">
        <v>0</v>
      </c>
      <c r="E366" s="60">
        <v>317</v>
      </c>
      <c r="F366" s="60">
        <v>509.5</v>
      </c>
    </row>
    <row r="367" spans="1:6">
      <c r="A367" s="58">
        <v>46248.916666666664</v>
      </c>
      <c r="B367" s="59" t="s">
        <v>27</v>
      </c>
      <c r="C367" s="60">
        <v>0</v>
      </c>
      <c r="D367" s="60">
        <v>0</v>
      </c>
      <c r="E367" s="60">
        <v>317</v>
      </c>
      <c r="F367" s="60">
        <v>509.5</v>
      </c>
    </row>
    <row r="368" spans="1:6">
      <c r="A368" s="58">
        <v>46248.958333333336</v>
      </c>
      <c r="B368" s="59" t="s">
        <v>27</v>
      </c>
      <c r="C368" s="60">
        <v>0</v>
      </c>
      <c r="D368" s="60">
        <v>0</v>
      </c>
      <c r="E368" s="60">
        <v>317</v>
      </c>
      <c r="F368" s="60">
        <v>509.5</v>
      </c>
    </row>
    <row r="369" spans="1:6">
      <c r="A369" s="58">
        <v>46249</v>
      </c>
      <c r="B369" s="59" t="s">
        <v>27</v>
      </c>
      <c r="C369" s="60">
        <v>0</v>
      </c>
      <c r="D369" s="60">
        <v>0</v>
      </c>
      <c r="E369" s="60">
        <v>317</v>
      </c>
      <c r="F369" s="60">
        <v>509.5</v>
      </c>
    </row>
    <row r="370" spans="1:6">
      <c r="A370" s="58">
        <v>46249.041666666664</v>
      </c>
      <c r="B370" s="59" t="s">
        <v>27</v>
      </c>
      <c r="C370" s="60">
        <v>0</v>
      </c>
      <c r="D370" s="60">
        <v>0</v>
      </c>
      <c r="E370" s="60">
        <v>317</v>
      </c>
      <c r="F370" s="60">
        <v>509.5</v>
      </c>
    </row>
    <row r="371" spans="1:6">
      <c r="A371" s="58">
        <v>46249.083333333336</v>
      </c>
      <c r="B371" s="59" t="s">
        <v>27</v>
      </c>
      <c r="C371" s="60">
        <v>0</v>
      </c>
      <c r="D371" s="60">
        <v>0</v>
      </c>
      <c r="E371" s="60">
        <v>317</v>
      </c>
      <c r="F371" s="60">
        <v>509.5</v>
      </c>
    </row>
    <row r="372" spans="1:6">
      <c r="A372" s="58">
        <v>46249.125</v>
      </c>
      <c r="B372" s="59" t="s">
        <v>27</v>
      </c>
      <c r="C372" s="60">
        <v>0</v>
      </c>
      <c r="D372" s="60">
        <v>0</v>
      </c>
      <c r="E372" s="60">
        <v>317</v>
      </c>
      <c r="F372" s="60">
        <v>509.5</v>
      </c>
    </row>
    <row r="373" spans="1:6">
      <c r="A373" s="58">
        <v>46249.166666666664</v>
      </c>
      <c r="B373" s="59" t="s">
        <v>27</v>
      </c>
      <c r="C373" s="60">
        <v>0</v>
      </c>
      <c r="D373" s="60">
        <v>0</v>
      </c>
      <c r="E373" s="60">
        <v>317</v>
      </c>
      <c r="F373" s="60">
        <v>509.5</v>
      </c>
    </row>
    <row r="374" spans="1:6">
      <c r="A374" s="58">
        <v>46249.208333333336</v>
      </c>
      <c r="B374" s="59" t="s">
        <v>27</v>
      </c>
      <c r="C374" s="60">
        <v>0</v>
      </c>
      <c r="D374" s="60">
        <v>0</v>
      </c>
      <c r="E374" s="60">
        <v>317</v>
      </c>
      <c r="F374" s="60">
        <v>509.5</v>
      </c>
    </row>
    <row r="375" spans="1:6">
      <c r="A375" s="58">
        <v>46249.25</v>
      </c>
      <c r="B375" s="59" t="s">
        <v>27</v>
      </c>
      <c r="C375" s="60">
        <v>0</v>
      </c>
      <c r="D375" s="60">
        <v>0</v>
      </c>
      <c r="E375" s="60">
        <v>317</v>
      </c>
      <c r="F375" s="60">
        <v>509.5</v>
      </c>
    </row>
    <row r="376" spans="1:6">
      <c r="A376" s="58">
        <v>46249.291666666664</v>
      </c>
      <c r="B376" s="59" t="s">
        <v>27</v>
      </c>
      <c r="C376" s="60">
        <v>0</v>
      </c>
      <c r="D376" s="60">
        <v>0</v>
      </c>
      <c r="E376" s="60">
        <v>317</v>
      </c>
      <c r="F376" s="60">
        <v>509.5</v>
      </c>
    </row>
    <row r="377" spans="1:6">
      <c r="A377" s="58">
        <v>46249.333333333336</v>
      </c>
      <c r="B377" s="59" t="s">
        <v>27</v>
      </c>
      <c r="C377" s="60">
        <v>0</v>
      </c>
      <c r="D377" s="60">
        <v>0</v>
      </c>
      <c r="E377" s="60">
        <v>317</v>
      </c>
      <c r="F377" s="60">
        <v>509.5</v>
      </c>
    </row>
    <row r="378" spans="1:6">
      <c r="A378" s="58">
        <v>46249.375</v>
      </c>
      <c r="B378" s="59" t="s">
        <v>27</v>
      </c>
      <c r="C378" s="60">
        <v>0</v>
      </c>
      <c r="D378" s="60">
        <v>0</v>
      </c>
      <c r="E378" s="60">
        <v>317</v>
      </c>
      <c r="F378" s="60">
        <v>509.5</v>
      </c>
    </row>
    <row r="379" spans="1:6">
      <c r="A379" s="58">
        <v>46249.416666666664</v>
      </c>
      <c r="B379" s="59" t="s">
        <v>27</v>
      </c>
      <c r="C379" s="60">
        <v>0</v>
      </c>
      <c r="D379" s="60">
        <v>0</v>
      </c>
      <c r="E379" s="60">
        <v>317</v>
      </c>
      <c r="F379" s="60">
        <v>509.5</v>
      </c>
    </row>
    <row r="380" spans="1:6">
      <c r="A380" s="58">
        <v>46249.458333333336</v>
      </c>
      <c r="B380" s="59" t="s">
        <v>27</v>
      </c>
      <c r="C380" s="60">
        <v>0</v>
      </c>
      <c r="D380" s="60">
        <v>0</v>
      </c>
      <c r="E380" s="60">
        <v>317</v>
      </c>
      <c r="F380" s="60">
        <v>509.5</v>
      </c>
    </row>
    <row r="381" spans="1:6">
      <c r="A381" s="58">
        <v>46249.5</v>
      </c>
      <c r="B381" s="59" t="s">
        <v>27</v>
      </c>
      <c r="C381" s="60">
        <v>0</v>
      </c>
      <c r="D381" s="60">
        <v>0</v>
      </c>
      <c r="E381" s="60">
        <v>317</v>
      </c>
      <c r="F381" s="60">
        <v>509.5</v>
      </c>
    </row>
    <row r="382" spans="1:6">
      <c r="A382" s="58">
        <v>46249.541666666664</v>
      </c>
      <c r="B382" s="59" t="s">
        <v>27</v>
      </c>
      <c r="C382" s="60">
        <v>0</v>
      </c>
      <c r="D382" s="60">
        <v>0</v>
      </c>
      <c r="E382" s="60">
        <v>317</v>
      </c>
      <c r="F382" s="60">
        <v>509.5</v>
      </c>
    </row>
    <row r="383" spans="1:6">
      <c r="A383" s="58">
        <v>46249.583333333336</v>
      </c>
      <c r="B383" s="59" t="s">
        <v>27</v>
      </c>
      <c r="C383" s="60">
        <v>0</v>
      </c>
      <c r="D383" s="60">
        <v>0</v>
      </c>
      <c r="E383" s="60">
        <v>317</v>
      </c>
      <c r="F383" s="60">
        <v>509.5</v>
      </c>
    </row>
    <row r="384" spans="1:6">
      <c r="A384" s="58">
        <v>46249.625</v>
      </c>
      <c r="B384" s="59" t="s">
        <v>27</v>
      </c>
      <c r="C384" s="60">
        <v>0</v>
      </c>
      <c r="D384" s="60">
        <v>0</v>
      </c>
      <c r="E384" s="60">
        <v>317</v>
      </c>
      <c r="F384" s="60">
        <v>509.5</v>
      </c>
    </row>
    <row r="385" spans="1:6">
      <c r="A385" s="58">
        <v>46249.666666666664</v>
      </c>
      <c r="B385" s="59" t="s">
        <v>27</v>
      </c>
      <c r="C385" s="60">
        <v>0</v>
      </c>
      <c r="D385" s="60">
        <v>0</v>
      </c>
      <c r="E385" s="60">
        <v>317</v>
      </c>
      <c r="F385" s="60">
        <v>509.5</v>
      </c>
    </row>
    <row r="386" spans="1:6">
      <c r="A386" s="58">
        <v>46249.708333333336</v>
      </c>
      <c r="B386" s="59" t="s">
        <v>27</v>
      </c>
      <c r="C386" s="60">
        <v>0</v>
      </c>
      <c r="D386" s="60">
        <v>0</v>
      </c>
      <c r="E386" s="60">
        <v>317</v>
      </c>
      <c r="F386" s="60">
        <v>509.5</v>
      </c>
    </row>
    <row r="387" spans="1:6">
      <c r="A387" s="58">
        <v>46249.75</v>
      </c>
      <c r="B387" s="59" t="s">
        <v>27</v>
      </c>
      <c r="C387" s="60">
        <v>0</v>
      </c>
      <c r="D387" s="60">
        <v>0</v>
      </c>
      <c r="E387" s="60">
        <v>317</v>
      </c>
      <c r="F387" s="60">
        <v>509.5</v>
      </c>
    </row>
    <row r="388" spans="1:6">
      <c r="A388" s="58">
        <v>46249.791666666664</v>
      </c>
      <c r="B388" s="59" t="s">
        <v>27</v>
      </c>
      <c r="C388" s="60">
        <v>0</v>
      </c>
      <c r="D388" s="60">
        <v>0</v>
      </c>
      <c r="E388" s="60">
        <v>317</v>
      </c>
      <c r="F388" s="60">
        <v>509.5</v>
      </c>
    </row>
    <row r="389" spans="1:6">
      <c r="A389" s="58">
        <v>46249.833333333336</v>
      </c>
      <c r="B389" s="59" t="s">
        <v>27</v>
      </c>
      <c r="C389" s="60">
        <v>0</v>
      </c>
      <c r="D389" s="60">
        <v>0</v>
      </c>
      <c r="E389" s="60">
        <v>317</v>
      </c>
      <c r="F389" s="60">
        <v>509.5</v>
      </c>
    </row>
    <row r="390" spans="1:6">
      <c r="A390" s="58">
        <v>46249.875</v>
      </c>
      <c r="B390" s="59" t="s">
        <v>27</v>
      </c>
      <c r="C390" s="60">
        <v>0</v>
      </c>
      <c r="D390" s="60">
        <v>0</v>
      </c>
      <c r="E390" s="60">
        <v>317</v>
      </c>
      <c r="F390" s="60">
        <v>509.5</v>
      </c>
    </row>
    <row r="391" spans="1:6">
      <c r="A391" s="58">
        <v>46249.916666666664</v>
      </c>
      <c r="B391" s="59" t="s">
        <v>27</v>
      </c>
      <c r="C391" s="60">
        <v>0</v>
      </c>
      <c r="D391" s="60">
        <v>0</v>
      </c>
      <c r="E391" s="60">
        <v>317</v>
      </c>
      <c r="F391" s="60">
        <v>509.5</v>
      </c>
    </row>
    <row r="392" spans="1:6">
      <c r="A392" s="58">
        <v>46249.958333333336</v>
      </c>
      <c r="B392" s="59" t="s">
        <v>27</v>
      </c>
      <c r="C392" s="60">
        <v>0</v>
      </c>
      <c r="D392" s="60">
        <v>0</v>
      </c>
      <c r="E392" s="60">
        <v>317</v>
      </c>
      <c r="F392" s="60">
        <v>509.5</v>
      </c>
    </row>
    <row r="393" spans="1:6">
      <c r="A393" s="58">
        <v>46250</v>
      </c>
      <c r="B393" s="59" t="s">
        <v>27</v>
      </c>
      <c r="C393" s="60">
        <v>0</v>
      </c>
      <c r="D393" s="60">
        <v>0</v>
      </c>
      <c r="E393" s="60">
        <v>317</v>
      </c>
      <c r="F393" s="60">
        <v>509.5</v>
      </c>
    </row>
    <row r="394" spans="1:6">
      <c r="A394" s="58">
        <v>46250.041666666664</v>
      </c>
      <c r="B394" s="59" t="s">
        <v>27</v>
      </c>
      <c r="C394" s="60">
        <v>0</v>
      </c>
      <c r="D394" s="60">
        <v>0</v>
      </c>
      <c r="E394" s="60">
        <v>317</v>
      </c>
      <c r="F394" s="60">
        <v>509.5</v>
      </c>
    </row>
    <row r="395" spans="1:6">
      <c r="A395" s="58">
        <v>46250.083333333336</v>
      </c>
      <c r="B395" s="59" t="s">
        <v>27</v>
      </c>
      <c r="C395" s="60">
        <v>0</v>
      </c>
      <c r="D395" s="60">
        <v>0</v>
      </c>
      <c r="E395" s="60">
        <v>317</v>
      </c>
      <c r="F395" s="60">
        <v>509.5</v>
      </c>
    </row>
    <row r="396" spans="1:6">
      <c r="A396" s="58">
        <v>46250.125</v>
      </c>
      <c r="B396" s="59" t="s">
        <v>27</v>
      </c>
      <c r="C396" s="60">
        <v>0</v>
      </c>
      <c r="D396" s="60">
        <v>0</v>
      </c>
      <c r="E396" s="60">
        <v>317</v>
      </c>
      <c r="F396" s="60">
        <v>509.5</v>
      </c>
    </row>
    <row r="397" spans="1:6">
      <c r="A397" s="58">
        <v>46250.166666666664</v>
      </c>
      <c r="B397" s="59" t="s">
        <v>27</v>
      </c>
      <c r="C397" s="60">
        <v>0</v>
      </c>
      <c r="D397" s="60">
        <v>0</v>
      </c>
      <c r="E397" s="60">
        <v>317</v>
      </c>
      <c r="F397" s="60">
        <v>509.5</v>
      </c>
    </row>
    <row r="398" spans="1:6">
      <c r="A398" s="58">
        <v>46250.208333333336</v>
      </c>
      <c r="B398" s="59" t="s">
        <v>27</v>
      </c>
      <c r="C398" s="60">
        <v>0</v>
      </c>
      <c r="D398" s="60">
        <v>0</v>
      </c>
      <c r="E398" s="60">
        <v>317</v>
      </c>
      <c r="F398" s="60">
        <v>509.5</v>
      </c>
    </row>
    <row r="399" spans="1:6">
      <c r="A399" s="58">
        <v>46250.25</v>
      </c>
      <c r="B399" s="59" t="s">
        <v>27</v>
      </c>
      <c r="C399" s="60">
        <v>0</v>
      </c>
      <c r="D399" s="60">
        <v>0</v>
      </c>
      <c r="E399" s="60">
        <v>317</v>
      </c>
      <c r="F399" s="60">
        <v>509.5</v>
      </c>
    </row>
    <row r="400" spans="1:6">
      <c r="A400" s="58">
        <v>46250.291666666664</v>
      </c>
      <c r="B400" s="59" t="s">
        <v>27</v>
      </c>
      <c r="C400" s="60">
        <v>0</v>
      </c>
      <c r="D400" s="60">
        <v>0</v>
      </c>
      <c r="E400" s="60">
        <v>317</v>
      </c>
      <c r="F400" s="60">
        <v>509.5</v>
      </c>
    </row>
    <row r="401" spans="1:6">
      <c r="A401" s="58">
        <v>46250.333333333336</v>
      </c>
      <c r="B401" s="59" t="s">
        <v>27</v>
      </c>
      <c r="C401" s="60">
        <v>0</v>
      </c>
      <c r="D401" s="60">
        <v>0</v>
      </c>
      <c r="E401" s="60">
        <v>317</v>
      </c>
      <c r="F401" s="60">
        <v>509.5</v>
      </c>
    </row>
    <row r="402" spans="1:6">
      <c r="A402" s="58">
        <v>46250.375</v>
      </c>
      <c r="B402" s="59" t="s">
        <v>27</v>
      </c>
      <c r="C402" s="60">
        <v>0</v>
      </c>
      <c r="D402" s="60">
        <v>0</v>
      </c>
      <c r="E402" s="60">
        <v>317</v>
      </c>
      <c r="F402" s="60">
        <v>509.5</v>
      </c>
    </row>
    <row r="403" spans="1:6">
      <c r="A403" s="58">
        <v>46250.416666666664</v>
      </c>
      <c r="B403" s="59" t="s">
        <v>27</v>
      </c>
      <c r="C403" s="60">
        <v>0</v>
      </c>
      <c r="D403" s="60">
        <v>0</v>
      </c>
      <c r="E403" s="60">
        <v>317</v>
      </c>
      <c r="F403" s="60">
        <v>509.5</v>
      </c>
    </row>
    <row r="404" spans="1:6">
      <c r="A404" s="58">
        <v>46250.458333333336</v>
      </c>
      <c r="B404" s="59" t="s">
        <v>27</v>
      </c>
      <c r="C404" s="60">
        <v>0</v>
      </c>
      <c r="D404" s="60">
        <v>0</v>
      </c>
      <c r="E404" s="60">
        <v>317</v>
      </c>
      <c r="F404" s="60">
        <v>509.5</v>
      </c>
    </row>
    <row r="405" spans="1:6">
      <c r="A405" s="58">
        <v>46250.5</v>
      </c>
      <c r="B405" s="59" t="s">
        <v>27</v>
      </c>
      <c r="C405" s="60">
        <v>0</v>
      </c>
      <c r="D405" s="60">
        <v>0</v>
      </c>
      <c r="E405" s="60">
        <v>317</v>
      </c>
      <c r="F405" s="60">
        <v>509.5</v>
      </c>
    </row>
    <row r="406" spans="1:6">
      <c r="A406" s="58">
        <v>46250.541666666664</v>
      </c>
      <c r="B406" s="59" t="s">
        <v>27</v>
      </c>
      <c r="C406" s="60">
        <v>0</v>
      </c>
      <c r="D406" s="60">
        <v>0</v>
      </c>
      <c r="E406" s="60">
        <v>317</v>
      </c>
      <c r="F406" s="60">
        <v>509.5</v>
      </c>
    </row>
    <row r="407" spans="1:6">
      <c r="A407" s="58">
        <v>46250.583333333336</v>
      </c>
      <c r="B407" s="59" t="s">
        <v>27</v>
      </c>
      <c r="C407" s="60">
        <v>0</v>
      </c>
      <c r="D407" s="60">
        <v>0</v>
      </c>
      <c r="E407" s="60">
        <v>317</v>
      </c>
      <c r="F407" s="60">
        <v>509.5</v>
      </c>
    </row>
    <row r="408" spans="1:6">
      <c r="A408" s="58">
        <v>46250.625</v>
      </c>
      <c r="B408" s="59" t="s">
        <v>27</v>
      </c>
      <c r="C408" s="60">
        <v>0</v>
      </c>
      <c r="D408" s="60">
        <v>0</v>
      </c>
      <c r="E408" s="60">
        <v>317</v>
      </c>
      <c r="F408" s="60">
        <v>509.5</v>
      </c>
    </row>
    <row r="409" spans="1:6">
      <c r="A409" s="58">
        <v>46250.666666666664</v>
      </c>
      <c r="B409" s="59" t="s">
        <v>27</v>
      </c>
      <c r="C409" s="60">
        <v>0</v>
      </c>
      <c r="D409" s="60">
        <v>0</v>
      </c>
      <c r="E409" s="60">
        <v>317</v>
      </c>
      <c r="F409" s="60">
        <v>509.5</v>
      </c>
    </row>
    <row r="410" spans="1:6">
      <c r="A410" s="58">
        <v>46250.708333333336</v>
      </c>
      <c r="B410" s="59" t="s">
        <v>27</v>
      </c>
      <c r="C410" s="60">
        <v>0</v>
      </c>
      <c r="D410" s="60">
        <v>0</v>
      </c>
      <c r="E410" s="60">
        <v>317</v>
      </c>
      <c r="F410" s="60">
        <v>509.5</v>
      </c>
    </row>
    <row r="411" spans="1:6">
      <c r="A411" s="58">
        <v>46250.75</v>
      </c>
      <c r="B411" s="59" t="s">
        <v>27</v>
      </c>
      <c r="C411" s="60">
        <v>0</v>
      </c>
      <c r="D411" s="60">
        <v>0</v>
      </c>
      <c r="E411" s="60">
        <v>317</v>
      </c>
      <c r="F411" s="60">
        <v>509.5</v>
      </c>
    </row>
    <row r="412" spans="1:6">
      <c r="A412" s="58">
        <v>46250.791666666664</v>
      </c>
      <c r="B412" s="59" t="s">
        <v>27</v>
      </c>
      <c r="C412" s="60">
        <v>0</v>
      </c>
      <c r="D412" s="60">
        <v>0</v>
      </c>
      <c r="E412" s="60">
        <v>317</v>
      </c>
      <c r="F412" s="60">
        <v>509.5</v>
      </c>
    </row>
    <row r="413" spans="1:6">
      <c r="A413" s="58">
        <v>46250.833333333336</v>
      </c>
      <c r="B413" s="59" t="s">
        <v>27</v>
      </c>
      <c r="C413" s="60">
        <v>0</v>
      </c>
      <c r="D413" s="60">
        <v>0</v>
      </c>
      <c r="E413" s="60">
        <v>317</v>
      </c>
      <c r="F413" s="60">
        <v>509.5</v>
      </c>
    </row>
    <row r="414" spans="1:6">
      <c r="A414" s="58">
        <v>46250.875</v>
      </c>
      <c r="B414" s="59" t="s">
        <v>27</v>
      </c>
      <c r="C414" s="60">
        <v>0</v>
      </c>
      <c r="D414" s="60">
        <v>0</v>
      </c>
      <c r="E414" s="60">
        <v>317</v>
      </c>
      <c r="F414" s="60">
        <v>509.5</v>
      </c>
    </row>
    <row r="415" spans="1:6">
      <c r="A415" s="58">
        <v>46250.916666666664</v>
      </c>
      <c r="B415" s="59" t="s">
        <v>27</v>
      </c>
      <c r="C415" s="60">
        <v>0</v>
      </c>
      <c r="D415" s="60">
        <v>0</v>
      </c>
      <c r="E415" s="60">
        <v>317</v>
      </c>
      <c r="F415" s="60">
        <v>509.5</v>
      </c>
    </row>
    <row r="416" spans="1:6">
      <c r="A416" s="58">
        <v>46250.958333333336</v>
      </c>
      <c r="B416" s="59" t="s">
        <v>27</v>
      </c>
      <c r="C416" s="60">
        <v>0</v>
      </c>
      <c r="D416" s="60">
        <v>0</v>
      </c>
      <c r="E416" s="60">
        <v>317</v>
      </c>
      <c r="F416" s="60">
        <v>509.5</v>
      </c>
    </row>
    <row r="417" spans="1:6">
      <c r="A417" s="58">
        <v>46251</v>
      </c>
      <c r="B417" s="59" t="s">
        <v>27</v>
      </c>
      <c r="C417" s="60">
        <v>0</v>
      </c>
      <c r="D417" s="60">
        <v>0</v>
      </c>
      <c r="E417" s="60">
        <v>317</v>
      </c>
      <c r="F417" s="60">
        <v>509.5</v>
      </c>
    </row>
    <row r="418" spans="1:6">
      <c r="A418" s="58">
        <v>46251.041666666664</v>
      </c>
      <c r="B418" s="59" t="s">
        <v>27</v>
      </c>
      <c r="C418" s="60">
        <v>0</v>
      </c>
      <c r="D418" s="60">
        <v>0</v>
      </c>
      <c r="E418" s="60">
        <v>317</v>
      </c>
      <c r="F418" s="60">
        <v>509.5</v>
      </c>
    </row>
    <row r="419" spans="1:6">
      <c r="A419" s="58">
        <v>46251.083333333336</v>
      </c>
      <c r="B419" s="59" t="s">
        <v>27</v>
      </c>
      <c r="C419" s="60">
        <v>0</v>
      </c>
      <c r="D419" s="60">
        <v>0</v>
      </c>
      <c r="E419" s="60">
        <v>317</v>
      </c>
      <c r="F419" s="60">
        <v>509.5</v>
      </c>
    </row>
    <row r="420" spans="1:6">
      <c r="A420" s="58">
        <v>46251.125</v>
      </c>
      <c r="B420" s="59" t="s">
        <v>27</v>
      </c>
      <c r="C420" s="60">
        <v>0</v>
      </c>
      <c r="D420" s="60">
        <v>0</v>
      </c>
      <c r="E420" s="60">
        <v>317</v>
      </c>
      <c r="F420" s="60">
        <v>509.5</v>
      </c>
    </row>
    <row r="421" spans="1:6">
      <c r="A421" s="58">
        <v>46251.166666666664</v>
      </c>
      <c r="B421" s="59" t="s">
        <v>27</v>
      </c>
      <c r="C421" s="60">
        <v>0</v>
      </c>
      <c r="D421" s="60">
        <v>0</v>
      </c>
      <c r="E421" s="60">
        <v>317</v>
      </c>
      <c r="F421" s="60">
        <v>509.5</v>
      </c>
    </row>
    <row r="422" spans="1:6">
      <c r="A422" s="58">
        <v>46251.208333333336</v>
      </c>
      <c r="B422" s="59" t="s">
        <v>27</v>
      </c>
      <c r="C422" s="60">
        <v>0</v>
      </c>
      <c r="D422" s="60">
        <v>0</v>
      </c>
      <c r="E422" s="60">
        <v>317</v>
      </c>
      <c r="F422" s="60">
        <v>509.5</v>
      </c>
    </row>
    <row r="423" spans="1:6">
      <c r="A423" s="58">
        <v>46251.25</v>
      </c>
      <c r="B423" s="59" t="s">
        <v>27</v>
      </c>
      <c r="C423" s="60">
        <v>0</v>
      </c>
      <c r="D423" s="60">
        <v>0</v>
      </c>
      <c r="E423" s="60">
        <v>317</v>
      </c>
      <c r="F423" s="60">
        <v>509.5</v>
      </c>
    </row>
    <row r="424" spans="1:6">
      <c r="A424" s="58">
        <v>46251.291666666664</v>
      </c>
      <c r="B424" s="59" t="s">
        <v>27</v>
      </c>
      <c r="C424" s="60">
        <v>0</v>
      </c>
      <c r="D424" s="60">
        <v>0</v>
      </c>
      <c r="E424" s="60">
        <v>317</v>
      </c>
      <c r="F424" s="60">
        <v>509.5</v>
      </c>
    </row>
    <row r="425" spans="1:6">
      <c r="A425" s="58">
        <v>46251.333333333336</v>
      </c>
      <c r="B425" s="59" t="s">
        <v>27</v>
      </c>
      <c r="C425" s="60">
        <v>0</v>
      </c>
      <c r="D425" s="60">
        <v>0</v>
      </c>
      <c r="E425" s="60">
        <v>317</v>
      </c>
      <c r="F425" s="60">
        <v>509.5</v>
      </c>
    </row>
    <row r="426" spans="1:6">
      <c r="A426" s="58">
        <v>46251.375</v>
      </c>
      <c r="B426" s="59" t="s">
        <v>27</v>
      </c>
      <c r="C426" s="60">
        <v>0</v>
      </c>
      <c r="D426" s="60">
        <v>0</v>
      </c>
      <c r="E426" s="60">
        <v>317</v>
      </c>
      <c r="F426" s="60">
        <v>509.5</v>
      </c>
    </row>
    <row r="427" spans="1:6">
      <c r="A427" s="58">
        <v>46251.416666666664</v>
      </c>
      <c r="B427" s="59" t="s">
        <v>27</v>
      </c>
      <c r="C427" s="60">
        <v>0</v>
      </c>
      <c r="D427" s="60">
        <v>0</v>
      </c>
      <c r="E427" s="60">
        <v>317</v>
      </c>
      <c r="F427" s="60">
        <v>509.5</v>
      </c>
    </row>
    <row r="428" spans="1:6">
      <c r="A428" s="58">
        <v>46251.458333333336</v>
      </c>
      <c r="B428" s="59" t="s">
        <v>27</v>
      </c>
      <c r="C428" s="60">
        <v>0</v>
      </c>
      <c r="D428" s="60">
        <v>0</v>
      </c>
      <c r="E428" s="60">
        <v>317</v>
      </c>
      <c r="F428" s="60">
        <v>509.5</v>
      </c>
    </row>
    <row r="429" spans="1:6">
      <c r="A429" s="58">
        <v>46251.5</v>
      </c>
      <c r="B429" s="59" t="s">
        <v>27</v>
      </c>
      <c r="C429" s="60">
        <v>0</v>
      </c>
      <c r="D429" s="60">
        <v>0</v>
      </c>
      <c r="E429" s="60">
        <v>317</v>
      </c>
      <c r="F429" s="60">
        <v>509.5</v>
      </c>
    </row>
    <row r="430" spans="1:6">
      <c r="A430" s="58">
        <v>46251.541666666664</v>
      </c>
      <c r="B430" s="59" t="s">
        <v>27</v>
      </c>
      <c r="C430" s="60">
        <v>0</v>
      </c>
      <c r="D430" s="60">
        <v>0</v>
      </c>
      <c r="E430" s="60">
        <v>317</v>
      </c>
      <c r="F430" s="60">
        <v>509.5</v>
      </c>
    </row>
    <row r="431" spans="1:6">
      <c r="A431" s="58">
        <v>46251.583333333336</v>
      </c>
      <c r="B431" s="59" t="s">
        <v>27</v>
      </c>
      <c r="C431" s="60">
        <v>0</v>
      </c>
      <c r="D431" s="60">
        <v>0</v>
      </c>
      <c r="E431" s="60">
        <v>317</v>
      </c>
      <c r="F431" s="60">
        <v>509.5</v>
      </c>
    </row>
    <row r="432" spans="1:6">
      <c r="A432" s="58">
        <v>46251.625</v>
      </c>
      <c r="B432" s="59" t="s">
        <v>27</v>
      </c>
      <c r="C432" s="60">
        <v>0</v>
      </c>
      <c r="D432" s="60">
        <v>0</v>
      </c>
      <c r="E432" s="60">
        <v>317</v>
      </c>
      <c r="F432" s="60">
        <v>509.5</v>
      </c>
    </row>
    <row r="433" spans="1:6">
      <c r="A433" s="58">
        <v>46251.666666666664</v>
      </c>
      <c r="B433" s="59" t="s">
        <v>27</v>
      </c>
      <c r="C433" s="60">
        <v>0</v>
      </c>
      <c r="D433" s="60">
        <v>0</v>
      </c>
      <c r="E433" s="60">
        <v>317</v>
      </c>
      <c r="F433" s="60">
        <v>509.5</v>
      </c>
    </row>
    <row r="434" spans="1:6">
      <c r="A434" s="58">
        <v>46251.708333333336</v>
      </c>
      <c r="B434" s="59" t="s">
        <v>27</v>
      </c>
      <c r="C434" s="60">
        <v>0</v>
      </c>
      <c r="D434" s="60">
        <v>0</v>
      </c>
      <c r="E434" s="60">
        <v>317</v>
      </c>
      <c r="F434" s="60">
        <v>509.5</v>
      </c>
    </row>
    <row r="435" spans="1:6">
      <c r="A435" s="58">
        <v>46251.75</v>
      </c>
      <c r="B435" s="59" t="s">
        <v>27</v>
      </c>
      <c r="C435" s="60">
        <v>0</v>
      </c>
      <c r="D435" s="60">
        <v>0</v>
      </c>
      <c r="E435" s="60">
        <v>317</v>
      </c>
      <c r="F435" s="60">
        <v>509.5</v>
      </c>
    </row>
    <row r="436" spans="1:6">
      <c r="A436" s="58">
        <v>46251.791666666664</v>
      </c>
      <c r="B436" s="59" t="s">
        <v>27</v>
      </c>
      <c r="C436" s="60">
        <v>0</v>
      </c>
      <c r="D436" s="60">
        <v>0</v>
      </c>
      <c r="E436" s="60">
        <v>317</v>
      </c>
      <c r="F436" s="60">
        <v>509.5</v>
      </c>
    </row>
    <row r="437" spans="1:6">
      <c r="A437" s="58">
        <v>46251.833333333336</v>
      </c>
      <c r="B437" s="59" t="s">
        <v>27</v>
      </c>
      <c r="C437" s="60">
        <v>0</v>
      </c>
      <c r="D437" s="60">
        <v>0</v>
      </c>
      <c r="E437" s="60">
        <v>317</v>
      </c>
      <c r="F437" s="60">
        <v>509.5</v>
      </c>
    </row>
    <row r="438" spans="1:6">
      <c r="A438" s="58">
        <v>46251.875</v>
      </c>
      <c r="B438" s="59" t="s">
        <v>27</v>
      </c>
      <c r="C438" s="60">
        <v>0</v>
      </c>
      <c r="D438" s="60">
        <v>0</v>
      </c>
      <c r="E438" s="60">
        <v>317</v>
      </c>
      <c r="F438" s="60">
        <v>509.5</v>
      </c>
    </row>
    <row r="439" spans="1:6">
      <c r="A439" s="58">
        <v>46251.916666666664</v>
      </c>
      <c r="B439" s="59" t="s">
        <v>27</v>
      </c>
      <c r="C439" s="60">
        <v>0</v>
      </c>
      <c r="D439" s="60">
        <v>0</v>
      </c>
      <c r="E439" s="60">
        <v>317</v>
      </c>
      <c r="F439" s="60">
        <v>509.5</v>
      </c>
    </row>
    <row r="440" spans="1:6">
      <c r="A440" s="58">
        <v>46251.958333333336</v>
      </c>
      <c r="B440" s="59" t="s">
        <v>27</v>
      </c>
      <c r="C440" s="60">
        <v>0</v>
      </c>
      <c r="D440" s="60">
        <v>0</v>
      </c>
      <c r="E440" s="60">
        <v>317</v>
      </c>
      <c r="F440" s="60">
        <v>509.5</v>
      </c>
    </row>
    <row r="441" spans="1:6">
      <c r="A441" s="58">
        <v>46252</v>
      </c>
      <c r="B441" s="59" t="s">
        <v>27</v>
      </c>
      <c r="C441" s="60">
        <v>0</v>
      </c>
      <c r="D441" s="60">
        <v>0</v>
      </c>
      <c r="E441" s="60">
        <v>317</v>
      </c>
      <c r="F441" s="60">
        <v>509.5</v>
      </c>
    </row>
    <row r="442" spans="1:6">
      <c r="A442" s="58">
        <v>46252.041666666664</v>
      </c>
      <c r="B442" s="59" t="s">
        <v>27</v>
      </c>
      <c r="C442" s="60">
        <v>0</v>
      </c>
      <c r="D442" s="60">
        <v>0</v>
      </c>
      <c r="E442" s="60">
        <v>317</v>
      </c>
      <c r="F442" s="60">
        <v>509.5</v>
      </c>
    </row>
    <row r="443" spans="1:6">
      <c r="A443" s="58">
        <v>46252.083333333336</v>
      </c>
      <c r="B443" s="59" t="s">
        <v>27</v>
      </c>
      <c r="C443" s="60">
        <v>0</v>
      </c>
      <c r="D443" s="60">
        <v>0</v>
      </c>
      <c r="E443" s="60">
        <v>317</v>
      </c>
      <c r="F443" s="60">
        <v>509.5</v>
      </c>
    </row>
    <row r="444" spans="1:6">
      <c r="A444" s="58">
        <v>46252.125</v>
      </c>
      <c r="B444" s="59" t="s">
        <v>27</v>
      </c>
      <c r="C444" s="60">
        <v>0</v>
      </c>
      <c r="D444" s="60">
        <v>0</v>
      </c>
      <c r="E444" s="60">
        <v>317</v>
      </c>
      <c r="F444" s="60">
        <v>509.5</v>
      </c>
    </row>
    <row r="445" spans="1:6">
      <c r="A445" s="58">
        <v>46252.166666666664</v>
      </c>
      <c r="B445" s="59" t="s">
        <v>27</v>
      </c>
      <c r="C445" s="60">
        <v>0</v>
      </c>
      <c r="D445" s="60">
        <v>0</v>
      </c>
      <c r="E445" s="60">
        <v>317</v>
      </c>
      <c r="F445" s="60">
        <v>509.5</v>
      </c>
    </row>
    <row r="446" spans="1:6">
      <c r="A446" s="58">
        <v>46252.208333333336</v>
      </c>
      <c r="B446" s="59" t="s">
        <v>27</v>
      </c>
      <c r="C446" s="60">
        <v>0</v>
      </c>
      <c r="D446" s="60">
        <v>0</v>
      </c>
      <c r="E446" s="60">
        <v>317</v>
      </c>
      <c r="F446" s="60">
        <v>509.5</v>
      </c>
    </row>
    <row r="447" spans="1:6">
      <c r="A447" s="58">
        <v>46252.25</v>
      </c>
      <c r="B447" s="59" t="s">
        <v>27</v>
      </c>
      <c r="C447" s="60">
        <v>0</v>
      </c>
      <c r="D447" s="60">
        <v>0</v>
      </c>
      <c r="E447" s="60">
        <v>317</v>
      </c>
      <c r="F447" s="60">
        <v>509.5</v>
      </c>
    </row>
    <row r="448" spans="1:6">
      <c r="A448" s="58">
        <v>46252.291666666664</v>
      </c>
      <c r="B448" s="59" t="s">
        <v>27</v>
      </c>
      <c r="C448" s="60">
        <v>0</v>
      </c>
      <c r="D448" s="60">
        <v>0</v>
      </c>
      <c r="E448" s="60">
        <v>317</v>
      </c>
      <c r="F448" s="60">
        <v>509.5</v>
      </c>
    </row>
    <row r="449" spans="1:6">
      <c r="A449" s="58">
        <v>46252.333333333336</v>
      </c>
      <c r="B449" s="59" t="s">
        <v>27</v>
      </c>
      <c r="C449" s="60">
        <v>0</v>
      </c>
      <c r="D449" s="60">
        <v>0</v>
      </c>
      <c r="E449" s="60">
        <v>317</v>
      </c>
      <c r="F449" s="60">
        <v>509.5</v>
      </c>
    </row>
    <row r="450" spans="1:6">
      <c r="A450" s="58">
        <v>46252.375</v>
      </c>
      <c r="B450" s="59" t="s">
        <v>27</v>
      </c>
      <c r="C450" s="60">
        <v>0</v>
      </c>
      <c r="D450" s="60">
        <v>0</v>
      </c>
      <c r="E450" s="60">
        <v>317</v>
      </c>
      <c r="F450" s="60">
        <v>509.5</v>
      </c>
    </row>
    <row r="451" spans="1:6">
      <c r="A451" s="58">
        <v>46252.416666666664</v>
      </c>
      <c r="B451" s="59" t="s">
        <v>27</v>
      </c>
      <c r="C451" s="60">
        <v>0</v>
      </c>
      <c r="D451" s="60">
        <v>0</v>
      </c>
      <c r="E451" s="60">
        <v>317</v>
      </c>
      <c r="F451" s="60">
        <v>509.5</v>
      </c>
    </row>
    <row r="452" spans="1:6">
      <c r="A452" s="58">
        <v>46252.458333333336</v>
      </c>
      <c r="B452" s="59" t="s">
        <v>27</v>
      </c>
      <c r="C452" s="60">
        <v>0</v>
      </c>
      <c r="D452" s="60">
        <v>0</v>
      </c>
      <c r="E452" s="60">
        <v>317</v>
      </c>
      <c r="F452" s="60">
        <v>509.5</v>
      </c>
    </row>
    <row r="453" spans="1:6">
      <c r="A453" s="58">
        <v>46252.5</v>
      </c>
      <c r="B453" s="59" t="s">
        <v>27</v>
      </c>
      <c r="C453" s="60">
        <v>0</v>
      </c>
      <c r="D453" s="60">
        <v>0</v>
      </c>
      <c r="E453" s="60">
        <v>317</v>
      </c>
      <c r="F453" s="60">
        <v>509.5</v>
      </c>
    </row>
    <row r="454" spans="1:6">
      <c r="A454" s="58">
        <v>46252.541666666664</v>
      </c>
      <c r="B454" s="59" t="s">
        <v>27</v>
      </c>
      <c r="C454" s="60">
        <v>0</v>
      </c>
      <c r="D454" s="60">
        <v>0</v>
      </c>
      <c r="E454" s="60">
        <v>317</v>
      </c>
      <c r="F454" s="60">
        <v>509.5</v>
      </c>
    </row>
    <row r="455" spans="1:6">
      <c r="A455" s="58">
        <v>46252.583333333336</v>
      </c>
      <c r="B455" s="59" t="s">
        <v>27</v>
      </c>
      <c r="C455" s="60">
        <v>0</v>
      </c>
      <c r="D455" s="60">
        <v>0</v>
      </c>
      <c r="E455" s="60">
        <v>317</v>
      </c>
      <c r="F455" s="60">
        <v>509.5</v>
      </c>
    </row>
    <row r="456" spans="1:6">
      <c r="A456" s="58">
        <v>46252.625</v>
      </c>
      <c r="B456" s="59" t="s">
        <v>27</v>
      </c>
      <c r="C456" s="60">
        <v>0</v>
      </c>
      <c r="D456" s="60">
        <v>0</v>
      </c>
      <c r="E456" s="60">
        <v>317</v>
      </c>
      <c r="F456" s="60">
        <v>509.5</v>
      </c>
    </row>
    <row r="457" spans="1:6">
      <c r="A457" s="58">
        <v>46252.666666666664</v>
      </c>
      <c r="B457" s="59" t="s">
        <v>27</v>
      </c>
      <c r="C457" s="60">
        <v>0</v>
      </c>
      <c r="D457" s="60">
        <v>0</v>
      </c>
      <c r="E457" s="60">
        <v>317</v>
      </c>
      <c r="F457" s="60">
        <v>509.5</v>
      </c>
    </row>
    <row r="458" spans="1:6">
      <c r="A458" s="58">
        <v>46252.708333333336</v>
      </c>
      <c r="B458" s="59" t="s">
        <v>27</v>
      </c>
      <c r="C458" s="60">
        <v>0</v>
      </c>
      <c r="D458" s="60">
        <v>0</v>
      </c>
      <c r="E458" s="60">
        <v>317</v>
      </c>
      <c r="F458" s="60">
        <v>509.5</v>
      </c>
    </row>
    <row r="459" spans="1:6">
      <c r="A459" s="58">
        <v>46252.75</v>
      </c>
      <c r="B459" s="59" t="s">
        <v>27</v>
      </c>
      <c r="C459" s="60">
        <v>0</v>
      </c>
      <c r="D459" s="60">
        <v>0</v>
      </c>
      <c r="E459" s="60">
        <v>317</v>
      </c>
      <c r="F459" s="60">
        <v>509.5</v>
      </c>
    </row>
    <row r="460" spans="1:6">
      <c r="A460" s="58">
        <v>46252.791666666664</v>
      </c>
      <c r="B460" s="59" t="s">
        <v>27</v>
      </c>
      <c r="C460" s="60">
        <v>0</v>
      </c>
      <c r="D460" s="60">
        <v>0</v>
      </c>
      <c r="E460" s="60">
        <v>317</v>
      </c>
      <c r="F460" s="60">
        <v>509.5</v>
      </c>
    </row>
    <row r="461" spans="1:6">
      <c r="A461" s="58">
        <v>46252.833333333336</v>
      </c>
      <c r="B461" s="59" t="s">
        <v>27</v>
      </c>
      <c r="C461" s="60">
        <v>0</v>
      </c>
      <c r="D461" s="60">
        <v>0</v>
      </c>
      <c r="E461" s="60">
        <v>317</v>
      </c>
      <c r="F461" s="60">
        <v>509.5</v>
      </c>
    </row>
    <row r="462" spans="1:6">
      <c r="A462" s="58">
        <v>46252.875</v>
      </c>
      <c r="B462" s="59" t="s">
        <v>27</v>
      </c>
      <c r="C462" s="60">
        <v>0</v>
      </c>
      <c r="D462" s="60">
        <v>0</v>
      </c>
      <c r="E462" s="60">
        <v>317</v>
      </c>
      <c r="F462" s="60">
        <v>509.5</v>
      </c>
    </row>
    <row r="463" spans="1:6">
      <c r="A463" s="58">
        <v>46252.916666666664</v>
      </c>
      <c r="B463" s="59" t="s">
        <v>27</v>
      </c>
      <c r="C463" s="60">
        <v>0</v>
      </c>
      <c r="D463" s="60">
        <v>0</v>
      </c>
      <c r="E463" s="60">
        <v>317</v>
      </c>
      <c r="F463" s="60">
        <v>509.5</v>
      </c>
    </row>
    <row r="464" spans="1:6">
      <c r="A464" s="58">
        <v>46252.958333333336</v>
      </c>
      <c r="B464" s="59" t="s">
        <v>27</v>
      </c>
      <c r="C464" s="60">
        <v>0</v>
      </c>
      <c r="D464" s="60">
        <v>0</v>
      </c>
      <c r="E464" s="60">
        <v>317</v>
      </c>
      <c r="F464" s="60">
        <v>509.5</v>
      </c>
    </row>
    <row r="465" spans="1:6">
      <c r="A465" s="58">
        <v>46253</v>
      </c>
      <c r="B465" s="59" t="s">
        <v>27</v>
      </c>
      <c r="C465" s="60">
        <v>0</v>
      </c>
      <c r="D465" s="60">
        <v>0</v>
      </c>
      <c r="E465" s="60">
        <v>317</v>
      </c>
      <c r="F465" s="60">
        <v>509.5</v>
      </c>
    </row>
    <row r="466" spans="1:6">
      <c r="A466" s="58">
        <v>46253.041666666664</v>
      </c>
      <c r="B466" s="59" t="s">
        <v>27</v>
      </c>
      <c r="C466" s="60">
        <v>0</v>
      </c>
      <c r="D466" s="60">
        <v>0</v>
      </c>
      <c r="E466" s="60">
        <v>317</v>
      </c>
      <c r="F466" s="60">
        <v>509.5</v>
      </c>
    </row>
    <row r="467" spans="1:6">
      <c r="A467" s="58">
        <v>46253.083333333336</v>
      </c>
      <c r="B467" s="59" t="s">
        <v>27</v>
      </c>
      <c r="C467" s="60">
        <v>0</v>
      </c>
      <c r="D467" s="60">
        <v>0</v>
      </c>
      <c r="E467" s="60">
        <v>317</v>
      </c>
      <c r="F467" s="60">
        <v>509.5</v>
      </c>
    </row>
    <row r="468" spans="1:6">
      <c r="A468" s="58">
        <v>46253.125</v>
      </c>
      <c r="B468" s="59" t="s">
        <v>27</v>
      </c>
      <c r="C468" s="60">
        <v>0</v>
      </c>
      <c r="D468" s="60">
        <v>0</v>
      </c>
      <c r="E468" s="60">
        <v>317</v>
      </c>
      <c r="F468" s="60">
        <v>509.5</v>
      </c>
    </row>
    <row r="469" spans="1:6">
      <c r="A469" s="58">
        <v>46253.166666666664</v>
      </c>
      <c r="B469" s="59" t="s">
        <v>27</v>
      </c>
      <c r="C469" s="60">
        <v>0</v>
      </c>
      <c r="D469" s="60">
        <v>0</v>
      </c>
      <c r="E469" s="60">
        <v>317</v>
      </c>
      <c r="F469" s="60">
        <v>509.5</v>
      </c>
    </row>
    <row r="470" spans="1:6">
      <c r="A470" s="58">
        <v>46253.208333333336</v>
      </c>
      <c r="B470" s="59" t="s">
        <v>27</v>
      </c>
      <c r="C470" s="60">
        <v>0</v>
      </c>
      <c r="D470" s="60">
        <v>0</v>
      </c>
      <c r="E470" s="60">
        <v>317</v>
      </c>
      <c r="F470" s="60">
        <v>509.5</v>
      </c>
    </row>
    <row r="471" spans="1:6">
      <c r="A471" s="58">
        <v>46253.25</v>
      </c>
      <c r="B471" s="59" t="s">
        <v>27</v>
      </c>
      <c r="C471" s="60">
        <v>0</v>
      </c>
      <c r="D471" s="60">
        <v>0</v>
      </c>
      <c r="E471" s="60">
        <v>317</v>
      </c>
      <c r="F471" s="60">
        <v>509.5</v>
      </c>
    </row>
    <row r="472" spans="1:6">
      <c r="A472" s="58">
        <v>46253.291666666664</v>
      </c>
      <c r="B472" s="59" t="s">
        <v>27</v>
      </c>
      <c r="C472" s="60">
        <v>0</v>
      </c>
      <c r="D472" s="60">
        <v>0</v>
      </c>
      <c r="E472" s="60">
        <v>317</v>
      </c>
      <c r="F472" s="60">
        <v>509.5</v>
      </c>
    </row>
    <row r="473" spans="1:6">
      <c r="A473" s="58">
        <v>46253.333333333336</v>
      </c>
      <c r="B473" s="59" t="s">
        <v>27</v>
      </c>
      <c r="C473" s="60">
        <v>0</v>
      </c>
      <c r="D473" s="60">
        <v>0</v>
      </c>
      <c r="E473" s="60">
        <v>317</v>
      </c>
      <c r="F473" s="60">
        <v>509.5</v>
      </c>
    </row>
    <row r="474" spans="1:6">
      <c r="A474" s="58">
        <v>46253.375</v>
      </c>
      <c r="B474" s="59" t="s">
        <v>27</v>
      </c>
      <c r="C474" s="60">
        <v>0</v>
      </c>
      <c r="D474" s="60">
        <v>0</v>
      </c>
      <c r="E474" s="60">
        <v>317</v>
      </c>
      <c r="F474" s="60">
        <v>509.5</v>
      </c>
    </row>
    <row r="475" spans="1:6">
      <c r="A475" s="58">
        <v>46253.416666666664</v>
      </c>
      <c r="B475" s="59" t="s">
        <v>27</v>
      </c>
      <c r="C475" s="60">
        <v>0</v>
      </c>
      <c r="D475" s="60">
        <v>0</v>
      </c>
      <c r="E475" s="60">
        <v>317</v>
      </c>
      <c r="F475" s="60">
        <v>509.5</v>
      </c>
    </row>
    <row r="476" spans="1:6">
      <c r="A476" s="58">
        <v>46253.458333333336</v>
      </c>
      <c r="B476" s="59" t="s">
        <v>27</v>
      </c>
      <c r="C476" s="60">
        <v>0</v>
      </c>
      <c r="D476" s="60">
        <v>0</v>
      </c>
      <c r="E476" s="60">
        <v>317</v>
      </c>
      <c r="F476" s="60">
        <v>509.5</v>
      </c>
    </row>
    <row r="477" spans="1:6">
      <c r="A477" s="58">
        <v>46253.5</v>
      </c>
      <c r="B477" s="59" t="s">
        <v>27</v>
      </c>
      <c r="C477" s="60">
        <v>0</v>
      </c>
      <c r="D477" s="60">
        <v>0</v>
      </c>
      <c r="E477" s="60">
        <v>317</v>
      </c>
      <c r="F477" s="60">
        <v>509.5</v>
      </c>
    </row>
    <row r="478" spans="1:6">
      <c r="A478" s="58">
        <v>46253.541666666664</v>
      </c>
      <c r="B478" s="59" t="s">
        <v>27</v>
      </c>
      <c r="C478" s="60">
        <v>0</v>
      </c>
      <c r="D478" s="60">
        <v>0</v>
      </c>
      <c r="E478" s="60">
        <v>317</v>
      </c>
      <c r="F478" s="60">
        <v>509.5</v>
      </c>
    </row>
    <row r="479" spans="1:6">
      <c r="A479" s="58">
        <v>46253.583333333336</v>
      </c>
      <c r="B479" s="59" t="s">
        <v>27</v>
      </c>
      <c r="C479" s="60">
        <v>0</v>
      </c>
      <c r="D479" s="60">
        <v>0</v>
      </c>
      <c r="E479" s="60">
        <v>317</v>
      </c>
      <c r="F479" s="60">
        <v>509.5</v>
      </c>
    </row>
    <row r="480" spans="1:6">
      <c r="A480" s="58">
        <v>46253.625</v>
      </c>
      <c r="B480" s="59" t="s">
        <v>27</v>
      </c>
      <c r="C480" s="60">
        <v>0</v>
      </c>
      <c r="D480" s="60">
        <v>0</v>
      </c>
      <c r="E480" s="60">
        <v>317</v>
      </c>
      <c r="F480" s="60">
        <v>509.5</v>
      </c>
    </row>
    <row r="481" spans="1:6">
      <c r="A481" s="58">
        <v>46253.666666666664</v>
      </c>
      <c r="B481" s="59" t="s">
        <v>27</v>
      </c>
      <c r="C481" s="60">
        <v>0</v>
      </c>
      <c r="D481" s="60">
        <v>0</v>
      </c>
      <c r="E481" s="60">
        <v>317</v>
      </c>
      <c r="F481" s="60">
        <v>509.5</v>
      </c>
    </row>
    <row r="482" spans="1:6">
      <c r="A482" s="58">
        <v>46253.708333333336</v>
      </c>
      <c r="B482" s="59" t="s">
        <v>27</v>
      </c>
      <c r="C482" s="60">
        <v>0</v>
      </c>
      <c r="D482" s="60">
        <v>0</v>
      </c>
      <c r="E482" s="60">
        <v>317</v>
      </c>
      <c r="F482" s="60">
        <v>509.5</v>
      </c>
    </row>
    <row r="483" spans="1:6">
      <c r="A483" s="58">
        <v>46253.75</v>
      </c>
      <c r="B483" s="59" t="s">
        <v>27</v>
      </c>
      <c r="C483" s="60">
        <v>0</v>
      </c>
      <c r="D483" s="60">
        <v>0</v>
      </c>
      <c r="E483" s="60">
        <v>317</v>
      </c>
      <c r="F483" s="60">
        <v>509.5</v>
      </c>
    </row>
    <row r="484" spans="1:6">
      <c r="A484" s="58">
        <v>46253.791666666664</v>
      </c>
      <c r="B484" s="59" t="s">
        <v>27</v>
      </c>
      <c r="C484" s="60">
        <v>0</v>
      </c>
      <c r="D484" s="60">
        <v>0</v>
      </c>
      <c r="E484" s="60">
        <v>317</v>
      </c>
      <c r="F484" s="60">
        <v>509.5</v>
      </c>
    </row>
    <row r="485" spans="1:6">
      <c r="A485" s="58">
        <v>46253.833333333336</v>
      </c>
      <c r="B485" s="59" t="s">
        <v>27</v>
      </c>
      <c r="C485" s="60">
        <v>0</v>
      </c>
      <c r="D485" s="60">
        <v>0</v>
      </c>
      <c r="E485" s="60">
        <v>317</v>
      </c>
      <c r="F485" s="60">
        <v>509.5</v>
      </c>
    </row>
    <row r="486" spans="1:6">
      <c r="A486" s="58">
        <v>46253.875</v>
      </c>
      <c r="B486" s="59" t="s">
        <v>27</v>
      </c>
      <c r="C486" s="60">
        <v>0</v>
      </c>
      <c r="D486" s="60">
        <v>0</v>
      </c>
      <c r="E486" s="60">
        <v>317</v>
      </c>
      <c r="F486" s="60">
        <v>509.5</v>
      </c>
    </row>
    <row r="487" spans="1:6">
      <c r="A487" s="58">
        <v>46253.916666666664</v>
      </c>
      <c r="B487" s="59" t="s">
        <v>27</v>
      </c>
      <c r="C487" s="60">
        <v>0</v>
      </c>
      <c r="D487" s="60">
        <v>0</v>
      </c>
      <c r="E487" s="60">
        <v>317</v>
      </c>
      <c r="F487" s="60">
        <v>509.5</v>
      </c>
    </row>
    <row r="488" spans="1:6">
      <c r="A488" s="58">
        <v>46253.958333333336</v>
      </c>
      <c r="B488" s="59" t="s">
        <v>27</v>
      </c>
      <c r="C488" s="60">
        <v>0</v>
      </c>
      <c r="D488" s="60">
        <v>0</v>
      </c>
      <c r="E488" s="60">
        <v>317</v>
      </c>
      <c r="F488" s="60">
        <v>509.5</v>
      </c>
    </row>
    <row r="489" spans="1:6">
      <c r="A489" s="58">
        <v>46254</v>
      </c>
      <c r="B489" s="59" t="s">
        <v>27</v>
      </c>
      <c r="C489" s="60">
        <v>0</v>
      </c>
      <c r="D489" s="60">
        <v>0</v>
      </c>
      <c r="E489" s="60">
        <v>317</v>
      </c>
      <c r="F489" s="60">
        <v>509.5</v>
      </c>
    </row>
    <row r="490" spans="1:6">
      <c r="A490" s="58">
        <v>46254.041666666664</v>
      </c>
      <c r="B490" s="59" t="s">
        <v>27</v>
      </c>
      <c r="C490" s="60">
        <v>0</v>
      </c>
      <c r="D490" s="60">
        <v>0</v>
      </c>
      <c r="E490" s="60">
        <v>317</v>
      </c>
      <c r="F490" s="60">
        <v>509.5</v>
      </c>
    </row>
    <row r="491" spans="1:6">
      <c r="A491" s="58">
        <v>46254.083333333336</v>
      </c>
      <c r="B491" s="59" t="s">
        <v>27</v>
      </c>
      <c r="C491" s="60">
        <v>0</v>
      </c>
      <c r="D491" s="60">
        <v>0</v>
      </c>
      <c r="E491" s="60">
        <v>317</v>
      </c>
      <c r="F491" s="60">
        <v>509.5</v>
      </c>
    </row>
    <row r="492" spans="1:6">
      <c r="A492" s="58">
        <v>46254.125</v>
      </c>
      <c r="B492" s="59" t="s">
        <v>27</v>
      </c>
      <c r="C492" s="60">
        <v>0</v>
      </c>
      <c r="D492" s="60">
        <v>0</v>
      </c>
      <c r="E492" s="60">
        <v>317</v>
      </c>
      <c r="F492" s="60">
        <v>509.5</v>
      </c>
    </row>
    <row r="493" spans="1:6">
      <c r="A493" s="58">
        <v>46254.166666666664</v>
      </c>
      <c r="B493" s="59" t="s">
        <v>27</v>
      </c>
      <c r="C493" s="60">
        <v>0</v>
      </c>
      <c r="D493" s="60">
        <v>0</v>
      </c>
      <c r="E493" s="60">
        <v>317</v>
      </c>
      <c r="F493" s="60">
        <v>509.5</v>
      </c>
    </row>
    <row r="494" spans="1:6">
      <c r="A494" s="58">
        <v>46254.208333333336</v>
      </c>
      <c r="B494" s="59" t="s">
        <v>27</v>
      </c>
      <c r="C494" s="60">
        <v>0</v>
      </c>
      <c r="D494" s="60">
        <v>0</v>
      </c>
      <c r="E494" s="60">
        <v>317</v>
      </c>
      <c r="F494" s="60">
        <v>509.5</v>
      </c>
    </row>
    <row r="495" spans="1:6">
      <c r="A495" s="58">
        <v>46254.25</v>
      </c>
      <c r="B495" s="59" t="s">
        <v>27</v>
      </c>
      <c r="C495" s="60">
        <v>0</v>
      </c>
      <c r="D495" s="60">
        <v>0</v>
      </c>
      <c r="E495" s="60">
        <v>317</v>
      </c>
      <c r="F495" s="60">
        <v>509.5</v>
      </c>
    </row>
    <row r="496" spans="1:6">
      <c r="A496" s="58">
        <v>46254.291666666664</v>
      </c>
      <c r="B496" s="59" t="s">
        <v>27</v>
      </c>
      <c r="C496" s="60">
        <v>0</v>
      </c>
      <c r="D496" s="60">
        <v>0</v>
      </c>
      <c r="E496" s="60">
        <v>317</v>
      </c>
      <c r="F496" s="60">
        <v>509.5</v>
      </c>
    </row>
    <row r="497" spans="1:6">
      <c r="A497" s="58">
        <v>46254.333333333336</v>
      </c>
      <c r="B497" s="59" t="s">
        <v>27</v>
      </c>
      <c r="C497" s="60">
        <v>0</v>
      </c>
      <c r="D497" s="60">
        <v>0</v>
      </c>
      <c r="E497" s="60">
        <v>317</v>
      </c>
      <c r="F497" s="60">
        <v>509.5</v>
      </c>
    </row>
    <row r="498" spans="1:6">
      <c r="A498" s="58">
        <v>46254.375</v>
      </c>
      <c r="B498" s="59" t="s">
        <v>27</v>
      </c>
      <c r="C498" s="60">
        <v>0</v>
      </c>
      <c r="D498" s="60">
        <v>0</v>
      </c>
      <c r="E498" s="60">
        <v>317</v>
      </c>
      <c r="F498" s="60">
        <v>509.5</v>
      </c>
    </row>
    <row r="499" spans="1:6">
      <c r="A499" s="58">
        <v>46254.416666666664</v>
      </c>
      <c r="B499" s="59" t="s">
        <v>27</v>
      </c>
      <c r="C499" s="60">
        <v>0</v>
      </c>
      <c r="D499" s="60">
        <v>0</v>
      </c>
      <c r="E499" s="60">
        <v>317</v>
      </c>
      <c r="F499" s="60">
        <v>509.5</v>
      </c>
    </row>
    <row r="500" spans="1:6">
      <c r="A500" s="58">
        <v>46254.458333333336</v>
      </c>
      <c r="B500" s="59" t="s">
        <v>27</v>
      </c>
      <c r="C500" s="60">
        <v>0</v>
      </c>
      <c r="D500" s="60">
        <v>0</v>
      </c>
      <c r="E500" s="60">
        <v>317</v>
      </c>
      <c r="F500" s="60">
        <v>509.5</v>
      </c>
    </row>
    <row r="501" spans="1:6">
      <c r="A501" s="58">
        <v>46254.5</v>
      </c>
      <c r="B501" s="59" t="s">
        <v>27</v>
      </c>
      <c r="C501" s="60">
        <v>0</v>
      </c>
      <c r="D501" s="60">
        <v>0</v>
      </c>
      <c r="E501" s="60">
        <v>317</v>
      </c>
      <c r="F501" s="60">
        <v>509.5</v>
      </c>
    </row>
    <row r="502" spans="1:6">
      <c r="A502" s="58">
        <v>46254.541666666664</v>
      </c>
      <c r="B502" s="59" t="s">
        <v>27</v>
      </c>
      <c r="C502" s="60">
        <v>0</v>
      </c>
      <c r="D502" s="60">
        <v>0</v>
      </c>
      <c r="E502" s="60">
        <v>317</v>
      </c>
      <c r="F502" s="60">
        <v>509.5</v>
      </c>
    </row>
    <row r="503" spans="1:6">
      <c r="A503" s="58">
        <v>46254.583333333336</v>
      </c>
      <c r="B503" s="59" t="s">
        <v>27</v>
      </c>
      <c r="C503" s="60">
        <v>0</v>
      </c>
      <c r="D503" s="60">
        <v>0</v>
      </c>
      <c r="E503" s="60">
        <v>317</v>
      </c>
      <c r="F503" s="60">
        <v>509.5</v>
      </c>
    </row>
    <row r="504" spans="1:6">
      <c r="A504" s="58">
        <v>46254.625</v>
      </c>
      <c r="B504" s="59" t="s">
        <v>27</v>
      </c>
      <c r="C504" s="60">
        <v>0</v>
      </c>
      <c r="D504" s="60">
        <v>0</v>
      </c>
      <c r="E504" s="60">
        <v>317</v>
      </c>
      <c r="F504" s="60">
        <v>509.5</v>
      </c>
    </row>
    <row r="505" spans="1:6">
      <c r="A505" s="58">
        <v>46254.666666666664</v>
      </c>
      <c r="B505" s="59" t="s">
        <v>27</v>
      </c>
      <c r="C505" s="60">
        <v>0</v>
      </c>
      <c r="D505" s="60">
        <v>0</v>
      </c>
      <c r="E505" s="60">
        <v>317</v>
      </c>
      <c r="F505" s="60">
        <v>509.5</v>
      </c>
    </row>
    <row r="506" spans="1:6">
      <c r="A506" s="58">
        <v>46254.708333333336</v>
      </c>
      <c r="B506" s="59" t="s">
        <v>27</v>
      </c>
      <c r="C506" s="60">
        <v>0</v>
      </c>
      <c r="D506" s="60">
        <v>0</v>
      </c>
      <c r="E506" s="60">
        <v>317</v>
      </c>
      <c r="F506" s="60">
        <v>509.5</v>
      </c>
    </row>
    <row r="507" spans="1:6">
      <c r="A507" s="58">
        <v>46254.75</v>
      </c>
      <c r="B507" s="59" t="s">
        <v>27</v>
      </c>
      <c r="C507" s="60">
        <v>0</v>
      </c>
      <c r="D507" s="60">
        <v>0</v>
      </c>
      <c r="E507" s="60">
        <v>317</v>
      </c>
      <c r="F507" s="60">
        <v>509.5</v>
      </c>
    </row>
    <row r="508" spans="1:6">
      <c r="A508" s="58">
        <v>46254.791666666664</v>
      </c>
      <c r="B508" s="59" t="s">
        <v>27</v>
      </c>
      <c r="C508" s="60">
        <v>0</v>
      </c>
      <c r="D508" s="60">
        <v>0</v>
      </c>
      <c r="E508" s="60">
        <v>317</v>
      </c>
      <c r="F508" s="60">
        <v>509.5</v>
      </c>
    </row>
    <row r="509" spans="1:6">
      <c r="A509" s="58">
        <v>46254.833333333336</v>
      </c>
      <c r="B509" s="59" t="s">
        <v>27</v>
      </c>
      <c r="C509" s="60">
        <v>0</v>
      </c>
      <c r="D509" s="60">
        <v>0</v>
      </c>
      <c r="E509" s="60">
        <v>317</v>
      </c>
      <c r="F509" s="60">
        <v>509.5</v>
      </c>
    </row>
    <row r="510" spans="1:6">
      <c r="A510" s="58">
        <v>46254.875</v>
      </c>
      <c r="B510" s="59" t="s">
        <v>27</v>
      </c>
      <c r="C510" s="60">
        <v>0</v>
      </c>
      <c r="D510" s="60">
        <v>0</v>
      </c>
      <c r="E510" s="60">
        <v>317</v>
      </c>
      <c r="F510" s="60">
        <v>509.5</v>
      </c>
    </row>
    <row r="511" spans="1:6">
      <c r="A511" s="58">
        <v>46254.916666666664</v>
      </c>
      <c r="B511" s="59" t="s">
        <v>27</v>
      </c>
      <c r="C511" s="60">
        <v>0</v>
      </c>
      <c r="D511" s="60">
        <v>0</v>
      </c>
      <c r="E511" s="60">
        <v>317</v>
      </c>
      <c r="F511" s="60">
        <v>509.5</v>
      </c>
    </row>
    <row r="512" spans="1:6">
      <c r="A512" s="58">
        <v>46254.958333333336</v>
      </c>
      <c r="B512" s="59" t="s">
        <v>27</v>
      </c>
      <c r="C512" s="60">
        <v>0</v>
      </c>
      <c r="D512" s="60">
        <v>0</v>
      </c>
      <c r="E512" s="60">
        <v>317</v>
      </c>
      <c r="F512" s="60">
        <v>509.5</v>
      </c>
    </row>
    <row r="513" spans="1:6">
      <c r="A513" s="58">
        <v>46255</v>
      </c>
      <c r="B513" s="59" t="s">
        <v>27</v>
      </c>
      <c r="C513" s="60">
        <v>0</v>
      </c>
      <c r="D513" s="60">
        <v>0</v>
      </c>
      <c r="E513" s="60">
        <v>317</v>
      </c>
      <c r="F513" s="60">
        <v>509.5</v>
      </c>
    </row>
    <row r="514" spans="1:6">
      <c r="A514" s="58">
        <v>46255.041666666664</v>
      </c>
      <c r="B514" s="59" t="s">
        <v>27</v>
      </c>
      <c r="C514" s="60">
        <v>0</v>
      </c>
      <c r="D514" s="60">
        <v>0</v>
      </c>
      <c r="E514" s="60">
        <v>317</v>
      </c>
      <c r="F514" s="60">
        <v>509.5</v>
      </c>
    </row>
    <row r="515" spans="1:6">
      <c r="A515" s="58">
        <v>46255.083333333336</v>
      </c>
      <c r="B515" s="59" t="s">
        <v>27</v>
      </c>
      <c r="C515" s="60">
        <v>0</v>
      </c>
      <c r="D515" s="60">
        <v>0</v>
      </c>
      <c r="E515" s="60">
        <v>317</v>
      </c>
      <c r="F515" s="60">
        <v>509.5</v>
      </c>
    </row>
    <row r="516" spans="1:6">
      <c r="A516" s="58">
        <v>46255.125</v>
      </c>
      <c r="B516" s="59" t="s">
        <v>27</v>
      </c>
      <c r="C516" s="60">
        <v>0</v>
      </c>
      <c r="D516" s="60">
        <v>0</v>
      </c>
      <c r="E516" s="60">
        <v>317</v>
      </c>
      <c r="F516" s="60">
        <v>509.5</v>
      </c>
    </row>
    <row r="517" spans="1:6">
      <c r="A517" s="58">
        <v>46255.166666666664</v>
      </c>
      <c r="B517" s="59" t="s">
        <v>27</v>
      </c>
      <c r="C517" s="60">
        <v>0</v>
      </c>
      <c r="D517" s="60">
        <v>0</v>
      </c>
      <c r="E517" s="60">
        <v>317</v>
      </c>
      <c r="F517" s="60">
        <v>509.5</v>
      </c>
    </row>
    <row r="518" spans="1:6">
      <c r="A518" s="58">
        <v>46255.208333333336</v>
      </c>
      <c r="B518" s="59" t="s">
        <v>27</v>
      </c>
      <c r="C518" s="60">
        <v>0</v>
      </c>
      <c r="D518" s="60">
        <v>0</v>
      </c>
      <c r="E518" s="60">
        <v>317</v>
      </c>
      <c r="F518" s="60">
        <v>509.5</v>
      </c>
    </row>
    <row r="519" spans="1:6">
      <c r="A519" s="58">
        <v>46255.25</v>
      </c>
      <c r="B519" s="59" t="s">
        <v>27</v>
      </c>
      <c r="C519" s="60">
        <v>0</v>
      </c>
      <c r="D519" s="60">
        <v>0</v>
      </c>
      <c r="E519" s="60">
        <v>317</v>
      </c>
      <c r="F519" s="60">
        <v>509.5</v>
      </c>
    </row>
    <row r="520" spans="1:6">
      <c r="A520" s="58">
        <v>46255.291666666664</v>
      </c>
      <c r="B520" s="59" t="s">
        <v>27</v>
      </c>
      <c r="C520" s="60">
        <v>0</v>
      </c>
      <c r="D520" s="60">
        <v>0</v>
      </c>
      <c r="E520" s="60">
        <v>317</v>
      </c>
      <c r="F520" s="60">
        <v>509.5</v>
      </c>
    </row>
    <row r="521" spans="1:6">
      <c r="A521" s="58">
        <v>46255.333333333336</v>
      </c>
      <c r="B521" s="59" t="s">
        <v>27</v>
      </c>
      <c r="C521" s="60">
        <v>0</v>
      </c>
      <c r="D521" s="60">
        <v>0</v>
      </c>
      <c r="E521" s="60">
        <v>317</v>
      </c>
      <c r="F521" s="60">
        <v>509.5</v>
      </c>
    </row>
    <row r="522" spans="1:6">
      <c r="A522" s="58">
        <v>46255.375</v>
      </c>
      <c r="B522" s="59" t="s">
        <v>27</v>
      </c>
      <c r="C522" s="60">
        <v>0</v>
      </c>
      <c r="D522" s="60">
        <v>0</v>
      </c>
      <c r="E522" s="60">
        <v>317</v>
      </c>
      <c r="F522" s="60">
        <v>509.5</v>
      </c>
    </row>
    <row r="523" spans="1:6">
      <c r="A523" s="58">
        <v>46255.416666666664</v>
      </c>
      <c r="B523" s="59" t="s">
        <v>27</v>
      </c>
      <c r="C523" s="60">
        <v>0</v>
      </c>
      <c r="D523" s="60">
        <v>0</v>
      </c>
      <c r="E523" s="60">
        <v>317</v>
      </c>
      <c r="F523" s="60">
        <v>509.5</v>
      </c>
    </row>
    <row r="524" spans="1:6">
      <c r="A524" s="58">
        <v>46255.458333333336</v>
      </c>
      <c r="B524" s="59" t="s">
        <v>27</v>
      </c>
      <c r="C524" s="60">
        <v>0</v>
      </c>
      <c r="D524" s="60">
        <v>0</v>
      </c>
      <c r="E524" s="60">
        <v>317</v>
      </c>
      <c r="F524" s="60">
        <v>509.5</v>
      </c>
    </row>
    <row r="525" spans="1:6">
      <c r="A525" s="58">
        <v>46255.5</v>
      </c>
      <c r="B525" s="59" t="s">
        <v>27</v>
      </c>
      <c r="C525" s="60">
        <v>0</v>
      </c>
      <c r="D525" s="60">
        <v>0</v>
      </c>
      <c r="E525" s="60">
        <v>317</v>
      </c>
      <c r="F525" s="60">
        <v>509.5</v>
      </c>
    </row>
    <row r="526" spans="1:6">
      <c r="A526" s="58">
        <v>46255.541666666664</v>
      </c>
      <c r="B526" s="59" t="s">
        <v>27</v>
      </c>
      <c r="C526" s="60">
        <v>0</v>
      </c>
      <c r="D526" s="60">
        <v>0</v>
      </c>
      <c r="E526" s="60">
        <v>317</v>
      </c>
      <c r="F526" s="60">
        <v>509.5</v>
      </c>
    </row>
    <row r="527" spans="1:6">
      <c r="A527" s="58">
        <v>46255.583333333336</v>
      </c>
      <c r="B527" s="59" t="s">
        <v>27</v>
      </c>
      <c r="C527" s="60">
        <v>0</v>
      </c>
      <c r="D527" s="60">
        <v>0</v>
      </c>
      <c r="E527" s="60">
        <v>317</v>
      </c>
      <c r="F527" s="60">
        <v>509.5</v>
      </c>
    </row>
    <row r="528" spans="1:6">
      <c r="A528" s="58">
        <v>46255.625</v>
      </c>
      <c r="B528" s="59" t="s">
        <v>27</v>
      </c>
      <c r="C528" s="60">
        <v>0</v>
      </c>
      <c r="D528" s="60">
        <v>0</v>
      </c>
      <c r="E528" s="60">
        <v>317</v>
      </c>
      <c r="F528" s="60">
        <v>509.5</v>
      </c>
    </row>
    <row r="529" spans="1:6">
      <c r="A529" s="58">
        <v>46255.666666666664</v>
      </c>
      <c r="B529" s="59" t="s">
        <v>27</v>
      </c>
      <c r="C529" s="60">
        <v>0</v>
      </c>
      <c r="D529" s="60">
        <v>0</v>
      </c>
      <c r="E529" s="60">
        <v>317</v>
      </c>
      <c r="F529" s="60">
        <v>509.5</v>
      </c>
    </row>
    <row r="530" spans="1:6">
      <c r="A530" s="58">
        <v>46255.708333333336</v>
      </c>
      <c r="B530" s="59" t="s">
        <v>27</v>
      </c>
      <c r="C530" s="60">
        <v>0</v>
      </c>
      <c r="D530" s="60">
        <v>0</v>
      </c>
      <c r="E530" s="60">
        <v>317</v>
      </c>
      <c r="F530" s="60">
        <v>509.5</v>
      </c>
    </row>
    <row r="531" spans="1:6">
      <c r="A531" s="58">
        <v>46255.75</v>
      </c>
      <c r="B531" s="59" t="s">
        <v>27</v>
      </c>
      <c r="C531" s="60">
        <v>0</v>
      </c>
      <c r="D531" s="60">
        <v>0</v>
      </c>
      <c r="E531" s="60">
        <v>317</v>
      </c>
      <c r="F531" s="60">
        <v>509.5</v>
      </c>
    </row>
    <row r="532" spans="1:6">
      <c r="A532" s="58">
        <v>46255.791666666664</v>
      </c>
      <c r="B532" s="59" t="s">
        <v>27</v>
      </c>
      <c r="C532" s="60">
        <v>0</v>
      </c>
      <c r="D532" s="60">
        <v>0</v>
      </c>
      <c r="E532" s="60">
        <v>317</v>
      </c>
      <c r="F532" s="60">
        <v>509.5</v>
      </c>
    </row>
    <row r="533" spans="1:6">
      <c r="A533" s="58">
        <v>46255.833333333336</v>
      </c>
      <c r="B533" s="59" t="s">
        <v>27</v>
      </c>
      <c r="C533" s="60">
        <v>0</v>
      </c>
      <c r="D533" s="60">
        <v>0</v>
      </c>
      <c r="E533" s="60">
        <v>317</v>
      </c>
      <c r="F533" s="60">
        <v>509.5</v>
      </c>
    </row>
    <row r="534" spans="1:6">
      <c r="A534" s="58">
        <v>46255.875</v>
      </c>
      <c r="B534" s="59" t="s">
        <v>27</v>
      </c>
      <c r="C534" s="60">
        <v>0</v>
      </c>
      <c r="D534" s="60">
        <v>0</v>
      </c>
      <c r="E534" s="60">
        <v>317</v>
      </c>
      <c r="F534" s="60">
        <v>509.5</v>
      </c>
    </row>
    <row r="535" spans="1:6">
      <c r="A535" s="58">
        <v>46255.916666666664</v>
      </c>
      <c r="B535" s="59" t="s">
        <v>27</v>
      </c>
      <c r="C535" s="60">
        <v>0</v>
      </c>
      <c r="D535" s="60">
        <v>0</v>
      </c>
      <c r="E535" s="60">
        <v>317</v>
      </c>
      <c r="F535" s="60">
        <v>509.5</v>
      </c>
    </row>
    <row r="536" spans="1:6">
      <c r="A536" s="58">
        <v>46255.958333333336</v>
      </c>
      <c r="B536" s="59" t="s">
        <v>27</v>
      </c>
      <c r="C536" s="60">
        <v>0</v>
      </c>
      <c r="D536" s="60">
        <v>0</v>
      </c>
      <c r="E536" s="60">
        <v>317</v>
      </c>
      <c r="F536" s="60">
        <v>509.5</v>
      </c>
    </row>
    <row r="537" spans="1:6">
      <c r="A537" s="58">
        <v>46256</v>
      </c>
      <c r="B537" s="59" t="s">
        <v>27</v>
      </c>
      <c r="C537" s="60">
        <v>0</v>
      </c>
      <c r="D537" s="60">
        <v>0</v>
      </c>
      <c r="E537" s="60">
        <v>317</v>
      </c>
      <c r="F537" s="60">
        <v>509.5</v>
      </c>
    </row>
    <row r="538" spans="1:6">
      <c r="A538" s="58">
        <v>46256.041666666664</v>
      </c>
      <c r="B538" s="59" t="s">
        <v>27</v>
      </c>
      <c r="C538" s="60">
        <v>0</v>
      </c>
      <c r="D538" s="60">
        <v>0</v>
      </c>
      <c r="E538" s="60">
        <v>317</v>
      </c>
      <c r="F538" s="60">
        <v>509.5</v>
      </c>
    </row>
    <row r="539" spans="1:6">
      <c r="A539" s="58">
        <v>46256.083333333336</v>
      </c>
      <c r="B539" s="59" t="s">
        <v>27</v>
      </c>
      <c r="C539" s="60">
        <v>0</v>
      </c>
      <c r="D539" s="60">
        <v>0</v>
      </c>
      <c r="E539" s="60">
        <v>317</v>
      </c>
      <c r="F539" s="60">
        <v>509.5</v>
      </c>
    </row>
    <row r="540" spans="1:6">
      <c r="A540" s="58">
        <v>46256.125</v>
      </c>
      <c r="B540" s="59" t="s">
        <v>27</v>
      </c>
      <c r="C540" s="60">
        <v>0</v>
      </c>
      <c r="D540" s="60">
        <v>0</v>
      </c>
      <c r="E540" s="60">
        <v>317</v>
      </c>
      <c r="F540" s="60">
        <v>509.5</v>
      </c>
    </row>
    <row r="541" spans="1:6">
      <c r="A541" s="58">
        <v>46256.166666666664</v>
      </c>
      <c r="B541" s="59" t="s">
        <v>27</v>
      </c>
      <c r="C541" s="60">
        <v>0</v>
      </c>
      <c r="D541" s="60">
        <v>0</v>
      </c>
      <c r="E541" s="60">
        <v>317</v>
      </c>
      <c r="F541" s="60">
        <v>509.5</v>
      </c>
    </row>
    <row r="542" spans="1:6">
      <c r="A542" s="58">
        <v>46256.208333333336</v>
      </c>
      <c r="B542" s="59" t="s">
        <v>27</v>
      </c>
      <c r="C542" s="60">
        <v>0</v>
      </c>
      <c r="D542" s="60">
        <v>0</v>
      </c>
      <c r="E542" s="60">
        <v>317</v>
      </c>
      <c r="F542" s="60">
        <v>509.5</v>
      </c>
    </row>
    <row r="543" spans="1:6">
      <c r="A543" s="58">
        <v>46256.25</v>
      </c>
      <c r="B543" s="59" t="s">
        <v>27</v>
      </c>
      <c r="C543" s="60">
        <v>0</v>
      </c>
      <c r="D543" s="60">
        <v>0</v>
      </c>
      <c r="E543" s="60">
        <v>317</v>
      </c>
      <c r="F543" s="60">
        <v>509.5</v>
      </c>
    </row>
    <row r="544" spans="1:6">
      <c r="A544" s="58">
        <v>46256.291666666664</v>
      </c>
      <c r="B544" s="59" t="s">
        <v>27</v>
      </c>
      <c r="C544" s="60">
        <v>0</v>
      </c>
      <c r="D544" s="60">
        <v>0</v>
      </c>
      <c r="E544" s="60">
        <v>317</v>
      </c>
      <c r="F544" s="60">
        <v>509.5</v>
      </c>
    </row>
    <row r="545" spans="1:6">
      <c r="A545" s="58">
        <v>46256.333333333336</v>
      </c>
      <c r="B545" s="59" t="s">
        <v>27</v>
      </c>
      <c r="C545" s="60">
        <v>0</v>
      </c>
      <c r="D545" s="60">
        <v>0</v>
      </c>
      <c r="E545" s="60">
        <v>317</v>
      </c>
      <c r="F545" s="60">
        <v>509.5</v>
      </c>
    </row>
    <row r="546" spans="1:6">
      <c r="A546" s="58">
        <v>46256.375</v>
      </c>
      <c r="B546" s="59" t="s">
        <v>27</v>
      </c>
      <c r="C546" s="60">
        <v>0</v>
      </c>
      <c r="D546" s="60">
        <v>0</v>
      </c>
      <c r="E546" s="60">
        <v>317</v>
      </c>
      <c r="F546" s="60">
        <v>509.5</v>
      </c>
    </row>
    <row r="547" spans="1:6">
      <c r="A547" s="58">
        <v>46256.416666666664</v>
      </c>
      <c r="B547" s="59" t="s">
        <v>27</v>
      </c>
      <c r="C547" s="60">
        <v>0</v>
      </c>
      <c r="D547" s="60">
        <v>0</v>
      </c>
      <c r="E547" s="60">
        <v>317</v>
      </c>
      <c r="F547" s="60">
        <v>509.5</v>
      </c>
    </row>
    <row r="548" spans="1:6">
      <c r="A548" s="58">
        <v>46256.458333333336</v>
      </c>
      <c r="B548" s="59" t="s">
        <v>27</v>
      </c>
      <c r="C548" s="60">
        <v>0</v>
      </c>
      <c r="D548" s="60">
        <v>0</v>
      </c>
      <c r="E548" s="60">
        <v>317</v>
      </c>
      <c r="F548" s="60">
        <v>509.5</v>
      </c>
    </row>
    <row r="549" spans="1:6">
      <c r="A549" s="58">
        <v>46256.5</v>
      </c>
      <c r="B549" s="59" t="s">
        <v>27</v>
      </c>
      <c r="C549" s="60">
        <v>0</v>
      </c>
      <c r="D549" s="60">
        <v>0</v>
      </c>
      <c r="E549" s="60">
        <v>317</v>
      </c>
      <c r="F549" s="60">
        <v>509.5</v>
      </c>
    </row>
    <row r="550" spans="1:6">
      <c r="A550" s="58">
        <v>46256.541666666664</v>
      </c>
      <c r="B550" s="59" t="s">
        <v>27</v>
      </c>
      <c r="C550" s="60">
        <v>0</v>
      </c>
      <c r="D550" s="60">
        <v>0</v>
      </c>
      <c r="E550" s="60">
        <v>317</v>
      </c>
      <c r="F550" s="60">
        <v>509.5</v>
      </c>
    </row>
    <row r="551" spans="1:6">
      <c r="A551" s="58">
        <v>46256.583333333336</v>
      </c>
      <c r="B551" s="59" t="s">
        <v>27</v>
      </c>
      <c r="C551" s="60">
        <v>0</v>
      </c>
      <c r="D551" s="60">
        <v>0</v>
      </c>
      <c r="E551" s="60">
        <v>317</v>
      </c>
      <c r="F551" s="60">
        <v>509.5</v>
      </c>
    </row>
    <row r="552" spans="1:6">
      <c r="A552" s="58">
        <v>46256.625</v>
      </c>
      <c r="B552" s="59" t="s">
        <v>27</v>
      </c>
      <c r="C552" s="60">
        <v>0</v>
      </c>
      <c r="D552" s="60">
        <v>0</v>
      </c>
      <c r="E552" s="60">
        <v>317</v>
      </c>
      <c r="F552" s="60">
        <v>509.5</v>
      </c>
    </row>
    <row r="553" spans="1:6">
      <c r="A553" s="58">
        <v>46256.666666666664</v>
      </c>
      <c r="B553" s="59" t="s">
        <v>27</v>
      </c>
      <c r="C553" s="60">
        <v>0</v>
      </c>
      <c r="D553" s="60">
        <v>0</v>
      </c>
      <c r="E553" s="60">
        <v>317</v>
      </c>
      <c r="F553" s="60">
        <v>509.5</v>
      </c>
    </row>
    <row r="554" spans="1:6">
      <c r="A554" s="58">
        <v>46256.708333333336</v>
      </c>
      <c r="B554" s="59" t="s">
        <v>27</v>
      </c>
      <c r="C554" s="60">
        <v>0</v>
      </c>
      <c r="D554" s="60">
        <v>0</v>
      </c>
      <c r="E554" s="60">
        <v>317</v>
      </c>
      <c r="F554" s="60">
        <v>509.5</v>
      </c>
    </row>
    <row r="555" spans="1:6">
      <c r="A555" s="58">
        <v>46256.75</v>
      </c>
      <c r="B555" s="59" t="s">
        <v>27</v>
      </c>
      <c r="C555" s="60">
        <v>0</v>
      </c>
      <c r="D555" s="60">
        <v>0</v>
      </c>
      <c r="E555" s="60">
        <v>317</v>
      </c>
      <c r="F555" s="60">
        <v>509.5</v>
      </c>
    </row>
    <row r="556" spans="1:6">
      <c r="A556" s="58">
        <v>46256.791666666664</v>
      </c>
      <c r="B556" s="59" t="s">
        <v>27</v>
      </c>
      <c r="C556" s="60">
        <v>0</v>
      </c>
      <c r="D556" s="60">
        <v>0</v>
      </c>
      <c r="E556" s="60">
        <v>317</v>
      </c>
      <c r="F556" s="60">
        <v>509.5</v>
      </c>
    </row>
    <row r="557" spans="1:6">
      <c r="A557" s="58">
        <v>46256.833333333336</v>
      </c>
      <c r="B557" s="59" t="s">
        <v>27</v>
      </c>
      <c r="C557" s="60">
        <v>0</v>
      </c>
      <c r="D557" s="60">
        <v>0</v>
      </c>
      <c r="E557" s="60">
        <v>317</v>
      </c>
      <c r="F557" s="60">
        <v>509.5</v>
      </c>
    </row>
    <row r="558" spans="1:6">
      <c r="A558" s="58">
        <v>46256.875</v>
      </c>
      <c r="B558" s="59" t="s">
        <v>27</v>
      </c>
      <c r="C558" s="60">
        <v>0</v>
      </c>
      <c r="D558" s="60">
        <v>0</v>
      </c>
      <c r="E558" s="60">
        <v>317</v>
      </c>
      <c r="F558" s="60">
        <v>509.5</v>
      </c>
    </row>
    <row r="559" spans="1:6">
      <c r="A559" s="58">
        <v>46256.916666666664</v>
      </c>
      <c r="B559" s="59" t="s">
        <v>27</v>
      </c>
      <c r="C559" s="60">
        <v>0</v>
      </c>
      <c r="D559" s="60">
        <v>0</v>
      </c>
      <c r="E559" s="60">
        <v>317</v>
      </c>
      <c r="F559" s="60">
        <v>509.5</v>
      </c>
    </row>
    <row r="560" spans="1:6">
      <c r="A560" s="58">
        <v>46256.958333333336</v>
      </c>
      <c r="B560" s="59" t="s">
        <v>27</v>
      </c>
      <c r="C560" s="60">
        <v>0</v>
      </c>
      <c r="D560" s="60">
        <v>0</v>
      </c>
      <c r="E560" s="60">
        <v>317</v>
      </c>
      <c r="F560" s="60">
        <v>509.5</v>
      </c>
    </row>
    <row r="561" spans="1:6">
      <c r="A561" s="58">
        <v>46257</v>
      </c>
      <c r="B561" s="59" t="s">
        <v>27</v>
      </c>
      <c r="C561" s="60">
        <v>0</v>
      </c>
      <c r="D561" s="60">
        <v>0</v>
      </c>
      <c r="E561" s="60">
        <v>317</v>
      </c>
      <c r="F561" s="60">
        <v>509.5</v>
      </c>
    </row>
    <row r="562" spans="1:6">
      <c r="A562" s="58">
        <v>46257.041666666664</v>
      </c>
      <c r="B562" s="59" t="s">
        <v>27</v>
      </c>
      <c r="C562" s="60">
        <v>0</v>
      </c>
      <c r="D562" s="60">
        <v>0</v>
      </c>
      <c r="E562" s="60">
        <v>317</v>
      </c>
      <c r="F562" s="60">
        <v>509.5</v>
      </c>
    </row>
    <row r="563" spans="1:6">
      <c r="A563" s="58">
        <v>46257.083333333336</v>
      </c>
      <c r="B563" s="59" t="s">
        <v>27</v>
      </c>
      <c r="C563" s="60">
        <v>0</v>
      </c>
      <c r="D563" s="60">
        <v>0</v>
      </c>
      <c r="E563" s="60">
        <v>317</v>
      </c>
      <c r="F563" s="60">
        <v>509.5</v>
      </c>
    </row>
    <row r="564" spans="1:6">
      <c r="A564" s="58">
        <v>46257.125</v>
      </c>
      <c r="B564" s="59" t="s">
        <v>27</v>
      </c>
      <c r="C564" s="60">
        <v>0</v>
      </c>
      <c r="D564" s="60">
        <v>0</v>
      </c>
      <c r="E564" s="60">
        <v>317</v>
      </c>
      <c r="F564" s="60">
        <v>509.5</v>
      </c>
    </row>
    <row r="565" spans="1:6">
      <c r="A565" s="58">
        <v>46257.166666666664</v>
      </c>
      <c r="B565" s="59" t="s">
        <v>27</v>
      </c>
      <c r="C565" s="60">
        <v>0</v>
      </c>
      <c r="D565" s="60">
        <v>0</v>
      </c>
      <c r="E565" s="60">
        <v>317</v>
      </c>
      <c r="F565" s="60">
        <v>509.5</v>
      </c>
    </row>
    <row r="566" spans="1:6">
      <c r="A566" s="58">
        <v>46257.208333333336</v>
      </c>
      <c r="B566" s="59" t="s">
        <v>27</v>
      </c>
      <c r="C566" s="60">
        <v>0</v>
      </c>
      <c r="D566" s="60">
        <v>0</v>
      </c>
      <c r="E566" s="60">
        <v>317</v>
      </c>
      <c r="F566" s="60">
        <v>509.5</v>
      </c>
    </row>
    <row r="567" spans="1:6">
      <c r="A567" s="58">
        <v>46257.25</v>
      </c>
      <c r="B567" s="59" t="s">
        <v>27</v>
      </c>
      <c r="C567" s="60">
        <v>0</v>
      </c>
      <c r="D567" s="60">
        <v>0</v>
      </c>
      <c r="E567" s="60">
        <v>317</v>
      </c>
      <c r="F567" s="60">
        <v>509.5</v>
      </c>
    </row>
    <row r="568" spans="1:6">
      <c r="A568" s="58">
        <v>46257.291666666664</v>
      </c>
      <c r="B568" s="59" t="s">
        <v>27</v>
      </c>
      <c r="C568" s="60">
        <v>0</v>
      </c>
      <c r="D568" s="60">
        <v>0</v>
      </c>
      <c r="E568" s="60">
        <v>317</v>
      </c>
      <c r="F568" s="60">
        <v>509.5</v>
      </c>
    </row>
    <row r="569" spans="1:6">
      <c r="A569" s="58">
        <v>46257.333333333336</v>
      </c>
      <c r="B569" s="59" t="s">
        <v>27</v>
      </c>
      <c r="C569" s="60">
        <v>0</v>
      </c>
      <c r="D569" s="60">
        <v>0</v>
      </c>
      <c r="E569" s="60">
        <v>317</v>
      </c>
      <c r="F569" s="60">
        <v>509.5</v>
      </c>
    </row>
    <row r="570" spans="1:6">
      <c r="A570" s="58">
        <v>46257.375</v>
      </c>
      <c r="B570" s="59" t="s">
        <v>27</v>
      </c>
      <c r="C570" s="60">
        <v>0</v>
      </c>
      <c r="D570" s="60">
        <v>0</v>
      </c>
      <c r="E570" s="60">
        <v>317</v>
      </c>
      <c r="F570" s="60">
        <v>509.5</v>
      </c>
    </row>
    <row r="571" spans="1:6">
      <c r="A571" s="58">
        <v>46257.416666666664</v>
      </c>
      <c r="B571" s="59" t="s">
        <v>27</v>
      </c>
      <c r="C571" s="60">
        <v>0</v>
      </c>
      <c r="D571" s="60">
        <v>0</v>
      </c>
      <c r="E571" s="60">
        <v>317</v>
      </c>
      <c r="F571" s="60">
        <v>509.5</v>
      </c>
    </row>
    <row r="572" spans="1:6">
      <c r="A572" s="58">
        <v>46257.458333333336</v>
      </c>
      <c r="B572" s="59" t="s">
        <v>27</v>
      </c>
      <c r="C572" s="60">
        <v>0</v>
      </c>
      <c r="D572" s="60">
        <v>0</v>
      </c>
      <c r="E572" s="60">
        <v>317</v>
      </c>
      <c r="F572" s="60">
        <v>509.5</v>
      </c>
    </row>
    <row r="573" spans="1:6">
      <c r="A573" s="58">
        <v>46257.5</v>
      </c>
      <c r="B573" s="59" t="s">
        <v>27</v>
      </c>
      <c r="C573" s="60">
        <v>0</v>
      </c>
      <c r="D573" s="60">
        <v>0</v>
      </c>
      <c r="E573" s="60">
        <v>317</v>
      </c>
      <c r="F573" s="60">
        <v>509.5</v>
      </c>
    </row>
    <row r="574" spans="1:6">
      <c r="A574" s="58">
        <v>46257.541666666664</v>
      </c>
      <c r="B574" s="59" t="s">
        <v>27</v>
      </c>
      <c r="C574" s="60">
        <v>0</v>
      </c>
      <c r="D574" s="60">
        <v>0</v>
      </c>
      <c r="E574" s="60">
        <v>317</v>
      </c>
      <c r="F574" s="60">
        <v>509.5</v>
      </c>
    </row>
    <row r="575" spans="1:6">
      <c r="A575" s="58">
        <v>46257.583333333336</v>
      </c>
      <c r="B575" s="59" t="s">
        <v>27</v>
      </c>
      <c r="C575" s="60">
        <v>0</v>
      </c>
      <c r="D575" s="60">
        <v>0</v>
      </c>
      <c r="E575" s="60">
        <v>317</v>
      </c>
      <c r="F575" s="60">
        <v>509.5</v>
      </c>
    </row>
    <row r="576" spans="1:6">
      <c r="A576" s="58">
        <v>46257.625</v>
      </c>
      <c r="B576" s="59" t="s">
        <v>27</v>
      </c>
      <c r="C576" s="60">
        <v>0</v>
      </c>
      <c r="D576" s="60">
        <v>0</v>
      </c>
      <c r="E576" s="60">
        <v>317</v>
      </c>
      <c r="F576" s="60">
        <v>509.5</v>
      </c>
    </row>
    <row r="577" spans="1:6">
      <c r="A577" s="58">
        <v>46257.666666666664</v>
      </c>
      <c r="B577" s="59" t="s">
        <v>27</v>
      </c>
      <c r="C577" s="60">
        <v>0</v>
      </c>
      <c r="D577" s="60">
        <v>0</v>
      </c>
      <c r="E577" s="60">
        <v>317</v>
      </c>
      <c r="F577" s="60">
        <v>509.5</v>
      </c>
    </row>
    <row r="578" spans="1:6">
      <c r="A578" s="58">
        <v>46257.708333333336</v>
      </c>
      <c r="B578" s="59" t="s">
        <v>27</v>
      </c>
      <c r="C578" s="60">
        <v>0</v>
      </c>
      <c r="D578" s="60">
        <v>0</v>
      </c>
      <c r="E578" s="60">
        <v>317</v>
      </c>
      <c r="F578" s="60">
        <v>509.5</v>
      </c>
    </row>
    <row r="579" spans="1:6">
      <c r="A579" s="58">
        <v>46257.75</v>
      </c>
      <c r="B579" s="59" t="s">
        <v>27</v>
      </c>
      <c r="C579" s="60">
        <v>0</v>
      </c>
      <c r="D579" s="60">
        <v>0</v>
      </c>
      <c r="E579" s="60">
        <v>317</v>
      </c>
      <c r="F579" s="60">
        <v>509.5</v>
      </c>
    </row>
    <row r="580" spans="1:6">
      <c r="A580" s="58">
        <v>46257.791666666664</v>
      </c>
      <c r="B580" s="59" t="s">
        <v>27</v>
      </c>
      <c r="C580" s="60">
        <v>0</v>
      </c>
      <c r="D580" s="60">
        <v>0</v>
      </c>
      <c r="E580" s="60">
        <v>317</v>
      </c>
      <c r="F580" s="60">
        <v>509.5</v>
      </c>
    </row>
    <row r="581" spans="1:6">
      <c r="A581" s="58">
        <v>46257.833333333336</v>
      </c>
      <c r="B581" s="59" t="s">
        <v>27</v>
      </c>
      <c r="C581" s="60">
        <v>0</v>
      </c>
      <c r="D581" s="60">
        <v>0</v>
      </c>
      <c r="E581" s="60">
        <v>317</v>
      </c>
      <c r="F581" s="60">
        <v>509.5</v>
      </c>
    </row>
    <row r="582" spans="1:6">
      <c r="A582" s="58">
        <v>46257.875</v>
      </c>
      <c r="B582" s="59" t="s">
        <v>27</v>
      </c>
      <c r="C582" s="60">
        <v>0</v>
      </c>
      <c r="D582" s="60">
        <v>0</v>
      </c>
      <c r="E582" s="60">
        <v>317</v>
      </c>
      <c r="F582" s="60">
        <v>509.5</v>
      </c>
    </row>
    <row r="583" spans="1:6">
      <c r="A583" s="58">
        <v>46257.916666666664</v>
      </c>
      <c r="B583" s="59" t="s">
        <v>27</v>
      </c>
      <c r="C583" s="60">
        <v>0</v>
      </c>
      <c r="D583" s="60">
        <v>0</v>
      </c>
      <c r="E583" s="60">
        <v>317</v>
      </c>
      <c r="F583" s="60">
        <v>509.5</v>
      </c>
    </row>
    <row r="584" spans="1:6">
      <c r="A584" s="58">
        <v>46257.958333333336</v>
      </c>
      <c r="B584" s="59" t="s">
        <v>27</v>
      </c>
      <c r="C584" s="60">
        <v>0</v>
      </c>
      <c r="D584" s="60">
        <v>0</v>
      </c>
      <c r="E584" s="60">
        <v>317</v>
      </c>
      <c r="F584" s="60">
        <v>509.5</v>
      </c>
    </row>
    <row r="585" spans="1:6">
      <c r="A585" s="58">
        <v>46258</v>
      </c>
      <c r="B585" s="59" t="s">
        <v>27</v>
      </c>
      <c r="C585" s="60">
        <v>0</v>
      </c>
      <c r="D585" s="60">
        <v>0</v>
      </c>
      <c r="E585" s="60">
        <v>317</v>
      </c>
      <c r="F585" s="60">
        <v>509.5</v>
      </c>
    </row>
    <row r="586" spans="1:6">
      <c r="A586" s="58">
        <v>46258.041666666664</v>
      </c>
      <c r="B586" s="59" t="s">
        <v>27</v>
      </c>
      <c r="C586" s="60">
        <v>0</v>
      </c>
      <c r="D586" s="60">
        <v>0</v>
      </c>
      <c r="E586" s="60">
        <v>317</v>
      </c>
      <c r="F586" s="60">
        <v>509.5</v>
      </c>
    </row>
    <row r="587" spans="1:6">
      <c r="A587" s="58">
        <v>46258.083333333336</v>
      </c>
      <c r="B587" s="59" t="s">
        <v>27</v>
      </c>
      <c r="C587" s="60">
        <v>0</v>
      </c>
      <c r="D587" s="60">
        <v>0</v>
      </c>
      <c r="E587" s="60">
        <v>317</v>
      </c>
      <c r="F587" s="60">
        <v>509.5</v>
      </c>
    </row>
    <row r="588" spans="1:6">
      <c r="A588" s="58">
        <v>46258.125</v>
      </c>
      <c r="B588" s="59" t="s">
        <v>27</v>
      </c>
      <c r="C588" s="60">
        <v>0</v>
      </c>
      <c r="D588" s="60">
        <v>0</v>
      </c>
      <c r="E588" s="60">
        <v>317</v>
      </c>
      <c r="F588" s="60">
        <v>509.5</v>
      </c>
    </row>
    <row r="589" spans="1:6">
      <c r="A589" s="58">
        <v>46258.166666666664</v>
      </c>
      <c r="B589" s="59" t="s">
        <v>27</v>
      </c>
      <c r="C589" s="60">
        <v>0</v>
      </c>
      <c r="D589" s="60">
        <v>0</v>
      </c>
      <c r="E589" s="60">
        <v>317</v>
      </c>
      <c r="F589" s="60">
        <v>509.5</v>
      </c>
    </row>
    <row r="590" spans="1:6">
      <c r="A590" s="58">
        <v>46258.208333333336</v>
      </c>
      <c r="B590" s="59" t="s">
        <v>27</v>
      </c>
      <c r="C590" s="60">
        <v>0</v>
      </c>
      <c r="D590" s="60">
        <v>0</v>
      </c>
      <c r="E590" s="60">
        <v>317</v>
      </c>
      <c r="F590" s="60">
        <v>509.5</v>
      </c>
    </row>
    <row r="591" spans="1:6">
      <c r="A591" s="58">
        <v>46258.25</v>
      </c>
      <c r="B591" s="59" t="s">
        <v>27</v>
      </c>
      <c r="C591" s="60">
        <v>0</v>
      </c>
      <c r="D591" s="60">
        <v>0</v>
      </c>
      <c r="E591" s="60">
        <v>317</v>
      </c>
      <c r="F591" s="60">
        <v>509.5</v>
      </c>
    </row>
    <row r="592" spans="1:6">
      <c r="A592" s="58">
        <v>46258.291666666664</v>
      </c>
      <c r="B592" s="59" t="s">
        <v>27</v>
      </c>
      <c r="C592" s="60">
        <v>0</v>
      </c>
      <c r="D592" s="60">
        <v>0</v>
      </c>
      <c r="E592" s="60">
        <v>317</v>
      </c>
      <c r="F592" s="60">
        <v>509.5</v>
      </c>
    </row>
    <row r="593" spans="1:6">
      <c r="A593" s="58">
        <v>46258.333333333336</v>
      </c>
      <c r="B593" s="59" t="s">
        <v>27</v>
      </c>
      <c r="C593" s="60">
        <v>0</v>
      </c>
      <c r="D593" s="60">
        <v>0</v>
      </c>
      <c r="E593" s="60">
        <v>317</v>
      </c>
      <c r="F593" s="60">
        <v>509.5</v>
      </c>
    </row>
    <row r="594" spans="1:6">
      <c r="A594" s="58">
        <v>46258.375</v>
      </c>
      <c r="B594" s="59" t="s">
        <v>27</v>
      </c>
      <c r="C594" s="60">
        <v>0</v>
      </c>
      <c r="D594" s="60">
        <v>0</v>
      </c>
      <c r="E594" s="60">
        <v>317</v>
      </c>
      <c r="F594" s="60">
        <v>509.5</v>
      </c>
    </row>
    <row r="595" spans="1:6">
      <c r="A595" s="58">
        <v>46258.416666666664</v>
      </c>
      <c r="B595" s="59" t="s">
        <v>27</v>
      </c>
      <c r="C595" s="60">
        <v>0</v>
      </c>
      <c r="D595" s="60">
        <v>0</v>
      </c>
      <c r="E595" s="60">
        <v>317</v>
      </c>
      <c r="F595" s="60">
        <v>509.5</v>
      </c>
    </row>
    <row r="596" spans="1:6">
      <c r="A596" s="58">
        <v>46258.458333333336</v>
      </c>
      <c r="B596" s="59" t="s">
        <v>27</v>
      </c>
      <c r="C596" s="60">
        <v>0</v>
      </c>
      <c r="D596" s="60">
        <v>0</v>
      </c>
      <c r="E596" s="60">
        <v>317</v>
      </c>
      <c r="F596" s="60">
        <v>509.5</v>
      </c>
    </row>
    <row r="597" spans="1:6">
      <c r="A597" s="58">
        <v>46258.5</v>
      </c>
      <c r="B597" s="59" t="s">
        <v>27</v>
      </c>
      <c r="C597" s="60">
        <v>0</v>
      </c>
      <c r="D597" s="60">
        <v>0</v>
      </c>
      <c r="E597" s="60">
        <v>317</v>
      </c>
      <c r="F597" s="60">
        <v>509.5</v>
      </c>
    </row>
    <row r="598" spans="1:6">
      <c r="A598" s="58">
        <v>46258.541666666664</v>
      </c>
      <c r="B598" s="59" t="s">
        <v>27</v>
      </c>
      <c r="C598" s="60">
        <v>0</v>
      </c>
      <c r="D598" s="60">
        <v>0</v>
      </c>
      <c r="E598" s="60">
        <v>317</v>
      </c>
      <c r="F598" s="60">
        <v>509.5</v>
      </c>
    </row>
    <row r="599" spans="1:6">
      <c r="A599" s="58">
        <v>46258.583333333336</v>
      </c>
      <c r="B599" s="59" t="s">
        <v>27</v>
      </c>
      <c r="C599" s="60">
        <v>0</v>
      </c>
      <c r="D599" s="60">
        <v>0</v>
      </c>
      <c r="E599" s="60">
        <v>317</v>
      </c>
      <c r="F599" s="60">
        <v>509.5</v>
      </c>
    </row>
    <row r="600" spans="1:6">
      <c r="A600" s="58">
        <v>46258.625</v>
      </c>
      <c r="B600" s="59" t="s">
        <v>27</v>
      </c>
      <c r="C600" s="60">
        <v>0</v>
      </c>
      <c r="D600" s="60">
        <v>0</v>
      </c>
      <c r="E600" s="60">
        <v>317</v>
      </c>
      <c r="F600" s="60">
        <v>509.5</v>
      </c>
    </row>
    <row r="601" spans="1:6">
      <c r="A601" s="58">
        <v>46258.666666666664</v>
      </c>
      <c r="B601" s="59" t="s">
        <v>27</v>
      </c>
      <c r="C601" s="60">
        <v>0</v>
      </c>
      <c r="D601" s="60">
        <v>0</v>
      </c>
      <c r="E601" s="60">
        <v>317</v>
      </c>
      <c r="F601" s="60">
        <v>509.5</v>
      </c>
    </row>
    <row r="602" spans="1:6">
      <c r="A602" s="58">
        <v>46258.708333333336</v>
      </c>
      <c r="B602" s="59" t="s">
        <v>27</v>
      </c>
      <c r="C602" s="60">
        <v>0</v>
      </c>
      <c r="D602" s="60">
        <v>0</v>
      </c>
      <c r="E602" s="60">
        <v>317</v>
      </c>
      <c r="F602" s="60">
        <v>509.5</v>
      </c>
    </row>
    <row r="603" spans="1:6">
      <c r="A603" s="58">
        <v>46258.75</v>
      </c>
      <c r="B603" s="59" t="s">
        <v>27</v>
      </c>
      <c r="C603" s="60">
        <v>0</v>
      </c>
      <c r="D603" s="60">
        <v>0</v>
      </c>
      <c r="E603" s="60">
        <v>317</v>
      </c>
      <c r="F603" s="60">
        <v>509.5</v>
      </c>
    </row>
    <row r="604" spans="1:6">
      <c r="A604" s="58">
        <v>46258.791666666664</v>
      </c>
      <c r="B604" s="59" t="s">
        <v>27</v>
      </c>
      <c r="C604" s="60">
        <v>0</v>
      </c>
      <c r="D604" s="60">
        <v>0</v>
      </c>
      <c r="E604" s="60">
        <v>317</v>
      </c>
      <c r="F604" s="60">
        <v>509.5</v>
      </c>
    </row>
    <row r="605" spans="1:6">
      <c r="A605" s="58">
        <v>46258.833333333336</v>
      </c>
      <c r="B605" s="59" t="s">
        <v>27</v>
      </c>
      <c r="C605" s="60">
        <v>0</v>
      </c>
      <c r="D605" s="60">
        <v>0</v>
      </c>
      <c r="E605" s="60">
        <v>317</v>
      </c>
      <c r="F605" s="60">
        <v>509.5</v>
      </c>
    </row>
    <row r="606" spans="1:6">
      <c r="A606" s="58">
        <v>46258.875</v>
      </c>
      <c r="B606" s="59" t="s">
        <v>27</v>
      </c>
      <c r="C606" s="60">
        <v>0</v>
      </c>
      <c r="D606" s="60">
        <v>0</v>
      </c>
      <c r="E606" s="60">
        <v>317</v>
      </c>
      <c r="F606" s="60">
        <v>509.5</v>
      </c>
    </row>
    <row r="607" spans="1:6">
      <c r="A607" s="58">
        <v>46258.916666666664</v>
      </c>
      <c r="B607" s="59" t="s">
        <v>27</v>
      </c>
      <c r="C607" s="60">
        <v>0</v>
      </c>
      <c r="D607" s="60">
        <v>0</v>
      </c>
      <c r="E607" s="60">
        <v>317</v>
      </c>
      <c r="F607" s="60">
        <v>509.5</v>
      </c>
    </row>
    <row r="608" spans="1:6">
      <c r="A608" s="58">
        <v>46258.958333333336</v>
      </c>
      <c r="B608" s="59" t="s">
        <v>27</v>
      </c>
      <c r="C608" s="60">
        <v>0</v>
      </c>
      <c r="D608" s="60">
        <v>0</v>
      </c>
      <c r="E608" s="60">
        <v>317</v>
      </c>
      <c r="F608" s="60">
        <v>509.5</v>
      </c>
    </row>
    <row r="609" spans="1:6">
      <c r="A609" s="58">
        <v>46259</v>
      </c>
      <c r="B609" s="59" t="s">
        <v>27</v>
      </c>
      <c r="C609" s="60">
        <v>0</v>
      </c>
      <c r="D609" s="60">
        <v>0</v>
      </c>
      <c r="E609" s="60">
        <v>317</v>
      </c>
      <c r="F609" s="60">
        <v>509.5</v>
      </c>
    </row>
    <row r="610" spans="1:6">
      <c r="A610" s="58">
        <v>46259.041666666664</v>
      </c>
      <c r="B610" s="59" t="s">
        <v>27</v>
      </c>
      <c r="C610" s="60">
        <v>0</v>
      </c>
      <c r="D610" s="60">
        <v>0</v>
      </c>
      <c r="E610" s="60">
        <v>317</v>
      </c>
      <c r="F610" s="60">
        <v>509.5</v>
      </c>
    </row>
    <row r="611" spans="1:6">
      <c r="A611" s="58">
        <v>46259.083333333336</v>
      </c>
      <c r="B611" s="59" t="s">
        <v>27</v>
      </c>
      <c r="C611" s="60">
        <v>0</v>
      </c>
      <c r="D611" s="60">
        <v>0</v>
      </c>
      <c r="E611" s="60">
        <v>317</v>
      </c>
      <c r="F611" s="60">
        <v>509.5</v>
      </c>
    </row>
    <row r="612" spans="1:6">
      <c r="A612" s="58">
        <v>46259.125</v>
      </c>
      <c r="B612" s="59" t="s">
        <v>27</v>
      </c>
      <c r="C612" s="60">
        <v>0</v>
      </c>
      <c r="D612" s="60">
        <v>0</v>
      </c>
      <c r="E612" s="60">
        <v>317</v>
      </c>
      <c r="F612" s="60">
        <v>509.5</v>
      </c>
    </row>
    <row r="613" spans="1:6">
      <c r="A613" s="58">
        <v>46259.166666666664</v>
      </c>
      <c r="B613" s="59" t="s">
        <v>27</v>
      </c>
      <c r="C613" s="60">
        <v>0</v>
      </c>
      <c r="D613" s="60">
        <v>0</v>
      </c>
      <c r="E613" s="60">
        <v>317</v>
      </c>
      <c r="F613" s="60">
        <v>509.5</v>
      </c>
    </row>
    <row r="614" spans="1:6">
      <c r="A614" s="58">
        <v>46259.208333333336</v>
      </c>
      <c r="B614" s="59" t="s">
        <v>27</v>
      </c>
      <c r="C614" s="60">
        <v>0</v>
      </c>
      <c r="D614" s="60">
        <v>0</v>
      </c>
      <c r="E614" s="60">
        <v>317</v>
      </c>
      <c r="F614" s="60">
        <v>509.5</v>
      </c>
    </row>
    <row r="615" spans="1:6">
      <c r="A615" s="58">
        <v>46259.25</v>
      </c>
      <c r="B615" s="59" t="s">
        <v>27</v>
      </c>
      <c r="C615" s="60">
        <v>0</v>
      </c>
      <c r="D615" s="60">
        <v>0</v>
      </c>
      <c r="E615" s="60">
        <v>317</v>
      </c>
      <c r="F615" s="60">
        <v>509.5</v>
      </c>
    </row>
    <row r="616" spans="1:6">
      <c r="A616" s="58">
        <v>46259.291666666664</v>
      </c>
      <c r="B616" s="59" t="s">
        <v>27</v>
      </c>
      <c r="C616" s="60">
        <v>0</v>
      </c>
      <c r="D616" s="60">
        <v>0</v>
      </c>
      <c r="E616" s="60">
        <v>317</v>
      </c>
      <c r="F616" s="60">
        <v>509.5</v>
      </c>
    </row>
    <row r="617" spans="1:6">
      <c r="A617" s="58">
        <v>46259.333333333336</v>
      </c>
      <c r="B617" s="59" t="s">
        <v>27</v>
      </c>
      <c r="C617" s="60">
        <v>0</v>
      </c>
      <c r="D617" s="60">
        <v>0</v>
      </c>
      <c r="E617" s="60">
        <v>317</v>
      </c>
      <c r="F617" s="60">
        <v>509.5</v>
      </c>
    </row>
    <row r="618" spans="1:6">
      <c r="A618" s="58">
        <v>46259.375</v>
      </c>
      <c r="B618" s="59" t="s">
        <v>27</v>
      </c>
      <c r="C618" s="60">
        <v>0</v>
      </c>
      <c r="D618" s="60">
        <v>0</v>
      </c>
      <c r="E618" s="60">
        <v>317</v>
      </c>
      <c r="F618" s="60">
        <v>509.5</v>
      </c>
    </row>
    <row r="619" spans="1:6">
      <c r="A619" s="58">
        <v>46259.416666666664</v>
      </c>
      <c r="B619" s="59" t="s">
        <v>27</v>
      </c>
      <c r="C619" s="60">
        <v>0</v>
      </c>
      <c r="D619" s="60">
        <v>0</v>
      </c>
      <c r="E619" s="60">
        <v>317</v>
      </c>
      <c r="F619" s="60">
        <v>509.5</v>
      </c>
    </row>
    <row r="620" spans="1:6">
      <c r="A620" s="58">
        <v>46259.458333333336</v>
      </c>
      <c r="B620" s="59" t="s">
        <v>27</v>
      </c>
      <c r="C620" s="60">
        <v>0</v>
      </c>
      <c r="D620" s="60">
        <v>0</v>
      </c>
      <c r="E620" s="60">
        <v>317</v>
      </c>
      <c r="F620" s="60">
        <v>509.5</v>
      </c>
    </row>
    <row r="621" spans="1:6">
      <c r="A621" s="58">
        <v>46259.5</v>
      </c>
      <c r="B621" s="59" t="s">
        <v>27</v>
      </c>
      <c r="C621" s="60">
        <v>0</v>
      </c>
      <c r="D621" s="60">
        <v>0</v>
      </c>
      <c r="E621" s="60">
        <v>317</v>
      </c>
      <c r="F621" s="60">
        <v>509.5</v>
      </c>
    </row>
    <row r="622" spans="1:6">
      <c r="A622" s="58">
        <v>46259.541666666664</v>
      </c>
      <c r="B622" s="59" t="s">
        <v>27</v>
      </c>
      <c r="C622" s="60">
        <v>0</v>
      </c>
      <c r="D622" s="60">
        <v>0</v>
      </c>
      <c r="E622" s="60">
        <v>317</v>
      </c>
      <c r="F622" s="60">
        <v>509.5</v>
      </c>
    </row>
    <row r="623" spans="1:6">
      <c r="A623" s="58">
        <v>46259.583333333336</v>
      </c>
      <c r="B623" s="59" t="s">
        <v>27</v>
      </c>
      <c r="C623" s="60">
        <v>0</v>
      </c>
      <c r="D623" s="60">
        <v>0</v>
      </c>
      <c r="E623" s="60">
        <v>317</v>
      </c>
      <c r="F623" s="60">
        <v>509.5</v>
      </c>
    </row>
    <row r="624" spans="1:6">
      <c r="A624" s="58">
        <v>46259.625</v>
      </c>
      <c r="B624" s="59" t="s">
        <v>27</v>
      </c>
      <c r="C624" s="60">
        <v>0</v>
      </c>
      <c r="D624" s="60">
        <v>0</v>
      </c>
      <c r="E624" s="60">
        <v>317</v>
      </c>
      <c r="F624" s="60">
        <v>509.5</v>
      </c>
    </row>
    <row r="625" spans="1:6">
      <c r="A625" s="58">
        <v>46259.666666666664</v>
      </c>
      <c r="B625" s="59" t="s">
        <v>27</v>
      </c>
      <c r="C625" s="60">
        <v>0</v>
      </c>
      <c r="D625" s="60">
        <v>0</v>
      </c>
      <c r="E625" s="60">
        <v>317</v>
      </c>
      <c r="F625" s="60">
        <v>509.5</v>
      </c>
    </row>
    <row r="626" spans="1:6">
      <c r="A626" s="58">
        <v>46259.708333333336</v>
      </c>
      <c r="B626" s="59" t="s">
        <v>27</v>
      </c>
      <c r="C626" s="60">
        <v>0</v>
      </c>
      <c r="D626" s="60">
        <v>0</v>
      </c>
      <c r="E626" s="60">
        <v>317</v>
      </c>
      <c r="F626" s="60">
        <v>509.5</v>
      </c>
    </row>
    <row r="627" spans="1:6">
      <c r="A627" s="58">
        <v>46259.75</v>
      </c>
      <c r="B627" s="59" t="s">
        <v>27</v>
      </c>
      <c r="C627" s="60">
        <v>0</v>
      </c>
      <c r="D627" s="60">
        <v>0</v>
      </c>
      <c r="E627" s="60">
        <v>317</v>
      </c>
      <c r="F627" s="60">
        <v>509.5</v>
      </c>
    </row>
    <row r="628" spans="1:6">
      <c r="A628" s="58">
        <v>46259.791666666664</v>
      </c>
      <c r="B628" s="59" t="s">
        <v>27</v>
      </c>
      <c r="C628" s="60">
        <v>0</v>
      </c>
      <c r="D628" s="60">
        <v>0</v>
      </c>
      <c r="E628" s="60">
        <v>317</v>
      </c>
      <c r="F628" s="60">
        <v>509.5</v>
      </c>
    </row>
    <row r="629" spans="1:6">
      <c r="A629" s="58">
        <v>46259.833333333336</v>
      </c>
      <c r="B629" s="59" t="s">
        <v>27</v>
      </c>
      <c r="C629" s="60">
        <v>0</v>
      </c>
      <c r="D629" s="60">
        <v>0</v>
      </c>
      <c r="E629" s="60">
        <v>317</v>
      </c>
      <c r="F629" s="60">
        <v>509.5</v>
      </c>
    </row>
    <row r="630" spans="1:6">
      <c r="A630" s="58">
        <v>46259.875</v>
      </c>
      <c r="B630" s="59" t="s">
        <v>27</v>
      </c>
      <c r="C630" s="60">
        <v>0</v>
      </c>
      <c r="D630" s="60">
        <v>0</v>
      </c>
      <c r="E630" s="60">
        <v>317</v>
      </c>
      <c r="F630" s="60">
        <v>509.5</v>
      </c>
    </row>
    <row r="631" spans="1:6">
      <c r="A631" s="58">
        <v>46259.916666666664</v>
      </c>
      <c r="B631" s="59" t="s">
        <v>27</v>
      </c>
      <c r="C631" s="60">
        <v>0</v>
      </c>
      <c r="D631" s="60">
        <v>0</v>
      </c>
      <c r="E631" s="60">
        <v>317</v>
      </c>
      <c r="F631" s="60">
        <v>509.5</v>
      </c>
    </row>
    <row r="632" spans="1:6">
      <c r="A632" s="58">
        <v>46259.958333333336</v>
      </c>
      <c r="B632" s="59" t="s">
        <v>27</v>
      </c>
      <c r="C632" s="60">
        <v>0</v>
      </c>
      <c r="D632" s="60">
        <v>0</v>
      </c>
      <c r="E632" s="60">
        <v>317</v>
      </c>
      <c r="F632" s="60">
        <v>509.5</v>
      </c>
    </row>
    <row r="633" spans="1:6">
      <c r="A633" s="58">
        <v>46260</v>
      </c>
      <c r="B633" s="59" t="s">
        <v>27</v>
      </c>
      <c r="C633" s="60">
        <v>0</v>
      </c>
      <c r="D633" s="60">
        <v>0</v>
      </c>
      <c r="E633" s="60">
        <v>317</v>
      </c>
      <c r="F633" s="60">
        <v>509.5</v>
      </c>
    </row>
    <row r="634" spans="1:6">
      <c r="A634" s="58">
        <v>46260.041666666664</v>
      </c>
      <c r="B634" s="59" t="s">
        <v>27</v>
      </c>
      <c r="C634" s="60">
        <v>0</v>
      </c>
      <c r="D634" s="60">
        <v>0</v>
      </c>
      <c r="E634" s="60">
        <v>317</v>
      </c>
      <c r="F634" s="60">
        <v>509.5</v>
      </c>
    </row>
    <row r="635" spans="1:6">
      <c r="A635" s="58">
        <v>46260.083333333336</v>
      </c>
      <c r="B635" s="59" t="s">
        <v>27</v>
      </c>
      <c r="C635" s="60">
        <v>0</v>
      </c>
      <c r="D635" s="60">
        <v>0</v>
      </c>
      <c r="E635" s="60">
        <v>317</v>
      </c>
      <c r="F635" s="60">
        <v>509.5</v>
      </c>
    </row>
    <row r="636" spans="1:6">
      <c r="A636" s="58">
        <v>46260.125</v>
      </c>
      <c r="B636" s="59" t="s">
        <v>27</v>
      </c>
      <c r="C636" s="60">
        <v>0</v>
      </c>
      <c r="D636" s="60">
        <v>0</v>
      </c>
      <c r="E636" s="60">
        <v>317</v>
      </c>
      <c r="F636" s="60">
        <v>509.5</v>
      </c>
    </row>
    <row r="637" spans="1:6">
      <c r="A637" s="58">
        <v>46260.166666666664</v>
      </c>
      <c r="B637" s="59" t="s">
        <v>27</v>
      </c>
      <c r="C637" s="60">
        <v>0</v>
      </c>
      <c r="D637" s="60">
        <v>0</v>
      </c>
      <c r="E637" s="60">
        <v>317</v>
      </c>
      <c r="F637" s="60">
        <v>509.5</v>
      </c>
    </row>
    <row r="638" spans="1:6">
      <c r="A638" s="58">
        <v>46260.208333333336</v>
      </c>
      <c r="B638" s="59" t="s">
        <v>27</v>
      </c>
      <c r="C638" s="60">
        <v>0</v>
      </c>
      <c r="D638" s="60">
        <v>0</v>
      </c>
      <c r="E638" s="60">
        <v>317</v>
      </c>
      <c r="F638" s="60">
        <v>509.5</v>
      </c>
    </row>
    <row r="639" spans="1:6">
      <c r="A639" s="58">
        <v>46260.25</v>
      </c>
      <c r="B639" s="59" t="s">
        <v>27</v>
      </c>
      <c r="C639" s="60">
        <v>0</v>
      </c>
      <c r="D639" s="60">
        <v>0</v>
      </c>
      <c r="E639" s="60">
        <v>317</v>
      </c>
      <c r="F639" s="60">
        <v>509.5</v>
      </c>
    </row>
    <row r="640" spans="1:6">
      <c r="A640" s="58">
        <v>46260.291666666664</v>
      </c>
      <c r="B640" s="59" t="s">
        <v>27</v>
      </c>
      <c r="C640" s="60">
        <v>0</v>
      </c>
      <c r="D640" s="60">
        <v>0</v>
      </c>
      <c r="E640" s="60">
        <v>317</v>
      </c>
      <c r="F640" s="60">
        <v>509.5</v>
      </c>
    </row>
    <row r="641" spans="1:6">
      <c r="A641" s="58">
        <v>46260.333333333336</v>
      </c>
      <c r="B641" s="59" t="s">
        <v>27</v>
      </c>
      <c r="C641" s="60">
        <v>0</v>
      </c>
      <c r="D641" s="60">
        <v>0</v>
      </c>
      <c r="E641" s="60">
        <v>317</v>
      </c>
      <c r="F641" s="60">
        <v>509.5</v>
      </c>
    </row>
    <row r="642" spans="1:6">
      <c r="A642" s="58">
        <v>46260.375</v>
      </c>
      <c r="B642" s="59" t="s">
        <v>27</v>
      </c>
      <c r="C642" s="60">
        <v>0</v>
      </c>
      <c r="D642" s="60">
        <v>0</v>
      </c>
      <c r="E642" s="60">
        <v>317</v>
      </c>
      <c r="F642" s="60">
        <v>509.5</v>
      </c>
    </row>
    <row r="643" spans="1:6">
      <c r="A643" s="58">
        <v>46260.416666666664</v>
      </c>
      <c r="B643" s="59" t="s">
        <v>27</v>
      </c>
      <c r="C643" s="60">
        <v>0</v>
      </c>
      <c r="D643" s="60">
        <v>0</v>
      </c>
      <c r="E643" s="60">
        <v>317</v>
      </c>
      <c r="F643" s="60">
        <v>509.5</v>
      </c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43"/>
  <sheetViews>
    <sheetView topLeftCell="A614" workbookViewId="0">
      <selection activeCell="A2" sqref="A2:F643"/>
    </sheetView>
  </sheetViews>
  <sheetFormatPr defaultRowHeight="13.5"/>
  <cols>
    <col min="1" max="1" width="18.875" style="19" customWidth="1"/>
    <col min="16" max="19" width="9" style="15"/>
  </cols>
  <sheetData>
    <row r="1" spans="1:9">
      <c r="A1" s="25" t="s">
        <v>30</v>
      </c>
      <c r="B1" s="35" t="s">
        <v>20</v>
      </c>
      <c r="C1" s="35" t="s">
        <v>21</v>
      </c>
      <c r="D1" s="35" t="s">
        <v>22</v>
      </c>
      <c r="E1" s="35" t="s">
        <v>23</v>
      </c>
      <c r="F1" s="35" t="s">
        <v>24</v>
      </c>
    </row>
    <row r="2" spans="1:9" ht="33">
      <c r="A2" s="61">
        <v>46233.708333333336</v>
      </c>
      <c r="B2" s="62" t="s">
        <v>28</v>
      </c>
      <c r="C2" s="63">
        <v>0</v>
      </c>
      <c r="D2" s="63">
        <v>300</v>
      </c>
      <c r="E2" s="63">
        <v>524.12030000000004</v>
      </c>
      <c r="F2" s="63">
        <v>488.86509999999998</v>
      </c>
      <c r="H2" s="2" t="s">
        <v>3</v>
      </c>
      <c r="I2" s="8">
        <f>MAX(C:C)</f>
        <v>955</v>
      </c>
    </row>
    <row r="3" spans="1:9" ht="33">
      <c r="A3" s="61">
        <v>46233.75</v>
      </c>
      <c r="B3" s="62" t="s">
        <v>28</v>
      </c>
      <c r="C3" s="63">
        <v>0</v>
      </c>
      <c r="D3" s="63">
        <v>300</v>
      </c>
      <c r="E3" s="63">
        <v>524.05070000000001</v>
      </c>
      <c r="F3" s="63">
        <v>487.7851</v>
      </c>
      <c r="H3" s="3" t="s">
        <v>4</v>
      </c>
      <c r="I3" s="8">
        <f>MAX(D:D)</f>
        <v>300</v>
      </c>
    </row>
    <row r="4" spans="1:9" ht="33">
      <c r="A4" s="61">
        <v>46233.791666666664</v>
      </c>
      <c r="B4" s="62" t="s">
        <v>28</v>
      </c>
      <c r="C4" s="63">
        <v>0</v>
      </c>
      <c r="D4" s="63">
        <v>300</v>
      </c>
      <c r="E4" s="63">
        <v>523.98099999999999</v>
      </c>
      <c r="F4" s="63">
        <v>486.70510000000002</v>
      </c>
      <c r="H4" s="2" t="s">
        <v>5</v>
      </c>
      <c r="I4" s="8">
        <f>I6-F2</f>
        <v>147.20760000000007</v>
      </c>
    </row>
    <row r="5" spans="1:9" ht="33">
      <c r="A5" s="61">
        <v>46233.833333333336</v>
      </c>
      <c r="B5" s="62" t="s">
        <v>28</v>
      </c>
      <c r="C5" s="63">
        <v>0</v>
      </c>
      <c r="D5" s="63">
        <v>300</v>
      </c>
      <c r="E5" s="63">
        <v>523.91129999999998</v>
      </c>
      <c r="F5" s="63">
        <v>485.62509999999997</v>
      </c>
      <c r="H5" s="2" t="s">
        <v>6</v>
      </c>
      <c r="I5" s="8">
        <f>MAX(E:E)</f>
        <v>532.69579999999996</v>
      </c>
    </row>
    <row r="6" spans="1:9" ht="33">
      <c r="A6" s="61">
        <v>46233.875</v>
      </c>
      <c r="B6" s="62" t="s">
        <v>28</v>
      </c>
      <c r="C6" s="63">
        <v>0</v>
      </c>
      <c r="D6" s="63">
        <v>300</v>
      </c>
      <c r="E6" s="63">
        <v>523.84159999999997</v>
      </c>
      <c r="F6" s="63">
        <v>484.54509999999999</v>
      </c>
      <c r="H6" s="2" t="s">
        <v>7</v>
      </c>
      <c r="I6" s="8">
        <f>MAX(F:F)</f>
        <v>636.07270000000005</v>
      </c>
    </row>
    <row r="7" spans="1:9">
      <c r="A7" s="61">
        <v>46233.916666666664</v>
      </c>
      <c r="B7" s="62" t="s">
        <v>28</v>
      </c>
      <c r="C7" s="63">
        <v>0</v>
      </c>
      <c r="D7" s="63">
        <v>300</v>
      </c>
      <c r="E7" s="63">
        <v>523.77200000000005</v>
      </c>
      <c r="F7" s="63">
        <v>483.46510000000001</v>
      </c>
    </row>
    <row r="8" spans="1:9">
      <c r="A8" s="61">
        <v>46233.958333333336</v>
      </c>
      <c r="B8" s="62" t="s">
        <v>28</v>
      </c>
      <c r="C8" s="63">
        <v>0</v>
      </c>
      <c r="D8" s="63">
        <v>300</v>
      </c>
      <c r="E8" s="63">
        <v>523.70230000000004</v>
      </c>
      <c r="F8" s="63">
        <v>482.38510000000002</v>
      </c>
    </row>
    <row r="9" spans="1:9">
      <c r="A9" s="61">
        <v>46234</v>
      </c>
      <c r="B9" s="62" t="s">
        <v>28</v>
      </c>
      <c r="C9" s="63">
        <v>0</v>
      </c>
      <c r="D9" s="63">
        <v>300</v>
      </c>
      <c r="E9" s="63">
        <v>523.63260000000002</v>
      </c>
      <c r="F9" s="63">
        <v>481.30509999999998</v>
      </c>
    </row>
    <row r="10" spans="1:9">
      <c r="A10" s="61">
        <v>46234.041666666664</v>
      </c>
      <c r="B10" s="62" t="s">
        <v>28</v>
      </c>
      <c r="C10" s="63">
        <v>0</v>
      </c>
      <c r="D10" s="63">
        <v>300</v>
      </c>
      <c r="E10" s="63">
        <v>523.56290000000001</v>
      </c>
      <c r="F10" s="63">
        <v>480.22519999999997</v>
      </c>
    </row>
    <row r="11" spans="1:9">
      <c r="A11" s="61">
        <v>46234.083333333336</v>
      </c>
      <c r="B11" s="62" t="s">
        <v>28</v>
      </c>
      <c r="C11" s="63">
        <v>0</v>
      </c>
      <c r="D11" s="63">
        <v>300</v>
      </c>
      <c r="E11" s="63">
        <v>523.4932</v>
      </c>
      <c r="F11" s="63">
        <v>479.14519999999999</v>
      </c>
    </row>
    <row r="12" spans="1:9">
      <c r="A12" s="61">
        <v>46234.125</v>
      </c>
      <c r="B12" s="62" t="s">
        <v>28</v>
      </c>
      <c r="C12" s="63">
        <v>0</v>
      </c>
      <c r="D12" s="63">
        <v>300</v>
      </c>
      <c r="E12" s="63">
        <v>523.42359999999996</v>
      </c>
      <c r="F12" s="63">
        <v>478.0652</v>
      </c>
    </row>
    <row r="13" spans="1:9">
      <c r="A13" s="61">
        <v>46234.166666666664</v>
      </c>
      <c r="B13" s="62" t="s">
        <v>28</v>
      </c>
      <c r="C13" s="63">
        <v>0</v>
      </c>
      <c r="D13" s="63">
        <v>300</v>
      </c>
      <c r="E13" s="63">
        <v>523.35389999999995</v>
      </c>
      <c r="F13" s="63">
        <v>476.98520000000002</v>
      </c>
    </row>
    <row r="14" spans="1:9">
      <c r="A14" s="61">
        <v>46234.208333333336</v>
      </c>
      <c r="B14" s="62" t="s">
        <v>28</v>
      </c>
      <c r="C14" s="63">
        <v>0</v>
      </c>
      <c r="D14" s="63">
        <v>300</v>
      </c>
      <c r="E14" s="63">
        <v>523.28420000000006</v>
      </c>
      <c r="F14" s="63">
        <v>475.90519999999998</v>
      </c>
    </row>
    <row r="15" spans="1:9">
      <c r="A15" s="61">
        <v>46234.25</v>
      </c>
      <c r="B15" s="62" t="s">
        <v>28</v>
      </c>
      <c r="C15" s="63">
        <v>0</v>
      </c>
      <c r="D15" s="63">
        <v>300</v>
      </c>
      <c r="E15" s="63">
        <v>523.21450000000004</v>
      </c>
      <c r="F15" s="63">
        <v>474.8252</v>
      </c>
    </row>
    <row r="16" spans="1:9">
      <c r="A16" s="61">
        <v>46234.291666666664</v>
      </c>
      <c r="B16" s="62" t="s">
        <v>28</v>
      </c>
      <c r="C16" s="63">
        <v>0.5</v>
      </c>
      <c r="D16" s="63">
        <v>300</v>
      </c>
      <c r="E16" s="63">
        <v>523.14490000000001</v>
      </c>
      <c r="F16" s="63">
        <v>473.74610000000001</v>
      </c>
    </row>
    <row r="17" spans="1:19">
      <c r="A17" s="61">
        <v>46234.333333333336</v>
      </c>
      <c r="B17" s="62" t="s">
        <v>28</v>
      </c>
      <c r="C17" s="63">
        <v>1</v>
      </c>
      <c r="D17" s="63">
        <v>300</v>
      </c>
      <c r="E17" s="63">
        <v>523.07539999999995</v>
      </c>
      <c r="F17" s="63">
        <v>472.66879999999998</v>
      </c>
    </row>
    <row r="18" spans="1:19">
      <c r="A18" s="61">
        <v>46234.375</v>
      </c>
      <c r="B18" s="62" t="s">
        <v>28</v>
      </c>
      <c r="C18" s="63">
        <v>1.5</v>
      </c>
      <c r="D18" s="63">
        <v>300</v>
      </c>
      <c r="E18" s="63">
        <v>523.00599999999997</v>
      </c>
      <c r="F18" s="63">
        <v>471.5933</v>
      </c>
    </row>
    <row r="19" spans="1:19" s="7" customFormat="1">
      <c r="A19" s="61">
        <v>46234.416666666664</v>
      </c>
      <c r="B19" s="62" t="s">
        <v>28</v>
      </c>
      <c r="C19" s="63">
        <v>2</v>
      </c>
      <c r="D19" s="63">
        <v>300</v>
      </c>
      <c r="E19" s="63">
        <v>522.93679999999995</v>
      </c>
      <c r="F19" s="63">
        <v>470.51960000000003</v>
      </c>
      <c r="P19" s="15"/>
      <c r="Q19" s="15"/>
      <c r="R19" s="15"/>
      <c r="S19" s="15"/>
    </row>
    <row r="20" spans="1:19">
      <c r="A20" s="61">
        <v>46234.458333333336</v>
      </c>
      <c r="B20" s="62" t="s">
        <v>28</v>
      </c>
      <c r="C20" s="63">
        <v>5.5</v>
      </c>
      <c r="D20" s="63">
        <v>300</v>
      </c>
      <c r="E20" s="63">
        <v>522.86789999999996</v>
      </c>
      <c r="F20" s="63">
        <v>469.45310000000001</v>
      </c>
    </row>
    <row r="21" spans="1:19">
      <c r="A21" s="61">
        <v>46234.5</v>
      </c>
      <c r="B21" s="62" t="s">
        <v>28</v>
      </c>
      <c r="C21" s="63">
        <v>9</v>
      </c>
      <c r="D21" s="63">
        <v>300</v>
      </c>
      <c r="E21" s="63">
        <v>522.79989999999998</v>
      </c>
      <c r="F21" s="63">
        <v>468.39920000000001</v>
      </c>
    </row>
    <row r="22" spans="1:19">
      <c r="A22" s="61">
        <v>46234.541666666664</v>
      </c>
      <c r="B22" s="62" t="s">
        <v>28</v>
      </c>
      <c r="C22" s="63">
        <v>14.5</v>
      </c>
      <c r="D22" s="63">
        <v>300</v>
      </c>
      <c r="E22" s="63">
        <v>522.73299999999995</v>
      </c>
      <c r="F22" s="63">
        <v>467.36149999999998</v>
      </c>
    </row>
    <row r="23" spans="1:19">
      <c r="A23" s="61">
        <v>46234.583333333336</v>
      </c>
      <c r="B23" s="62" t="s">
        <v>28</v>
      </c>
      <c r="C23" s="63">
        <v>20</v>
      </c>
      <c r="D23" s="63">
        <v>300</v>
      </c>
      <c r="E23" s="63">
        <v>522.66740000000004</v>
      </c>
      <c r="F23" s="63">
        <v>466.34359999999998</v>
      </c>
    </row>
    <row r="24" spans="1:19">
      <c r="A24" s="61">
        <v>46234.625</v>
      </c>
      <c r="B24" s="62" t="s">
        <v>28</v>
      </c>
      <c r="C24" s="63">
        <v>25.5</v>
      </c>
      <c r="D24" s="63">
        <v>300</v>
      </c>
      <c r="E24" s="63">
        <v>522.60299999999995</v>
      </c>
      <c r="F24" s="63">
        <v>465.34550000000002</v>
      </c>
    </row>
    <row r="25" spans="1:19">
      <c r="A25" s="61">
        <v>46234.666666666664</v>
      </c>
      <c r="B25" s="62" t="s">
        <v>28</v>
      </c>
      <c r="C25" s="63">
        <v>31</v>
      </c>
      <c r="D25" s="63">
        <v>300</v>
      </c>
      <c r="E25" s="63">
        <v>522.53980000000001</v>
      </c>
      <c r="F25" s="63">
        <v>464.36720000000003</v>
      </c>
    </row>
    <row r="26" spans="1:19">
      <c r="A26" s="61">
        <v>46234.708333333336</v>
      </c>
      <c r="B26" s="62" t="s">
        <v>28</v>
      </c>
      <c r="C26" s="63">
        <v>35.5</v>
      </c>
      <c r="D26" s="63">
        <v>300</v>
      </c>
      <c r="E26" s="63">
        <v>522.4778</v>
      </c>
      <c r="F26" s="63">
        <v>463.40690000000001</v>
      </c>
    </row>
    <row r="27" spans="1:19">
      <c r="A27" s="61">
        <v>46234.75</v>
      </c>
      <c r="B27" s="62" t="s">
        <v>28</v>
      </c>
      <c r="C27" s="63">
        <v>40</v>
      </c>
      <c r="D27" s="63">
        <v>300</v>
      </c>
      <c r="E27" s="63">
        <v>522.41690000000006</v>
      </c>
      <c r="F27" s="63">
        <v>462.46280000000002</v>
      </c>
    </row>
    <row r="28" spans="1:19">
      <c r="A28" s="61">
        <v>46234.791666666664</v>
      </c>
      <c r="B28" s="62" t="s">
        <v>28</v>
      </c>
      <c r="C28" s="63">
        <v>44.5</v>
      </c>
      <c r="D28" s="63">
        <v>300</v>
      </c>
      <c r="E28" s="63">
        <v>522.35709999999995</v>
      </c>
      <c r="F28" s="63">
        <v>461.53489999999999</v>
      </c>
    </row>
    <row r="29" spans="1:19">
      <c r="A29" s="61">
        <v>46234.833333333336</v>
      </c>
      <c r="B29" s="62" t="s">
        <v>28</v>
      </c>
      <c r="C29" s="63">
        <v>49</v>
      </c>
      <c r="D29" s="63">
        <v>300</v>
      </c>
      <c r="E29" s="63">
        <v>522.29830000000004</v>
      </c>
      <c r="F29" s="63">
        <v>460.6232</v>
      </c>
    </row>
    <row r="30" spans="1:19">
      <c r="A30" s="61">
        <v>46234.875</v>
      </c>
      <c r="B30" s="62" t="s">
        <v>28</v>
      </c>
      <c r="C30" s="63">
        <v>52</v>
      </c>
      <c r="D30" s="63">
        <v>300</v>
      </c>
      <c r="E30" s="63">
        <v>522.24030000000005</v>
      </c>
      <c r="F30" s="63">
        <v>459.72500000000002</v>
      </c>
    </row>
    <row r="31" spans="1:19">
      <c r="A31" s="61">
        <v>46234.916666666664</v>
      </c>
      <c r="B31" s="62" t="s">
        <v>28</v>
      </c>
      <c r="C31" s="63">
        <v>55</v>
      </c>
      <c r="D31" s="63">
        <v>0</v>
      </c>
      <c r="E31" s="63">
        <v>522.21789999999999</v>
      </c>
      <c r="F31" s="63">
        <v>459.37759999999997</v>
      </c>
    </row>
    <row r="32" spans="1:19">
      <c r="A32" s="61">
        <v>46234.958333333336</v>
      </c>
      <c r="B32" s="62" t="s">
        <v>28</v>
      </c>
      <c r="C32" s="63">
        <v>58</v>
      </c>
      <c r="D32" s="63">
        <v>0</v>
      </c>
      <c r="E32" s="63">
        <v>522.23099999999999</v>
      </c>
      <c r="F32" s="63">
        <v>459.58100000000002</v>
      </c>
    </row>
    <row r="33" spans="1:6">
      <c r="A33" s="61">
        <v>46235</v>
      </c>
      <c r="B33" s="62" t="s">
        <v>28</v>
      </c>
      <c r="C33" s="63">
        <v>61</v>
      </c>
      <c r="D33" s="63">
        <v>0</v>
      </c>
      <c r="E33" s="63">
        <v>522.24490000000003</v>
      </c>
      <c r="F33" s="63">
        <v>459.79520000000002</v>
      </c>
    </row>
    <row r="34" spans="1:6">
      <c r="A34" s="61">
        <v>46235.041666666664</v>
      </c>
      <c r="B34" s="62" t="s">
        <v>28</v>
      </c>
      <c r="C34" s="63">
        <v>62.5</v>
      </c>
      <c r="D34" s="63">
        <v>0</v>
      </c>
      <c r="E34" s="63">
        <v>522.25919999999996</v>
      </c>
      <c r="F34" s="63">
        <v>460.01749999999998</v>
      </c>
    </row>
    <row r="35" spans="1:6">
      <c r="A35" s="61">
        <v>46235.083333333336</v>
      </c>
      <c r="B35" s="62" t="s">
        <v>28</v>
      </c>
      <c r="C35" s="63">
        <v>64</v>
      </c>
      <c r="D35" s="63">
        <v>0</v>
      </c>
      <c r="E35" s="63">
        <v>522.27390000000003</v>
      </c>
      <c r="F35" s="63">
        <v>460.24520000000001</v>
      </c>
    </row>
    <row r="36" spans="1:6">
      <c r="A36" s="61">
        <v>46235.125</v>
      </c>
      <c r="B36" s="62" t="s">
        <v>28</v>
      </c>
      <c r="C36" s="63">
        <v>65</v>
      </c>
      <c r="D36" s="63">
        <v>0</v>
      </c>
      <c r="E36" s="63">
        <v>522.28890000000001</v>
      </c>
      <c r="F36" s="63">
        <v>460.47739999999999</v>
      </c>
    </row>
    <row r="37" spans="1:6">
      <c r="A37" s="61">
        <v>46235.166666666664</v>
      </c>
      <c r="B37" s="62" t="s">
        <v>28</v>
      </c>
      <c r="C37" s="63">
        <v>66</v>
      </c>
      <c r="D37" s="63">
        <v>0</v>
      </c>
      <c r="E37" s="63">
        <v>522.30409999999995</v>
      </c>
      <c r="F37" s="63">
        <v>460.71319999999997</v>
      </c>
    </row>
    <row r="38" spans="1:6">
      <c r="A38" s="61">
        <v>46235.208333333336</v>
      </c>
      <c r="B38" s="62" t="s">
        <v>28</v>
      </c>
      <c r="C38" s="63">
        <v>66.5</v>
      </c>
      <c r="D38" s="63">
        <v>0</v>
      </c>
      <c r="E38" s="63">
        <v>522.31949999999995</v>
      </c>
      <c r="F38" s="63">
        <v>460.95170000000002</v>
      </c>
    </row>
    <row r="39" spans="1:6">
      <c r="A39" s="61">
        <v>46235.25</v>
      </c>
      <c r="B39" s="62" t="s">
        <v>28</v>
      </c>
      <c r="C39" s="63">
        <v>67</v>
      </c>
      <c r="D39" s="63">
        <v>0</v>
      </c>
      <c r="E39" s="63">
        <v>522.33500000000004</v>
      </c>
      <c r="F39" s="63">
        <v>461.19200000000001</v>
      </c>
    </row>
    <row r="40" spans="1:6">
      <c r="A40" s="61">
        <v>46235.291666666664</v>
      </c>
      <c r="B40" s="62" t="s">
        <v>28</v>
      </c>
      <c r="C40" s="63">
        <v>67.5</v>
      </c>
      <c r="D40" s="63">
        <v>0</v>
      </c>
      <c r="E40" s="63">
        <v>522.35059999999999</v>
      </c>
      <c r="F40" s="63">
        <v>461.4341</v>
      </c>
    </row>
    <row r="41" spans="1:6">
      <c r="A41" s="61">
        <v>46235.333333333336</v>
      </c>
      <c r="B41" s="62" t="s">
        <v>28</v>
      </c>
      <c r="C41" s="63">
        <v>68</v>
      </c>
      <c r="D41" s="63">
        <v>0</v>
      </c>
      <c r="E41" s="63">
        <v>522.36630000000002</v>
      </c>
      <c r="F41" s="63">
        <v>461.678</v>
      </c>
    </row>
    <row r="42" spans="1:6">
      <c r="A42" s="61">
        <v>46235.375</v>
      </c>
      <c r="B42" s="62" t="s">
        <v>28</v>
      </c>
      <c r="C42" s="63">
        <v>68</v>
      </c>
      <c r="D42" s="63">
        <v>0</v>
      </c>
      <c r="E42" s="63">
        <v>522.38210000000004</v>
      </c>
      <c r="F42" s="63">
        <v>461.9228</v>
      </c>
    </row>
    <row r="43" spans="1:6">
      <c r="A43" s="61">
        <v>46235.416666666664</v>
      </c>
      <c r="B43" s="62" t="s">
        <v>28</v>
      </c>
      <c r="C43" s="63">
        <v>68</v>
      </c>
      <c r="D43" s="63">
        <v>0</v>
      </c>
      <c r="E43" s="63">
        <v>522.39790000000005</v>
      </c>
      <c r="F43" s="63">
        <v>462.16759999999999</v>
      </c>
    </row>
    <row r="44" spans="1:6">
      <c r="A44" s="61">
        <v>46235.458333333336</v>
      </c>
      <c r="B44" s="62" t="s">
        <v>28</v>
      </c>
      <c r="C44" s="63">
        <v>69</v>
      </c>
      <c r="D44" s="63">
        <v>0</v>
      </c>
      <c r="E44" s="63">
        <v>522.41380000000004</v>
      </c>
      <c r="F44" s="63">
        <v>462.41419999999999</v>
      </c>
    </row>
    <row r="45" spans="1:6">
      <c r="A45" s="61">
        <v>46235.5</v>
      </c>
      <c r="B45" s="62" t="s">
        <v>28</v>
      </c>
      <c r="C45" s="63">
        <v>70</v>
      </c>
      <c r="D45" s="63">
        <v>0</v>
      </c>
      <c r="E45" s="63">
        <v>522.42999999999995</v>
      </c>
      <c r="F45" s="63">
        <v>462.66449999999998</v>
      </c>
    </row>
    <row r="46" spans="1:6">
      <c r="A46" s="61">
        <v>46235.541666666664</v>
      </c>
      <c r="B46" s="62" t="s">
        <v>28</v>
      </c>
      <c r="C46" s="63">
        <v>71.5</v>
      </c>
      <c r="D46" s="63">
        <v>0</v>
      </c>
      <c r="E46" s="63">
        <v>522.44640000000004</v>
      </c>
      <c r="F46" s="63">
        <v>462.91919999999999</v>
      </c>
    </row>
    <row r="47" spans="1:6">
      <c r="A47" s="61">
        <v>46235.583333333336</v>
      </c>
      <c r="B47" s="62" t="s">
        <v>28</v>
      </c>
      <c r="C47" s="63">
        <v>73</v>
      </c>
      <c r="D47" s="63">
        <v>0</v>
      </c>
      <c r="E47" s="63">
        <v>522.46320000000003</v>
      </c>
      <c r="F47" s="63">
        <v>463.17930000000001</v>
      </c>
    </row>
    <row r="48" spans="1:6">
      <c r="A48" s="61">
        <v>46235.625</v>
      </c>
      <c r="B48" s="62" t="s">
        <v>28</v>
      </c>
      <c r="C48" s="63">
        <v>75.5</v>
      </c>
      <c r="D48" s="63">
        <v>0</v>
      </c>
      <c r="E48" s="63">
        <v>522.48040000000003</v>
      </c>
      <c r="F48" s="63">
        <v>463.44659999999999</v>
      </c>
    </row>
    <row r="49" spans="1:6">
      <c r="A49" s="61">
        <v>46235.666666666664</v>
      </c>
      <c r="B49" s="62" t="s">
        <v>28</v>
      </c>
      <c r="C49" s="63">
        <v>78</v>
      </c>
      <c r="D49" s="63">
        <v>0</v>
      </c>
      <c r="E49" s="63">
        <v>522.4982</v>
      </c>
      <c r="F49" s="63">
        <v>463.72289999999998</v>
      </c>
    </row>
    <row r="50" spans="1:6">
      <c r="A50" s="61">
        <v>46235.708333333336</v>
      </c>
      <c r="B50" s="62" t="s">
        <v>28</v>
      </c>
      <c r="C50" s="63">
        <v>82</v>
      </c>
      <c r="D50" s="63">
        <v>0</v>
      </c>
      <c r="E50" s="63">
        <v>522.51679999999999</v>
      </c>
      <c r="F50" s="63">
        <v>464.01089999999999</v>
      </c>
    </row>
    <row r="51" spans="1:6">
      <c r="A51" s="61">
        <v>46235.75</v>
      </c>
      <c r="B51" s="62" t="s">
        <v>28</v>
      </c>
      <c r="C51" s="63">
        <v>86</v>
      </c>
      <c r="D51" s="63">
        <v>0</v>
      </c>
      <c r="E51" s="63">
        <v>522.53629999999998</v>
      </c>
      <c r="F51" s="63">
        <v>464.31330000000003</v>
      </c>
    </row>
    <row r="52" spans="1:6">
      <c r="A52" s="61">
        <v>46235.791666666664</v>
      </c>
      <c r="B52" s="62" t="s">
        <v>28</v>
      </c>
      <c r="C52" s="63">
        <v>93.5</v>
      </c>
      <c r="D52" s="63">
        <v>0</v>
      </c>
      <c r="E52" s="63">
        <v>522.55719999999997</v>
      </c>
      <c r="F52" s="63">
        <v>464.63639999999998</v>
      </c>
    </row>
    <row r="53" spans="1:6">
      <c r="A53" s="61">
        <v>46235.833333333336</v>
      </c>
      <c r="B53" s="62" t="s">
        <v>28</v>
      </c>
      <c r="C53" s="63">
        <v>101</v>
      </c>
      <c r="D53" s="63">
        <v>0</v>
      </c>
      <c r="E53" s="63">
        <v>522.57979999999998</v>
      </c>
      <c r="F53" s="63">
        <v>464.98649999999998</v>
      </c>
    </row>
    <row r="54" spans="1:6">
      <c r="A54" s="61">
        <v>46235.875</v>
      </c>
      <c r="B54" s="62" t="s">
        <v>28</v>
      </c>
      <c r="C54" s="63">
        <v>116</v>
      </c>
      <c r="D54" s="63">
        <v>0</v>
      </c>
      <c r="E54" s="63">
        <v>522.60500000000002</v>
      </c>
      <c r="F54" s="63">
        <v>465.37700000000001</v>
      </c>
    </row>
    <row r="55" spans="1:6">
      <c r="A55" s="61">
        <v>46235.916666666664</v>
      </c>
      <c r="B55" s="62" t="s">
        <v>28</v>
      </c>
      <c r="C55" s="63">
        <v>131</v>
      </c>
      <c r="D55" s="63">
        <v>0</v>
      </c>
      <c r="E55" s="63">
        <v>522.63369999999998</v>
      </c>
      <c r="F55" s="63">
        <v>465.82170000000002</v>
      </c>
    </row>
    <row r="56" spans="1:6">
      <c r="A56" s="61">
        <v>46235.958333333336</v>
      </c>
      <c r="B56" s="62" t="s">
        <v>28</v>
      </c>
      <c r="C56" s="63">
        <v>168</v>
      </c>
      <c r="D56" s="63">
        <v>0</v>
      </c>
      <c r="E56" s="63">
        <v>522.66840000000002</v>
      </c>
      <c r="F56" s="63">
        <v>466.35989999999998</v>
      </c>
    </row>
    <row r="57" spans="1:6">
      <c r="A57" s="61">
        <v>46236</v>
      </c>
      <c r="B57" s="62" t="s">
        <v>28</v>
      </c>
      <c r="C57" s="63">
        <v>205</v>
      </c>
      <c r="D57" s="63">
        <v>0</v>
      </c>
      <c r="E57" s="63">
        <v>522.71169999999995</v>
      </c>
      <c r="F57" s="63">
        <v>467.03129999999999</v>
      </c>
    </row>
    <row r="58" spans="1:6">
      <c r="A58" s="61">
        <v>46236.041666666664</v>
      </c>
      <c r="B58" s="62" t="s">
        <v>28</v>
      </c>
      <c r="C58" s="63">
        <v>254.5</v>
      </c>
      <c r="D58" s="63">
        <v>0</v>
      </c>
      <c r="E58" s="63">
        <v>522.76509999999996</v>
      </c>
      <c r="F58" s="63">
        <v>467.85829999999999</v>
      </c>
    </row>
    <row r="59" spans="1:6">
      <c r="A59" s="61">
        <v>46236.083333333336</v>
      </c>
      <c r="B59" s="62" t="s">
        <v>28</v>
      </c>
      <c r="C59" s="63">
        <v>304</v>
      </c>
      <c r="D59" s="63">
        <v>0</v>
      </c>
      <c r="E59" s="63">
        <v>522.82989999999995</v>
      </c>
      <c r="F59" s="63">
        <v>468.86360000000002</v>
      </c>
    </row>
    <row r="60" spans="1:6">
      <c r="A60" s="61">
        <v>46236.125</v>
      </c>
      <c r="B60" s="62" t="s">
        <v>28</v>
      </c>
      <c r="C60" s="63">
        <v>358</v>
      </c>
      <c r="D60" s="63">
        <v>0</v>
      </c>
      <c r="E60" s="63">
        <v>522.90679999999998</v>
      </c>
      <c r="F60" s="63">
        <v>470.05520000000001</v>
      </c>
    </row>
    <row r="61" spans="1:6">
      <c r="A61" s="61">
        <v>46236.166666666664</v>
      </c>
      <c r="B61" s="62" t="s">
        <v>28</v>
      </c>
      <c r="C61" s="63">
        <v>412</v>
      </c>
      <c r="D61" s="63">
        <v>0</v>
      </c>
      <c r="E61" s="63">
        <v>522.99620000000004</v>
      </c>
      <c r="F61" s="63">
        <v>471.44119999999998</v>
      </c>
    </row>
    <row r="62" spans="1:6">
      <c r="A62" s="61">
        <v>46236.208333333336</v>
      </c>
      <c r="B62" s="62" t="s">
        <v>28</v>
      </c>
      <c r="C62" s="63">
        <v>467</v>
      </c>
      <c r="D62" s="63">
        <v>0</v>
      </c>
      <c r="E62" s="63">
        <v>523.09829999999999</v>
      </c>
      <c r="F62" s="63">
        <v>473.02339999999998</v>
      </c>
    </row>
    <row r="63" spans="1:6">
      <c r="A63" s="61">
        <v>46236.25</v>
      </c>
      <c r="B63" s="62" t="s">
        <v>28</v>
      </c>
      <c r="C63" s="63">
        <v>522</v>
      </c>
      <c r="D63" s="63">
        <v>0</v>
      </c>
      <c r="E63" s="63">
        <v>523.21310000000005</v>
      </c>
      <c r="F63" s="63">
        <v>474.80360000000002</v>
      </c>
    </row>
    <row r="64" spans="1:6">
      <c r="A64" s="61">
        <v>46236.291666666664</v>
      </c>
      <c r="B64" s="62" t="s">
        <v>28</v>
      </c>
      <c r="C64" s="63">
        <v>575</v>
      </c>
      <c r="D64" s="63">
        <v>0</v>
      </c>
      <c r="E64" s="63">
        <v>523.34050000000002</v>
      </c>
      <c r="F64" s="63">
        <v>476.7783</v>
      </c>
    </row>
    <row r="65" spans="1:6">
      <c r="A65" s="61">
        <v>46236.333333333336</v>
      </c>
      <c r="B65" s="62" t="s">
        <v>28</v>
      </c>
      <c r="C65" s="63">
        <v>628</v>
      </c>
      <c r="D65" s="63">
        <v>0</v>
      </c>
      <c r="E65" s="63">
        <v>523.48019999999997</v>
      </c>
      <c r="F65" s="63">
        <v>478.94369999999998</v>
      </c>
    </row>
    <row r="66" spans="1:6">
      <c r="A66" s="61">
        <v>46236.375</v>
      </c>
      <c r="B66" s="62" t="s">
        <v>28</v>
      </c>
      <c r="C66" s="63">
        <v>677</v>
      </c>
      <c r="D66" s="63">
        <v>0</v>
      </c>
      <c r="E66" s="63">
        <v>523.6318</v>
      </c>
      <c r="F66" s="63">
        <v>481.29270000000002</v>
      </c>
    </row>
    <row r="67" spans="1:6">
      <c r="A67" s="61">
        <v>46236.416666666664</v>
      </c>
      <c r="B67" s="62" t="s">
        <v>28</v>
      </c>
      <c r="C67" s="63">
        <v>726</v>
      </c>
      <c r="D67" s="63">
        <v>0</v>
      </c>
      <c r="E67" s="63">
        <v>523.79470000000003</v>
      </c>
      <c r="F67" s="63">
        <v>483.81810000000002</v>
      </c>
    </row>
    <row r="68" spans="1:6">
      <c r="A68" s="61">
        <v>46236.458333333336</v>
      </c>
      <c r="B68" s="62" t="s">
        <v>28</v>
      </c>
      <c r="C68" s="63">
        <v>765</v>
      </c>
      <c r="D68" s="63">
        <v>0</v>
      </c>
      <c r="E68" s="63">
        <v>523.96780000000001</v>
      </c>
      <c r="F68" s="63">
        <v>486.50189999999998</v>
      </c>
    </row>
    <row r="69" spans="1:6">
      <c r="A69" s="61">
        <v>46236.5</v>
      </c>
      <c r="B69" s="62" t="s">
        <v>28</v>
      </c>
      <c r="C69" s="63">
        <v>804</v>
      </c>
      <c r="D69" s="63">
        <v>0</v>
      </c>
      <c r="E69" s="63">
        <v>524.15009999999995</v>
      </c>
      <c r="F69" s="63">
        <v>489.32600000000002</v>
      </c>
    </row>
    <row r="70" spans="1:6">
      <c r="A70" s="61">
        <v>46236.541666666664</v>
      </c>
      <c r="B70" s="62" t="s">
        <v>28</v>
      </c>
      <c r="C70" s="63">
        <v>831.5</v>
      </c>
      <c r="D70" s="63">
        <v>0</v>
      </c>
      <c r="E70" s="63">
        <v>524.34</v>
      </c>
      <c r="F70" s="63">
        <v>492.27</v>
      </c>
    </row>
    <row r="71" spans="1:6">
      <c r="A71" s="61">
        <v>46236.583333333336</v>
      </c>
      <c r="B71" s="62" t="s">
        <v>28</v>
      </c>
      <c r="C71" s="63">
        <v>859</v>
      </c>
      <c r="D71" s="63">
        <v>0</v>
      </c>
      <c r="E71" s="63">
        <v>524.53629999999998</v>
      </c>
      <c r="F71" s="63">
        <v>495.31290000000001</v>
      </c>
    </row>
    <row r="72" spans="1:6">
      <c r="A72" s="61">
        <v>46236.625</v>
      </c>
      <c r="B72" s="62" t="s">
        <v>28</v>
      </c>
      <c r="C72" s="63">
        <v>874</v>
      </c>
      <c r="D72" s="63">
        <v>0</v>
      </c>
      <c r="E72" s="63">
        <v>524.73749999999995</v>
      </c>
      <c r="F72" s="63">
        <v>498.4323</v>
      </c>
    </row>
    <row r="73" spans="1:6">
      <c r="A73" s="61">
        <v>46236.666666666664</v>
      </c>
      <c r="B73" s="62" t="s">
        <v>28</v>
      </c>
      <c r="C73" s="63">
        <v>889</v>
      </c>
      <c r="D73" s="63">
        <v>0</v>
      </c>
      <c r="E73" s="63">
        <v>524.94230000000005</v>
      </c>
      <c r="F73" s="63">
        <v>501.60570000000001</v>
      </c>
    </row>
    <row r="74" spans="1:6">
      <c r="A74" s="61">
        <v>46236.708333333336</v>
      </c>
      <c r="B74" s="62" t="s">
        <v>28</v>
      </c>
      <c r="C74" s="63">
        <v>893.5</v>
      </c>
      <c r="D74" s="63">
        <v>0</v>
      </c>
      <c r="E74" s="63">
        <v>525.14930000000004</v>
      </c>
      <c r="F74" s="63">
        <v>504.8141</v>
      </c>
    </row>
    <row r="75" spans="1:6">
      <c r="A75" s="61">
        <v>46236.75</v>
      </c>
      <c r="B75" s="62" t="s">
        <v>28</v>
      </c>
      <c r="C75" s="63">
        <v>898</v>
      </c>
      <c r="D75" s="63">
        <v>0</v>
      </c>
      <c r="E75" s="63">
        <v>525.35739999999998</v>
      </c>
      <c r="F75" s="63">
        <v>508.03879999999998</v>
      </c>
    </row>
    <row r="76" spans="1:6">
      <c r="A76" s="61">
        <v>46236.791666666664</v>
      </c>
      <c r="B76" s="62" t="s">
        <v>28</v>
      </c>
      <c r="C76" s="63">
        <v>890.5</v>
      </c>
      <c r="D76" s="63">
        <v>0</v>
      </c>
      <c r="E76" s="63">
        <v>525.56510000000003</v>
      </c>
      <c r="F76" s="63">
        <v>511.25810000000001</v>
      </c>
    </row>
    <row r="77" spans="1:6">
      <c r="A77" s="61">
        <v>46236.833333333336</v>
      </c>
      <c r="B77" s="62" t="s">
        <v>28</v>
      </c>
      <c r="C77" s="63">
        <v>883</v>
      </c>
      <c r="D77" s="63">
        <v>0</v>
      </c>
      <c r="E77" s="63">
        <v>525.77099999999996</v>
      </c>
      <c r="F77" s="63">
        <v>514.45039999999995</v>
      </c>
    </row>
    <row r="78" spans="1:6">
      <c r="A78" s="61">
        <v>46236.875</v>
      </c>
      <c r="B78" s="62" t="s">
        <v>28</v>
      </c>
      <c r="C78" s="63">
        <v>866</v>
      </c>
      <c r="D78" s="63">
        <v>0</v>
      </c>
      <c r="E78" s="63">
        <v>525.97410000000002</v>
      </c>
      <c r="F78" s="63">
        <v>517.59860000000003</v>
      </c>
    </row>
    <row r="79" spans="1:6">
      <c r="A79" s="61">
        <v>46236.916666666664</v>
      </c>
      <c r="B79" s="62" t="s">
        <v>28</v>
      </c>
      <c r="C79" s="63">
        <v>849</v>
      </c>
      <c r="D79" s="63">
        <v>0</v>
      </c>
      <c r="E79" s="63">
        <v>526.17330000000004</v>
      </c>
      <c r="F79" s="63">
        <v>520.68560000000002</v>
      </c>
    </row>
    <row r="80" spans="1:6">
      <c r="A80" s="61">
        <v>46236.958333333336</v>
      </c>
      <c r="B80" s="62" t="s">
        <v>28</v>
      </c>
      <c r="C80" s="63">
        <v>825</v>
      </c>
      <c r="D80" s="63">
        <v>0</v>
      </c>
      <c r="E80" s="63">
        <v>526.36770000000001</v>
      </c>
      <c r="F80" s="63">
        <v>523.69880000000001</v>
      </c>
    </row>
    <row r="81" spans="1:6">
      <c r="A81" s="61">
        <v>46237</v>
      </c>
      <c r="B81" s="62" t="s">
        <v>28</v>
      </c>
      <c r="C81" s="63">
        <v>801</v>
      </c>
      <c r="D81" s="63">
        <v>0</v>
      </c>
      <c r="E81" s="63">
        <v>526.55650000000003</v>
      </c>
      <c r="F81" s="63">
        <v>526.62559999999996</v>
      </c>
    </row>
    <row r="82" spans="1:6">
      <c r="A82" s="61">
        <v>46237.041666666664</v>
      </c>
      <c r="B82" s="62" t="s">
        <v>28</v>
      </c>
      <c r="C82" s="63">
        <v>776</v>
      </c>
      <c r="D82" s="63">
        <v>0</v>
      </c>
      <c r="E82" s="63">
        <v>526.7396</v>
      </c>
      <c r="F82" s="63">
        <v>529.46420000000001</v>
      </c>
    </row>
    <row r="83" spans="1:6">
      <c r="A83" s="61">
        <v>46237.083333333336</v>
      </c>
      <c r="B83" s="62" t="s">
        <v>28</v>
      </c>
      <c r="C83" s="63">
        <v>751</v>
      </c>
      <c r="D83" s="63">
        <v>0</v>
      </c>
      <c r="E83" s="63">
        <v>526.91690000000006</v>
      </c>
      <c r="F83" s="63">
        <v>532.21280000000002</v>
      </c>
    </row>
    <row r="84" spans="1:6">
      <c r="A84" s="61">
        <v>46237.125</v>
      </c>
      <c r="B84" s="62" t="s">
        <v>28</v>
      </c>
      <c r="C84" s="63">
        <v>744.5</v>
      </c>
      <c r="D84" s="63">
        <v>0</v>
      </c>
      <c r="E84" s="63">
        <v>527.09059999999999</v>
      </c>
      <c r="F84" s="63">
        <v>534.90470000000005</v>
      </c>
    </row>
    <row r="85" spans="1:6">
      <c r="A85" s="61">
        <v>46237.166666666664</v>
      </c>
      <c r="B85" s="62" t="s">
        <v>28</v>
      </c>
      <c r="C85" s="63">
        <v>738</v>
      </c>
      <c r="D85" s="63">
        <v>0</v>
      </c>
      <c r="E85" s="63">
        <v>527.26279999999997</v>
      </c>
      <c r="F85" s="63">
        <v>537.57320000000004</v>
      </c>
    </row>
    <row r="86" spans="1:6">
      <c r="A86" s="61">
        <v>46237.208333333336</v>
      </c>
      <c r="B86" s="62" t="s">
        <v>28</v>
      </c>
      <c r="C86" s="63">
        <v>783</v>
      </c>
      <c r="D86" s="63">
        <v>0</v>
      </c>
      <c r="E86" s="63">
        <v>527.43939999999998</v>
      </c>
      <c r="F86" s="63">
        <v>540.31100000000004</v>
      </c>
    </row>
    <row r="87" spans="1:6">
      <c r="A87" s="61">
        <v>46237.25</v>
      </c>
      <c r="B87" s="62" t="s">
        <v>28</v>
      </c>
      <c r="C87" s="63">
        <v>828</v>
      </c>
      <c r="D87" s="63">
        <v>0</v>
      </c>
      <c r="E87" s="63">
        <v>527.62649999999996</v>
      </c>
      <c r="F87" s="63">
        <v>543.21079999999995</v>
      </c>
    </row>
    <row r="88" spans="1:6">
      <c r="A88" s="61">
        <v>46237.291666666664</v>
      </c>
      <c r="B88" s="62" t="s">
        <v>28</v>
      </c>
      <c r="C88" s="63">
        <v>880</v>
      </c>
      <c r="D88" s="63">
        <v>0</v>
      </c>
      <c r="E88" s="63">
        <v>527.82479999999998</v>
      </c>
      <c r="F88" s="63">
        <v>546.28520000000003</v>
      </c>
    </row>
    <row r="89" spans="1:6">
      <c r="A89" s="61">
        <v>46237.333333333336</v>
      </c>
      <c r="B89" s="62" t="s">
        <v>28</v>
      </c>
      <c r="C89" s="63">
        <v>932</v>
      </c>
      <c r="D89" s="63">
        <v>0</v>
      </c>
      <c r="E89" s="63">
        <v>528.03530000000001</v>
      </c>
      <c r="F89" s="63">
        <v>549.54679999999996</v>
      </c>
    </row>
    <row r="90" spans="1:6">
      <c r="A90" s="61">
        <v>46237.375</v>
      </c>
      <c r="B90" s="62" t="s">
        <v>28</v>
      </c>
      <c r="C90" s="63">
        <v>943.5</v>
      </c>
      <c r="D90" s="63">
        <v>0</v>
      </c>
      <c r="E90" s="63">
        <v>528.25310000000002</v>
      </c>
      <c r="F90" s="63">
        <v>552.92269999999996</v>
      </c>
    </row>
    <row r="91" spans="1:6">
      <c r="A91" s="61">
        <v>46237.416666666664</v>
      </c>
      <c r="B91" s="62" t="s">
        <v>28</v>
      </c>
      <c r="C91" s="63">
        <v>955</v>
      </c>
      <c r="D91" s="63">
        <v>0</v>
      </c>
      <c r="E91" s="63">
        <v>528.47360000000003</v>
      </c>
      <c r="F91" s="63">
        <v>556.34</v>
      </c>
    </row>
    <row r="92" spans="1:6">
      <c r="A92" s="61">
        <v>46237.458333333336</v>
      </c>
      <c r="B92" s="62" t="s">
        <v>28</v>
      </c>
      <c r="C92" s="63">
        <v>936</v>
      </c>
      <c r="D92" s="63">
        <v>0</v>
      </c>
      <c r="E92" s="63">
        <v>528.69320000000005</v>
      </c>
      <c r="F92" s="63">
        <v>559.74379999999996</v>
      </c>
    </row>
    <row r="93" spans="1:6">
      <c r="A93" s="61">
        <v>46237.5</v>
      </c>
      <c r="B93" s="62" t="s">
        <v>28</v>
      </c>
      <c r="C93" s="63">
        <v>917</v>
      </c>
      <c r="D93" s="63">
        <v>0</v>
      </c>
      <c r="E93" s="63">
        <v>528.90830000000005</v>
      </c>
      <c r="F93" s="63">
        <v>563.07920000000001</v>
      </c>
    </row>
    <row r="94" spans="1:6">
      <c r="A94" s="61">
        <v>46237.541666666664</v>
      </c>
      <c r="B94" s="62" t="s">
        <v>28</v>
      </c>
      <c r="C94" s="63">
        <v>884.5</v>
      </c>
      <c r="D94" s="63">
        <v>0</v>
      </c>
      <c r="E94" s="63">
        <v>529.11760000000004</v>
      </c>
      <c r="F94" s="63">
        <v>566.32190000000003</v>
      </c>
    </row>
    <row r="95" spans="1:6">
      <c r="A95" s="61">
        <v>46237.583333333336</v>
      </c>
      <c r="B95" s="62" t="s">
        <v>28</v>
      </c>
      <c r="C95" s="63">
        <v>852</v>
      </c>
      <c r="D95" s="63">
        <v>0</v>
      </c>
      <c r="E95" s="63">
        <v>529.31920000000002</v>
      </c>
      <c r="F95" s="63">
        <v>569.44759999999997</v>
      </c>
    </row>
    <row r="96" spans="1:6">
      <c r="A96" s="61">
        <v>46237.625</v>
      </c>
      <c r="B96" s="62" t="s">
        <v>28</v>
      </c>
      <c r="C96" s="63">
        <v>813.5</v>
      </c>
      <c r="D96" s="63">
        <v>0</v>
      </c>
      <c r="E96" s="63">
        <v>529.51260000000002</v>
      </c>
      <c r="F96" s="63">
        <v>572.44550000000004</v>
      </c>
    </row>
    <row r="97" spans="1:6">
      <c r="A97" s="61">
        <v>46237.666666666664</v>
      </c>
      <c r="B97" s="62" t="s">
        <v>28</v>
      </c>
      <c r="C97" s="63">
        <v>775</v>
      </c>
      <c r="D97" s="63">
        <v>0</v>
      </c>
      <c r="E97" s="63">
        <v>529.69709999999998</v>
      </c>
      <c r="F97" s="63">
        <v>575.3048</v>
      </c>
    </row>
    <row r="98" spans="1:6">
      <c r="A98" s="61">
        <v>46237.708333333336</v>
      </c>
      <c r="B98" s="62" t="s">
        <v>28</v>
      </c>
      <c r="C98" s="63">
        <v>734.5</v>
      </c>
      <c r="D98" s="63">
        <v>0</v>
      </c>
      <c r="E98" s="63">
        <v>529.87239999999997</v>
      </c>
      <c r="F98" s="63">
        <v>578.02189999999996</v>
      </c>
    </row>
    <row r="99" spans="1:6">
      <c r="A99" s="61">
        <v>46237.75</v>
      </c>
      <c r="B99" s="62" t="s">
        <v>28</v>
      </c>
      <c r="C99" s="63">
        <v>694</v>
      </c>
      <c r="D99" s="63">
        <v>0</v>
      </c>
      <c r="E99" s="63">
        <v>530.02850000000001</v>
      </c>
      <c r="F99" s="63">
        <v>580.59320000000002</v>
      </c>
    </row>
    <row r="100" spans="1:6">
      <c r="A100" s="61">
        <v>46237.791666666664</v>
      </c>
      <c r="B100" s="62" t="s">
        <v>28</v>
      </c>
      <c r="C100" s="63">
        <v>654</v>
      </c>
      <c r="D100" s="63">
        <v>0</v>
      </c>
      <c r="E100" s="63">
        <v>530.14520000000005</v>
      </c>
      <c r="F100" s="63">
        <v>583.01959999999997</v>
      </c>
    </row>
    <row r="101" spans="1:6">
      <c r="A101" s="61">
        <v>46237.833333333336</v>
      </c>
      <c r="B101" s="62" t="s">
        <v>28</v>
      </c>
      <c r="C101" s="63">
        <v>614</v>
      </c>
      <c r="D101" s="63">
        <v>0</v>
      </c>
      <c r="E101" s="63">
        <v>530.25490000000002</v>
      </c>
      <c r="F101" s="63">
        <v>585.30200000000002</v>
      </c>
    </row>
    <row r="102" spans="1:6">
      <c r="A102" s="61">
        <v>46237.875</v>
      </c>
      <c r="B102" s="62" t="s">
        <v>28</v>
      </c>
      <c r="C102" s="63">
        <v>579</v>
      </c>
      <c r="D102" s="63">
        <v>0</v>
      </c>
      <c r="E102" s="63">
        <v>530.35820000000001</v>
      </c>
      <c r="F102" s="63">
        <v>587.44939999999997</v>
      </c>
    </row>
    <row r="103" spans="1:6">
      <c r="A103" s="61">
        <v>46237.916666666664</v>
      </c>
      <c r="B103" s="62" t="s">
        <v>28</v>
      </c>
      <c r="C103" s="63">
        <v>544</v>
      </c>
      <c r="D103" s="63">
        <v>0</v>
      </c>
      <c r="E103" s="63">
        <v>530.45529999999997</v>
      </c>
      <c r="F103" s="63">
        <v>589.47080000000005</v>
      </c>
    </row>
    <row r="104" spans="1:6">
      <c r="A104" s="61">
        <v>46237.958333333336</v>
      </c>
      <c r="B104" s="62" t="s">
        <v>28</v>
      </c>
      <c r="C104" s="63">
        <v>516.5</v>
      </c>
      <c r="D104" s="63">
        <v>0</v>
      </c>
      <c r="E104" s="63">
        <v>530.5471</v>
      </c>
      <c r="F104" s="63">
        <v>591.37969999999996</v>
      </c>
    </row>
    <row r="105" spans="1:6">
      <c r="A105" s="61">
        <v>46238</v>
      </c>
      <c r="B105" s="62" t="s">
        <v>28</v>
      </c>
      <c r="C105" s="63">
        <v>489</v>
      </c>
      <c r="D105" s="63">
        <v>0</v>
      </c>
      <c r="E105" s="63">
        <v>530.63409999999999</v>
      </c>
      <c r="F105" s="63">
        <v>593.18960000000004</v>
      </c>
    </row>
    <row r="106" spans="1:6">
      <c r="A106" s="61">
        <v>46238.041666666664</v>
      </c>
      <c r="B106" s="62" t="s">
        <v>28</v>
      </c>
      <c r="C106" s="63">
        <v>480.5</v>
      </c>
      <c r="D106" s="63">
        <v>0</v>
      </c>
      <c r="E106" s="63">
        <v>530.71799999999996</v>
      </c>
      <c r="F106" s="63">
        <v>594.93470000000002</v>
      </c>
    </row>
    <row r="107" spans="1:6">
      <c r="A107" s="61">
        <v>46238.083333333336</v>
      </c>
      <c r="B107" s="62" t="s">
        <v>28</v>
      </c>
      <c r="C107" s="63">
        <v>472</v>
      </c>
      <c r="D107" s="63">
        <v>0</v>
      </c>
      <c r="E107" s="63">
        <v>530.80039999999997</v>
      </c>
      <c r="F107" s="63">
        <v>596.64919999999995</v>
      </c>
    </row>
    <row r="108" spans="1:6">
      <c r="A108" s="61">
        <v>46238.125</v>
      </c>
      <c r="B108" s="62" t="s">
        <v>28</v>
      </c>
      <c r="C108" s="63">
        <v>483.5</v>
      </c>
      <c r="D108" s="63">
        <v>0</v>
      </c>
      <c r="E108" s="63">
        <v>530.88310000000001</v>
      </c>
      <c r="F108" s="63">
        <v>598.3691</v>
      </c>
    </row>
    <row r="109" spans="1:6">
      <c r="A109" s="61">
        <v>46238.166666666664</v>
      </c>
      <c r="B109" s="62" t="s">
        <v>28</v>
      </c>
      <c r="C109" s="63">
        <v>495</v>
      </c>
      <c r="D109" s="63">
        <v>0</v>
      </c>
      <c r="E109" s="63">
        <v>530.96780000000001</v>
      </c>
      <c r="F109" s="63">
        <v>600.13040000000001</v>
      </c>
    </row>
    <row r="110" spans="1:6">
      <c r="A110" s="61">
        <v>46238.208333333336</v>
      </c>
      <c r="B110" s="62" t="s">
        <v>28</v>
      </c>
      <c r="C110" s="63">
        <v>502</v>
      </c>
      <c r="D110" s="63">
        <v>0</v>
      </c>
      <c r="E110" s="63">
        <v>531.05409999999995</v>
      </c>
      <c r="F110" s="63">
        <v>601.92499999999995</v>
      </c>
    </row>
    <row r="111" spans="1:6">
      <c r="A111" s="61">
        <v>46238.25</v>
      </c>
      <c r="B111" s="62" t="s">
        <v>28</v>
      </c>
      <c r="C111" s="63">
        <v>509</v>
      </c>
      <c r="D111" s="63">
        <v>0</v>
      </c>
      <c r="E111" s="63">
        <v>531.14160000000004</v>
      </c>
      <c r="F111" s="63">
        <v>603.74480000000005</v>
      </c>
    </row>
    <row r="112" spans="1:6">
      <c r="A112" s="61">
        <v>46238.291666666664</v>
      </c>
      <c r="B112" s="62" t="s">
        <v>28</v>
      </c>
      <c r="C112" s="63">
        <v>509</v>
      </c>
      <c r="D112" s="63">
        <v>0</v>
      </c>
      <c r="E112" s="63">
        <v>531.22969999999998</v>
      </c>
      <c r="F112" s="63">
        <v>605.57719999999995</v>
      </c>
    </row>
    <row r="113" spans="1:6">
      <c r="A113" s="61">
        <v>46238.333333333336</v>
      </c>
      <c r="B113" s="62" t="s">
        <v>28</v>
      </c>
      <c r="C113" s="63">
        <v>509</v>
      </c>
      <c r="D113" s="63">
        <v>0</v>
      </c>
      <c r="E113" s="63">
        <v>531.31769999999995</v>
      </c>
      <c r="F113" s="63">
        <v>607.40959999999995</v>
      </c>
    </row>
    <row r="114" spans="1:6">
      <c r="A114" s="61">
        <v>46238.375</v>
      </c>
      <c r="B114" s="62" t="s">
        <v>28</v>
      </c>
      <c r="C114" s="63">
        <v>503.5</v>
      </c>
      <c r="D114" s="63">
        <v>0</v>
      </c>
      <c r="E114" s="63">
        <v>531.40539999999999</v>
      </c>
      <c r="F114" s="63">
        <v>609.23209999999995</v>
      </c>
    </row>
    <row r="115" spans="1:6">
      <c r="A115" s="61">
        <v>46238.416666666664</v>
      </c>
      <c r="B115" s="62" t="s">
        <v>28</v>
      </c>
      <c r="C115" s="63">
        <v>498</v>
      </c>
      <c r="D115" s="63">
        <v>0</v>
      </c>
      <c r="E115" s="63">
        <v>531.49210000000005</v>
      </c>
      <c r="F115" s="63">
        <v>611.03480000000002</v>
      </c>
    </row>
    <row r="116" spans="1:6">
      <c r="A116" s="61">
        <v>46238.458333333336</v>
      </c>
      <c r="B116" s="62" t="s">
        <v>28</v>
      </c>
      <c r="C116" s="63">
        <v>484</v>
      </c>
      <c r="D116" s="63">
        <v>0</v>
      </c>
      <c r="E116" s="63">
        <v>531.577</v>
      </c>
      <c r="F116" s="63">
        <v>612.80240000000003</v>
      </c>
    </row>
    <row r="117" spans="1:6">
      <c r="A117" s="61">
        <v>46238.5</v>
      </c>
      <c r="B117" s="62" t="s">
        <v>28</v>
      </c>
      <c r="C117" s="63">
        <v>470</v>
      </c>
      <c r="D117" s="63">
        <v>0</v>
      </c>
      <c r="E117" s="63">
        <v>531.65959999999995</v>
      </c>
      <c r="F117" s="63">
        <v>614.51959999999997</v>
      </c>
    </row>
    <row r="118" spans="1:6">
      <c r="A118" s="61">
        <v>46238.541666666664</v>
      </c>
      <c r="B118" s="62" t="s">
        <v>28</v>
      </c>
      <c r="C118" s="63">
        <v>450.5</v>
      </c>
      <c r="D118" s="63">
        <v>0</v>
      </c>
      <c r="E118" s="63">
        <v>531.73929999999996</v>
      </c>
      <c r="F118" s="63">
        <v>616.17650000000003</v>
      </c>
    </row>
    <row r="119" spans="1:6">
      <c r="A119" s="61">
        <v>46238.583333333336</v>
      </c>
      <c r="B119" s="62" t="s">
        <v>28</v>
      </c>
      <c r="C119" s="63">
        <v>431</v>
      </c>
      <c r="D119" s="63">
        <v>0</v>
      </c>
      <c r="E119" s="63">
        <v>531.81560000000002</v>
      </c>
      <c r="F119" s="63">
        <v>617.76319999999998</v>
      </c>
    </row>
    <row r="120" spans="1:6">
      <c r="A120" s="61">
        <v>46238.625</v>
      </c>
      <c r="B120" s="62" t="s">
        <v>28</v>
      </c>
      <c r="C120" s="63">
        <v>409.5</v>
      </c>
      <c r="D120" s="63">
        <v>0</v>
      </c>
      <c r="E120" s="63">
        <v>531.88819999999998</v>
      </c>
      <c r="F120" s="63">
        <v>619.27610000000004</v>
      </c>
    </row>
    <row r="121" spans="1:6">
      <c r="A121" s="61">
        <v>46238.666666666664</v>
      </c>
      <c r="B121" s="62" t="s">
        <v>28</v>
      </c>
      <c r="C121" s="63">
        <v>388</v>
      </c>
      <c r="D121" s="63">
        <v>0</v>
      </c>
      <c r="E121" s="63">
        <v>531.95730000000003</v>
      </c>
      <c r="F121" s="63">
        <v>620.7115</v>
      </c>
    </row>
    <row r="122" spans="1:6">
      <c r="A122" s="61">
        <v>46238.708333333336</v>
      </c>
      <c r="B122" s="62" t="s">
        <v>28</v>
      </c>
      <c r="C122" s="63">
        <v>366</v>
      </c>
      <c r="D122" s="63">
        <v>0</v>
      </c>
      <c r="E122" s="63">
        <v>532.02250000000004</v>
      </c>
      <c r="F122" s="63">
        <v>622.06870000000004</v>
      </c>
    </row>
    <row r="123" spans="1:6">
      <c r="A123" s="61">
        <v>46238.75</v>
      </c>
      <c r="B123" s="62" t="s">
        <v>28</v>
      </c>
      <c r="C123" s="63">
        <v>344</v>
      </c>
      <c r="D123" s="63">
        <v>0</v>
      </c>
      <c r="E123" s="63">
        <v>532.08399999999995</v>
      </c>
      <c r="F123" s="63">
        <v>623.34670000000006</v>
      </c>
    </row>
    <row r="124" spans="1:6">
      <c r="A124" s="61">
        <v>46238.791666666664</v>
      </c>
      <c r="B124" s="62" t="s">
        <v>28</v>
      </c>
      <c r="C124" s="63">
        <v>324.5</v>
      </c>
      <c r="D124" s="63">
        <v>0</v>
      </c>
      <c r="E124" s="63">
        <v>532.14179999999999</v>
      </c>
      <c r="F124" s="63">
        <v>624.54999999999995</v>
      </c>
    </row>
    <row r="125" spans="1:6">
      <c r="A125" s="61">
        <v>46238.833333333336</v>
      </c>
      <c r="B125" s="62" t="s">
        <v>28</v>
      </c>
      <c r="C125" s="63">
        <v>305</v>
      </c>
      <c r="D125" s="63">
        <v>0</v>
      </c>
      <c r="E125" s="63">
        <v>532.19629999999995</v>
      </c>
      <c r="F125" s="63">
        <v>625.68320000000006</v>
      </c>
    </row>
    <row r="126" spans="1:6">
      <c r="A126" s="61">
        <v>46238.875</v>
      </c>
      <c r="B126" s="62" t="s">
        <v>28</v>
      </c>
      <c r="C126" s="63">
        <v>287</v>
      </c>
      <c r="D126" s="63">
        <v>0</v>
      </c>
      <c r="E126" s="63">
        <v>532.24760000000003</v>
      </c>
      <c r="F126" s="63">
        <v>626.74879999999996</v>
      </c>
    </row>
    <row r="127" spans="1:6">
      <c r="A127" s="61">
        <v>46238.916666666664</v>
      </c>
      <c r="B127" s="62" t="s">
        <v>28</v>
      </c>
      <c r="C127" s="63">
        <v>269</v>
      </c>
      <c r="D127" s="63">
        <v>0</v>
      </c>
      <c r="E127" s="63">
        <v>532.29570000000001</v>
      </c>
      <c r="F127" s="63">
        <v>627.74959999999999</v>
      </c>
    </row>
    <row r="128" spans="1:6">
      <c r="A128" s="61">
        <v>46238.958333333336</v>
      </c>
      <c r="B128" s="62" t="s">
        <v>28</v>
      </c>
      <c r="C128" s="63">
        <v>253.5</v>
      </c>
      <c r="D128" s="63">
        <v>0</v>
      </c>
      <c r="E128" s="63">
        <v>532.34090000000003</v>
      </c>
      <c r="F128" s="63">
        <v>628.69010000000003</v>
      </c>
    </row>
    <row r="129" spans="1:6">
      <c r="A129" s="61">
        <v>46239</v>
      </c>
      <c r="B129" s="62" t="s">
        <v>28</v>
      </c>
      <c r="C129" s="63">
        <v>238</v>
      </c>
      <c r="D129" s="63">
        <v>0</v>
      </c>
      <c r="E129" s="63">
        <v>532.38340000000005</v>
      </c>
      <c r="F129" s="63">
        <v>629.57479999999998</v>
      </c>
    </row>
    <row r="130" spans="1:6">
      <c r="A130" s="61">
        <v>46239.041666666664</v>
      </c>
      <c r="B130" s="62" t="s">
        <v>28</v>
      </c>
      <c r="C130" s="63">
        <v>223.5</v>
      </c>
      <c r="D130" s="63">
        <v>0</v>
      </c>
      <c r="E130" s="63">
        <v>532.42330000000004</v>
      </c>
      <c r="F130" s="63">
        <v>630.40549999999996</v>
      </c>
    </row>
    <row r="131" spans="1:6">
      <c r="A131" s="61">
        <v>46239.083333333336</v>
      </c>
      <c r="B131" s="62" t="s">
        <v>28</v>
      </c>
      <c r="C131" s="63">
        <v>209</v>
      </c>
      <c r="D131" s="63">
        <v>0</v>
      </c>
      <c r="E131" s="63">
        <v>532.46079999999995</v>
      </c>
      <c r="F131" s="63">
        <v>631.18399999999997</v>
      </c>
    </row>
    <row r="132" spans="1:6">
      <c r="A132" s="61">
        <v>46239.125</v>
      </c>
      <c r="B132" s="62" t="s">
        <v>28</v>
      </c>
      <c r="C132" s="63">
        <v>196</v>
      </c>
      <c r="D132" s="63">
        <v>0</v>
      </c>
      <c r="E132" s="63">
        <v>532.49580000000003</v>
      </c>
      <c r="F132" s="63">
        <v>631.91300000000001</v>
      </c>
    </row>
    <row r="133" spans="1:6">
      <c r="A133" s="61">
        <v>46239.166666666664</v>
      </c>
      <c r="B133" s="62" t="s">
        <v>28</v>
      </c>
      <c r="C133" s="63">
        <v>183</v>
      </c>
      <c r="D133" s="63">
        <v>0</v>
      </c>
      <c r="E133" s="63">
        <v>532.52859999999998</v>
      </c>
      <c r="F133" s="63">
        <v>632.59519999999998</v>
      </c>
    </row>
    <row r="134" spans="1:6">
      <c r="A134" s="61">
        <v>46239.208333333336</v>
      </c>
      <c r="B134" s="62" t="s">
        <v>28</v>
      </c>
      <c r="C134" s="63">
        <v>171.5</v>
      </c>
      <c r="D134" s="63">
        <v>0</v>
      </c>
      <c r="E134" s="63">
        <v>532.55930000000001</v>
      </c>
      <c r="F134" s="63">
        <v>633.23329999999999</v>
      </c>
    </row>
    <row r="135" spans="1:6">
      <c r="A135" s="61">
        <v>46239.25</v>
      </c>
      <c r="B135" s="62" t="s">
        <v>28</v>
      </c>
      <c r="C135" s="63">
        <v>160</v>
      </c>
      <c r="D135" s="63">
        <v>0</v>
      </c>
      <c r="E135" s="63">
        <v>532.58799999999997</v>
      </c>
      <c r="F135" s="63">
        <v>633.83000000000004</v>
      </c>
    </row>
    <row r="136" spans="1:6">
      <c r="A136" s="61">
        <v>46239.291666666664</v>
      </c>
      <c r="B136" s="62" t="s">
        <v>28</v>
      </c>
      <c r="C136" s="63">
        <v>150</v>
      </c>
      <c r="D136" s="63">
        <v>0</v>
      </c>
      <c r="E136" s="63">
        <v>532.61479999999995</v>
      </c>
      <c r="F136" s="63">
        <v>634.38789999999995</v>
      </c>
    </row>
    <row r="137" spans="1:6">
      <c r="A137" s="61">
        <v>46239.333333333336</v>
      </c>
      <c r="B137" s="62" t="s">
        <v>28</v>
      </c>
      <c r="C137" s="63">
        <v>140</v>
      </c>
      <c r="D137" s="63">
        <v>0</v>
      </c>
      <c r="E137" s="63">
        <v>532.63990000000001</v>
      </c>
      <c r="F137" s="63">
        <v>634.90989999999999</v>
      </c>
    </row>
    <row r="138" spans="1:6">
      <c r="A138" s="61">
        <v>46239.375</v>
      </c>
      <c r="B138" s="62" t="s">
        <v>28</v>
      </c>
      <c r="C138" s="63">
        <v>131</v>
      </c>
      <c r="D138" s="63">
        <v>0</v>
      </c>
      <c r="E138" s="63">
        <v>532.66330000000005</v>
      </c>
      <c r="F138" s="63">
        <v>635.39769999999999</v>
      </c>
    </row>
    <row r="139" spans="1:6">
      <c r="A139" s="61">
        <v>46239.416666666664</v>
      </c>
      <c r="B139" s="62" t="s">
        <v>28</v>
      </c>
      <c r="C139" s="63">
        <v>122</v>
      </c>
      <c r="D139" s="63">
        <v>0</v>
      </c>
      <c r="E139" s="63">
        <v>532.68520000000001</v>
      </c>
      <c r="F139" s="63">
        <v>635.85310000000004</v>
      </c>
    </row>
    <row r="140" spans="1:6">
      <c r="A140" s="61">
        <v>46239.458333333336</v>
      </c>
      <c r="B140" s="62" t="s">
        <v>28</v>
      </c>
      <c r="C140" s="63">
        <v>114.5</v>
      </c>
      <c r="D140" s="63">
        <v>114.5</v>
      </c>
      <c r="E140" s="63">
        <v>532.69579999999996</v>
      </c>
      <c r="F140" s="63">
        <v>636.07270000000005</v>
      </c>
    </row>
    <row r="141" spans="1:6">
      <c r="A141" s="61">
        <v>46239.5</v>
      </c>
      <c r="B141" s="62" t="s">
        <v>28</v>
      </c>
      <c r="C141" s="63">
        <v>107</v>
      </c>
      <c r="D141" s="63">
        <v>107</v>
      </c>
      <c r="E141" s="63">
        <v>532.69579999999996</v>
      </c>
      <c r="F141" s="63">
        <v>636.07270000000005</v>
      </c>
    </row>
    <row r="142" spans="1:6">
      <c r="A142" s="61">
        <v>46239.541666666664</v>
      </c>
      <c r="B142" s="62" t="s">
        <v>28</v>
      </c>
      <c r="C142" s="63">
        <v>100.5</v>
      </c>
      <c r="D142" s="63">
        <v>100.5</v>
      </c>
      <c r="E142" s="63">
        <v>532.69579999999996</v>
      </c>
      <c r="F142" s="63">
        <v>636.07270000000005</v>
      </c>
    </row>
    <row r="143" spans="1:6">
      <c r="A143" s="61">
        <v>46239.583333333336</v>
      </c>
      <c r="B143" s="62" t="s">
        <v>28</v>
      </c>
      <c r="C143" s="63">
        <v>94</v>
      </c>
      <c r="D143" s="63">
        <v>94</v>
      </c>
      <c r="E143" s="63">
        <v>532.69579999999996</v>
      </c>
      <c r="F143" s="63">
        <v>636.07270000000005</v>
      </c>
    </row>
    <row r="144" spans="1:6">
      <c r="A144" s="61">
        <v>46239.625</v>
      </c>
      <c r="B144" s="62" t="s">
        <v>28</v>
      </c>
      <c r="C144" s="63">
        <v>88</v>
      </c>
      <c r="D144" s="63">
        <v>150</v>
      </c>
      <c r="E144" s="63">
        <v>532.69039999999995</v>
      </c>
      <c r="F144" s="63">
        <v>635.96109999999999</v>
      </c>
    </row>
    <row r="145" spans="1:6">
      <c r="A145" s="61">
        <v>46239.666666666664</v>
      </c>
      <c r="B145" s="62" t="s">
        <v>28</v>
      </c>
      <c r="C145" s="63">
        <v>82</v>
      </c>
      <c r="D145" s="63">
        <v>150</v>
      </c>
      <c r="E145" s="63">
        <v>532.67920000000004</v>
      </c>
      <c r="F145" s="63">
        <v>635.72709999999995</v>
      </c>
    </row>
    <row r="146" spans="1:6">
      <c r="A146" s="61">
        <v>46239.708333333336</v>
      </c>
      <c r="B146" s="62" t="s">
        <v>28</v>
      </c>
      <c r="C146" s="63">
        <v>77</v>
      </c>
      <c r="D146" s="63">
        <v>150</v>
      </c>
      <c r="E146" s="63">
        <v>532.66700000000003</v>
      </c>
      <c r="F146" s="63">
        <v>635.47329999999999</v>
      </c>
    </row>
    <row r="147" spans="1:6">
      <c r="A147" s="61">
        <v>46239.75</v>
      </c>
      <c r="B147" s="62" t="s">
        <v>28</v>
      </c>
      <c r="C147" s="63">
        <v>72</v>
      </c>
      <c r="D147" s="63">
        <v>150</v>
      </c>
      <c r="E147" s="63">
        <v>532.65390000000002</v>
      </c>
      <c r="F147" s="63">
        <v>635.20150000000001</v>
      </c>
    </row>
    <row r="148" spans="1:6">
      <c r="A148" s="61">
        <v>46239.791666666664</v>
      </c>
      <c r="B148" s="62" t="s">
        <v>28</v>
      </c>
      <c r="C148" s="63">
        <v>68</v>
      </c>
      <c r="D148" s="63">
        <v>150</v>
      </c>
      <c r="E148" s="63">
        <v>532.64009999999996</v>
      </c>
      <c r="F148" s="63">
        <v>634.9135</v>
      </c>
    </row>
    <row r="149" spans="1:6">
      <c r="A149" s="61">
        <v>46239.833333333336</v>
      </c>
      <c r="B149" s="62" t="s">
        <v>28</v>
      </c>
      <c r="C149" s="63">
        <v>64</v>
      </c>
      <c r="D149" s="63">
        <v>150</v>
      </c>
      <c r="E149" s="63">
        <v>532.62549999999999</v>
      </c>
      <c r="F149" s="63">
        <v>634.61109999999996</v>
      </c>
    </row>
    <row r="150" spans="1:6">
      <c r="A150" s="61">
        <v>46239.875</v>
      </c>
      <c r="B150" s="62" t="s">
        <v>28</v>
      </c>
      <c r="C150" s="63">
        <v>60</v>
      </c>
      <c r="D150" s="63">
        <v>150</v>
      </c>
      <c r="E150" s="63">
        <v>532.61030000000005</v>
      </c>
      <c r="F150" s="63">
        <v>634.29430000000002</v>
      </c>
    </row>
    <row r="151" spans="1:6">
      <c r="A151" s="61">
        <v>46239.916666666664</v>
      </c>
      <c r="B151" s="62" t="s">
        <v>28</v>
      </c>
      <c r="C151" s="63">
        <v>56</v>
      </c>
      <c r="D151" s="63">
        <v>150</v>
      </c>
      <c r="E151" s="63">
        <v>532.59439999999995</v>
      </c>
      <c r="F151" s="63">
        <v>633.96310000000005</v>
      </c>
    </row>
    <row r="152" spans="1:6">
      <c r="A152" s="61">
        <v>46239.958333333336</v>
      </c>
      <c r="B152" s="62" t="s">
        <v>28</v>
      </c>
      <c r="C152" s="63">
        <v>52.5</v>
      </c>
      <c r="D152" s="63">
        <v>150</v>
      </c>
      <c r="E152" s="63">
        <v>532.57780000000002</v>
      </c>
      <c r="F152" s="63">
        <v>633.61839999999995</v>
      </c>
    </row>
    <row r="153" spans="1:6">
      <c r="A153" s="61">
        <v>46240</v>
      </c>
      <c r="B153" s="62" t="s">
        <v>28</v>
      </c>
      <c r="C153" s="63">
        <v>49</v>
      </c>
      <c r="D153" s="63">
        <v>150</v>
      </c>
      <c r="E153" s="63">
        <v>532.56060000000002</v>
      </c>
      <c r="F153" s="63">
        <v>633.26110000000006</v>
      </c>
    </row>
    <row r="154" spans="1:6">
      <c r="A154" s="61">
        <v>46240.041666666664</v>
      </c>
      <c r="B154" s="62" t="s">
        <v>28</v>
      </c>
      <c r="C154" s="63">
        <v>46.5</v>
      </c>
      <c r="D154" s="63">
        <v>150</v>
      </c>
      <c r="E154" s="63">
        <v>532.54290000000003</v>
      </c>
      <c r="F154" s="63">
        <v>632.89300000000003</v>
      </c>
    </row>
    <row r="155" spans="1:6">
      <c r="A155" s="61">
        <v>46240.083333333336</v>
      </c>
      <c r="B155" s="62" t="s">
        <v>28</v>
      </c>
      <c r="C155" s="63">
        <v>44</v>
      </c>
      <c r="D155" s="63">
        <v>150</v>
      </c>
      <c r="E155" s="63">
        <v>532.52480000000003</v>
      </c>
      <c r="F155" s="63">
        <v>632.51589999999999</v>
      </c>
    </row>
    <row r="156" spans="1:6">
      <c r="A156" s="61">
        <v>46240.125</v>
      </c>
      <c r="B156" s="62" t="s">
        <v>28</v>
      </c>
      <c r="C156" s="63">
        <v>41</v>
      </c>
      <c r="D156" s="63">
        <v>150</v>
      </c>
      <c r="E156" s="63">
        <v>532.50620000000004</v>
      </c>
      <c r="F156" s="63">
        <v>632.12890000000004</v>
      </c>
    </row>
    <row r="157" spans="1:6">
      <c r="A157" s="61">
        <v>46240.166666666664</v>
      </c>
      <c r="B157" s="62" t="s">
        <v>28</v>
      </c>
      <c r="C157" s="63">
        <v>38</v>
      </c>
      <c r="D157" s="63">
        <v>150</v>
      </c>
      <c r="E157" s="63">
        <v>532.48710000000005</v>
      </c>
      <c r="F157" s="63">
        <v>631.73109999999997</v>
      </c>
    </row>
    <row r="158" spans="1:6">
      <c r="A158" s="61">
        <v>46240.208333333336</v>
      </c>
      <c r="B158" s="62" t="s">
        <v>28</v>
      </c>
      <c r="C158" s="63">
        <v>35.5</v>
      </c>
      <c r="D158" s="63">
        <v>150</v>
      </c>
      <c r="E158" s="63">
        <v>532.46749999999997</v>
      </c>
      <c r="F158" s="63">
        <v>631.32339999999999</v>
      </c>
    </row>
    <row r="159" spans="1:6">
      <c r="A159" s="61">
        <v>46240.25</v>
      </c>
      <c r="B159" s="62" t="s">
        <v>28</v>
      </c>
      <c r="C159" s="63">
        <v>33</v>
      </c>
      <c r="D159" s="63">
        <v>150</v>
      </c>
      <c r="E159" s="63">
        <v>532.44740000000002</v>
      </c>
      <c r="F159" s="63">
        <v>630.9067</v>
      </c>
    </row>
    <row r="160" spans="1:6">
      <c r="A160" s="61">
        <v>46240.291666666664</v>
      </c>
      <c r="B160" s="62" t="s">
        <v>28</v>
      </c>
      <c r="C160" s="63">
        <v>31</v>
      </c>
      <c r="D160" s="63">
        <v>150</v>
      </c>
      <c r="E160" s="63">
        <v>532.42700000000002</v>
      </c>
      <c r="F160" s="63">
        <v>630.4819</v>
      </c>
    </row>
    <row r="161" spans="1:6">
      <c r="A161" s="61">
        <v>46240.333333333336</v>
      </c>
      <c r="B161" s="62" t="s">
        <v>28</v>
      </c>
      <c r="C161" s="63">
        <v>29</v>
      </c>
      <c r="D161" s="63">
        <v>150</v>
      </c>
      <c r="E161" s="63">
        <v>532.40629999999999</v>
      </c>
      <c r="F161" s="63">
        <v>630.04989999999998</v>
      </c>
    </row>
    <row r="162" spans="1:6">
      <c r="A162" s="61">
        <v>46240.375</v>
      </c>
      <c r="B162" s="62" t="s">
        <v>28</v>
      </c>
      <c r="C162" s="63">
        <v>27.5</v>
      </c>
      <c r="D162" s="63">
        <v>150</v>
      </c>
      <c r="E162" s="63">
        <v>532.38520000000005</v>
      </c>
      <c r="F162" s="63">
        <v>629.61159999999995</v>
      </c>
    </row>
    <row r="163" spans="1:6">
      <c r="A163" s="61">
        <v>46240.416666666664</v>
      </c>
      <c r="B163" s="62" t="s">
        <v>28</v>
      </c>
      <c r="C163" s="63">
        <v>26</v>
      </c>
      <c r="D163" s="63">
        <v>150</v>
      </c>
      <c r="E163" s="63">
        <v>532.36379999999997</v>
      </c>
      <c r="F163" s="63">
        <v>629.16780000000006</v>
      </c>
    </row>
    <row r="164" spans="1:6">
      <c r="A164" s="61">
        <v>46240.458333333336</v>
      </c>
      <c r="B164" s="62" t="s">
        <v>28</v>
      </c>
      <c r="C164" s="63">
        <v>24</v>
      </c>
      <c r="D164" s="63">
        <v>150</v>
      </c>
      <c r="E164" s="63">
        <v>532.34220000000005</v>
      </c>
      <c r="F164" s="63">
        <v>628.71780000000001</v>
      </c>
    </row>
    <row r="165" spans="1:6">
      <c r="A165" s="61">
        <v>46240.5</v>
      </c>
      <c r="B165" s="62" t="s">
        <v>28</v>
      </c>
      <c r="C165" s="63">
        <v>22</v>
      </c>
      <c r="D165" s="63">
        <v>150</v>
      </c>
      <c r="E165" s="63">
        <v>532.32029999999997</v>
      </c>
      <c r="F165" s="63">
        <v>628.26059999999995</v>
      </c>
    </row>
    <row r="166" spans="1:6">
      <c r="A166" s="61">
        <v>46240.541666666664</v>
      </c>
      <c r="B166" s="62" t="s">
        <v>28</v>
      </c>
      <c r="C166" s="63">
        <v>21</v>
      </c>
      <c r="D166" s="63">
        <v>150</v>
      </c>
      <c r="E166" s="63">
        <v>532.298</v>
      </c>
      <c r="F166" s="63">
        <v>627.798</v>
      </c>
    </row>
    <row r="167" spans="1:6">
      <c r="A167" s="61">
        <v>46240.583333333336</v>
      </c>
      <c r="B167" s="62" t="s">
        <v>28</v>
      </c>
      <c r="C167" s="63">
        <v>20</v>
      </c>
      <c r="D167" s="63">
        <v>150</v>
      </c>
      <c r="E167" s="63">
        <v>532.27560000000005</v>
      </c>
      <c r="F167" s="63">
        <v>627.33180000000004</v>
      </c>
    </row>
    <row r="168" spans="1:6">
      <c r="A168" s="61">
        <v>46240.625</v>
      </c>
      <c r="B168" s="62" t="s">
        <v>28</v>
      </c>
      <c r="C168" s="63">
        <v>18.5</v>
      </c>
      <c r="D168" s="63">
        <v>150</v>
      </c>
      <c r="E168" s="63">
        <v>532.25289999999995</v>
      </c>
      <c r="F168" s="63">
        <v>626.86109999999996</v>
      </c>
    </row>
    <row r="169" spans="1:6">
      <c r="A169" s="61">
        <v>46240.666666666664</v>
      </c>
      <c r="B169" s="62" t="s">
        <v>28</v>
      </c>
      <c r="C169" s="63">
        <v>17</v>
      </c>
      <c r="D169" s="63">
        <v>150</v>
      </c>
      <c r="E169" s="63">
        <v>532.23</v>
      </c>
      <c r="F169" s="63">
        <v>626.38509999999997</v>
      </c>
    </row>
    <row r="170" spans="1:6">
      <c r="A170" s="61">
        <v>46240.708333333336</v>
      </c>
      <c r="B170" s="62" t="s">
        <v>28</v>
      </c>
      <c r="C170" s="63">
        <v>16</v>
      </c>
      <c r="D170" s="63">
        <v>150</v>
      </c>
      <c r="E170" s="63">
        <v>532.20699999999999</v>
      </c>
      <c r="F170" s="63">
        <v>625.90449999999998</v>
      </c>
    </row>
    <row r="171" spans="1:6">
      <c r="A171" s="61">
        <v>46240.75</v>
      </c>
      <c r="B171" s="62" t="s">
        <v>28</v>
      </c>
      <c r="C171" s="63">
        <v>15</v>
      </c>
      <c r="D171" s="63">
        <v>150</v>
      </c>
      <c r="E171" s="63">
        <v>532.18370000000004</v>
      </c>
      <c r="F171" s="63">
        <v>625.4203</v>
      </c>
    </row>
    <row r="172" spans="1:6">
      <c r="A172" s="61">
        <v>46240.791666666664</v>
      </c>
      <c r="B172" s="62" t="s">
        <v>28</v>
      </c>
      <c r="C172" s="63">
        <v>14</v>
      </c>
      <c r="D172" s="63">
        <v>150</v>
      </c>
      <c r="E172" s="63">
        <v>532.16020000000003</v>
      </c>
      <c r="F172" s="63">
        <v>624.9325</v>
      </c>
    </row>
    <row r="173" spans="1:6">
      <c r="A173" s="61">
        <v>46240.833333333336</v>
      </c>
      <c r="B173" s="62" t="s">
        <v>28</v>
      </c>
      <c r="C173" s="63">
        <v>13</v>
      </c>
      <c r="D173" s="63">
        <v>150</v>
      </c>
      <c r="E173" s="63">
        <v>532.13660000000004</v>
      </c>
      <c r="F173" s="63">
        <v>624.44110000000001</v>
      </c>
    </row>
    <row r="174" spans="1:6">
      <c r="A174" s="61">
        <v>46240.875</v>
      </c>
      <c r="B174" s="62" t="s">
        <v>28</v>
      </c>
      <c r="C174" s="63">
        <v>12</v>
      </c>
      <c r="D174" s="63">
        <v>150</v>
      </c>
      <c r="E174" s="63">
        <v>532.11279999999999</v>
      </c>
      <c r="F174" s="63">
        <v>623.9461</v>
      </c>
    </row>
    <row r="175" spans="1:6">
      <c r="A175" s="61">
        <v>46240.916666666664</v>
      </c>
      <c r="B175" s="62" t="s">
        <v>28</v>
      </c>
      <c r="C175" s="63">
        <v>11</v>
      </c>
      <c r="D175" s="63">
        <v>150</v>
      </c>
      <c r="E175" s="63">
        <v>532.08879999999999</v>
      </c>
      <c r="F175" s="63">
        <v>623.44749999999999</v>
      </c>
    </row>
    <row r="176" spans="1:6">
      <c r="A176" s="61">
        <v>46240.958333333336</v>
      </c>
      <c r="B176" s="62" t="s">
        <v>28</v>
      </c>
      <c r="C176" s="63">
        <v>10.5</v>
      </c>
      <c r="D176" s="63">
        <v>150</v>
      </c>
      <c r="E176" s="63">
        <v>532.06470000000002</v>
      </c>
      <c r="F176" s="63">
        <v>622.94619999999998</v>
      </c>
    </row>
    <row r="177" spans="1:6">
      <c r="A177" s="61">
        <v>46241</v>
      </c>
      <c r="B177" s="62" t="s">
        <v>28</v>
      </c>
      <c r="C177" s="63">
        <v>10</v>
      </c>
      <c r="D177" s="63">
        <v>150</v>
      </c>
      <c r="E177" s="63">
        <v>532.04049999999995</v>
      </c>
      <c r="F177" s="63">
        <v>622.44309999999996</v>
      </c>
    </row>
    <row r="178" spans="1:6">
      <c r="A178" s="61">
        <v>46241.041666666664</v>
      </c>
      <c r="B178" s="62" t="s">
        <v>28</v>
      </c>
      <c r="C178" s="63">
        <v>9</v>
      </c>
      <c r="D178" s="63">
        <v>150</v>
      </c>
      <c r="E178" s="63">
        <v>532.01620000000003</v>
      </c>
      <c r="F178" s="63">
        <v>621.93730000000005</v>
      </c>
    </row>
    <row r="179" spans="1:6">
      <c r="A179" s="61">
        <v>46241.083333333336</v>
      </c>
      <c r="B179" s="62" t="s">
        <v>28</v>
      </c>
      <c r="C179" s="63">
        <v>8</v>
      </c>
      <c r="D179" s="63">
        <v>150</v>
      </c>
      <c r="E179" s="63">
        <v>531.99170000000004</v>
      </c>
      <c r="F179" s="63">
        <v>621.42790000000002</v>
      </c>
    </row>
    <row r="180" spans="1:6">
      <c r="A180" s="61">
        <v>46241.125</v>
      </c>
      <c r="B180" s="62" t="s">
        <v>28</v>
      </c>
      <c r="C180" s="63">
        <v>7.5</v>
      </c>
      <c r="D180" s="63">
        <v>150</v>
      </c>
      <c r="E180" s="63">
        <v>531.96709999999996</v>
      </c>
      <c r="F180" s="63">
        <v>620.91579999999999</v>
      </c>
    </row>
    <row r="181" spans="1:6">
      <c r="A181" s="61">
        <v>46241.166666666664</v>
      </c>
      <c r="B181" s="62" t="s">
        <v>28</v>
      </c>
      <c r="C181" s="63">
        <v>7</v>
      </c>
      <c r="D181" s="63">
        <v>150</v>
      </c>
      <c r="E181" s="63">
        <v>531.94240000000002</v>
      </c>
      <c r="F181" s="63">
        <v>620.40189999999996</v>
      </c>
    </row>
    <row r="182" spans="1:6">
      <c r="A182" s="61">
        <v>46241.208333333336</v>
      </c>
      <c r="B182" s="62" t="s">
        <v>28</v>
      </c>
      <c r="C182" s="63">
        <v>6.5</v>
      </c>
      <c r="D182" s="63">
        <v>150</v>
      </c>
      <c r="E182" s="63">
        <v>531.91759999999999</v>
      </c>
      <c r="F182" s="63">
        <v>619.88620000000003</v>
      </c>
    </row>
    <row r="183" spans="1:6">
      <c r="A183" s="61">
        <v>46241.25</v>
      </c>
      <c r="B183" s="62" t="s">
        <v>28</v>
      </c>
      <c r="C183" s="63">
        <v>6</v>
      </c>
      <c r="D183" s="63">
        <v>150</v>
      </c>
      <c r="E183" s="63">
        <v>531.89269999999999</v>
      </c>
      <c r="F183" s="63">
        <v>619.36869999999999</v>
      </c>
    </row>
    <row r="184" spans="1:6">
      <c r="A184" s="61">
        <v>46241.291666666664</v>
      </c>
      <c r="B184" s="62" t="s">
        <v>28</v>
      </c>
      <c r="C184" s="63">
        <v>5</v>
      </c>
      <c r="D184" s="63">
        <v>150</v>
      </c>
      <c r="E184" s="63">
        <v>531.86770000000001</v>
      </c>
      <c r="F184" s="63">
        <v>618.84849999999994</v>
      </c>
    </row>
    <row r="185" spans="1:6">
      <c r="A185" s="61">
        <v>46241.333333333336</v>
      </c>
      <c r="B185" s="62" t="s">
        <v>28</v>
      </c>
      <c r="C185" s="63">
        <v>4</v>
      </c>
      <c r="D185" s="63">
        <v>150</v>
      </c>
      <c r="E185" s="63">
        <v>531.84249999999997</v>
      </c>
      <c r="F185" s="63">
        <v>618.32470000000001</v>
      </c>
    </row>
    <row r="186" spans="1:6">
      <c r="A186" s="61">
        <v>46241.375</v>
      </c>
      <c r="B186" s="62" t="s">
        <v>28</v>
      </c>
      <c r="C186" s="63">
        <v>3.5</v>
      </c>
      <c r="D186" s="63">
        <v>150</v>
      </c>
      <c r="E186" s="63">
        <v>531.81719999999996</v>
      </c>
      <c r="F186" s="63">
        <v>617.79819999999995</v>
      </c>
    </row>
    <row r="187" spans="1:6">
      <c r="A187" s="61">
        <v>46241.416666666664</v>
      </c>
      <c r="B187" s="62" t="s">
        <v>28</v>
      </c>
      <c r="C187" s="63">
        <v>3</v>
      </c>
      <c r="D187" s="63">
        <v>150</v>
      </c>
      <c r="E187" s="63">
        <v>531.79179999999997</v>
      </c>
      <c r="F187" s="63">
        <v>617.26990000000001</v>
      </c>
    </row>
    <row r="188" spans="1:6">
      <c r="A188" s="61">
        <v>46241.458333333336</v>
      </c>
      <c r="B188" s="62" t="s">
        <v>28</v>
      </c>
      <c r="C188" s="63">
        <v>2.5</v>
      </c>
      <c r="D188" s="63">
        <v>150</v>
      </c>
      <c r="E188" s="63">
        <v>531.76639999999998</v>
      </c>
      <c r="F188" s="63">
        <v>616.73979999999995</v>
      </c>
    </row>
    <row r="189" spans="1:6">
      <c r="A189" s="61">
        <v>46241.5</v>
      </c>
      <c r="B189" s="62" t="s">
        <v>28</v>
      </c>
      <c r="C189" s="63">
        <v>2</v>
      </c>
      <c r="D189" s="63">
        <v>150</v>
      </c>
      <c r="E189" s="63">
        <v>531.74080000000004</v>
      </c>
      <c r="F189" s="63">
        <v>616.2079</v>
      </c>
    </row>
    <row r="190" spans="1:6">
      <c r="A190" s="61">
        <v>46241.541666666664</v>
      </c>
      <c r="B190" s="62" t="s">
        <v>28</v>
      </c>
      <c r="C190" s="63">
        <v>1.5</v>
      </c>
      <c r="D190" s="63">
        <v>150</v>
      </c>
      <c r="E190" s="63">
        <v>531.71510000000001</v>
      </c>
      <c r="F190" s="63">
        <v>615.67420000000004</v>
      </c>
    </row>
    <row r="191" spans="1:6">
      <c r="A191" s="61">
        <v>46241.583333333336</v>
      </c>
      <c r="B191" s="62" t="s">
        <v>28</v>
      </c>
      <c r="C191" s="63">
        <v>1</v>
      </c>
      <c r="D191" s="63">
        <v>150</v>
      </c>
      <c r="E191" s="63">
        <v>531.6893</v>
      </c>
      <c r="F191" s="63">
        <v>615.13869999999997</v>
      </c>
    </row>
    <row r="192" spans="1:6">
      <c r="A192" s="61">
        <v>46241.625</v>
      </c>
      <c r="B192" s="62" t="s">
        <v>28</v>
      </c>
      <c r="C192" s="63">
        <v>1</v>
      </c>
      <c r="D192" s="63">
        <v>150</v>
      </c>
      <c r="E192" s="63">
        <v>531.66359999999997</v>
      </c>
      <c r="F192" s="63">
        <v>614.60230000000001</v>
      </c>
    </row>
    <row r="193" spans="1:6">
      <c r="A193" s="61">
        <v>46241.666666666664</v>
      </c>
      <c r="B193" s="62" t="s">
        <v>28</v>
      </c>
      <c r="C193" s="63">
        <v>1</v>
      </c>
      <c r="D193" s="63">
        <v>150</v>
      </c>
      <c r="E193" s="63">
        <v>531.63779999999997</v>
      </c>
      <c r="F193" s="63">
        <v>614.06590000000006</v>
      </c>
    </row>
    <row r="194" spans="1:6">
      <c r="A194" s="61">
        <v>46241.708333333336</v>
      </c>
      <c r="B194" s="62" t="s">
        <v>28</v>
      </c>
      <c r="C194" s="63">
        <v>1</v>
      </c>
      <c r="D194" s="63">
        <v>150</v>
      </c>
      <c r="E194" s="63">
        <v>531.61199999999997</v>
      </c>
      <c r="F194" s="63">
        <v>613.52949999999998</v>
      </c>
    </row>
    <row r="195" spans="1:6">
      <c r="A195" s="61">
        <v>46241.75</v>
      </c>
      <c r="B195" s="62" t="s">
        <v>28</v>
      </c>
      <c r="C195" s="63">
        <v>1</v>
      </c>
      <c r="D195" s="63">
        <v>150</v>
      </c>
      <c r="E195" s="63">
        <v>531.58619999999996</v>
      </c>
      <c r="F195" s="63">
        <v>612.9932</v>
      </c>
    </row>
    <row r="196" spans="1:6">
      <c r="A196" s="61">
        <v>46241.791666666664</v>
      </c>
      <c r="B196" s="62" t="s">
        <v>28</v>
      </c>
      <c r="C196" s="63">
        <v>0.5</v>
      </c>
      <c r="D196" s="63">
        <v>150</v>
      </c>
      <c r="E196" s="63">
        <v>531.56039999999996</v>
      </c>
      <c r="F196" s="63">
        <v>612.45590000000004</v>
      </c>
    </row>
    <row r="197" spans="1:6">
      <c r="A197" s="61">
        <v>46241.833333333336</v>
      </c>
      <c r="B197" s="62" t="s">
        <v>28</v>
      </c>
      <c r="C197" s="75">
        <v>9.0799999999999993E-9</v>
      </c>
      <c r="D197" s="63">
        <v>150</v>
      </c>
      <c r="E197" s="63">
        <v>531.53449999999998</v>
      </c>
      <c r="F197" s="63">
        <v>611.91669999999999</v>
      </c>
    </row>
    <row r="198" spans="1:6">
      <c r="A198" s="61">
        <v>46241.875</v>
      </c>
      <c r="B198" s="62" t="s">
        <v>28</v>
      </c>
      <c r="C198" s="63">
        <v>0</v>
      </c>
      <c r="D198" s="63">
        <v>150</v>
      </c>
      <c r="E198" s="63">
        <v>531.50850000000003</v>
      </c>
      <c r="F198" s="63">
        <v>611.3768</v>
      </c>
    </row>
    <row r="199" spans="1:6">
      <c r="A199" s="61">
        <v>46241.916666666664</v>
      </c>
      <c r="B199" s="62" t="s">
        <v>28</v>
      </c>
      <c r="C199" s="63">
        <v>0</v>
      </c>
      <c r="D199" s="63">
        <v>150</v>
      </c>
      <c r="E199" s="63">
        <v>531.48249999999996</v>
      </c>
      <c r="F199" s="63">
        <v>610.83680000000004</v>
      </c>
    </row>
    <row r="200" spans="1:6">
      <c r="A200" s="61">
        <v>46241.958333333336</v>
      </c>
      <c r="B200" s="62" t="s">
        <v>28</v>
      </c>
      <c r="C200" s="63">
        <v>0</v>
      </c>
      <c r="D200" s="63">
        <v>150</v>
      </c>
      <c r="E200" s="63">
        <v>531.45659999999998</v>
      </c>
      <c r="F200" s="63">
        <v>610.29679999999996</v>
      </c>
    </row>
    <row r="201" spans="1:6">
      <c r="A201" s="61">
        <v>46242</v>
      </c>
      <c r="B201" s="62" t="s">
        <v>28</v>
      </c>
      <c r="C201" s="63">
        <v>0</v>
      </c>
      <c r="D201" s="63">
        <v>150</v>
      </c>
      <c r="E201" s="63">
        <v>531.43060000000003</v>
      </c>
      <c r="F201" s="63">
        <v>609.7568</v>
      </c>
    </row>
    <row r="202" spans="1:6">
      <c r="A202" s="61">
        <v>46242.041666666664</v>
      </c>
      <c r="B202" s="62" t="s">
        <v>28</v>
      </c>
      <c r="C202" s="63">
        <v>0</v>
      </c>
      <c r="D202" s="63">
        <v>150</v>
      </c>
      <c r="E202" s="63">
        <v>531.40470000000005</v>
      </c>
      <c r="F202" s="63">
        <v>609.21690000000001</v>
      </c>
    </row>
    <row r="203" spans="1:6">
      <c r="A203" s="61">
        <v>46242.083333333336</v>
      </c>
      <c r="B203" s="62" t="s">
        <v>28</v>
      </c>
      <c r="C203" s="63">
        <v>0</v>
      </c>
      <c r="D203" s="63">
        <v>150</v>
      </c>
      <c r="E203" s="63">
        <v>531.37869999999998</v>
      </c>
      <c r="F203" s="63">
        <v>608.67690000000005</v>
      </c>
    </row>
    <row r="204" spans="1:6">
      <c r="A204" s="61">
        <v>46242.125</v>
      </c>
      <c r="B204" s="62" t="s">
        <v>28</v>
      </c>
      <c r="C204" s="63">
        <v>0</v>
      </c>
      <c r="D204" s="63">
        <v>150</v>
      </c>
      <c r="E204" s="63">
        <v>531.35270000000003</v>
      </c>
      <c r="F204" s="63">
        <v>608.13689999999997</v>
      </c>
    </row>
    <row r="205" spans="1:6">
      <c r="A205" s="61">
        <v>46242.166666666664</v>
      </c>
      <c r="B205" s="62" t="s">
        <v>28</v>
      </c>
      <c r="C205" s="63">
        <v>0</v>
      </c>
      <c r="D205" s="63">
        <v>150</v>
      </c>
      <c r="E205" s="63">
        <v>531.32680000000005</v>
      </c>
      <c r="F205" s="63">
        <v>607.59690000000001</v>
      </c>
    </row>
    <row r="206" spans="1:6">
      <c r="A206" s="61">
        <v>46242.208333333336</v>
      </c>
      <c r="B206" s="62" t="s">
        <v>28</v>
      </c>
      <c r="C206" s="63">
        <v>0</v>
      </c>
      <c r="D206" s="63">
        <v>150</v>
      </c>
      <c r="E206" s="63">
        <v>531.30079999999998</v>
      </c>
      <c r="F206" s="63">
        <v>607.05690000000004</v>
      </c>
    </row>
    <row r="207" spans="1:6">
      <c r="A207" s="61">
        <v>46242.25</v>
      </c>
      <c r="B207" s="62" t="s">
        <v>28</v>
      </c>
      <c r="C207" s="63">
        <v>0</v>
      </c>
      <c r="D207" s="63">
        <v>150</v>
      </c>
      <c r="E207" s="63">
        <v>531.27480000000003</v>
      </c>
      <c r="F207" s="63">
        <v>606.51700000000005</v>
      </c>
    </row>
    <row r="208" spans="1:6">
      <c r="A208" s="61">
        <v>46242.291666666664</v>
      </c>
      <c r="B208" s="62" t="s">
        <v>28</v>
      </c>
      <c r="C208" s="63">
        <v>0</v>
      </c>
      <c r="D208" s="63">
        <v>150</v>
      </c>
      <c r="E208" s="63">
        <v>531.24890000000005</v>
      </c>
      <c r="F208" s="63">
        <v>605.97699999999998</v>
      </c>
    </row>
    <row r="209" spans="1:6">
      <c r="A209" s="61">
        <v>46242.333333333336</v>
      </c>
      <c r="B209" s="62" t="s">
        <v>28</v>
      </c>
      <c r="C209" s="63">
        <v>0</v>
      </c>
      <c r="D209" s="63">
        <v>150</v>
      </c>
      <c r="E209" s="63">
        <v>531.22299999999996</v>
      </c>
      <c r="F209" s="63">
        <v>605.43700000000001</v>
      </c>
    </row>
    <row r="210" spans="1:6">
      <c r="A210" s="61">
        <v>46242.375</v>
      </c>
      <c r="B210" s="62" t="s">
        <v>28</v>
      </c>
      <c r="C210" s="63">
        <v>0</v>
      </c>
      <c r="D210" s="63">
        <v>150</v>
      </c>
      <c r="E210" s="63">
        <v>531.197</v>
      </c>
      <c r="F210" s="63">
        <v>604.89700000000005</v>
      </c>
    </row>
    <row r="211" spans="1:6">
      <c r="A211" s="61">
        <v>46242.416666666664</v>
      </c>
      <c r="B211" s="62" t="s">
        <v>28</v>
      </c>
      <c r="C211" s="63">
        <v>0</v>
      </c>
      <c r="D211" s="63">
        <v>150</v>
      </c>
      <c r="E211" s="63">
        <v>531.17100000000005</v>
      </c>
      <c r="F211" s="63">
        <v>604.35709999999995</v>
      </c>
    </row>
    <row r="212" spans="1:6">
      <c r="A212" s="61">
        <v>46242.458333333336</v>
      </c>
      <c r="B212" s="62" t="s">
        <v>28</v>
      </c>
      <c r="C212" s="63">
        <v>0</v>
      </c>
      <c r="D212" s="63">
        <v>150</v>
      </c>
      <c r="E212" s="63">
        <v>531.14509999999996</v>
      </c>
      <c r="F212" s="63">
        <v>603.81709999999998</v>
      </c>
    </row>
    <row r="213" spans="1:6">
      <c r="A213" s="61">
        <v>46242.5</v>
      </c>
      <c r="B213" s="62" t="s">
        <v>28</v>
      </c>
      <c r="C213" s="63">
        <v>0</v>
      </c>
      <c r="D213" s="63">
        <v>150</v>
      </c>
      <c r="E213" s="63">
        <v>531.1191</v>
      </c>
      <c r="F213" s="63">
        <v>603.27710000000002</v>
      </c>
    </row>
    <row r="214" spans="1:6">
      <c r="A214" s="61">
        <v>46242.541666666664</v>
      </c>
      <c r="B214" s="62" t="s">
        <v>28</v>
      </c>
      <c r="C214" s="63">
        <v>0</v>
      </c>
      <c r="D214" s="63">
        <v>150</v>
      </c>
      <c r="E214" s="63">
        <v>531.09310000000005</v>
      </c>
      <c r="F214" s="63">
        <v>602.73710000000005</v>
      </c>
    </row>
    <row r="215" spans="1:6">
      <c r="A215" s="61">
        <v>46242.583333333336</v>
      </c>
      <c r="B215" s="62" t="s">
        <v>28</v>
      </c>
      <c r="C215" s="63">
        <v>0</v>
      </c>
      <c r="D215" s="63">
        <v>150</v>
      </c>
      <c r="E215" s="63">
        <v>531.06719999999996</v>
      </c>
      <c r="F215" s="63">
        <v>602.19709999999998</v>
      </c>
    </row>
    <row r="216" spans="1:6">
      <c r="A216" s="61">
        <v>46242.625</v>
      </c>
      <c r="B216" s="62" t="s">
        <v>28</v>
      </c>
      <c r="C216" s="63">
        <v>0</v>
      </c>
      <c r="D216" s="63">
        <v>150</v>
      </c>
      <c r="E216" s="63">
        <v>531.0412</v>
      </c>
      <c r="F216" s="63">
        <v>601.65719999999999</v>
      </c>
    </row>
    <row r="217" spans="1:6">
      <c r="A217" s="61">
        <v>46242.666666666664</v>
      </c>
      <c r="B217" s="62" t="s">
        <v>28</v>
      </c>
      <c r="C217" s="63">
        <v>0</v>
      </c>
      <c r="D217" s="63">
        <v>150</v>
      </c>
      <c r="E217" s="63">
        <v>531.01530000000002</v>
      </c>
      <c r="F217" s="63">
        <v>601.11720000000003</v>
      </c>
    </row>
    <row r="218" spans="1:6">
      <c r="A218" s="61">
        <v>46242.708333333336</v>
      </c>
      <c r="B218" s="62" t="s">
        <v>28</v>
      </c>
      <c r="C218" s="63">
        <v>0</v>
      </c>
      <c r="D218" s="63">
        <v>150</v>
      </c>
      <c r="E218" s="63">
        <v>530.98929999999996</v>
      </c>
      <c r="F218" s="63">
        <v>600.57719999999995</v>
      </c>
    </row>
    <row r="219" spans="1:6">
      <c r="A219" s="61">
        <v>46242.75</v>
      </c>
      <c r="B219" s="62" t="s">
        <v>28</v>
      </c>
      <c r="C219" s="63">
        <v>0</v>
      </c>
      <c r="D219" s="63">
        <v>150</v>
      </c>
      <c r="E219" s="63">
        <v>530.9633</v>
      </c>
      <c r="F219" s="63">
        <v>600.03719999999998</v>
      </c>
    </row>
    <row r="220" spans="1:6">
      <c r="A220" s="61">
        <v>46242.791666666664</v>
      </c>
      <c r="B220" s="62" t="s">
        <v>28</v>
      </c>
      <c r="C220" s="63">
        <v>0</v>
      </c>
      <c r="D220" s="63">
        <v>150</v>
      </c>
      <c r="E220" s="63">
        <v>530.93740000000003</v>
      </c>
      <c r="F220" s="63">
        <v>599.4973</v>
      </c>
    </row>
    <row r="221" spans="1:6">
      <c r="A221" s="61">
        <v>46242.833333333336</v>
      </c>
      <c r="B221" s="62" t="s">
        <v>28</v>
      </c>
      <c r="C221" s="63">
        <v>0</v>
      </c>
      <c r="D221" s="63">
        <v>150</v>
      </c>
      <c r="E221" s="63">
        <v>530.91139999999996</v>
      </c>
      <c r="F221" s="63">
        <v>598.95730000000003</v>
      </c>
    </row>
    <row r="222" spans="1:6">
      <c r="A222" s="61">
        <v>46242.875</v>
      </c>
      <c r="B222" s="62" t="s">
        <v>28</v>
      </c>
      <c r="C222" s="63">
        <v>0</v>
      </c>
      <c r="D222" s="63">
        <v>150</v>
      </c>
      <c r="E222" s="63">
        <v>530.8854</v>
      </c>
      <c r="F222" s="63">
        <v>598.41729999999995</v>
      </c>
    </row>
    <row r="223" spans="1:6">
      <c r="A223" s="61">
        <v>46242.916666666664</v>
      </c>
      <c r="B223" s="62" t="s">
        <v>28</v>
      </c>
      <c r="C223" s="63">
        <v>0</v>
      </c>
      <c r="D223" s="63">
        <v>150</v>
      </c>
      <c r="E223" s="63">
        <v>530.85950000000003</v>
      </c>
      <c r="F223" s="63">
        <v>597.87729999999999</v>
      </c>
    </row>
    <row r="224" spans="1:6">
      <c r="A224" s="61">
        <v>46242.958333333336</v>
      </c>
      <c r="B224" s="62" t="s">
        <v>28</v>
      </c>
      <c r="C224" s="63">
        <v>0</v>
      </c>
      <c r="D224" s="63">
        <v>150</v>
      </c>
      <c r="E224" s="63">
        <v>530.83349999999996</v>
      </c>
      <c r="F224" s="63">
        <v>597.33730000000003</v>
      </c>
    </row>
    <row r="225" spans="1:6">
      <c r="A225" s="61">
        <v>46243</v>
      </c>
      <c r="B225" s="62" t="s">
        <v>28</v>
      </c>
      <c r="C225" s="63">
        <v>0</v>
      </c>
      <c r="D225" s="63">
        <v>150</v>
      </c>
      <c r="E225" s="63">
        <v>530.80759999999998</v>
      </c>
      <c r="F225" s="63">
        <v>596.79740000000004</v>
      </c>
    </row>
    <row r="226" spans="1:6">
      <c r="A226" s="61">
        <v>46243.041666666664</v>
      </c>
      <c r="B226" s="62" t="s">
        <v>28</v>
      </c>
      <c r="C226" s="63">
        <v>0</v>
      </c>
      <c r="D226" s="63">
        <v>150</v>
      </c>
      <c r="E226" s="63">
        <v>530.78160000000003</v>
      </c>
      <c r="F226" s="63">
        <v>596.25739999999996</v>
      </c>
    </row>
    <row r="227" spans="1:6">
      <c r="A227" s="61">
        <v>46243.083333333336</v>
      </c>
      <c r="B227" s="62" t="s">
        <v>28</v>
      </c>
      <c r="C227" s="63">
        <v>0</v>
      </c>
      <c r="D227" s="63">
        <v>150</v>
      </c>
      <c r="E227" s="63">
        <v>530.75559999999996</v>
      </c>
      <c r="F227" s="63">
        <v>595.7174</v>
      </c>
    </row>
    <row r="228" spans="1:6">
      <c r="A228" s="61">
        <v>46243.125</v>
      </c>
      <c r="B228" s="62" t="s">
        <v>28</v>
      </c>
      <c r="C228" s="63">
        <v>0</v>
      </c>
      <c r="D228" s="63">
        <v>150</v>
      </c>
      <c r="E228" s="63">
        <v>530.72969999999998</v>
      </c>
      <c r="F228" s="63">
        <v>595.17740000000003</v>
      </c>
    </row>
    <row r="229" spans="1:6">
      <c r="A229" s="61">
        <v>46243.166666666664</v>
      </c>
      <c r="B229" s="62" t="s">
        <v>28</v>
      </c>
      <c r="C229" s="63">
        <v>0</v>
      </c>
      <c r="D229" s="63">
        <v>150</v>
      </c>
      <c r="E229" s="63">
        <v>530.70370000000003</v>
      </c>
      <c r="F229" s="63">
        <v>594.63750000000005</v>
      </c>
    </row>
    <row r="230" spans="1:6">
      <c r="A230" s="61">
        <v>46243.208333333336</v>
      </c>
      <c r="B230" s="62" t="s">
        <v>28</v>
      </c>
      <c r="C230" s="63">
        <v>0</v>
      </c>
      <c r="D230" s="63">
        <v>150</v>
      </c>
      <c r="E230" s="63">
        <v>530.67769999999996</v>
      </c>
      <c r="F230" s="63">
        <v>594.09749999999997</v>
      </c>
    </row>
    <row r="231" spans="1:6">
      <c r="A231" s="61">
        <v>46243.25</v>
      </c>
      <c r="B231" s="62" t="s">
        <v>28</v>
      </c>
      <c r="C231" s="63">
        <v>0</v>
      </c>
      <c r="D231" s="63">
        <v>150</v>
      </c>
      <c r="E231" s="63">
        <v>530.65179999999998</v>
      </c>
      <c r="F231" s="63">
        <v>593.5575</v>
      </c>
    </row>
    <row r="232" spans="1:6">
      <c r="A232" s="61">
        <v>46243.291666666664</v>
      </c>
      <c r="B232" s="62" t="s">
        <v>28</v>
      </c>
      <c r="C232" s="63">
        <v>0</v>
      </c>
      <c r="D232" s="63">
        <v>150</v>
      </c>
      <c r="E232" s="63">
        <v>530.6259</v>
      </c>
      <c r="F232" s="63">
        <v>593.01750000000004</v>
      </c>
    </row>
    <row r="233" spans="1:6">
      <c r="A233" s="61">
        <v>46243.333333333336</v>
      </c>
      <c r="B233" s="62" t="s">
        <v>28</v>
      </c>
      <c r="C233" s="63">
        <v>0</v>
      </c>
      <c r="D233" s="63">
        <v>150</v>
      </c>
      <c r="E233" s="63">
        <v>530.59990000000005</v>
      </c>
      <c r="F233" s="63">
        <v>592.47749999999996</v>
      </c>
    </row>
    <row r="234" spans="1:6">
      <c r="A234" s="61">
        <v>46243.375</v>
      </c>
      <c r="B234" s="62" t="s">
        <v>28</v>
      </c>
      <c r="C234" s="63">
        <v>0</v>
      </c>
      <c r="D234" s="63">
        <v>150</v>
      </c>
      <c r="E234" s="63">
        <v>530.57389999999998</v>
      </c>
      <c r="F234" s="63">
        <v>591.93759999999997</v>
      </c>
    </row>
    <row r="235" spans="1:6">
      <c r="A235" s="61">
        <v>46243.416666666664</v>
      </c>
      <c r="B235" s="62" t="s">
        <v>28</v>
      </c>
      <c r="C235" s="63">
        <v>0</v>
      </c>
      <c r="D235" s="63">
        <v>150</v>
      </c>
      <c r="E235" s="63">
        <v>530.548</v>
      </c>
      <c r="F235" s="63">
        <v>591.39760000000001</v>
      </c>
    </row>
    <row r="236" spans="1:6">
      <c r="A236" s="61">
        <v>46243.458333333336</v>
      </c>
      <c r="B236" s="62" t="s">
        <v>28</v>
      </c>
      <c r="C236" s="63">
        <v>0</v>
      </c>
      <c r="D236" s="63">
        <v>150</v>
      </c>
      <c r="E236" s="63">
        <v>530.52200000000005</v>
      </c>
      <c r="F236" s="63">
        <v>590.85760000000005</v>
      </c>
    </row>
    <row r="237" spans="1:6">
      <c r="A237" s="61">
        <v>46243.5</v>
      </c>
      <c r="B237" s="62" t="s">
        <v>28</v>
      </c>
      <c r="C237" s="63">
        <v>0</v>
      </c>
      <c r="D237" s="63">
        <v>150</v>
      </c>
      <c r="E237" s="63">
        <v>530.49599999999998</v>
      </c>
      <c r="F237" s="63">
        <v>590.31759999999997</v>
      </c>
    </row>
    <row r="238" spans="1:6">
      <c r="A238" s="61">
        <v>46243.541666666664</v>
      </c>
      <c r="B238" s="62" t="s">
        <v>28</v>
      </c>
      <c r="C238" s="63">
        <v>0</v>
      </c>
      <c r="D238" s="63">
        <v>150</v>
      </c>
      <c r="E238" s="63">
        <v>530.4701</v>
      </c>
      <c r="F238" s="63">
        <v>589.77760000000001</v>
      </c>
    </row>
    <row r="239" spans="1:6">
      <c r="A239" s="61">
        <v>46243.583333333336</v>
      </c>
      <c r="B239" s="62" t="s">
        <v>28</v>
      </c>
      <c r="C239" s="63">
        <v>0</v>
      </c>
      <c r="D239" s="63">
        <v>150</v>
      </c>
      <c r="E239" s="63">
        <v>530.44410000000005</v>
      </c>
      <c r="F239" s="63">
        <v>589.23770000000002</v>
      </c>
    </row>
    <row r="240" spans="1:6">
      <c r="A240" s="61">
        <v>46243.625</v>
      </c>
      <c r="B240" s="62" t="s">
        <v>28</v>
      </c>
      <c r="C240" s="63">
        <v>0</v>
      </c>
      <c r="D240" s="63">
        <v>150</v>
      </c>
      <c r="E240" s="63">
        <v>530.41819999999996</v>
      </c>
      <c r="F240" s="63">
        <v>588.69770000000005</v>
      </c>
    </row>
    <row r="241" spans="1:6">
      <c r="A241" s="61">
        <v>46243.666666666664</v>
      </c>
      <c r="B241" s="62" t="s">
        <v>28</v>
      </c>
      <c r="C241" s="63">
        <v>0</v>
      </c>
      <c r="D241" s="63">
        <v>150</v>
      </c>
      <c r="E241" s="63">
        <v>530.3922</v>
      </c>
      <c r="F241" s="63">
        <v>588.15769999999998</v>
      </c>
    </row>
    <row r="242" spans="1:6">
      <c r="A242" s="61">
        <v>46243.708333333336</v>
      </c>
      <c r="B242" s="62" t="s">
        <v>28</v>
      </c>
      <c r="C242" s="63">
        <v>0</v>
      </c>
      <c r="D242" s="63">
        <v>150</v>
      </c>
      <c r="E242" s="63">
        <v>530.36620000000005</v>
      </c>
      <c r="F242" s="63">
        <v>587.61770000000001</v>
      </c>
    </row>
    <row r="243" spans="1:6">
      <c r="A243" s="61">
        <v>46243.75</v>
      </c>
      <c r="B243" s="62" t="s">
        <v>28</v>
      </c>
      <c r="C243" s="63">
        <v>0</v>
      </c>
      <c r="D243" s="63">
        <v>150</v>
      </c>
      <c r="E243" s="63">
        <v>530.34029999999996</v>
      </c>
      <c r="F243" s="63">
        <v>587.07780000000002</v>
      </c>
    </row>
    <row r="244" spans="1:6">
      <c r="A244" s="61">
        <v>46243.791666666664</v>
      </c>
      <c r="B244" s="62" t="s">
        <v>28</v>
      </c>
      <c r="C244" s="63">
        <v>0</v>
      </c>
      <c r="D244" s="63">
        <v>150</v>
      </c>
      <c r="E244" s="63">
        <v>530.3143</v>
      </c>
      <c r="F244" s="63">
        <v>586.53779999999995</v>
      </c>
    </row>
    <row r="245" spans="1:6">
      <c r="A245" s="61">
        <v>46243.833333333336</v>
      </c>
      <c r="B245" s="62" t="s">
        <v>28</v>
      </c>
      <c r="C245" s="63">
        <v>0</v>
      </c>
      <c r="D245" s="63">
        <v>150</v>
      </c>
      <c r="E245" s="63">
        <v>530.28830000000005</v>
      </c>
      <c r="F245" s="63">
        <v>585.99779999999998</v>
      </c>
    </row>
    <row r="246" spans="1:6">
      <c r="A246" s="61">
        <v>46243.875</v>
      </c>
      <c r="B246" s="62" t="s">
        <v>28</v>
      </c>
      <c r="C246" s="63">
        <v>0</v>
      </c>
      <c r="D246" s="63">
        <v>150</v>
      </c>
      <c r="E246" s="63">
        <v>530.26239999999996</v>
      </c>
      <c r="F246" s="63">
        <v>585.45780000000002</v>
      </c>
    </row>
    <row r="247" spans="1:6">
      <c r="A247" s="61">
        <v>46243.916666666664</v>
      </c>
      <c r="B247" s="62" t="s">
        <v>28</v>
      </c>
      <c r="C247" s="63">
        <v>0</v>
      </c>
      <c r="D247" s="63">
        <v>150</v>
      </c>
      <c r="E247" s="63">
        <v>530.23649999999998</v>
      </c>
      <c r="F247" s="63">
        <v>584.91780000000006</v>
      </c>
    </row>
    <row r="248" spans="1:6">
      <c r="A248" s="61">
        <v>46243.958333333336</v>
      </c>
      <c r="B248" s="62" t="s">
        <v>28</v>
      </c>
      <c r="C248" s="63">
        <v>0</v>
      </c>
      <c r="D248" s="63">
        <v>150</v>
      </c>
      <c r="E248" s="63">
        <v>530.21040000000005</v>
      </c>
      <c r="F248" s="63">
        <v>584.37789999999995</v>
      </c>
    </row>
    <row r="249" spans="1:6">
      <c r="A249" s="61">
        <v>46244</v>
      </c>
      <c r="B249" s="62" t="s">
        <v>28</v>
      </c>
      <c r="C249" s="63">
        <v>0</v>
      </c>
      <c r="D249" s="63">
        <v>150</v>
      </c>
      <c r="E249" s="63">
        <v>530.18449999999996</v>
      </c>
      <c r="F249" s="63">
        <v>583.83789999999999</v>
      </c>
    </row>
    <row r="250" spans="1:6">
      <c r="A250" s="61">
        <v>46244.041666666664</v>
      </c>
      <c r="B250" s="62" t="s">
        <v>28</v>
      </c>
      <c r="C250" s="63">
        <v>0</v>
      </c>
      <c r="D250" s="63">
        <v>150</v>
      </c>
      <c r="E250" s="63">
        <v>530.15859999999998</v>
      </c>
      <c r="F250" s="63">
        <v>583.29790000000003</v>
      </c>
    </row>
    <row r="251" spans="1:6">
      <c r="A251" s="61">
        <v>46244.083333333336</v>
      </c>
      <c r="B251" s="62" t="s">
        <v>28</v>
      </c>
      <c r="C251" s="63">
        <v>0</v>
      </c>
      <c r="D251" s="63">
        <v>150</v>
      </c>
      <c r="E251" s="63">
        <v>530.13260000000002</v>
      </c>
      <c r="F251" s="63">
        <v>582.75789999999995</v>
      </c>
    </row>
    <row r="252" spans="1:6">
      <c r="A252" s="61">
        <v>46244.125</v>
      </c>
      <c r="B252" s="62" t="s">
        <v>28</v>
      </c>
      <c r="C252" s="63">
        <v>0</v>
      </c>
      <c r="D252" s="63">
        <v>150</v>
      </c>
      <c r="E252" s="63">
        <v>530.10659999999996</v>
      </c>
      <c r="F252" s="63">
        <v>582.21799999999996</v>
      </c>
    </row>
    <row r="253" spans="1:6">
      <c r="A253" s="61">
        <v>46244.166666666664</v>
      </c>
      <c r="B253" s="62" t="s">
        <v>28</v>
      </c>
      <c r="C253" s="63">
        <v>0</v>
      </c>
      <c r="D253" s="63">
        <v>150</v>
      </c>
      <c r="E253" s="63">
        <v>530.08069999999998</v>
      </c>
      <c r="F253" s="63">
        <v>581.678</v>
      </c>
    </row>
    <row r="254" spans="1:6">
      <c r="A254" s="61">
        <v>46244.208333333336</v>
      </c>
      <c r="B254" s="62" t="s">
        <v>28</v>
      </c>
      <c r="C254" s="63">
        <v>0</v>
      </c>
      <c r="D254" s="63">
        <v>150</v>
      </c>
      <c r="E254" s="63">
        <v>530.05470000000003</v>
      </c>
      <c r="F254" s="63">
        <v>581.13800000000003</v>
      </c>
    </row>
    <row r="255" spans="1:6">
      <c r="A255" s="61">
        <v>46244.25</v>
      </c>
      <c r="B255" s="62" t="s">
        <v>28</v>
      </c>
      <c r="C255" s="63">
        <v>0</v>
      </c>
      <c r="D255" s="63">
        <v>150</v>
      </c>
      <c r="E255" s="63">
        <v>530.02869999999996</v>
      </c>
      <c r="F255" s="63">
        <v>580.59799999999996</v>
      </c>
    </row>
    <row r="256" spans="1:6">
      <c r="A256" s="61">
        <v>46244.291666666664</v>
      </c>
      <c r="B256" s="62" t="s">
        <v>28</v>
      </c>
      <c r="C256" s="63">
        <v>0</v>
      </c>
      <c r="D256" s="63">
        <v>150</v>
      </c>
      <c r="E256" s="63">
        <v>530.00279999999998</v>
      </c>
      <c r="F256" s="63">
        <v>580.05799999999999</v>
      </c>
    </row>
    <row r="257" spans="1:6">
      <c r="A257" s="61">
        <v>46244.333333333336</v>
      </c>
      <c r="B257" s="62" t="s">
        <v>28</v>
      </c>
      <c r="C257" s="63">
        <v>0</v>
      </c>
      <c r="D257" s="63">
        <v>150</v>
      </c>
      <c r="E257" s="63">
        <v>529.96889999999996</v>
      </c>
      <c r="F257" s="63">
        <v>579.5181</v>
      </c>
    </row>
    <row r="258" spans="1:6">
      <c r="A258" s="61">
        <v>46244.375</v>
      </c>
      <c r="B258" s="62" t="s">
        <v>28</v>
      </c>
      <c r="C258" s="63">
        <v>0</v>
      </c>
      <c r="D258" s="63">
        <v>150</v>
      </c>
      <c r="E258" s="63">
        <v>529.93409999999994</v>
      </c>
      <c r="F258" s="63">
        <v>578.97810000000004</v>
      </c>
    </row>
    <row r="259" spans="1:6">
      <c r="A259" s="61">
        <v>46244.416666666664</v>
      </c>
      <c r="B259" s="62" t="s">
        <v>28</v>
      </c>
      <c r="C259" s="63">
        <v>0</v>
      </c>
      <c r="D259" s="63">
        <v>150</v>
      </c>
      <c r="E259" s="63">
        <v>529.89919999999995</v>
      </c>
      <c r="F259" s="63">
        <v>578.43809999999996</v>
      </c>
    </row>
    <row r="260" spans="1:6">
      <c r="A260" s="61">
        <v>46244.458333333336</v>
      </c>
      <c r="B260" s="62" t="s">
        <v>28</v>
      </c>
      <c r="C260" s="63">
        <v>0</v>
      </c>
      <c r="D260" s="63">
        <v>150</v>
      </c>
      <c r="E260" s="63">
        <v>529.86440000000005</v>
      </c>
      <c r="F260" s="63">
        <v>577.8981</v>
      </c>
    </row>
    <row r="261" spans="1:6">
      <c r="A261" s="61">
        <v>46244.5</v>
      </c>
      <c r="B261" s="62" t="s">
        <v>28</v>
      </c>
      <c r="C261" s="63">
        <v>0</v>
      </c>
      <c r="D261" s="63">
        <v>150</v>
      </c>
      <c r="E261" s="63">
        <v>529.82950000000005</v>
      </c>
      <c r="F261" s="63">
        <v>577.35820000000001</v>
      </c>
    </row>
    <row r="262" spans="1:6">
      <c r="A262" s="61">
        <v>46244.541666666664</v>
      </c>
      <c r="B262" s="62" t="s">
        <v>28</v>
      </c>
      <c r="C262" s="63">
        <v>0</v>
      </c>
      <c r="D262" s="63">
        <v>150</v>
      </c>
      <c r="E262" s="63">
        <v>529.79470000000003</v>
      </c>
      <c r="F262" s="63">
        <v>576.81820000000005</v>
      </c>
    </row>
    <row r="263" spans="1:6">
      <c r="A263" s="61">
        <v>46244.583333333336</v>
      </c>
      <c r="B263" s="62" t="s">
        <v>28</v>
      </c>
      <c r="C263" s="63">
        <v>0</v>
      </c>
      <c r="D263" s="63">
        <v>150</v>
      </c>
      <c r="E263" s="63">
        <v>529.75990000000002</v>
      </c>
      <c r="F263" s="63">
        <v>576.27819999999997</v>
      </c>
    </row>
    <row r="264" spans="1:6">
      <c r="A264" s="61">
        <v>46244.625</v>
      </c>
      <c r="B264" s="62" t="s">
        <v>28</v>
      </c>
      <c r="C264" s="63">
        <v>0</v>
      </c>
      <c r="D264" s="63">
        <v>150</v>
      </c>
      <c r="E264" s="63">
        <v>529.72500000000002</v>
      </c>
      <c r="F264" s="63">
        <v>575.73820000000001</v>
      </c>
    </row>
    <row r="265" spans="1:6">
      <c r="A265" s="61">
        <v>46244.666666666664</v>
      </c>
      <c r="B265" s="62" t="s">
        <v>28</v>
      </c>
      <c r="C265" s="63">
        <v>0</v>
      </c>
      <c r="D265" s="63">
        <v>150</v>
      </c>
      <c r="E265" s="63">
        <v>529.6902</v>
      </c>
      <c r="F265" s="63">
        <v>575.19820000000004</v>
      </c>
    </row>
    <row r="266" spans="1:6">
      <c r="A266" s="61">
        <v>46244.708333333336</v>
      </c>
      <c r="B266" s="62" t="s">
        <v>28</v>
      </c>
      <c r="C266" s="63">
        <v>0</v>
      </c>
      <c r="D266" s="63">
        <v>150</v>
      </c>
      <c r="E266" s="63">
        <v>529.65539999999999</v>
      </c>
      <c r="F266" s="63">
        <v>574.65830000000005</v>
      </c>
    </row>
    <row r="267" spans="1:6">
      <c r="A267" s="61">
        <v>46244.75</v>
      </c>
      <c r="B267" s="62" t="s">
        <v>28</v>
      </c>
      <c r="C267" s="63">
        <v>0</v>
      </c>
      <c r="D267" s="63">
        <v>150</v>
      </c>
      <c r="E267" s="63">
        <v>529.62049999999999</v>
      </c>
      <c r="F267" s="63">
        <v>574.11829999999998</v>
      </c>
    </row>
    <row r="268" spans="1:6">
      <c r="A268" s="61">
        <v>46244.791666666664</v>
      </c>
      <c r="B268" s="62" t="s">
        <v>28</v>
      </c>
      <c r="C268" s="63">
        <v>0</v>
      </c>
      <c r="D268" s="63">
        <v>150</v>
      </c>
      <c r="E268" s="63">
        <v>529.58569999999997</v>
      </c>
      <c r="F268" s="63">
        <v>573.57830000000001</v>
      </c>
    </row>
    <row r="269" spans="1:6">
      <c r="A269" s="61">
        <v>46244.833333333336</v>
      </c>
      <c r="B269" s="62" t="s">
        <v>28</v>
      </c>
      <c r="C269" s="63">
        <v>0</v>
      </c>
      <c r="D269" s="63">
        <v>150</v>
      </c>
      <c r="E269" s="63">
        <v>529.55079999999998</v>
      </c>
      <c r="F269" s="63">
        <v>573.03830000000005</v>
      </c>
    </row>
    <row r="270" spans="1:6">
      <c r="A270" s="61">
        <v>46244.875</v>
      </c>
      <c r="B270" s="62" t="s">
        <v>28</v>
      </c>
      <c r="C270" s="63">
        <v>0</v>
      </c>
      <c r="D270" s="63">
        <v>150</v>
      </c>
      <c r="E270" s="63">
        <v>529.51610000000005</v>
      </c>
      <c r="F270" s="63">
        <v>572.49839999999995</v>
      </c>
    </row>
    <row r="271" spans="1:6">
      <c r="A271" s="61">
        <v>46244.916666666664</v>
      </c>
      <c r="B271" s="62" t="s">
        <v>28</v>
      </c>
      <c r="C271" s="63">
        <v>0</v>
      </c>
      <c r="D271" s="63">
        <v>150</v>
      </c>
      <c r="E271" s="63">
        <v>529.48119999999994</v>
      </c>
      <c r="F271" s="63">
        <v>571.95839999999998</v>
      </c>
    </row>
    <row r="272" spans="1:6">
      <c r="A272" s="61">
        <v>46244.958333333336</v>
      </c>
      <c r="B272" s="62" t="s">
        <v>28</v>
      </c>
      <c r="C272" s="63">
        <v>0</v>
      </c>
      <c r="D272" s="63">
        <v>150</v>
      </c>
      <c r="E272" s="63">
        <v>529.44640000000004</v>
      </c>
      <c r="F272" s="63">
        <v>571.41840000000002</v>
      </c>
    </row>
    <row r="273" spans="1:6">
      <c r="A273" s="61">
        <v>46245</v>
      </c>
      <c r="B273" s="62" t="s">
        <v>28</v>
      </c>
      <c r="C273" s="63">
        <v>0</v>
      </c>
      <c r="D273" s="63">
        <v>150</v>
      </c>
      <c r="E273" s="63">
        <v>529.41150000000005</v>
      </c>
      <c r="F273" s="63">
        <v>570.87840000000006</v>
      </c>
    </row>
    <row r="274" spans="1:6">
      <c r="A274" s="61">
        <v>46245.041666666664</v>
      </c>
      <c r="B274" s="62" t="s">
        <v>28</v>
      </c>
      <c r="C274" s="63">
        <v>0</v>
      </c>
      <c r="D274" s="63">
        <v>150</v>
      </c>
      <c r="E274" s="63">
        <v>529.37660000000005</v>
      </c>
      <c r="F274" s="63">
        <v>570.33839999999998</v>
      </c>
    </row>
    <row r="275" spans="1:6">
      <c r="A275" s="61">
        <v>46245.083333333336</v>
      </c>
      <c r="B275" s="62" t="s">
        <v>28</v>
      </c>
      <c r="C275" s="63">
        <v>0</v>
      </c>
      <c r="D275" s="63">
        <v>150</v>
      </c>
      <c r="E275" s="63">
        <v>529.34190000000001</v>
      </c>
      <c r="F275" s="63">
        <v>569.79849999999999</v>
      </c>
    </row>
    <row r="276" spans="1:6">
      <c r="A276" s="61">
        <v>46245.125</v>
      </c>
      <c r="B276" s="62" t="s">
        <v>28</v>
      </c>
      <c r="C276" s="63">
        <v>0</v>
      </c>
      <c r="D276" s="63">
        <v>150</v>
      </c>
      <c r="E276" s="63">
        <v>529.30700000000002</v>
      </c>
      <c r="F276" s="63">
        <v>569.25850000000003</v>
      </c>
    </row>
    <row r="277" spans="1:6">
      <c r="A277" s="61">
        <v>46245.166666666664</v>
      </c>
      <c r="B277" s="62" t="s">
        <v>28</v>
      </c>
      <c r="C277" s="63">
        <v>0</v>
      </c>
      <c r="D277" s="63">
        <v>150</v>
      </c>
      <c r="E277" s="63">
        <v>529.2722</v>
      </c>
      <c r="F277" s="63">
        <v>568.71849999999995</v>
      </c>
    </row>
    <row r="278" spans="1:6">
      <c r="A278" s="61">
        <v>46245.208333333336</v>
      </c>
      <c r="B278" s="62" t="s">
        <v>28</v>
      </c>
      <c r="C278" s="63">
        <v>0</v>
      </c>
      <c r="D278" s="63">
        <v>150</v>
      </c>
      <c r="E278" s="63">
        <v>529.2373</v>
      </c>
      <c r="F278" s="63">
        <v>568.17849999999999</v>
      </c>
    </row>
    <row r="279" spans="1:6">
      <c r="A279" s="61">
        <v>46245.25</v>
      </c>
      <c r="B279" s="62" t="s">
        <v>28</v>
      </c>
      <c r="C279" s="63">
        <v>0</v>
      </c>
      <c r="D279" s="63">
        <v>150</v>
      </c>
      <c r="E279" s="63">
        <v>529.20249999999999</v>
      </c>
      <c r="F279" s="63">
        <v>567.63850000000002</v>
      </c>
    </row>
    <row r="280" spans="1:6">
      <c r="A280" s="61">
        <v>46245.291666666664</v>
      </c>
      <c r="B280" s="62" t="s">
        <v>28</v>
      </c>
      <c r="C280" s="63">
        <v>0</v>
      </c>
      <c r="D280" s="63">
        <v>150</v>
      </c>
      <c r="E280" s="63">
        <v>529.16769999999997</v>
      </c>
      <c r="F280" s="63">
        <v>567.09860000000003</v>
      </c>
    </row>
    <row r="281" spans="1:6">
      <c r="A281" s="61">
        <v>46245.333333333336</v>
      </c>
      <c r="B281" s="62" t="s">
        <v>28</v>
      </c>
      <c r="C281" s="63">
        <v>0</v>
      </c>
      <c r="D281" s="63">
        <v>150</v>
      </c>
      <c r="E281" s="63">
        <v>529.13279999999997</v>
      </c>
      <c r="F281" s="63">
        <v>566.55859999999996</v>
      </c>
    </row>
    <row r="282" spans="1:6">
      <c r="A282" s="61">
        <v>46245.375</v>
      </c>
      <c r="B282" s="62" t="s">
        <v>28</v>
      </c>
      <c r="C282" s="63">
        <v>0</v>
      </c>
      <c r="D282" s="63">
        <v>150</v>
      </c>
      <c r="E282" s="63">
        <v>529.09799999999996</v>
      </c>
      <c r="F282" s="63">
        <v>566.01859999999999</v>
      </c>
    </row>
    <row r="283" spans="1:6">
      <c r="A283" s="61">
        <v>46245.416666666664</v>
      </c>
      <c r="B283" s="62" t="s">
        <v>28</v>
      </c>
      <c r="C283" s="63">
        <v>0</v>
      </c>
      <c r="D283" s="63">
        <v>150</v>
      </c>
      <c r="E283" s="63">
        <v>529.06309999999996</v>
      </c>
      <c r="F283" s="63">
        <v>565.47860000000003</v>
      </c>
    </row>
    <row r="284" spans="1:6">
      <c r="A284" s="61">
        <v>46245.458333333336</v>
      </c>
      <c r="B284" s="62" t="s">
        <v>28</v>
      </c>
      <c r="C284" s="63">
        <v>0</v>
      </c>
      <c r="D284" s="63">
        <v>150</v>
      </c>
      <c r="E284" s="63">
        <v>529.02829999999994</v>
      </c>
      <c r="F284" s="63">
        <v>564.93870000000004</v>
      </c>
    </row>
    <row r="285" spans="1:6">
      <c r="A285" s="61">
        <v>46245.5</v>
      </c>
      <c r="B285" s="62" t="s">
        <v>28</v>
      </c>
      <c r="C285" s="63">
        <v>0</v>
      </c>
      <c r="D285" s="63">
        <v>150</v>
      </c>
      <c r="E285" s="63">
        <v>528.99350000000004</v>
      </c>
      <c r="F285" s="63">
        <v>564.39869999999996</v>
      </c>
    </row>
    <row r="286" spans="1:6">
      <c r="A286" s="61">
        <v>46245.541666666664</v>
      </c>
      <c r="B286" s="62" t="s">
        <v>28</v>
      </c>
      <c r="C286" s="63">
        <v>0</v>
      </c>
      <c r="D286" s="63">
        <v>150</v>
      </c>
      <c r="E286" s="63">
        <v>528.95860000000005</v>
      </c>
      <c r="F286" s="63">
        <v>563.8587</v>
      </c>
    </row>
    <row r="287" spans="1:6">
      <c r="A287" s="61">
        <v>46245.583333333336</v>
      </c>
      <c r="B287" s="62" t="s">
        <v>28</v>
      </c>
      <c r="C287" s="63">
        <v>0</v>
      </c>
      <c r="D287" s="63">
        <v>150</v>
      </c>
      <c r="E287" s="63">
        <v>528.92380000000003</v>
      </c>
      <c r="F287" s="63">
        <v>563.31870000000004</v>
      </c>
    </row>
    <row r="288" spans="1:6">
      <c r="A288" s="61">
        <v>46245.625</v>
      </c>
      <c r="B288" s="62" t="s">
        <v>28</v>
      </c>
      <c r="C288" s="63">
        <v>0</v>
      </c>
      <c r="D288" s="63">
        <v>150</v>
      </c>
      <c r="E288" s="63">
        <v>528.88900000000001</v>
      </c>
      <c r="F288" s="63">
        <v>562.77869999999996</v>
      </c>
    </row>
    <row r="289" spans="1:6">
      <c r="A289" s="61">
        <v>46245.666666666664</v>
      </c>
      <c r="B289" s="62" t="s">
        <v>28</v>
      </c>
      <c r="C289" s="63">
        <v>0</v>
      </c>
      <c r="D289" s="63">
        <v>150</v>
      </c>
      <c r="E289" s="63">
        <v>528.85410000000002</v>
      </c>
      <c r="F289" s="63">
        <v>562.23879999999997</v>
      </c>
    </row>
    <row r="290" spans="1:6">
      <c r="A290" s="61">
        <v>46245.708333333336</v>
      </c>
      <c r="B290" s="62" t="s">
        <v>28</v>
      </c>
      <c r="C290" s="63">
        <v>0</v>
      </c>
      <c r="D290" s="63">
        <v>150</v>
      </c>
      <c r="E290" s="63">
        <v>528.8193</v>
      </c>
      <c r="F290" s="63">
        <v>561.69880000000001</v>
      </c>
    </row>
    <row r="291" spans="1:6">
      <c r="A291" s="61">
        <v>46245.75</v>
      </c>
      <c r="B291" s="62" t="s">
        <v>28</v>
      </c>
      <c r="C291" s="63">
        <v>0</v>
      </c>
      <c r="D291" s="63">
        <v>150</v>
      </c>
      <c r="E291" s="63">
        <v>528.78440000000001</v>
      </c>
      <c r="F291" s="63">
        <v>561.15880000000004</v>
      </c>
    </row>
    <row r="292" spans="1:6">
      <c r="A292" s="61">
        <v>46245.791666666664</v>
      </c>
      <c r="B292" s="62" t="s">
        <v>28</v>
      </c>
      <c r="C292" s="63">
        <v>0</v>
      </c>
      <c r="D292" s="63">
        <v>150</v>
      </c>
      <c r="E292" s="63">
        <v>528.74959999999999</v>
      </c>
      <c r="F292" s="63">
        <v>560.61879999999996</v>
      </c>
    </row>
    <row r="293" spans="1:6">
      <c r="A293" s="61">
        <v>46245.833333333336</v>
      </c>
      <c r="B293" s="62" t="s">
        <v>28</v>
      </c>
      <c r="C293" s="63">
        <v>0</v>
      </c>
      <c r="D293" s="63">
        <v>150</v>
      </c>
      <c r="E293" s="63">
        <v>528.71479999999997</v>
      </c>
      <c r="F293" s="63">
        <v>560.07889999999998</v>
      </c>
    </row>
    <row r="294" spans="1:6">
      <c r="A294" s="61">
        <v>46245.875</v>
      </c>
      <c r="B294" s="62" t="s">
        <v>28</v>
      </c>
      <c r="C294" s="63">
        <v>0</v>
      </c>
      <c r="D294" s="63">
        <v>150</v>
      </c>
      <c r="E294" s="63">
        <v>528.67989999999998</v>
      </c>
      <c r="F294" s="63">
        <v>559.53890000000001</v>
      </c>
    </row>
    <row r="295" spans="1:6">
      <c r="A295" s="61">
        <v>46245.916666666664</v>
      </c>
      <c r="B295" s="62" t="s">
        <v>28</v>
      </c>
      <c r="C295" s="63">
        <v>0</v>
      </c>
      <c r="D295" s="63">
        <v>150</v>
      </c>
      <c r="E295" s="63">
        <v>528.64509999999996</v>
      </c>
      <c r="F295" s="63">
        <v>558.99890000000005</v>
      </c>
    </row>
    <row r="296" spans="1:6">
      <c r="A296" s="61">
        <v>46245.958333333336</v>
      </c>
      <c r="B296" s="62" t="s">
        <v>28</v>
      </c>
      <c r="C296" s="63">
        <v>0</v>
      </c>
      <c r="D296" s="63">
        <v>150</v>
      </c>
      <c r="E296" s="63">
        <v>528.61019999999996</v>
      </c>
      <c r="F296" s="63">
        <v>558.45889999999997</v>
      </c>
    </row>
    <row r="297" spans="1:6">
      <c r="A297" s="61">
        <v>46246</v>
      </c>
      <c r="B297" s="62" t="s">
        <v>28</v>
      </c>
      <c r="C297" s="63">
        <v>0</v>
      </c>
      <c r="D297" s="63">
        <v>150</v>
      </c>
      <c r="E297" s="63">
        <v>528.57539999999995</v>
      </c>
      <c r="F297" s="63">
        <v>557.91890000000001</v>
      </c>
    </row>
    <row r="298" spans="1:6">
      <c r="A298" s="61">
        <v>46246.041666666664</v>
      </c>
      <c r="B298" s="62" t="s">
        <v>28</v>
      </c>
      <c r="C298" s="63">
        <v>0</v>
      </c>
      <c r="D298" s="63">
        <v>150</v>
      </c>
      <c r="E298" s="63">
        <v>528.54060000000004</v>
      </c>
      <c r="F298" s="63">
        <v>557.37900000000002</v>
      </c>
    </row>
    <row r="299" spans="1:6">
      <c r="A299" s="61">
        <v>46246.083333333336</v>
      </c>
      <c r="B299" s="62" t="s">
        <v>28</v>
      </c>
      <c r="C299" s="63">
        <v>0</v>
      </c>
      <c r="D299" s="63">
        <v>150</v>
      </c>
      <c r="E299" s="63">
        <v>528.50570000000005</v>
      </c>
      <c r="F299" s="63">
        <v>556.83900000000006</v>
      </c>
    </row>
    <row r="300" spans="1:6">
      <c r="A300" s="61">
        <v>46246.125</v>
      </c>
      <c r="B300" s="62" t="s">
        <v>28</v>
      </c>
      <c r="C300" s="63">
        <v>0</v>
      </c>
      <c r="D300" s="63">
        <v>150</v>
      </c>
      <c r="E300" s="63">
        <v>528.47090000000003</v>
      </c>
      <c r="F300" s="63">
        <v>556.29899999999998</v>
      </c>
    </row>
    <row r="301" spans="1:6">
      <c r="A301" s="61">
        <v>46246.166666666664</v>
      </c>
      <c r="B301" s="62" t="s">
        <v>28</v>
      </c>
      <c r="C301" s="63">
        <v>0</v>
      </c>
      <c r="D301" s="63">
        <v>150</v>
      </c>
      <c r="E301" s="63">
        <v>528.43610000000001</v>
      </c>
      <c r="F301" s="63">
        <v>555.75900000000001</v>
      </c>
    </row>
    <row r="302" spans="1:6">
      <c r="A302" s="61">
        <v>46246.208333333336</v>
      </c>
      <c r="B302" s="62" t="s">
        <v>28</v>
      </c>
      <c r="C302" s="63">
        <v>0</v>
      </c>
      <c r="D302" s="63">
        <v>150</v>
      </c>
      <c r="E302" s="63">
        <v>528.40120000000002</v>
      </c>
      <c r="F302" s="63">
        <v>555.21910000000003</v>
      </c>
    </row>
    <row r="303" spans="1:6">
      <c r="A303" s="61">
        <v>46246.25</v>
      </c>
      <c r="B303" s="62" t="s">
        <v>28</v>
      </c>
      <c r="C303" s="63">
        <v>0</v>
      </c>
      <c r="D303" s="63">
        <v>150</v>
      </c>
      <c r="E303" s="63">
        <v>528.3664</v>
      </c>
      <c r="F303" s="63">
        <v>554.67909999999995</v>
      </c>
    </row>
    <row r="304" spans="1:6">
      <c r="A304" s="61">
        <v>46246.291666666664</v>
      </c>
      <c r="B304" s="62" t="s">
        <v>28</v>
      </c>
      <c r="C304" s="63">
        <v>0</v>
      </c>
      <c r="D304" s="63">
        <v>150</v>
      </c>
      <c r="E304" s="63">
        <v>528.33150000000001</v>
      </c>
      <c r="F304" s="63">
        <v>554.13909999999998</v>
      </c>
    </row>
    <row r="305" spans="1:6">
      <c r="A305" s="61">
        <v>46246.333333333336</v>
      </c>
      <c r="B305" s="62" t="s">
        <v>28</v>
      </c>
      <c r="C305" s="63">
        <v>0</v>
      </c>
      <c r="D305" s="63">
        <v>150</v>
      </c>
      <c r="E305" s="63">
        <v>528.29669999999999</v>
      </c>
      <c r="F305" s="63">
        <v>553.59910000000002</v>
      </c>
    </row>
    <row r="306" spans="1:6">
      <c r="A306" s="61">
        <v>46246.375</v>
      </c>
      <c r="B306" s="62" t="s">
        <v>28</v>
      </c>
      <c r="C306" s="63">
        <v>0</v>
      </c>
      <c r="D306" s="63">
        <v>150</v>
      </c>
      <c r="E306" s="63">
        <v>528.26189999999997</v>
      </c>
      <c r="F306" s="63">
        <v>553.05909999999994</v>
      </c>
    </row>
    <row r="307" spans="1:6">
      <c r="A307" s="61">
        <v>46246.416666666664</v>
      </c>
      <c r="B307" s="62" t="s">
        <v>28</v>
      </c>
      <c r="C307" s="63">
        <v>0</v>
      </c>
      <c r="D307" s="63">
        <v>150</v>
      </c>
      <c r="E307" s="63">
        <v>528.22709999999995</v>
      </c>
      <c r="F307" s="63">
        <v>552.51919999999996</v>
      </c>
    </row>
    <row r="308" spans="1:6">
      <c r="A308" s="61">
        <v>46246.458333333336</v>
      </c>
      <c r="B308" s="62" t="s">
        <v>28</v>
      </c>
      <c r="C308" s="63">
        <v>0</v>
      </c>
      <c r="D308" s="63">
        <v>150</v>
      </c>
      <c r="E308" s="63">
        <v>528.19219999999996</v>
      </c>
      <c r="F308" s="63">
        <v>551.97919999999999</v>
      </c>
    </row>
    <row r="309" spans="1:6">
      <c r="A309" s="61">
        <v>46246.5</v>
      </c>
      <c r="B309" s="62" t="s">
        <v>28</v>
      </c>
      <c r="C309" s="63">
        <v>0</v>
      </c>
      <c r="D309" s="63">
        <v>150</v>
      </c>
      <c r="E309" s="63">
        <v>528.15729999999996</v>
      </c>
      <c r="F309" s="63">
        <v>551.43920000000003</v>
      </c>
    </row>
    <row r="310" spans="1:6">
      <c r="A310" s="61">
        <v>46246.541666666664</v>
      </c>
      <c r="B310" s="62" t="s">
        <v>28</v>
      </c>
      <c r="C310" s="63">
        <v>0</v>
      </c>
      <c r="D310" s="63">
        <v>150</v>
      </c>
      <c r="E310" s="63">
        <v>528.12260000000003</v>
      </c>
      <c r="F310" s="63">
        <v>550.89919999999995</v>
      </c>
    </row>
    <row r="311" spans="1:6">
      <c r="A311" s="61">
        <v>46246.583333333336</v>
      </c>
      <c r="B311" s="62" t="s">
        <v>28</v>
      </c>
      <c r="C311" s="63">
        <v>0</v>
      </c>
      <c r="D311" s="63">
        <v>150</v>
      </c>
      <c r="E311" s="63">
        <v>528.08770000000004</v>
      </c>
      <c r="F311" s="63">
        <v>550.35929999999996</v>
      </c>
    </row>
    <row r="312" spans="1:6">
      <c r="A312" s="61">
        <v>46246.625</v>
      </c>
      <c r="B312" s="62" t="s">
        <v>28</v>
      </c>
      <c r="C312" s="63">
        <v>0</v>
      </c>
      <c r="D312" s="63">
        <v>150</v>
      </c>
      <c r="E312" s="63">
        <v>528.05290000000002</v>
      </c>
      <c r="F312" s="63">
        <v>549.8193</v>
      </c>
    </row>
    <row r="313" spans="1:6">
      <c r="A313" s="61">
        <v>46246.666666666664</v>
      </c>
      <c r="B313" s="62" t="s">
        <v>28</v>
      </c>
      <c r="C313" s="63">
        <v>0</v>
      </c>
      <c r="D313" s="63">
        <v>150</v>
      </c>
      <c r="E313" s="63">
        <v>528.01800000000003</v>
      </c>
      <c r="F313" s="63">
        <v>549.27930000000003</v>
      </c>
    </row>
    <row r="314" spans="1:6">
      <c r="A314" s="61">
        <v>46246.708333333336</v>
      </c>
      <c r="B314" s="62" t="s">
        <v>28</v>
      </c>
      <c r="C314" s="63">
        <v>0</v>
      </c>
      <c r="D314" s="63">
        <v>150</v>
      </c>
      <c r="E314" s="63">
        <v>527.98320000000001</v>
      </c>
      <c r="F314" s="63">
        <v>548.73929999999996</v>
      </c>
    </row>
    <row r="315" spans="1:6">
      <c r="A315" s="61">
        <v>46246.75</v>
      </c>
      <c r="B315" s="62" t="s">
        <v>28</v>
      </c>
      <c r="C315" s="63">
        <v>0</v>
      </c>
      <c r="D315" s="63">
        <v>150</v>
      </c>
      <c r="E315" s="63">
        <v>527.94839999999999</v>
      </c>
      <c r="F315" s="63">
        <v>548.19929999999999</v>
      </c>
    </row>
    <row r="316" spans="1:6">
      <c r="A316" s="61">
        <v>46246.791666666664</v>
      </c>
      <c r="B316" s="62" t="s">
        <v>28</v>
      </c>
      <c r="C316" s="63">
        <v>0</v>
      </c>
      <c r="D316" s="63">
        <v>150</v>
      </c>
      <c r="E316" s="63">
        <v>527.9135</v>
      </c>
      <c r="F316" s="63">
        <v>547.65940000000001</v>
      </c>
    </row>
    <row r="317" spans="1:6">
      <c r="A317" s="61">
        <v>46246.833333333336</v>
      </c>
      <c r="B317" s="62" t="s">
        <v>28</v>
      </c>
      <c r="C317" s="63">
        <v>0</v>
      </c>
      <c r="D317" s="63">
        <v>150</v>
      </c>
      <c r="E317" s="63">
        <v>527.87869999999998</v>
      </c>
      <c r="F317" s="63">
        <v>547.11940000000004</v>
      </c>
    </row>
    <row r="318" spans="1:6">
      <c r="A318" s="61">
        <v>46246.875</v>
      </c>
      <c r="B318" s="62" t="s">
        <v>28</v>
      </c>
      <c r="C318" s="63">
        <v>0</v>
      </c>
      <c r="D318" s="63">
        <v>150</v>
      </c>
      <c r="E318" s="63">
        <v>527.84379999999999</v>
      </c>
      <c r="F318" s="63">
        <v>546.57939999999996</v>
      </c>
    </row>
    <row r="319" spans="1:6">
      <c r="A319" s="61">
        <v>46246.916666666664</v>
      </c>
      <c r="B319" s="62" t="s">
        <v>28</v>
      </c>
      <c r="C319" s="63">
        <v>0</v>
      </c>
      <c r="D319" s="63">
        <v>150</v>
      </c>
      <c r="E319" s="63">
        <v>527.80899999999997</v>
      </c>
      <c r="F319" s="63">
        <v>546.0394</v>
      </c>
    </row>
    <row r="320" spans="1:6">
      <c r="A320" s="61">
        <v>46246.958333333336</v>
      </c>
      <c r="B320" s="62" t="s">
        <v>28</v>
      </c>
      <c r="C320" s="63">
        <v>0</v>
      </c>
      <c r="D320" s="63">
        <v>150</v>
      </c>
      <c r="E320" s="63">
        <v>527.77419999999995</v>
      </c>
      <c r="F320" s="63">
        <v>545.49950000000001</v>
      </c>
    </row>
    <row r="321" spans="1:6">
      <c r="A321" s="61">
        <v>46247</v>
      </c>
      <c r="B321" s="62" t="s">
        <v>28</v>
      </c>
      <c r="C321" s="63">
        <v>0</v>
      </c>
      <c r="D321" s="63">
        <v>150</v>
      </c>
      <c r="E321" s="63">
        <v>527.73929999999996</v>
      </c>
      <c r="F321" s="63">
        <v>544.95950000000005</v>
      </c>
    </row>
    <row r="322" spans="1:6">
      <c r="A322" s="61">
        <v>46247.041666666664</v>
      </c>
      <c r="B322" s="62" t="s">
        <v>28</v>
      </c>
      <c r="C322" s="63">
        <v>0</v>
      </c>
      <c r="D322" s="63">
        <v>150</v>
      </c>
      <c r="E322" s="63">
        <v>527.70450000000005</v>
      </c>
      <c r="F322" s="63">
        <v>544.41949999999997</v>
      </c>
    </row>
    <row r="323" spans="1:6">
      <c r="A323" s="61">
        <v>46247.083333333336</v>
      </c>
      <c r="B323" s="62" t="s">
        <v>28</v>
      </c>
      <c r="C323" s="63">
        <v>0</v>
      </c>
      <c r="D323" s="63">
        <v>150</v>
      </c>
      <c r="E323" s="63">
        <v>527.66959999999995</v>
      </c>
      <c r="F323" s="63">
        <v>543.87950000000001</v>
      </c>
    </row>
    <row r="324" spans="1:6">
      <c r="A324" s="61">
        <v>46247.125</v>
      </c>
      <c r="B324" s="62" t="s">
        <v>28</v>
      </c>
      <c r="C324" s="63">
        <v>0</v>
      </c>
      <c r="D324" s="63">
        <v>150</v>
      </c>
      <c r="E324" s="63">
        <v>527.63480000000004</v>
      </c>
      <c r="F324" s="63">
        <v>543.33950000000004</v>
      </c>
    </row>
    <row r="325" spans="1:6">
      <c r="A325" s="61">
        <v>46247.166666666664</v>
      </c>
      <c r="B325" s="62" t="s">
        <v>28</v>
      </c>
      <c r="C325" s="63">
        <v>0</v>
      </c>
      <c r="D325" s="63">
        <v>150</v>
      </c>
      <c r="E325" s="63">
        <v>527.6</v>
      </c>
      <c r="F325" s="63">
        <v>542.79960000000005</v>
      </c>
    </row>
    <row r="326" spans="1:6">
      <c r="A326" s="61">
        <v>46247.208333333336</v>
      </c>
      <c r="B326" s="62" t="s">
        <v>28</v>
      </c>
      <c r="C326" s="63">
        <v>0</v>
      </c>
      <c r="D326" s="63">
        <v>150</v>
      </c>
      <c r="E326" s="63">
        <v>527.56510000000003</v>
      </c>
      <c r="F326" s="63">
        <v>542.25959999999998</v>
      </c>
    </row>
    <row r="327" spans="1:6">
      <c r="A327" s="61">
        <v>46247.25</v>
      </c>
      <c r="B327" s="62" t="s">
        <v>28</v>
      </c>
      <c r="C327" s="63">
        <v>0</v>
      </c>
      <c r="D327" s="63">
        <v>150</v>
      </c>
      <c r="E327" s="63">
        <v>527.53030000000001</v>
      </c>
      <c r="F327" s="63">
        <v>541.71960000000001</v>
      </c>
    </row>
    <row r="328" spans="1:6">
      <c r="A328" s="61">
        <v>46247.291666666664</v>
      </c>
      <c r="B328" s="62" t="s">
        <v>28</v>
      </c>
      <c r="C328" s="63">
        <v>0</v>
      </c>
      <c r="D328" s="63">
        <v>150</v>
      </c>
      <c r="E328" s="63">
        <v>527.49549999999999</v>
      </c>
      <c r="F328" s="63">
        <v>541.17960000000005</v>
      </c>
    </row>
    <row r="329" spans="1:6">
      <c r="A329" s="61">
        <v>46247.333333333336</v>
      </c>
      <c r="B329" s="62" t="s">
        <v>28</v>
      </c>
      <c r="C329" s="63">
        <v>0</v>
      </c>
      <c r="D329" s="63">
        <v>150</v>
      </c>
      <c r="E329" s="63">
        <v>527.4606</v>
      </c>
      <c r="F329" s="63">
        <v>540.63959999999997</v>
      </c>
    </row>
    <row r="330" spans="1:6">
      <c r="A330" s="61">
        <v>46247.375</v>
      </c>
      <c r="B330" s="62" t="s">
        <v>28</v>
      </c>
      <c r="C330" s="63">
        <v>0</v>
      </c>
      <c r="D330" s="63">
        <v>150</v>
      </c>
      <c r="E330" s="63">
        <v>527.42579999999998</v>
      </c>
      <c r="F330" s="63">
        <v>540.09969999999998</v>
      </c>
    </row>
    <row r="331" spans="1:6">
      <c r="A331" s="61">
        <v>46247.416666666664</v>
      </c>
      <c r="B331" s="62" t="s">
        <v>28</v>
      </c>
      <c r="C331" s="63">
        <v>0</v>
      </c>
      <c r="D331" s="63">
        <v>150</v>
      </c>
      <c r="E331" s="63">
        <v>527.39089999999999</v>
      </c>
      <c r="F331" s="63">
        <v>539.55970000000002</v>
      </c>
    </row>
    <row r="332" spans="1:6">
      <c r="A332" s="61">
        <v>46247.458333333336</v>
      </c>
      <c r="B332" s="62" t="s">
        <v>28</v>
      </c>
      <c r="C332" s="63">
        <v>0</v>
      </c>
      <c r="D332" s="63">
        <v>150</v>
      </c>
      <c r="E332" s="63">
        <v>527.35609999999997</v>
      </c>
      <c r="F332" s="63">
        <v>539.01969999999994</v>
      </c>
    </row>
    <row r="333" spans="1:6">
      <c r="A333" s="61">
        <v>46247.5</v>
      </c>
      <c r="B333" s="62" t="s">
        <v>28</v>
      </c>
      <c r="C333" s="63">
        <v>0</v>
      </c>
      <c r="D333" s="63">
        <v>150</v>
      </c>
      <c r="E333" s="63">
        <v>527.32129999999995</v>
      </c>
      <c r="F333" s="63">
        <v>538.47969999999998</v>
      </c>
    </row>
    <row r="334" spans="1:6">
      <c r="A334" s="61">
        <v>46247.541666666664</v>
      </c>
      <c r="B334" s="62" t="s">
        <v>28</v>
      </c>
      <c r="C334" s="63">
        <v>0</v>
      </c>
      <c r="D334" s="63">
        <v>150</v>
      </c>
      <c r="E334" s="63">
        <v>527.28639999999996</v>
      </c>
      <c r="F334" s="63">
        <v>537.93979999999999</v>
      </c>
    </row>
    <row r="335" spans="1:6">
      <c r="A335" s="61">
        <v>46247.583333333336</v>
      </c>
      <c r="B335" s="62" t="s">
        <v>28</v>
      </c>
      <c r="C335" s="63">
        <v>0</v>
      </c>
      <c r="D335" s="63">
        <v>150</v>
      </c>
      <c r="E335" s="63">
        <v>527.25160000000005</v>
      </c>
      <c r="F335" s="63">
        <v>537.39980000000003</v>
      </c>
    </row>
    <row r="336" spans="1:6">
      <c r="A336" s="61">
        <v>46247.625</v>
      </c>
      <c r="B336" s="62" t="s">
        <v>28</v>
      </c>
      <c r="C336" s="63">
        <v>0</v>
      </c>
      <c r="D336" s="63">
        <v>150</v>
      </c>
      <c r="E336" s="63">
        <v>527.21669999999995</v>
      </c>
      <c r="F336" s="63">
        <v>536.85979999999995</v>
      </c>
    </row>
    <row r="337" spans="1:6">
      <c r="A337" s="61">
        <v>46247.666666666664</v>
      </c>
      <c r="B337" s="62" t="s">
        <v>28</v>
      </c>
      <c r="C337" s="63">
        <v>0</v>
      </c>
      <c r="D337" s="63">
        <v>150</v>
      </c>
      <c r="E337" s="63">
        <v>527.18190000000004</v>
      </c>
      <c r="F337" s="63">
        <v>536.31979999999999</v>
      </c>
    </row>
    <row r="338" spans="1:6">
      <c r="A338" s="61">
        <v>46247.708333333336</v>
      </c>
      <c r="B338" s="62" t="s">
        <v>28</v>
      </c>
      <c r="C338" s="63">
        <v>0</v>
      </c>
      <c r="D338" s="63">
        <v>150</v>
      </c>
      <c r="E338" s="63">
        <v>527.14710000000002</v>
      </c>
      <c r="F338" s="63">
        <v>535.77980000000002</v>
      </c>
    </row>
    <row r="339" spans="1:6">
      <c r="A339" s="61">
        <v>46247.75</v>
      </c>
      <c r="B339" s="62" t="s">
        <v>28</v>
      </c>
      <c r="C339" s="63">
        <v>0</v>
      </c>
      <c r="D339" s="63">
        <v>150</v>
      </c>
      <c r="E339" s="63">
        <v>527.11220000000003</v>
      </c>
      <c r="F339" s="63">
        <v>535.23990000000003</v>
      </c>
    </row>
    <row r="340" spans="1:6">
      <c r="A340" s="61">
        <v>46247.791666666664</v>
      </c>
      <c r="B340" s="62" t="s">
        <v>28</v>
      </c>
      <c r="C340" s="63">
        <v>0</v>
      </c>
      <c r="D340" s="63">
        <v>150</v>
      </c>
      <c r="E340" s="63">
        <v>527.07740000000001</v>
      </c>
      <c r="F340" s="63">
        <v>534.69989999999996</v>
      </c>
    </row>
    <row r="341" spans="1:6">
      <c r="A341" s="61">
        <v>46247.833333333336</v>
      </c>
      <c r="B341" s="62" t="s">
        <v>28</v>
      </c>
      <c r="C341" s="63">
        <v>0</v>
      </c>
      <c r="D341" s="63">
        <v>150</v>
      </c>
      <c r="E341" s="63">
        <v>527.04259999999999</v>
      </c>
      <c r="F341" s="63">
        <v>534.15989999999999</v>
      </c>
    </row>
    <row r="342" spans="1:6">
      <c r="A342" s="61">
        <v>46247.875</v>
      </c>
      <c r="B342" s="62" t="s">
        <v>28</v>
      </c>
      <c r="C342" s="63">
        <v>0</v>
      </c>
      <c r="D342" s="63">
        <v>150</v>
      </c>
      <c r="E342" s="63">
        <v>527.00779999999997</v>
      </c>
      <c r="F342" s="63">
        <v>533.61990000000003</v>
      </c>
    </row>
    <row r="343" spans="1:6">
      <c r="A343" s="61">
        <v>46247.916666666664</v>
      </c>
      <c r="B343" s="62" t="s">
        <v>28</v>
      </c>
      <c r="C343" s="63">
        <v>0</v>
      </c>
      <c r="D343" s="63">
        <v>150</v>
      </c>
      <c r="E343" s="63">
        <v>526.97289999999998</v>
      </c>
      <c r="F343" s="63">
        <v>533.08000000000004</v>
      </c>
    </row>
    <row r="344" spans="1:6">
      <c r="A344" s="61">
        <v>46247.958333333336</v>
      </c>
      <c r="B344" s="62" t="s">
        <v>28</v>
      </c>
      <c r="C344" s="63">
        <v>0</v>
      </c>
      <c r="D344" s="63">
        <v>150</v>
      </c>
      <c r="E344" s="63">
        <v>526.93799999999999</v>
      </c>
      <c r="F344" s="63">
        <v>532.54</v>
      </c>
    </row>
    <row r="345" spans="1:6">
      <c r="A345" s="61">
        <v>46248</v>
      </c>
      <c r="B345" s="62" t="s">
        <v>28</v>
      </c>
      <c r="C345" s="63">
        <v>0</v>
      </c>
      <c r="D345" s="63">
        <v>150</v>
      </c>
      <c r="E345" s="63">
        <v>526.90319999999997</v>
      </c>
      <c r="F345" s="63">
        <v>532</v>
      </c>
    </row>
    <row r="346" spans="1:6">
      <c r="A346" s="61">
        <v>46248.041666666664</v>
      </c>
      <c r="B346" s="62" t="s">
        <v>28</v>
      </c>
      <c r="C346" s="63">
        <v>0</v>
      </c>
      <c r="D346" s="63">
        <v>150</v>
      </c>
      <c r="E346" s="63">
        <v>526.86839999999995</v>
      </c>
      <c r="F346" s="63">
        <v>531.46</v>
      </c>
    </row>
    <row r="347" spans="1:6">
      <c r="A347" s="61">
        <v>46248.083333333336</v>
      </c>
      <c r="B347" s="62" t="s">
        <v>28</v>
      </c>
      <c r="C347" s="63">
        <v>0</v>
      </c>
      <c r="D347" s="63">
        <v>150</v>
      </c>
      <c r="E347" s="63">
        <v>526.83360000000005</v>
      </c>
      <c r="F347" s="63">
        <v>530.91999999999996</v>
      </c>
    </row>
    <row r="348" spans="1:6">
      <c r="A348" s="61">
        <v>46248.125</v>
      </c>
      <c r="B348" s="62" t="s">
        <v>28</v>
      </c>
      <c r="C348" s="63">
        <v>0</v>
      </c>
      <c r="D348" s="63">
        <v>150</v>
      </c>
      <c r="E348" s="63">
        <v>526.79870000000005</v>
      </c>
      <c r="F348" s="63">
        <v>530.38009999999997</v>
      </c>
    </row>
    <row r="349" spans="1:6">
      <c r="A349" s="61">
        <v>46248.166666666664</v>
      </c>
      <c r="B349" s="62" t="s">
        <v>28</v>
      </c>
      <c r="C349" s="63">
        <v>0</v>
      </c>
      <c r="D349" s="63">
        <v>150</v>
      </c>
      <c r="E349" s="63">
        <v>526.76390000000004</v>
      </c>
      <c r="F349" s="63">
        <v>529.84010000000001</v>
      </c>
    </row>
    <row r="350" spans="1:6">
      <c r="A350" s="61">
        <v>46248.208333333336</v>
      </c>
      <c r="B350" s="62" t="s">
        <v>28</v>
      </c>
      <c r="C350" s="63">
        <v>0</v>
      </c>
      <c r="D350" s="63">
        <v>150</v>
      </c>
      <c r="E350" s="63">
        <v>526.72910000000002</v>
      </c>
      <c r="F350" s="63">
        <v>529.30010000000004</v>
      </c>
    </row>
    <row r="351" spans="1:6">
      <c r="A351" s="61">
        <v>46248.25</v>
      </c>
      <c r="B351" s="62" t="s">
        <v>28</v>
      </c>
      <c r="C351" s="63">
        <v>0</v>
      </c>
      <c r="D351" s="63">
        <v>150</v>
      </c>
      <c r="E351" s="63">
        <v>526.69420000000002</v>
      </c>
      <c r="F351" s="63">
        <v>528.76009999999997</v>
      </c>
    </row>
    <row r="352" spans="1:6">
      <c r="A352" s="61">
        <v>46248.291666666664</v>
      </c>
      <c r="B352" s="62" t="s">
        <v>28</v>
      </c>
      <c r="C352" s="63">
        <v>0</v>
      </c>
      <c r="D352" s="63">
        <v>150</v>
      </c>
      <c r="E352" s="63">
        <v>526.65940000000001</v>
      </c>
      <c r="F352" s="63">
        <v>528.22019999999998</v>
      </c>
    </row>
    <row r="353" spans="1:6">
      <c r="A353" s="61">
        <v>46248.333333333336</v>
      </c>
      <c r="B353" s="62" t="s">
        <v>28</v>
      </c>
      <c r="C353" s="63">
        <v>0</v>
      </c>
      <c r="D353" s="63">
        <v>150</v>
      </c>
      <c r="E353" s="63">
        <v>526.62450000000001</v>
      </c>
      <c r="F353" s="63">
        <v>527.68020000000001</v>
      </c>
    </row>
    <row r="354" spans="1:6">
      <c r="A354" s="61">
        <v>46248.375</v>
      </c>
      <c r="B354" s="62" t="s">
        <v>28</v>
      </c>
      <c r="C354" s="63">
        <v>0</v>
      </c>
      <c r="D354" s="63">
        <v>150</v>
      </c>
      <c r="E354" s="63">
        <v>526.58969999999999</v>
      </c>
      <c r="F354" s="63">
        <v>527.14020000000005</v>
      </c>
    </row>
    <row r="355" spans="1:6">
      <c r="A355" s="61">
        <v>46248.416666666664</v>
      </c>
      <c r="B355" s="62" t="s">
        <v>28</v>
      </c>
      <c r="C355" s="63">
        <v>0</v>
      </c>
      <c r="D355" s="63">
        <v>150</v>
      </c>
      <c r="E355" s="63">
        <v>526.55489999999998</v>
      </c>
      <c r="F355" s="63">
        <v>526.60019999999997</v>
      </c>
    </row>
    <row r="356" spans="1:6">
      <c r="A356" s="61">
        <v>46248.458333333336</v>
      </c>
      <c r="B356" s="62" t="s">
        <v>28</v>
      </c>
      <c r="C356" s="63">
        <v>0</v>
      </c>
      <c r="D356" s="63">
        <v>150</v>
      </c>
      <c r="E356" s="63">
        <v>526.52</v>
      </c>
      <c r="F356" s="63">
        <v>526.06020000000001</v>
      </c>
    </row>
    <row r="357" spans="1:6">
      <c r="A357" s="61">
        <v>46248.5</v>
      </c>
      <c r="B357" s="62" t="s">
        <v>28</v>
      </c>
      <c r="C357" s="63">
        <v>0</v>
      </c>
      <c r="D357" s="63">
        <v>150</v>
      </c>
      <c r="E357" s="63">
        <v>526.48519999999996</v>
      </c>
      <c r="F357" s="63">
        <v>525.52030000000002</v>
      </c>
    </row>
    <row r="358" spans="1:6">
      <c r="A358" s="61">
        <v>46248.541666666664</v>
      </c>
      <c r="B358" s="62" t="s">
        <v>28</v>
      </c>
      <c r="C358" s="63">
        <v>0</v>
      </c>
      <c r="D358" s="63">
        <v>150</v>
      </c>
      <c r="E358" s="63">
        <v>526.45029999999997</v>
      </c>
      <c r="F358" s="63">
        <v>524.98030000000006</v>
      </c>
    </row>
    <row r="359" spans="1:6">
      <c r="A359" s="61">
        <v>46248.583333333336</v>
      </c>
      <c r="B359" s="62" t="s">
        <v>28</v>
      </c>
      <c r="C359" s="63">
        <v>0</v>
      </c>
      <c r="D359" s="63">
        <v>150</v>
      </c>
      <c r="E359" s="63">
        <v>526.41549999999995</v>
      </c>
      <c r="F359" s="63">
        <v>524.44029999999998</v>
      </c>
    </row>
    <row r="360" spans="1:6">
      <c r="A360" s="61">
        <v>46248.625</v>
      </c>
      <c r="B360" s="62" t="s">
        <v>28</v>
      </c>
      <c r="C360" s="63">
        <v>0</v>
      </c>
      <c r="D360" s="63">
        <v>150</v>
      </c>
      <c r="E360" s="63">
        <v>526.38070000000005</v>
      </c>
      <c r="F360" s="63">
        <v>523.90030000000002</v>
      </c>
    </row>
    <row r="361" spans="1:6">
      <c r="A361" s="61">
        <v>46248.666666666664</v>
      </c>
      <c r="B361" s="62" t="s">
        <v>28</v>
      </c>
      <c r="C361" s="63">
        <v>0</v>
      </c>
      <c r="D361" s="63">
        <v>150</v>
      </c>
      <c r="E361" s="63">
        <v>526.34580000000005</v>
      </c>
      <c r="F361" s="63">
        <v>523.36040000000003</v>
      </c>
    </row>
    <row r="362" spans="1:6">
      <c r="A362" s="61">
        <v>46248.708333333336</v>
      </c>
      <c r="B362" s="62" t="s">
        <v>28</v>
      </c>
      <c r="C362" s="63">
        <v>0</v>
      </c>
      <c r="D362" s="63">
        <v>150</v>
      </c>
      <c r="E362" s="63">
        <v>526.31100000000004</v>
      </c>
      <c r="F362" s="63">
        <v>522.82039999999995</v>
      </c>
    </row>
    <row r="363" spans="1:6">
      <c r="A363" s="61">
        <v>46248.75</v>
      </c>
      <c r="B363" s="62" t="s">
        <v>28</v>
      </c>
      <c r="C363" s="63">
        <v>0</v>
      </c>
      <c r="D363" s="63">
        <v>150</v>
      </c>
      <c r="E363" s="63">
        <v>526.27620000000002</v>
      </c>
      <c r="F363" s="63">
        <v>522.28039999999999</v>
      </c>
    </row>
    <row r="364" spans="1:6">
      <c r="A364" s="61">
        <v>46248.791666666664</v>
      </c>
      <c r="B364" s="62" t="s">
        <v>28</v>
      </c>
      <c r="C364" s="63">
        <v>0</v>
      </c>
      <c r="D364" s="63">
        <v>150</v>
      </c>
      <c r="E364" s="63">
        <v>526.24130000000002</v>
      </c>
      <c r="F364" s="63">
        <v>521.74040000000002</v>
      </c>
    </row>
    <row r="365" spans="1:6">
      <c r="A365" s="61">
        <v>46248.833333333336</v>
      </c>
      <c r="B365" s="62" t="s">
        <v>28</v>
      </c>
      <c r="C365" s="63">
        <v>0</v>
      </c>
      <c r="D365" s="63">
        <v>150</v>
      </c>
      <c r="E365" s="63">
        <v>526.20650000000001</v>
      </c>
      <c r="F365" s="63">
        <v>521.20039999999995</v>
      </c>
    </row>
    <row r="366" spans="1:6">
      <c r="A366" s="61">
        <v>46248.875</v>
      </c>
      <c r="B366" s="62" t="s">
        <v>28</v>
      </c>
      <c r="C366" s="63">
        <v>0</v>
      </c>
      <c r="D366" s="63">
        <v>150</v>
      </c>
      <c r="E366" s="63">
        <v>526.17160000000001</v>
      </c>
      <c r="F366" s="63">
        <v>520.66049999999996</v>
      </c>
    </row>
    <row r="367" spans="1:6">
      <c r="A367" s="61">
        <v>46248.916666666664</v>
      </c>
      <c r="B367" s="62" t="s">
        <v>28</v>
      </c>
      <c r="C367" s="63">
        <v>0</v>
      </c>
      <c r="D367" s="63">
        <v>61.176220000000001</v>
      </c>
      <c r="E367" s="63">
        <v>526.14710000000002</v>
      </c>
      <c r="F367" s="63">
        <v>520.28030000000001</v>
      </c>
    </row>
    <row r="368" spans="1:6">
      <c r="A368" s="61">
        <v>46248.958333333336</v>
      </c>
      <c r="B368" s="62" t="s">
        <v>28</v>
      </c>
      <c r="C368" s="63">
        <v>0</v>
      </c>
      <c r="D368" s="63">
        <v>0</v>
      </c>
      <c r="E368" s="63">
        <v>526.14</v>
      </c>
      <c r="F368" s="63">
        <v>520.17020000000002</v>
      </c>
    </row>
    <row r="369" spans="1:6">
      <c r="A369" s="61">
        <v>46249</v>
      </c>
      <c r="B369" s="62" t="s">
        <v>28</v>
      </c>
      <c r="C369" s="63">
        <v>0</v>
      </c>
      <c r="D369" s="63">
        <v>0</v>
      </c>
      <c r="E369" s="63">
        <v>526.14</v>
      </c>
      <c r="F369" s="63">
        <v>520.17020000000002</v>
      </c>
    </row>
    <row r="370" spans="1:6">
      <c r="A370" s="61">
        <v>46249.041666666664</v>
      </c>
      <c r="B370" s="62" t="s">
        <v>28</v>
      </c>
      <c r="C370" s="63">
        <v>0</v>
      </c>
      <c r="D370" s="63">
        <v>0</v>
      </c>
      <c r="E370" s="63">
        <v>526.14</v>
      </c>
      <c r="F370" s="63">
        <v>520.17020000000002</v>
      </c>
    </row>
    <row r="371" spans="1:6">
      <c r="A371" s="61">
        <v>46249.083333333336</v>
      </c>
      <c r="B371" s="62" t="s">
        <v>28</v>
      </c>
      <c r="C371" s="63">
        <v>0</v>
      </c>
      <c r="D371" s="63">
        <v>0</v>
      </c>
      <c r="E371" s="63">
        <v>526.14</v>
      </c>
      <c r="F371" s="63">
        <v>520.17020000000002</v>
      </c>
    </row>
    <row r="372" spans="1:6">
      <c r="A372" s="61">
        <v>46249.125</v>
      </c>
      <c r="B372" s="62" t="s">
        <v>28</v>
      </c>
      <c r="C372" s="63">
        <v>0</v>
      </c>
      <c r="D372" s="63">
        <v>0</v>
      </c>
      <c r="E372" s="63">
        <v>526.14</v>
      </c>
      <c r="F372" s="63">
        <v>520.17020000000002</v>
      </c>
    </row>
    <row r="373" spans="1:6">
      <c r="A373" s="61">
        <v>46249.166666666664</v>
      </c>
      <c r="B373" s="62" t="s">
        <v>28</v>
      </c>
      <c r="C373" s="63">
        <v>0</v>
      </c>
      <c r="D373" s="63">
        <v>0</v>
      </c>
      <c r="E373" s="63">
        <v>526.14</v>
      </c>
      <c r="F373" s="63">
        <v>520.17020000000002</v>
      </c>
    </row>
    <row r="374" spans="1:6">
      <c r="A374" s="61">
        <v>46249.208333333336</v>
      </c>
      <c r="B374" s="62" t="s">
        <v>28</v>
      </c>
      <c r="C374" s="63">
        <v>0</v>
      </c>
      <c r="D374" s="63">
        <v>0</v>
      </c>
      <c r="E374" s="63">
        <v>526.14</v>
      </c>
      <c r="F374" s="63">
        <v>520.17020000000002</v>
      </c>
    </row>
    <row r="375" spans="1:6">
      <c r="A375" s="61">
        <v>46249.25</v>
      </c>
      <c r="B375" s="62" t="s">
        <v>28</v>
      </c>
      <c r="C375" s="63">
        <v>0</v>
      </c>
      <c r="D375" s="63">
        <v>0</v>
      </c>
      <c r="E375" s="63">
        <v>526.14</v>
      </c>
      <c r="F375" s="63">
        <v>520.17020000000002</v>
      </c>
    </row>
    <row r="376" spans="1:6">
      <c r="A376" s="61">
        <v>46249.291666666664</v>
      </c>
      <c r="B376" s="62" t="s">
        <v>28</v>
      </c>
      <c r="C376" s="63">
        <v>0</v>
      </c>
      <c r="D376" s="63">
        <v>0</v>
      </c>
      <c r="E376" s="63">
        <v>526.14</v>
      </c>
      <c r="F376" s="63">
        <v>520.17020000000002</v>
      </c>
    </row>
    <row r="377" spans="1:6">
      <c r="A377" s="61">
        <v>46249.333333333336</v>
      </c>
      <c r="B377" s="62" t="s">
        <v>28</v>
      </c>
      <c r="C377" s="63">
        <v>0</v>
      </c>
      <c r="D377" s="63">
        <v>0</v>
      </c>
      <c r="E377" s="63">
        <v>526.14</v>
      </c>
      <c r="F377" s="63">
        <v>520.17020000000002</v>
      </c>
    </row>
    <row r="378" spans="1:6">
      <c r="A378" s="61">
        <v>46249.375</v>
      </c>
      <c r="B378" s="62" t="s">
        <v>28</v>
      </c>
      <c r="C378" s="63">
        <v>0</v>
      </c>
      <c r="D378" s="63">
        <v>0</v>
      </c>
      <c r="E378" s="63">
        <v>526.14</v>
      </c>
      <c r="F378" s="63">
        <v>520.17020000000002</v>
      </c>
    </row>
    <row r="379" spans="1:6">
      <c r="A379" s="61">
        <v>46249.416666666664</v>
      </c>
      <c r="B379" s="62" t="s">
        <v>28</v>
      </c>
      <c r="C379" s="63">
        <v>0</v>
      </c>
      <c r="D379" s="63">
        <v>0</v>
      </c>
      <c r="E379" s="63">
        <v>526.14</v>
      </c>
      <c r="F379" s="63">
        <v>520.17020000000002</v>
      </c>
    </row>
    <row r="380" spans="1:6">
      <c r="A380" s="61">
        <v>46249.458333333336</v>
      </c>
      <c r="B380" s="62" t="s">
        <v>28</v>
      </c>
      <c r="C380" s="63">
        <v>0</v>
      </c>
      <c r="D380" s="63">
        <v>0</v>
      </c>
      <c r="E380" s="63">
        <v>526.14</v>
      </c>
      <c r="F380" s="63">
        <v>520.17020000000002</v>
      </c>
    </row>
    <row r="381" spans="1:6">
      <c r="A381" s="61">
        <v>46249.5</v>
      </c>
      <c r="B381" s="62" t="s">
        <v>28</v>
      </c>
      <c r="C381" s="63">
        <v>0</v>
      </c>
      <c r="D381" s="63">
        <v>0</v>
      </c>
      <c r="E381" s="63">
        <v>526.14</v>
      </c>
      <c r="F381" s="63">
        <v>520.17020000000002</v>
      </c>
    </row>
    <row r="382" spans="1:6">
      <c r="A382" s="61">
        <v>46249.541666666664</v>
      </c>
      <c r="B382" s="62" t="s">
        <v>28</v>
      </c>
      <c r="C382" s="63">
        <v>0</v>
      </c>
      <c r="D382" s="63">
        <v>0</v>
      </c>
      <c r="E382" s="63">
        <v>526.14</v>
      </c>
      <c r="F382" s="63">
        <v>520.17020000000002</v>
      </c>
    </row>
    <row r="383" spans="1:6">
      <c r="A383" s="61">
        <v>46249.583333333336</v>
      </c>
      <c r="B383" s="62" t="s">
        <v>28</v>
      </c>
      <c r="C383" s="63">
        <v>0</v>
      </c>
      <c r="D383" s="63">
        <v>0</v>
      </c>
      <c r="E383" s="63">
        <v>526.14</v>
      </c>
      <c r="F383" s="63">
        <v>520.17020000000002</v>
      </c>
    </row>
    <row r="384" spans="1:6">
      <c r="A384" s="61">
        <v>46249.625</v>
      </c>
      <c r="B384" s="62" t="s">
        <v>28</v>
      </c>
      <c r="C384" s="63">
        <v>0</v>
      </c>
      <c r="D384" s="63">
        <v>0</v>
      </c>
      <c r="E384" s="63">
        <v>526.14</v>
      </c>
      <c r="F384" s="63">
        <v>520.17020000000002</v>
      </c>
    </row>
    <row r="385" spans="1:6">
      <c r="A385" s="61">
        <v>46249.666666666664</v>
      </c>
      <c r="B385" s="62" t="s">
        <v>28</v>
      </c>
      <c r="C385" s="63">
        <v>0</v>
      </c>
      <c r="D385" s="63">
        <v>0</v>
      </c>
      <c r="E385" s="63">
        <v>526.14</v>
      </c>
      <c r="F385" s="63">
        <v>520.17020000000002</v>
      </c>
    </row>
    <row r="386" spans="1:6">
      <c r="A386" s="61">
        <v>46249.708333333336</v>
      </c>
      <c r="B386" s="62" t="s">
        <v>28</v>
      </c>
      <c r="C386" s="63">
        <v>0</v>
      </c>
      <c r="D386" s="63">
        <v>0</v>
      </c>
      <c r="E386" s="63">
        <v>526.14</v>
      </c>
      <c r="F386" s="63">
        <v>520.17020000000002</v>
      </c>
    </row>
    <row r="387" spans="1:6">
      <c r="A387" s="61">
        <v>46249.75</v>
      </c>
      <c r="B387" s="62" t="s">
        <v>28</v>
      </c>
      <c r="C387" s="63">
        <v>0</v>
      </c>
      <c r="D387" s="63">
        <v>0</v>
      </c>
      <c r="E387" s="63">
        <v>526.14</v>
      </c>
      <c r="F387" s="63">
        <v>520.17020000000002</v>
      </c>
    </row>
    <row r="388" spans="1:6">
      <c r="A388" s="61">
        <v>46249.791666666664</v>
      </c>
      <c r="B388" s="62" t="s">
        <v>28</v>
      </c>
      <c r="C388" s="63">
        <v>0</v>
      </c>
      <c r="D388" s="63">
        <v>0</v>
      </c>
      <c r="E388" s="63">
        <v>526.14</v>
      </c>
      <c r="F388" s="63">
        <v>520.17020000000002</v>
      </c>
    </row>
    <row r="389" spans="1:6">
      <c r="A389" s="61">
        <v>46249.833333333336</v>
      </c>
      <c r="B389" s="62" t="s">
        <v>28</v>
      </c>
      <c r="C389" s="63">
        <v>0</v>
      </c>
      <c r="D389" s="63">
        <v>0</v>
      </c>
      <c r="E389" s="63">
        <v>526.14</v>
      </c>
      <c r="F389" s="63">
        <v>520.17020000000002</v>
      </c>
    </row>
    <row r="390" spans="1:6">
      <c r="A390" s="61">
        <v>46249.875</v>
      </c>
      <c r="B390" s="62" t="s">
        <v>28</v>
      </c>
      <c r="C390" s="63">
        <v>0</v>
      </c>
      <c r="D390" s="63">
        <v>0</v>
      </c>
      <c r="E390" s="63">
        <v>526.14</v>
      </c>
      <c r="F390" s="63">
        <v>520.17020000000002</v>
      </c>
    </row>
    <row r="391" spans="1:6">
      <c r="A391" s="61">
        <v>46249.916666666664</v>
      </c>
      <c r="B391" s="62" t="s">
        <v>28</v>
      </c>
      <c r="C391" s="63">
        <v>0</v>
      </c>
      <c r="D391" s="63">
        <v>0</v>
      </c>
      <c r="E391" s="63">
        <v>526.14</v>
      </c>
      <c r="F391" s="63">
        <v>520.17020000000002</v>
      </c>
    </row>
    <row r="392" spans="1:6">
      <c r="A392" s="61">
        <v>46249.958333333336</v>
      </c>
      <c r="B392" s="62" t="s">
        <v>28</v>
      </c>
      <c r="C392" s="63">
        <v>0</v>
      </c>
      <c r="D392" s="63">
        <v>0</v>
      </c>
      <c r="E392" s="63">
        <v>526.14</v>
      </c>
      <c r="F392" s="63">
        <v>520.17020000000002</v>
      </c>
    </row>
    <row r="393" spans="1:6">
      <c r="A393" s="61">
        <v>46250</v>
      </c>
      <c r="B393" s="62" t="s">
        <v>28</v>
      </c>
      <c r="C393" s="63">
        <v>0</v>
      </c>
      <c r="D393" s="63">
        <v>0</v>
      </c>
      <c r="E393" s="63">
        <v>526.14</v>
      </c>
      <c r="F393" s="63">
        <v>520.17020000000002</v>
      </c>
    </row>
    <row r="394" spans="1:6">
      <c r="A394" s="61">
        <v>46250.041666666664</v>
      </c>
      <c r="B394" s="62" t="s">
        <v>28</v>
      </c>
      <c r="C394" s="63">
        <v>0</v>
      </c>
      <c r="D394" s="63">
        <v>0</v>
      </c>
      <c r="E394" s="63">
        <v>526.14</v>
      </c>
      <c r="F394" s="63">
        <v>520.17020000000002</v>
      </c>
    </row>
    <row r="395" spans="1:6">
      <c r="A395" s="61">
        <v>46250.083333333336</v>
      </c>
      <c r="B395" s="62" t="s">
        <v>28</v>
      </c>
      <c r="C395" s="63">
        <v>0</v>
      </c>
      <c r="D395" s="63">
        <v>0</v>
      </c>
      <c r="E395" s="63">
        <v>526.14</v>
      </c>
      <c r="F395" s="63">
        <v>520.17020000000002</v>
      </c>
    </row>
    <row r="396" spans="1:6">
      <c r="A396" s="61">
        <v>46250.125</v>
      </c>
      <c r="B396" s="62" t="s">
        <v>28</v>
      </c>
      <c r="C396" s="63">
        <v>0</v>
      </c>
      <c r="D396" s="63">
        <v>0</v>
      </c>
      <c r="E396" s="63">
        <v>526.14</v>
      </c>
      <c r="F396" s="63">
        <v>520.17020000000002</v>
      </c>
    </row>
    <row r="397" spans="1:6">
      <c r="A397" s="61">
        <v>46250.166666666664</v>
      </c>
      <c r="B397" s="62" t="s">
        <v>28</v>
      </c>
      <c r="C397" s="63">
        <v>0</v>
      </c>
      <c r="D397" s="63">
        <v>0</v>
      </c>
      <c r="E397" s="63">
        <v>526.14</v>
      </c>
      <c r="F397" s="63">
        <v>520.17020000000002</v>
      </c>
    </row>
    <row r="398" spans="1:6">
      <c r="A398" s="61">
        <v>46250.208333333336</v>
      </c>
      <c r="B398" s="62" t="s">
        <v>28</v>
      </c>
      <c r="C398" s="63">
        <v>0</v>
      </c>
      <c r="D398" s="63">
        <v>0</v>
      </c>
      <c r="E398" s="63">
        <v>526.14</v>
      </c>
      <c r="F398" s="63">
        <v>520.17020000000002</v>
      </c>
    </row>
    <row r="399" spans="1:6">
      <c r="A399" s="61">
        <v>46250.25</v>
      </c>
      <c r="B399" s="62" t="s">
        <v>28</v>
      </c>
      <c r="C399" s="63">
        <v>0</v>
      </c>
      <c r="D399" s="63">
        <v>0</v>
      </c>
      <c r="E399" s="63">
        <v>526.14</v>
      </c>
      <c r="F399" s="63">
        <v>520.17020000000002</v>
      </c>
    </row>
    <row r="400" spans="1:6">
      <c r="A400" s="61">
        <v>46250.291666666664</v>
      </c>
      <c r="B400" s="62" t="s">
        <v>28</v>
      </c>
      <c r="C400" s="63">
        <v>0</v>
      </c>
      <c r="D400" s="63">
        <v>0</v>
      </c>
      <c r="E400" s="63">
        <v>526.14</v>
      </c>
      <c r="F400" s="63">
        <v>520.17020000000002</v>
      </c>
    </row>
    <row r="401" spans="1:6">
      <c r="A401" s="61">
        <v>46250.333333333336</v>
      </c>
      <c r="B401" s="62" t="s">
        <v>28</v>
      </c>
      <c r="C401" s="63">
        <v>0</v>
      </c>
      <c r="D401" s="63">
        <v>0</v>
      </c>
      <c r="E401" s="63">
        <v>526.14</v>
      </c>
      <c r="F401" s="63">
        <v>520.17020000000002</v>
      </c>
    </row>
    <row r="402" spans="1:6">
      <c r="A402" s="61">
        <v>46250.375</v>
      </c>
      <c r="B402" s="62" t="s">
        <v>28</v>
      </c>
      <c r="C402" s="63">
        <v>0</v>
      </c>
      <c r="D402" s="63">
        <v>0</v>
      </c>
      <c r="E402" s="63">
        <v>526.14</v>
      </c>
      <c r="F402" s="63">
        <v>520.17020000000002</v>
      </c>
    </row>
    <row r="403" spans="1:6">
      <c r="A403" s="61">
        <v>46250.416666666664</v>
      </c>
      <c r="B403" s="62" t="s">
        <v>28</v>
      </c>
      <c r="C403" s="63">
        <v>0</v>
      </c>
      <c r="D403" s="63">
        <v>0</v>
      </c>
      <c r="E403" s="63">
        <v>526.14</v>
      </c>
      <c r="F403" s="63">
        <v>520.17020000000002</v>
      </c>
    </row>
    <row r="404" spans="1:6">
      <c r="A404" s="61">
        <v>46250.458333333336</v>
      </c>
      <c r="B404" s="62" t="s">
        <v>28</v>
      </c>
      <c r="C404" s="63">
        <v>0</v>
      </c>
      <c r="D404" s="63">
        <v>0</v>
      </c>
      <c r="E404" s="63">
        <v>526.14</v>
      </c>
      <c r="F404" s="63">
        <v>520.17020000000002</v>
      </c>
    </row>
    <row r="405" spans="1:6">
      <c r="A405" s="61">
        <v>46250.5</v>
      </c>
      <c r="B405" s="62" t="s">
        <v>28</v>
      </c>
      <c r="C405" s="63">
        <v>0</v>
      </c>
      <c r="D405" s="63">
        <v>0</v>
      </c>
      <c r="E405" s="63">
        <v>526.14</v>
      </c>
      <c r="F405" s="63">
        <v>520.17020000000002</v>
      </c>
    </row>
    <row r="406" spans="1:6">
      <c r="A406" s="61">
        <v>46250.541666666664</v>
      </c>
      <c r="B406" s="62" t="s">
        <v>28</v>
      </c>
      <c r="C406" s="63">
        <v>0</v>
      </c>
      <c r="D406" s="63">
        <v>0</v>
      </c>
      <c r="E406" s="63">
        <v>526.14</v>
      </c>
      <c r="F406" s="63">
        <v>520.17020000000002</v>
      </c>
    </row>
    <row r="407" spans="1:6">
      <c r="A407" s="61">
        <v>46250.583333333336</v>
      </c>
      <c r="B407" s="62" t="s">
        <v>28</v>
      </c>
      <c r="C407" s="63">
        <v>0</v>
      </c>
      <c r="D407" s="63">
        <v>0</v>
      </c>
      <c r="E407" s="63">
        <v>526.14</v>
      </c>
      <c r="F407" s="63">
        <v>520.17020000000002</v>
      </c>
    </row>
    <row r="408" spans="1:6">
      <c r="A408" s="61">
        <v>46250.625</v>
      </c>
      <c r="B408" s="62" t="s">
        <v>28</v>
      </c>
      <c r="C408" s="63">
        <v>0</v>
      </c>
      <c r="D408" s="63">
        <v>0</v>
      </c>
      <c r="E408" s="63">
        <v>526.14</v>
      </c>
      <c r="F408" s="63">
        <v>520.17020000000002</v>
      </c>
    </row>
    <row r="409" spans="1:6">
      <c r="A409" s="61">
        <v>46250.666666666664</v>
      </c>
      <c r="B409" s="62" t="s">
        <v>28</v>
      </c>
      <c r="C409" s="63">
        <v>0</v>
      </c>
      <c r="D409" s="63">
        <v>0</v>
      </c>
      <c r="E409" s="63">
        <v>526.14</v>
      </c>
      <c r="F409" s="63">
        <v>520.17020000000002</v>
      </c>
    </row>
    <row r="410" spans="1:6">
      <c r="A410" s="61">
        <v>46250.708333333336</v>
      </c>
      <c r="B410" s="62" t="s">
        <v>28</v>
      </c>
      <c r="C410" s="63">
        <v>0</v>
      </c>
      <c r="D410" s="63">
        <v>0</v>
      </c>
      <c r="E410" s="63">
        <v>526.14</v>
      </c>
      <c r="F410" s="63">
        <v>520.17020000000002</v>
      </c>
    </row>
    <row r="411" spans="1:6">
      <c r="A411" s="61">
        <v>46250.75</v>
      </c>
      <c r="B411" s="62" t="s">
        <v>28</v>
      </c>
      <c r="C411" s="63">
        <v>0</v>
      </c>
      <c r="D411" s="63">
        <v>0</v>
      </c>
      <c r="E411" s="63">
        <v>526.14</v>
      </c>
      <c r="F411" s="63">
        <v>520.17020000000002</v>
      </c>
    </row>
    <row r="412" spans="1:6">
      <c r="A412" s="61">
        <v>46250.791666666664</v>
      </c>
      <c r="B412" s="62" t="s">
        <v>28</v>
      </c>
      <c r="C412" s="63">
        <v>0</v>
      </c>
      <c r="D412" s="63">
        <v>0</v>
      </c>
      <c r="E412" s="63">
        <v>526.14</v>
      </c>
      <c r="F412" s="63">
        <v>520.17020000000002</v>
      </c>
    </row>
    <row r="413" spans="1:6">
      <c r="A413" s="61">
        <v>46250.833333333336</v>
      </c>
      <c r="B413" s="62" t="s">
        <v>28</v>
      </c>
      <c r="C413" s="63">
        <v>0</v>
      </c>
      <c r="D413" s="63">
        <v>0</v>
      </c>
      <c r="E413" s="63">
        <v>526.14</v>
      </c>
      <c r="F413" s="63">
        <v>520.17020000000002</v>
      </c>
    </row>
    <row r="414" spans="1:6">
      <c r="A414" s="61">
        <v>46250.875</v>
      </c>
      <c r="B414" s="62" t="s">
        <v>28</v>
      </c>
      <c r="C414" s="63">
        <v>0</v>
      </c>
      <c r="D414" s="63">
        <v>0</v>
      </c>
      <c r="E414" s="63">
        <v>526.14</v>
      </c>
      <c r="F414" s="63">
        <v>520.17020000000002</v>
      </c>
    </row>
    <row r="415" spans="1:6">
      <c r="A415" s="61">
        <v>46250.916666666664</v>
      </c>
      <c r="B415" s="62" t="s">
        <v>28</v>
      </c>
      <c r="C415" s="63">
        <v>0</v>
      </c>
      <c r="D415" s="63">
        <v>0</v>
      </c>
      <c r="E415" s="63">
        <v>526.14</v>
      </c>
      <c r="F415" s="63">
        <v>520.17020000000002</v>
      </c>
    </row>
    <row r="416" spans="1:6">
      <c r="A416" s="61">
        <v>46250.958333333336</v>
      </c>
      <c r="B416" s="62" t="s">
        <v>28</v>
      </c>
      <c r="C416" s="63">
        <v>0</v>
      </c>
      <c r="D416" s="63">
        <v>0</v>
      </c>
      <c r="E416" s="63">
        <v>526.14</v>
      </c>
      <c r="F416" s="63">
        <v>520.17020000000002</v>
      </c>
    </row>
    <row r="417" spans="1:6">
      <c r="A417" s="61">
        <v>46251</v>
      </c>
      <c r="B417" s="62" t="s">
        <v>28</v>
      </c>
      <c r="C417" s="63">
        <v>0</v>
      </c>
      <c r="D417" s="63">
        <v>0</v>
      </c>
      <c r="E417" s="63">
        <v>526.14</v>
      </c>
      <c r="F417" s="63">
        <v>520.17020000000002</v>
      </c>
    </row>
    <row r="418" spans="1:6">
      <c r="A418" s="61">
        <v>46251.041666666664</v>
      </c>
      <c r="B418" s="62" t="s">
        <v>28</v>
      </c>
      <c r="C418" s="63">
        <v>0</v>
      </c>
      <c r="D418" s="63">
        <v>0</v>
      </c>
      <c r="E418" s="63">
        <v>526.14</v>
      </c>
      <c r="F418" s="63">
        <v>520.17020000000002</v>
      </c>
    </row>
    <row r="419" spans="1:6">
      <c r="A419" s="61">
        <v>46251.083333333336</v>
      </c>
      <c r="B419" s="62" t="s">
        <v>28</v>
      </c>
      <c r="C419" s="63">
        <v>0</v>
      </c>
      <c r="D419" s="63">
        <v>0</v>
      </c>
      <c r="E419" s="63">
        <v>526.14</v>
      </c>
      <c r="F419" s="63">
        <v>520.17020000000002</v>
      </c>
    </row>
    <row r="420" spans="1:6">
      <c r="A420" s="61">
        <v>46251.125</v>
      </c>
      <c r="B420" s="62" t="s">
        <v>28</v>
      </c>
      <c r="C420" s="63">
        <v>0</v>
      </c>
      <c r="D420" s="63">
        <v>0</v>
      </c>
      <c r="E420" s="63">
        <v>526.14</v>
      </c>
      <c r="F420" s="63">
        <v>520.17020000000002</v>
      </c>
    </row>
    <row r="421" spans="1:6">
      <c r="A421" s="61">
        <v>46251.166666666664</v>
      </c>
      <c r="B421" s="62" t="s">
        <v>28</v>
      </c>
      <c r="C421" s="63">
        <v>0</v>
      </c>
      <c r="D421" s="63">
        <v>0</v>
      </c>
      <c r="E421" s="63">
        <v>526.14</v>
      </c>
      <c r="F421" s="63">
        <v>520.17020000000002</v>
      </c>
    </row>
    <row r="422" spans="1:6">
      <c r="A422" s="61">
        <v>46251.208333333336</v>
      </c>
      <c r="B422" s="62" t="s">
        <v>28</v>
      </c>
      <c r="C422" s="63">
        <v>0</v>
      </c>
      <c r="D422" s="63">
        <v>0</v>
      </c>
      <c r="E422" s="63">
        <v>526.14</v>
      </c>
      <c r="F422" s="63">
        <v>520.17020000000002</v>
      </c>
    </row>
    <row r="423" spans="1:6">
      <c r="A423" s="61">
        <v>46251.25</v>
      </c>
      <c r="B423" s="62" t="s">
        <v>28</v>
      </c>
      <c r="C423" s="63">
        <v>0</v>
      </c>
      <c r="D423" s="63">
        <v>0</v>
      </c>
      <c r="E423" s="63">
        <v>526.14</v>
      </c>
      <c r="F423" s="63">
        <v>520.17020000000002</v>
      </c>
    </row>
    <row r="424" spans="1:6">
      <c r="A424" s="61">
        <v>46251.291666666664</v>
      </c>
      <c r="B424" s="62" t="s">
        <v>28</v>
      </c>
      <c r="C424" s="63">
        <v>0</v>
      </c>
      <c r="D424" s="63">
        <v>0</v>
      </c>
      <c r="E424" s="63">
        <v>526.14</v>
      </c>
      <c r="F424" s="63">
        <v>520.17020000000002</v>
      </c>
    </row>
    <row r="425" spans="1:6">
      <c r="A425" s="61">
        <v>46251.333333333336</v>
      </c>
      <c r="B425" s="62" t="s">
        <v>28</v>
      </c>
      <c r="C425" s="63">
        <v>0</v>
      </c>
      <c r="D425" s="63">
        <v>0</v>
      </c>
      <c r="E425" s="63">
        <v>526.14</v>
      </c>
      <c r="F425" s="63">
        <v>520.17020000000002</v>
      </c>
    </row>
    <row r="426" spans="1:6">
      <c r="A426" s="61">
        <v>46251.375</v>
      </c>
      <c r="B426" s="62" t="s">
        <v>28</v>
      </c>
      <c r="C426" s="63">
        <v>0</v>
      </c>
      <c r="D426" s="63">
        <v>0</v>
      </c>
      <c r="E426" s="63">
        <v>526.14</v>
      </c>
      <c r="F426" s="63">
        <v>520.17020000000002</v>
      </c>
    </row>
    <row r="427" spans="1:6">
      <c r="A427" s="61">
        <v>46251.416666666664</v>
      </c>
      <c r="B427" s="62" t="s">
        <v>28</v>
      </c>
      <c r="C427" s="63">
        <v>0</v>
      </c>
      <c r="D427" s="63">
        <v>0</v>
      </c>
      <c r="E427" s="63">
        <v>526.14</v>
      </c>
      <c r="F427" s="63">
        <v>520.17020000000002</v>
      </c>
    </row>
    <row r="428" spans="1:6">
      <c r="A428" s="61">
        <v>46251.458333333336</v>
      </c>
      <c r="B428" s="62" t="s">
        <v>28</v>
      </c>
      <c r="C428" s="63">
        <v>0</v>
      </c>
      <c r="D428" s="63">
        <v>0</v>
      </c>
      <c r="E428" s="63">
        <v>526.14</v>
      </c>
      <c r="F428" s="63">
        <v>520.17020000000002</v>
      </c>
    </row>
    <row r="429" spans="1:6">
      <c r="A429" s="61">
        <v>46251.5</v>
      </c>
      <c r="B429" s="62" t="s">
        <v>28</v>
      </c>
      <c r="C429" s="63">
        <v>0</v>
      </c>
      <c r="D429" s="63">
        <v>0</v>
      </c>
      <c r="E429" s="63">
        <v>526.14</v>
      </c>
      <c r="F429" s="63">
        <v>520.17020000000002</v>
      </c>
    </row>
    <row r="430" spans="1:6">
      <c r="A430" s="61">
        <v>46251.541666666664</v>
      </c>
      <c r="B430" s="62" t="s">
        <v>28</v>
      </c>
      <c r="C430" s="63">
        <v>0</v>
      </c>
      <c r="D430" s="63">
        <v>0</v>
      </c>
      <c r="E430" s="63">
        <v>526.14</v>
      </c>
      <c r="F430" s="63">
        <v>520.17020000000002</v>
      </c>
    </row>
    <row r="431" spans="1:6">
      <c r="A431" s="61">
        <v>46251.583333333336</v>
      </c>
      <c r="B431" s="62" t="s">
        <v>28</v>
      </c>
      <c r="C431" s="63">
        <v>0</v>
      </c>
      <c r="D431" s="63">
        <v>0</v>
      </c>
      <c r="E431" s="63">
        <v>526.14</v>
      </c>
      <c r="F431" s="63">
        <v>520.17020000000002</v>
      </c>
    </row>
    <row r="432" spans="1:6">
      <c r="A432" s="61">
        <v>46251.625</v>
      </c>
      <c r="B432" s="62" t="s">
        <v>28</v>
      </c>
      <c r="C432" s="63">
        <v>0</v>
      </c>
      <c r="D432" s="63">
        <v>0</v>
      </c>
      <c r="E432" s="63">
        <v>526.14</v>
      </c>
      <c r="F432" s="63">
        <v>520.17020000000002</v>
      </c>
    </row>
    <row r="433" spans="1:6">
      <c r="A433" s="61">
        <v>46251.666666666664</v>
      </c>
      <c r="B433" s="62" t="s">
        <v>28</v>
      </c>
      <c r="C433" s="63">
        <v>0</v>
      </c>
      <c r="D433" s="63">
        <v>0</v>
      </c>
      <c r="E433" s="63">
        <v>526.14</v>
      </c>
      <c r="F433" s="63">
        <v>520.17020000000002</v>
      </c>
    </row>
    <row r="434" spans="1:6">
      <c r="A434" s="61">
        <v>46251.708333333336</v>
      </c>
      <c r="B434" s="62" t="s">
        <v>28</v>
      </c>
      <c r="C434" s="63">
        <v>0</v>
      </c>
      <c r="D434" s="63">
        <v>0</v>
      </c>
      <c r="E434" s="63">
        <v>526.14</v>
      </c>
      <c r="F434" s="63">
        <v>520.17020000000002</v>
      </c>
    </row>
    <row r="435" spans="1:6">
      <c r="A435" s="61">
        <v>46251.75</v>
      </c>
      <c r="B435" s="62" t="s">
        <v>28</v>
      </c>
      <c r="C435" s="63">
        <v>0</v>
      </c>
      <c r="D435" s="63">
        <v>0</v>
      </c>
      <c r="E435" s="63">
        <v>526.14</v>
      </c>
      <c r="F435" s="63">
        <v>520.17020000000002</v>
      </c>
    </row>
    <row r="436" spans="1:6">
      <c r="A436" s="61">
        <v>46251.791666666664</v>
      </c>
      <c r="B436" s="62" t="s">
        <v>28</v>
      </c>
      <c r="C436" s="63">
        <v>0</v>
      </c>
      <c r="D436" s="63">
        <v>0</v>
      </c>
      <c r="E436" s="63">
        <v>526.14</v>
      </c>
      <c r="F436" s="63">
        <v>520.17020000000002</v>
      </c>
    </row>
    <row r="437" spans="1:6">
      <c r="A437" s="61">
        <v>46251.833333333336</v>
      </c>
      <c r="B437" s="62" t="s">
        <v>28</v>
      </c>
      <c r="C437" s="63">
        <v>0</v>
      </c>
      <c r="D437" s="63">
        <v>0</v>
      </c>
      <c r="E437" s="63">
        <v>526.14</v>
      </c>
      <c r="F437" s="63">
        <v>520.17020000000002</v>
      </c>
    </row>
    <row r="438" spans="1:6">
      <c r="A438" s="61">
        <v>46251.875</v>
      </c>
      <c r="B438" s="62" t="s">
        <v>28</v>
      </c>
      <c r="C438" s="63">
        <v>0</v>
      </c>
      <c r="D438" s="63">
        <v>0</v>
      </c>
      <c r="E438" s="63">
        <v>526.14</v>
      </c>
      <c r="F438" s="63">
        <v>520.17020000000002</v>
      </c>
    </row>
    <row r="439" spans="1:6">
      <c r="A439" s="61">
        <v>46251.916666666664</v>
      </c>
      <c r="B439" s="62" t="s">
        <v>28</v>
      </c>
      <c r="C439" s="63">
        <v>0</v>
      </c>
      <c r="D439" s="63">
        <v>0</v>
      </c>
      <c r="E439" s="63">
        <v>526.14</v>
      </c>
      <c r="F439" s="63">
        <v>520.17020000000002</v>
      </c>
    </row>
    <row r="440" spans="1:6">
      <c r="A440" s="61">
        <v>46251.958333333336</v>
      </c>
      <c r="B440" s="62" t="s">
        <v>28</v>
      </c>
      <c r="C440" s="63">
        <v>0</v>
      </c>
      <c r="D440" s="63">
        <v>0</v>
      </c>
      <c r="E440" s="63">
        <v>526.14</v>
      </c>
      <c r="F440" s="63">
        <v>520.17020000000002</v>
      </c>
    </row>
    <row r="441" spans="1:6">
      <c r="A441" s="61">
        <v>46252</v>
      </c>
      <c r="B441" s="62" t="s">
        <v>28</v>
      </c>
      <c r="C441" s="63">
        <v>0</v>
      </c>
      <c r="D441" s="63">
        <v>0</v>
      </c>
      <c r="E441" s="63">
        <v>526.14</v>
      </c>
      <c r="F441" s="63">
        <v>520.17020000000002</v>
      </c>
    </row>
    <row r="442" spans="1:6">
      <c r="A442" s="61">
        <v>46252.041666666664</v>
      </c>
      <c r="B442" s="62" t="s">
        <v>28</v>
      </c>
      <c r="C442" s="63">
        <v>0</v>
      </c>
      <c r="D442" s="63">
        <v>0</v>
      </c>
      <c r="E442" s="63">
        <v>526.14</v>
      </c>
      <c r="F442" s="63">
        <v>520.17020000000002</v>
      </c>
    </row>
    <row r="443" spans="1:6">
      <c r="A443" s="61">
        <v>46252.083333333336</v>
      </c>
      <c r="B443" s="62" t="s">
        <v>28</v>
      </c>
      <c r="C443" s="63">
        <v>0</v>
      </c>
      <c r="D443" s="63">
        <v>0</v>
      </c>
      <c r="E443" s="63">
        <v>526.14</v>
      </c>
      <c r="F443" s="63">
        <v>520.17020000000002</v>
      </c>
    </row>
    <row r="444" spans="1:6">
      <c r="A444" s="61">
        <v>46252.125</v>
      </c>
      <c r="B444" s="62" t="s">
        <v>28</v>
      </c>
      <c r="C444" s="63">
        <v>0</v>
      </c>
      <c r="D444" s="63">
        <v>0</v>
      </c>
      <c r="E444" s="63">
        <v>526.14</v>
      </c>
      <c r="F444" s="63">
        <v>520.17020000000002</v>
      </c>
    </row>
    <row r="445" spans="1:6">
      <c r="A445" s="61">
        <v>46252.166666666664</v>
      </c>
      <c r="B445" s="62" t="s">
        <v>28</v>
      </c>
      <c r="C445" s="63">
        <v>0</v>
      </c>
      <c r="D445" s="63">
        <v>0</v>
      </c>
      <c r="E445" s="63">
        <v>526.14</v>
      </c>
      <c r="F445" s="63">
        <v>520.17020000000002</v>
      </c>
    </row>
    <row r="446" spans="1:6">
      <c r="A446" s="61">
        <v>46252.208333333336</v>
      </c>
      <c r="B446" s="62" t="s">
        <v>28</v>
      </c>
      <c r="C446" s="63">
        <v>0</v>
      </c>
      <c r="D446" s="63">
        <v>0</v>
      </c>
      <c r="E446" s="63">
        <v>526.14</v>
      </c>
      <c r="F446" s="63">
        <v>520.17020000000002</v>
      </c>
    </row>
    <row r="447" spans="1:6">
      <c r="A447" s="61">
        <v>46252.25</v>
      </c>
      <c r="B447" s="62" t="s">
        <v>28</v>
      </c>
      <c r="C447" s="63">
        <v>0</v>
      </c>
      <c r="D447" s="63">
        <v>0</v>
      </c>
      <c r="E447" s="63">
        <v>526.14</v>
      </c>
      <c r="F447" s="63">
        <v>520.17020000000002</v>
      </c>
    </row>
    <row r="448" spans="1:6">
      <c r="A448" s="61">
        <v>46252.291666666664</v>
      </c>
      <c r="B448" s="62" t="s">
        <v>28</v>
      </c>
      <c r="C448" s="63">
        <v>0</v>
      </c>
      <c r="D448" s="63">
        <v>0</v>
      </c>
      <c r="E448" s="63">
        <v>526.14</v>
      </c>
      <c r="F448" s="63">
        <v>520.17020000000002</v>
      </c>
    </row>
    <row r="449" spans="1:6">
      <c r="A449" s="61">
        <v>46252.333333333336</v>
      </c>
      <c r="B449" s="62" t="s">
        <v>28</v>
      </c>
      <c r="C449" s="63">
        <v>0</v>
      </c>
      <c r="D449" s="63">
        <v>0</v>
      </c>
      <c r="E449" s="63">
        <v>526.14</v>
      </c>
      <c r="F449" s="63">
        <v>520.17020000000002</v>
      </c>
    </row>
    <row r="450" spans="1:6">
      <c r="A450" s="61">
        <v>46252.375</v>
      </c>
      <c r="B450" s="62" t="s">
        <v>28</v>
      </c>
      <c r="C450" s="63">
        <v>0</v>
      </c>
      <c r="D450" s="63">
        <v>0</v>
      </c>
      <c r="E450" s="63">
        <v>526.14</v>
      </c>
      <c r="F450" s="63">
        <v>520.17020000000002</v>
      </c>
    </row>
    <row r="451" spans="1:6">
      <c r="A451" s="61">
        <v>46252.416666666664</v>
      </c>
      <c r="B451" s="62" t="s">
        <v>28</v>
      </c>
      <c r="C451" s="63">
        <v>0</v>
      </c>
      <c r="D451" s="63">
        <v>0</v>
      </c>
      <c r="E451" s="63">
        <v>526.14</v>
      </c>
      <c r="F451" s="63">
        <v>520.17020000000002</v>
      </c>
    </row>
    <row r="452" spans="1:6">
      <c r="A452" s="61">
        <v>46252.458333333336</v>
      </c>
      <c r="B452" s="62" t="s">
        <v>28</v>
      </c>
      <c r="C452" s="63">
        <v>0</v>
      </c>
      <c r="D452" s="63">
        <v>0</v>
      </c>
      <c r="E452" s="63">
        <v>526.14</v>
      </c>
      <c r="F452" s="63">
        <v>520.17020000000002</v>
      </c>
    </row>
    <row r="453" spans="1:6">
      <c r="A453" s="61">
        <v>46252.5</v>
      </c>
      <c r="B453" s="62" t="s">
        <v>28</v>
      </c>
      <c r="C453" s="63">
        <v>0</v>
      </c>
      <c r="D453" s="63">
        <v>0</v>
      </c>
      <c r="E453" s="63">
        <v>526.14</v>
      </c>
      <c r="F453" s="63">
        <v>520.17020000000002</v>
      </c>
    </row>
    <row r="454" spans="1:6">
      <c r="A454" s="61">
        <v>46252.541666666664</v>
      </c>
      <c r="B454" s="62" t="s">
        <v>28</v>
      </c>
      <c r="C454" s="63">
        <v>0</v>
      </c>
      <c r="D454" s="63">
        <v>0</v>
      </c>
      <c r="E454" s="63">
        <v>526.14</v>
      </c>
      <c r="F454" s="63">
        <v>520.17020000000002</v>
      </c>
    </row>
    <row r="455" spans="1:6">
      <c r="A455" s="61">
        <v>46252.583333333336</v>
      </c>
      <c r="B455" s="62" t="s">
        <v>28</v>
      </c>
      <c r="C455" s="63">
        <v>0</v>
      </c>
      <c r="D455" s="63">
        <v>0</v>
      </c>
      <c r="E455" s="63">
        <v>526.14</v>
      </c>
      <c r="F455" s="63">
        <v>520.17020000000002</v>
      </c>
    </row>
    <row r="456" spans="1:6">
      <c r="A456" s="61">
        <v>46252.625</v>
      </c>
      <c r="B456" s="62" t="s">
        <v>28</v>
      </c>
      <c r="C456" s="63">
        <v>0</v>
      </c>
      <c r="D456" s="63">
        <v>0</v>
      </c>
      <c r="E456" s="63">
        <v>526.14</v>
      </c>
      <c r="F456" s="63">
        <v>520.17020000000002</v>
      </c>
    </row>
    <row r="457" spans="1:6">
      <c r="A457" s="61">
        <v>46252.666666666664</v>
      </c>
      <c r="B457" s="62" t="s">
        <v>28</v>
      </c>
      <c r="C457" s="63">
        <v>0</v>
      </c>
      <c r="D457" s="63">
        <v>0</v>
      </c>
      <c r="E457" s="63">
        <v>526.14</v>
      </c>
      <c r="F457" s="63">
        <v>520.17020000000002</v>
      </c>
    </row>
    <row r="458" spans="1:6">
      <c r="A458" s="61">
        <v>46252.708333333336</v>
      </c>
      <c r="B458" s="62" t="s">
        <v>28</v>
      </c>
      <c r="C458" s="63">
        <v>0</v>
      </c>
      <c r="D458" s="63">
        <v>0</v>
      </c>
      <c r="E458" s="63">
        <v>526.14</v>
      </c>
      <c r="F458" s="63">
        <v>520.17020000000002</v>
      </c>
    </row>
    <row r="459" spans="1:6">
      <c r="A459" s="61">
        <v>46252.75</v>
      </c>
      <c r="B459" s="62" t="s">
        <v>28</v>
      </c>
      <c r="C459" s="63">
        <v>0</v>
      </c>
      <c r="D459" s="63">
        <v>0</v>
      </c>
      <c r="E459" s="63">
        <v>526.14</v>
      </c>
      <c r="F459" s="63">
        <v>520.17020000000002</v>
      </c>
    </row>
    <row r="460" spans="1:6">
      <c r="A460" s="61">
        <v>46252.791666666664</v>
      </c>
      <c r="B460" s="62" t="s">
        <v>28</v>
      </c>
      <c r="C460" s="63">
        <v>0</v>
      </c>
      <c r="D460" s="63">
        <v>0</v>
      </c>
      <c r="E460" s="63">
        <v>526.14</v>
      </c>
      <c r="F460" s="63">
        <v>520.17020000000002</v>
      </c>
    </row>
    <row r="461" spans="1:6">
      <c r="A461" s="61">
        <v>46252.833333333336</v>
      </c>
      <c r="B461" s="62" t="s">
        <v>28</v>
      </c>
      <c r="C461" s="63">
        <v>0</v>
      </c>
      <c r="D461" s="63">
        <v>0</v>
      </c>
      <c r="E461" s="63">
        <v>526.14</v>
      </c>
      <c r="F461" s="63">
        <v>520.17020000000002</v>
      </c>
    </row>
    <row r="462" spans="1:6">
      <c r="A462" s="61">
        <v>46252.875</v>
      </c>
      <c r="B462" s="62" t="s">
        <v>28</v>
      </c>
      <c r="C462" s="63">
        <v>0</v>
      </c>
      <c r="D462" s="63">
        <v>0</v>
      </c>
      <c r="E462" s="63">
        <v>526.14</v>
      </c>
      <c r="F462" s="63">
        <v>520.17020000000002</v>
      </c>
    </row>
    <row r="463" spans="1:6">
      <c r="A463" s="61">
        <v>46252.916666666664</v>
      </c>
      <c r="B463" s="62" t="s">
        <v>28</v>
      </c>
      <c r="C463" s="63">
        <v>0</v>
      </c>
      <c r="D463" s="63">
        <v>0</v>
      </c>
      <c r="E463" s="63">
        <v>526.14</v>
      </c>
      <c r="F463" s="63">
        <v>520.17020000000002</v>
      </c>
    </row>
    <row r="464" spans="1:6">
      <c r="A464" s="61">
        <v>46252.958333333336</v>
      </c>
      <c r="B464" s="62" t="s">
        <v>28</v>
      </c>
      <c r="C464" s="63">
        <v>0</v>
      </c>
      <c r="D464" s="63">
        <v>0</v>
      </c>
      <c r="E464" s="63">
        <v>526.14</v>
      </c>
      <c r="F464" s="63">
        <v>520.17020000000002</v>
      </c>
    </row>
    <row r="465" spans="1:6">
      <c r="A465" s="61">
        <v>46253</v>
      </c>
      <c r="B465" s="62" t="s">
        <v>28</v>
      </c>
      <c r="C465" s="63">
        <v>0</v>
      </c>
      <c r="D465" s="63">
        <v>0</v>
      </c>
      <c r="E465" s="63">
        <v>526.14</v>
      </c>
      <c r="F465" s="63">
        <v>520.17020000000002</v>
      </c>
    </row>
    <row r="466" spans="1:6">
      <c r="A466" s="61">
        <v>46253.041666666664</v>
      </c>
      <c r="B466" s="62" t="s">
        <v>28</v>
      </c>
      <c r="C466" s="63">
        <v>0</v>
      </c>
      <c r="D466" s="63">
        <v>0</v>
      </c>
      <c r="E466" s="63">
        <v>526.14</v>
      </c>
      <c r="F466" s="63">
        <v>520.17020000000002</v>
      </c>
    </row>
    <row r="467" spans="1:6">
      <c r="A467" s="61">
        <v>46253.083333333336</v>
      </c>
      <c r="B467" s="62" t="s">
        <v>28</v>
      </c>
      <c r="C467" s="63">
        <v>0</v>
      </c>
      <c r="D467" s="63">
        <v>0</v>
      </c>
      <c r="E467" s="63">
        <v>526.14</v>
      </c>
      <c r="F467" s="63">
        <v>520.17020000000002</v>
      </c>
    </row>
    <row r="468" spans="1:6">
      <c r="A468" s="61">
        <v>46253.125</v>
      </c>
      <c r="B468" s="62" t="s">
        <v>28</v>
      </c>
      <c r="C468" s="63">
        <v>0</v>
      </c>
      <c r="D468" s="63">
        <v>0</v>
      </c>
      <c r="E468" s="63">
        <v>526.14</v>
      </c>
      <c r="F468" s="63">
        <v>520.17020000000002</v>
      </c>
    </row>
    <row r="469" spans="1:6">
      <c r="A469" s="61">
        <v>46253.166666666664</v>
      </c>
      <c r="B469" s="62" t="s">
        <v>28</v>
      </c>
      <c r="C469" s="63">
        <v>0</v>
      </c>
      <c r="D469" s="63">
        <v>0</v>
      </c>
      <c r="E469" s="63">
        <v>526.14</v>
      </c>
      <c r="F469" s="63">
        <v>520.17020000000002</v>
      </c>
    </row>
    <row r="470" spans="1:6">
      <c r="A470" s="61">
        <v>46253.208333333336</v>
      </c>
      <c r="B470" s="62" t="s">
        <v>28</v>
      </c>
      <c r="C470" s="63">
        <v>0</v>
      </c>
      <c r="D470" s="63">
        <v>0</v>
      </c>
      <c r="E470" s="63">
        <v>526.14</v>
      </c>
      <c r="F470" s="63">
        <v>520.17020000000002</v>
      </c>
    </row>
    <row r="471" spans="1:6">
      <c r="A471" s="61">
        <v>46253.25</v>
      </c>
      <c r="B471" s="62" t="s">
        <v>28</v>
      </c>
      <c r="C471" s="63">
        <v>0</v>
      </c>
      <c r="D471" s="63">
        <v>0</v>
      </c>
      <c r="E471" s="63">
        <v>526.14</v>
      </c>
      <c r="F471" s="63">
        <v>520.17020000000002</v>
      </c>
    </row>
    <row r="472" spans="1:6">
      <c r="A472" s="61">
        <v>46253.291666666664</v>
      </c>
      <c r="B472" s="62" t="s">
        <v>28</v>
      </c>
      <c r="C472" s="63">
        <v>0</v>
      </c>
      <c r="D472" s="63">
        <v>0</v>
      </c>
      <c r="E472" s="63">
        <v>526.14</v>
      </c>
      <c r="F472" s="63">
        <v>520.17020000000002</v>
      </c>
    </row>
    <row r="473" spans="1:6">
      <c r="A473" s="61">
        <v>46253.333333333336</v>
      </c>
      <c r="B473" s="62" t="s">
        <v>28</v>
      </c>
      <c r="C473" s="63">
        <v>0</v>
      </c>
      <c r="D473" s="63">
        <v>0</v>
      </c>
      <c r="E473" s="63">
        <v>526.14</v>
      </c>
      <c r="F473" s="63">
        <v>520.17020000000002</v>
      </c>
    </row>
    <row r="474" spans="1:6">
      <c r="A474" s="61">
        <v>46253.375</v>
      </c>
      <c r="B474" s="62" t="s">
        <v>28</v>
      </c>
      <c r="C474" s="63">
        <v>0</v>
      </c>
      <c r="D474" s="63">
        <v>0</v>
      </c>
      <c r="E474" s="63">
        <v>526.14</v>
      </c>
      <c r="F474" s="63">
        <v>520.17020000000002</v>
      </c>
    </row>
    <row r="475" spans="1:6">
      <c r="A475" s="61">
        <v>46253.416666666664</v>
      </c>
      <c r="B475" s="62" t="s">
        <v>28</v>
      </c>
      <c r="C475" s="63">
        <v>0</v>
      </c>
      <c r="D475" s="63">
        <v>0</v>
      </c>
      <c r="E475" s="63">
        <v>526.14</v>
      </c>
      <c r="F475" s="63">
        <v>520.17020000000002</v>
      </c>
    </row>
    <row r="476" spans="1:6">
      <c r="A476" s="61">
        <v>46253.458333333336</v>
      </c>
      <c r="B476" s="62" t="s">
        <v>28</v>
      </c>
      <c r="C476" s="63">
        <v>0</v>
      </c>
      <c r="D476" s="63">
        <v>0</v>
      </c>
      <c r="E476" s="63">
        <v>526.14</v>
      </c>
      <c r="F476" s="63">
        <v>520.17020000000002</v>
      </c>
    </row>
    <row r="477" spans="1:6">
      <c r="A477" s="61">
        <v>46253.5</v>
      </c>
      <c r="B477" s="62" t="s">
        <v>28</v>
      </c>
      <c r="C477" s="63">
        <v>0</v>
      </c>
      <c r="D477" s="63">
        <v>0</v>
      </c>
      <c r="E477" s="63">
        <v>526.14</v>
      </c>
      <c r="F477" s="63">
        <v>520.17020000000002</v>
      </c>
    </row>
    <row r="478" spans="1:6">
      <c r="A478" s="61">
        <v>46253.541666666664</v>
      </c>
      <c r="B478" s="62" t="s">
        <v>28</v>
      </c>
      <c r="C478" s="63">
        <v>0</v>
      </c>
      <c r="D478" s="63">
        <v>0</v>
      </c>
      <c r="E478" s="63">
        <v>526.14</v>
      </c>
      <c r="F478" s="63">
        <v>520.17020000000002</v>
      </c>
    </row>
    <row r="479" spans="1:6">
      <c r="A479" s="61">
        <v>46253.583333333336</v>
      </c>
      <c r="B479" s="62" t="s">
        <v>28</v>
      </c>
      <c r="C479" s="63">
        <v>0</v>
      </c>
      <c r="D479" s="63">
        <v>0</v>
      </c>
      <c r="E479" s="63">
        <v>526.14</v>
      </c>
      <c r="F479" s="63">
        <v>520.17020000000002</v>
      </c>
    </row>
    <row r="480" spans="1:6">
      <c r="A480" s="61">
        <v>46253.625</v>
      </c>
      <c r="B480" s="62" t="s">
        <v>28</v>
      </c>
      <c r="C480" s="63">
        <v>0</v>
      </c>
      <c r="D480" s="63">
        <v>0</v>
      </c>
      <c r="E480" s="63">
        <v>526.14</v>
      </c>
      <c r="F480" s="63">
        <v>520.17020000000002</v>
      </c>
    </row>
    <row r="481" spans="1:6">
      <c r="A481" s="61">
        <v>46253.666666666664</v>
      </c>
      <c r="B481" s="62" t="s">
        <v>28</v>
      </c>
      <c r="C481" s="63">
        <v>0</v>
      </c>
      <c r="D481" s="63">
        <v>0</v>
      </c>
      <c r="E481" s="63">
        <v>526.14</v>
      </c>
      <c r="F481" s="63">
        <v>520.17020000000002</v>
      </c>
    </row>
    <row r="482" spans="1:6">
      <c r="A482" s="61">
        <v>46253.708333333336</v>
      </c>
      <c r="B482" s="62" t="s">
        <v>28</v>
      </c>
      <c r="C482" s="63">
        <v>0</v>
      </c>
      <c r="D482" s="63">
        <v>0</v>
      </c>
      <c r="E482" s="63">
        <v>526.14</v>
      </c>
      <c r="F482" s="63">
        <v>520.17020000000002</v>
      </c>
    </row>
    <row r="483" spans="1:6">
      <c r="A483" s="61">
        <v>46253.75</v>
      </c>
      <c r="B483" s="62" t="s">
        <v>28</v>
      </c>
      <c r="C483" s="63">
        <v>0</v>
      </c>
      <c r="D483" s="63">
        <v>0</v>
      </c>
      <c r="E483" s="63">
        <v>526.14</v>
      </c>
      <c r="F483" s="63">
        <v>520.17020000000002</v>
      </c>
    </row>
    <row r="484" spans="1:6">
      <c r="A484" s="61">
        <v>46253.791666666664</v>
      </c>
      <c r="B484" s="62" t="s">
        <v>28</v>
      </c>
      <c r="C484" s="63">
        <v>0</v>
      </c>
      <c r="D484" s="63">
        <v>0</v>
      </c>
      <c r="E484" s="63">
        <v>526.14</v>
      </c>
      <c r="F484" s="63">
        <v>520.17020000000002</v>
      </c>
    </row>
    <row r="485" spans="1:6">
      <c r="A485" s="61">
        <v>46253.833333333336</v>
      </c>
      <c r="B485" s="62" t="s">
        <v>28</v>
      </c>
      <c r="C485" s="63">
        <v>0</v>
      </c>
      <c r="D485" s="63">
        <v>0</v>
      </c>
      <c r="E485" s="63">
        <v>526.14</v>
      </c>
      <c r="F485" s="63">
        <v>520.17020000000002</v>
      </c>
    </row>
    <row r="486" spans="1:6">
      <c r="A486" s="61">
        <v>46253.875</v>
      </c>
      <c r="B486" s="62" t="s">
        <v>28</v>
      </c>
      <c r="C486" s="63">
        <v>0</v>
      </c>
      <c r="D486" s="63">
        <v>0</v>
      </c>
      <c r="E486" s="63">
        <v>526.14</v>
      </c>
      <c r="F486" s="63">
        <v>520.17020000000002</v>
      </c>
    </row>
    <row r="487" spans="1:6">
      <c r="A487" s="61">
        <v>46253.916666666664</v>
      </c>
      <c r="B487" s="62" t="s">
        <v>28</v>
      </c>
      <c r="C487" s="63">
        <v>0</v>
      </c>
      <c r="D487" s="63">
        <v>0</v>
      </c>
      <c r="E487" s="63">
        <v>526.14</v>
      </c>
      <c r="F487" s="63">
        <v>520.17020000000002</v>
      </c>
    </row>
    <row r="488" spans="1:6">
      <c r="A488" s="61">
        <v>46253.958333333336</v>
      </c>
      <c r="B488" s="62" t="s">
        <v>28</v>
      </c>
      <c r="C488" s="63">
        <v>0</v>
      </c>
      <c r="D488" s="63">
        <v>0</v>
      </c>
      <c r="E488" s="63">
        <v>526.14</v>
      </c>
      <c r="F488" s="63">
        <v>520.17020000000002</v>
      </c>
    </row>
    <row r="489" spans="1:6">
      <c r="A489" s="61">
        <v>46254</v>
      </c>
      <c r="B489" s="62" t="s">
        <v>28</v>
      </c>
      <c r="C489" s="63">
        <v>0</v>
      </c>
      <c r="D489" s="63">
        <v>0</v>
      </c>
      <c r="E489" s="63">
        <v>526.14</v>
      </c>
      <c r="F489" s="63">
        <v>520.17020000000002</v>
      </c>
    </row>
    <row r="490" spans="1:6">
      <c r="A490" s="61">
        <v>46254.041666666664</v>
      </c>
      <c r="B490" s="62" t="s">
        <v>28</v>
      </c>
      <c r="C490" s="63">
        <v>0</v>
      </c>
      <c r="D490" s="63">
        <v>0</v>
      </c>
      <c r="E490" s="63">
        <v>526.14</v>
      </c>
      <c r="F490" s="63">
        <v>520.17020000000002</v>
      </c>
    </row>
    <row r="491" spans="1:6">
      <c r="A491" s="61">
        <v>46254.083333333336</v>
      </c>
      <c r="B491" s="62" t="s">
        <v>28</v>
      </c>
      <c r="C491" s="63">
        <v>0</v>
      </c>
      <c r="D491" s="63">
        <v>0</v>
      </c>
      <c r="E491" s="63">
        <v>526.14</v>
      </c>
      <c r="F491" s="63">
        <v>520.17020000000002</v>
      </c>
    </row>
    <row r="492" spans="1:6">
      <c r="A492" s="61">
        <v>46254.125</v>
      </c>
      <c r="B492" s="62" t="s">
        <v>28</v>
      </c>
      <c r="C492" s="63">
        <v>0</v>
      </c>
      <c r="D492" s="63">
        <v>0</v>
      </c>
      <c r="E492" s="63">
        <v>526.14</v>
      </c>
      <c r="F492" s="63">
        <v>520.17020000000002</v>
      </c>
    </row>
    <row r="493" spans="1:6">
      <c r="A493" s="61">
        <v>46254.166666666664</v>
      </c>
      <c r="B493" s="62" t="s">
        <v>28</v>
      </c>
      <c r="C493" s="63">
        <v>0</v>
      </c>
      <c r="D493" s="63">
        <v>0</v>
      </c>
      <c r="E493" s="63">
        <v>526.14</v>
      </c>
      <c r="F493" s="63">
        <v>520.17020000000002</v>
      </c>
    </row>
    <row r="494" spans="1:6">
      <c r="A494" s="61">
        <v>46254.208333333336</v>
      </c>
      <c r="B494" s="62" t="s">
        <v>28</v>
      </c>
      <c r="C494" s="63">
        <v>0</v>
      </c>
      <c r="D494" s="63">
        <v>0</v>
      </c>
      <c r="E494" s="63">
        <v>526.14</v>
      </c>
      <c r="F494" s="63">
        <v>520.17020000000002</v>
      </c>
    </row>
    <row r="495" spans="1:6">
      <c r="A495" s="61">
        <v>46254.25</v>
      </c>
      <c r="B495" s="62" t="s">
        <v>28</v>
      </c>
      <c r="C495" s="63">
        <v>0</v>
      </c>
      <c r="D495" s="63">
        <v>0</v>
      </c>
      <c r="E495" s="63">
        <v>526.14</v>
      </c>
      <c r="F495" s="63">
        <v>520.17020000000002</v>
      </c>
    </row>
    <row r="496" spans="1:6">
      <c r="A496" s="61">
        <v>46254.291666666664</v>
      </c>
      <c r="B496" s="62" t="s">
        <v>28</v>
      </c>
      <c r="C496" s="63">
        <v>0</v>
      </c>
      <c r="D496" s="63">
        <v>0</v>
      </c>
      <c r="E496" s="63">
        <v>526.14</v>
      </c>
      <c r="F496" s="63">
        <v>520.17020000000002</v>
      </c>
    </row>
    <row r="497" spans="1:6">
      <c r="A497" s="61">
        <v>46254.333333333336</v>
      </c>
      <c r="B497" s="62" t="s">
        <v>28</v>
      </c>
      <c r="C497" s="63">
        <v>0</v>
      </c>
      <c r="D497" s="63">
        <v>0</v>
      </c>
      <c r="E497" s="63">
        <v>526.14</v>
      </c>
      <c r="F497" s="63">
        <v>520.17020000000002</v>
      </c>
    </row>
    <row r="498" spans="1:6">
      <c r="A498" s="61">
        <v>46254.375</v>
      </c>
      <c r="B498" s="62" t="s">
        <v>28</v>
      </c>
      <c r="C498" s="63">
        <v>0</v>
      </c>
      <c r="D498" s="63">
        <v>0</v>
      </c>
      <c r="E498" s="63">
        <v>526.14</v>
      </c>
      <c r="F498" s="63">
        <v>520.17020000000002</v>
      </c>
    </row>
    <row r="499" spans="1:6">
      <c r="A499" s="61">
        <v>46254.416666666664</v>
      </c>
      <c r="B499" s="62" t="s">
        <v>28</v>
      </c>
      <c r="C499" s="63">
        <v>0</v>
      </c>
      <c r="D499" s="63">
        <v>0</v>
      </c>
      <c r="E499" s="63">
        <v>526.14</v>
      </c>
      <c r="F499" s="63">
        <v>520.17020000000002</v>
      </c>
    </row>
    <row r="500" spans="1:6">
      <c r="A500" s="61">
        <v>46254.458333333336</v>
      </c>
      <c r="B500" s="62" t="s">
        <v>28</v>
      </c>
      <c r="C500" s="63">
        <v>0</v>
      </c>
      <c r="D500" s="63">
        <v>0</v>
      </c>
      <c r="E500" s="63">
        <v>526.14</v>
      </c>
      <c r="F500" s="63">
        <v>520.17020000000002</v>
      </c>
    </row>
    <row r="501" spans="1:6">
      <c r="A501" s="61">
        <v>46254.5</v>
      </c>
      <c r="B501" s="62" t="s">
        <v>28</v>
      </c>
      <c r="C501" s="63">
        <v>0</v>
      </c>
      <c r="D501" s="63">
        <v>0</v>
      </c>
      <c r="E501" s="63">
        <v>526.14</v>
      </c>
      <c r="F501" s="63">
        <v>520.17020000000002</v>
      </c>
    </row>
    <row r="502" spans="1:6">
      <c r="A502" s="61">
        <v>46254.541666666664</v>
      </c>
      <c r="B502" s="62" t="s">
        <v>28</v>
      </c>
      <c r="C502" s="63">
        <v>0</v>
      </c>
      <c r="D502" s="63">
        <v>0</v>
      </c>
      <c r="E502" s="63">
        <v>526.14</v>
      </c>
      <c r="F502" s="63">
        <v>520.17020000000002</v>
      </c>
    </row>
    <row r="503" spans="1:6">
      <c r="A503" s="61">
        <v>46254.583333333336</v>
      </c>
      <c r="B503" s="62" t="s">
        <v>28</v>
      </c>
      <c r="C503" s="63">
        <v>0</v>
      </c>
      <c r="D503" s="63">
        <v>0</v>
      </c>
      <c r="E503" s="63">
        <v>526.14</v>
      </c>
      <c r="F503" s="63">
        <v>520.17020000000002</v>
      </c>
    </row>
    <row r="504" spans="1:6">
      <c r="A504" s="61">
        <v>46254.625</v>
      </c>
      <c r="B504" s="62" t="s">
        <v>28</v>
      </c>
      <c r="C504" s="63">
        <v>0</v>
      </c>
      <c r="D504" s="63">
        <v>0</v>
      </c>
      <c r="E504" s="63">
        <v>526.14</v>
      </c>
      <c r="F504" s="63">
        <v>520.17020000000002</v>
      </c>
    </row>
    <row r="505" spans="1:6">
      <c r="A505" s="61">
        <v>46254.666666666664</v>
      </c>
      <c r="B505" s="62" t="s">
        <v>28</v>
      </c>
      <c r="C505" s="63">
        <v>0</v>
      </c>
      <c r="D505" s="63">
        <v>0</v>
      </c>
      <c r="E505" s="63">
        <v>526.14</v>
      </c>
      <c r="F505" s="63">
        <v>520.17020000000002</v>
      </c>
    </row>
    <row r="506" spans="1:6">
      <c r="A506" s="61">
        <v>46254.708333333336</v>
      </c>
      <c r="B506" s="62" t="s">
        <v>28</v>
      </c>
      <c r="C506" s="63">
        <v>0</v>
      </c>
      <c r="D506" s="63">
        <v>0</v>
      </c>
      <c r="E506" s="63">
        <v>526.14</v>
      </c>
      <c r="F506" s="63">
        <v>520.17020000000002</v>
      </c>
    </row>
    <row r="507" spans="1:6">
      <c r="A507" s="61">
        <v>46254.75</v>
      </c>
      <c r="B507" s="62" t="s">
        <v>28</v>
      </c>
      <c r="C507" s="63">
        <v>0</v>
      </c>
      <c r="D507" s="63">
        <v>0</v>
      </c>
      <c r="E507" s="63">
        <v>526.14</v>
      </c>
      <c r="F507" s="63">
        <v>520.17020000000002</v>
      </c>
    </row>
    <row r="508" spans="1:6">
      <c r="A508" s="61">
        <v>46254.791666666664</v>
      </c>
      <c r="B508" s="62" t="s">
        <v>28</v>
      </c>
      <c r="C508" s="63">
        <v>0</v>
      </c>
      <c r="D508" s="63">
        <v>0</v>
      </c>
      <c r="E508" s="63">
        <v>526.14</v>
      </c>
      <c r="F508" s="63">
        <v>520.17020000000002</v>
      </c>
    </row>
    <row r="509" spans="1:6">
      <c r="A509" s="61">
        <v>46254.833333333336</v>
      </c>
      <c r="B509" s="62" t="s">
        <v>28</v>
      </c>
      <c r="C509" s="63">
        <v>0</v>
      </c>
      <c r="D509" s="63">
        <v>0</v>
      </c>
      <c r="E509" s="63">
        <v>526.14</v>
      </c>
      <c r="F509" s="63">
        <v>520.17020000000002</v>
      </c>
    </row>
    <row r="510" spans="1:6">
      <c r="A510" s="61">
        <v>46254.875</v>
      </c>
      <c r="B510" s="62" t="s">
        <v>28</v>
      </c>
      <c r="C510" s="63">
        <v>0</v>
      </c>
      <c r="D510" s="63">
        <v>0</v>
      </c>
      <c r="E510" s="63">
        <v>526.14</v>
      </c>
      <c r="F510" s="63">
        <v>520.17020000000002</v>
      </c>
    </row>
    <row r="511" spans="1:6">
      <c r="A511" s="61">
        <v>46254.916666666664</v>
      </c>
      <c r="B511" s="62" t="s">
        <v>28</v>
      </c>
      <c r="C511" s="63">
        <v>0</v>
      </c>
      <c r="D511" s="63">
        <v>0</v>
      </c>
      <c r="E511" s="63">
        <v>526.14</v>
      </c>
      <c r="F511" s="63">
        <v>520.17020000000002</v>
      </c>
    </row>
    <row r="512" spans="1:6">
      <c r="A512" s="61">
        <v>46254.958333333336</v>
      </c>
      <c r="B512" s="62" t="s">
        <v>28</v>
      </c>
      <c r="C512" s="63">
        <v>0</v>
      </c>
      <c r="D512" s="63">
        <v>0</v>
      </c>
      <c r="E512" s="63">
        <v>526.14</v>
      </c>
      <c r="F512" s="63">
        <v>520.17020000000002</v>
      </c>
    </row>
    <row r="513" spans="1:6">
      <c r="A513" s="61">
        <v>46255</v>
      </c>
      <c r="B513" s="62" t="s">
        <v>28</v>
      </c>
      <c r="C513" s="63">
        <v>0</v>
      </c>
      <c r="D513" s="63">
        <v>0</v>
      </c>
      <c r="E513" s="63">
        <v>526.14</v>
      </c>
      <c r="F513" s="63">
        <v>520.17020000000002</v>
      </c>
    </row>
    <row r="514" spans="1:6">
      <c r="A514" s="61">
        <v>46255.041666666664</v>
      </c>
      <c r="B514" s="62" t="s">
        <v>28</v>
      </c>
      <c r="C514" s="63">
        <v>0</v>
      </c>
      <c r="D514" s="63">
        <v>0</v>
      </c>
      <c r="E514" s="63">
        <v>526.14</v>
      </c>
      <c r="F514" s="63">
        <v>520.17020000000002</v>
      </c>
    </row>
    <row r="515" spans="1:6">
      <c r="A515" s="61">
        <v>46255.083333333336</v>
      </c>
      <c r="B515" s="62" t="s">
        <v>28</v>
      </c>
      <c r="C515" s="63">
        <v>0</v>
      </c>
      <c r="D515" s="63">
        <v>0</v>
      </c>
      <c r="E515" s="63">
        <v>526.14</v>
      </c>
      <c r="F515" s="63">
        <v>520.17020000000002</v>
      </c>
    </row>
    <row r="516" spans="1:6">
      <c r="A516" s="61">
        <v>46255.125</v>
      </c>
      <c r="B516" s="62" t="s">
        <v>28</v>
      </c>
      <c r="C516" s="63">
        <v>0</v>
      </c>
      <c r="D516" s="63">
        <v>0</v>
      </c>
      <c r="E516" s="63">
        <v>526.14</v>
      </c>
      <c r="F516" s="63">
        <v>520.17020000000002</v>
      </c>
    </row>
    <row r="517" spans="1:6">
      <c r="A517" s="61">
        <v>46255.166666666664</v>
      </c>
      <c r="B517" s="62" t="s">
        <v>28</v>
      </c>
      <c r="C517" s="63">
        <v>0</v>
      </c>
      <c r="D517" s="63">
        <v>0</v>
      </c>
      <c r="E517" s="63">
        <v>526.14</v>
      </c>
      <c r="F517" s="63">
        <v>520.17020000000002</v>
      </c>
    </row>
    <row r="518" spans="1:6">
      <c r="A518" s="61">
        <v>46255.208333333336</v>
      </c>
      <c r="B518" s="62" t="s">
        <v>28</v>
      </c>
      <c r="C518" s="63">
        <v>0</v>
      </c>
      <c r="D518" s="63">
        <v>0</v>
      </c>
      <c r="E518" s="63">
        <v>526.14</v>
      </c>
      <c r="F518" s="63">
        <v>520.17020000000002</v>
      </c>
    </row>
    <row r="519" spans="1:6">
      <c r="A519" s="61">
        <v>46255.25</v>
      </c>
      <c r="B519" s="62" t="s">
        <v>28</v>
      </c>
      <c r="C519" s="63">
        <v>0</v>
      </c>
      <c r="D519" s="63">
        <v>0</v>
      </c>
      <c r="E519" s="63">
        <v>526.14</v>
      </c>
      <c r="F519" s="63">
        <v>520.17020000000002</v>
      </c>
    </row>
    <row r="520" spans="1:6">
      <c r="A520" s="61">
        <v>46255.291666666664</v>
      </c>
      <c r="B520" s="62" t="s">
        <v>28</v>
      </c>
      <c r="C520" s="63">
        <v>0</v>
      </c>
      <c r="D520" s="63">
        <v>0</v>
      </c>
      <c r="E520" s="63">
        <v>526.14</v>
      </c>
      <c r="F520" s="63">
        <v>520.17020000000002</v>
      </c>
    </row>
    <row r="521" spans="1:6">
      <c r="A521" s="61">
        <v>46255.333333333336</v>
      </c>
      <c r="B521" s="62" t="s">
        <v>28</v>
      </c>
      <c r="C521" s="63">
        <v>0</v>
      </c>
      <c r="D521" s="63">
        <v>0</v>
      </c>
      <c r="E521" s="63">
        <v>526.14</v>
      </c>
      <c r="F521" s="63">
        <v>520.17020000000002</v>
      </c>
    </row>
    <row r="522" spans="1:6">
      <c r="A522" s="61">
        <v>46255.375</v>
      </c>
      <c r="B522" s="62" t="s">
        <v>28</v>
      </c>
      <c r="C522" s="63">
        <v>0</v>
      </c>
      <c r="D522" s="63">
        <v>0</v>
      </c>
      <c r="E522" s="63">
        <v>526.14</v>
      </c>
      <c r="F522" s="63">
        <v>520.17020000000002</v>
      </c>
    </row>
    <row r="523" spans="1:6">
      <c r="A523" s="61">
        <v>46255.416666666664</v>
      </c>
      <c r="B523" s="62" t="s">
        <v>28</v>
      </c>
      <c r="C523" s="63">
        <v>0</v>
      </c>
      <c r="D523" s="63">
        <v>0</v>
      </c>
      <c r="E523" s="63">
        <v>526.14</v>
      </c>
      <c r="F523" s="63">
        <v>520.17020000000002</v>
      </c>
    </row>
    <row r="524" spans="1:6">
      <c r="A524" s="61">
        <v>46255.458333333336</v>
      </c>
      <c r="B524" s="62" t="s">
        <v>28</v>
      </c>
      <c r="C524" s="63">
        <v>0</v>
      </c>
      <c r="D524" s="63">
        <v>0</v>
      </c>
      <c r="E524" s="63">
        <v>526.14</v>
      </c>
      <c r="F524" s="63">
        <v>520.17020000000002</v>
      </c>
    </row>
    <row r="525" spans="1:6">
      <c r="A525" s="61">
        <v>46255.5</v>
      </c>
      <c r="B525" s="62" t="s">
        <v>28</v>
      </c>
      <c r="C525" s="63">
        <v>0</v>
      </c>
      <c r="D525" s="63">
        <v>0</v>
      </c>
      <c r="E525" s="63">
        <v>526.14</v>
      </c>
      <c r="F525" s="63">
        <v>520.17020000000002</v>
      </c>
    </row>
    <row r="526" spans="1:6">
      <c r="A526" s="61">
        <v>46255.541666666664</v>
      </c>
      <c r="B526" s="62" t="s">
        <v>28</v>
      </c>
      <c r="C526" s="63">
        <v>0</v>
      </c>
      <c r="D526" s="63">
        <v>0</v>
      </c>
      <c r="E526" s="63">
        <v>526.14</v>
      </c>
      <c r="F526" s="63">
        <v>520.17020000000002</v>
      </c>
    </row>
    <row r="527" spans="1:6">
      <c r="A527" s="61">
        <v>46255.583333333336</v>
      </c>
      <c r="B527" s="62" t="s">
        <v>28</v>
      </c>
      <c r="C527" s="63">
        <v>0</v>
      </c>
      <c r="D527" s="63">
        <v>0</v>
      </c>
      <c r="E527" s="63">
        <v>526.14</v>
      </c>
      <c r="F527" s="63">
        <v>520.17020000000002</v>
      </c>
    </row>
    <row r="528" spans="1:6">
      <c r="A528" s="61">
        <v>46255.625</v>
      </c>
      <c r="B528" s="62" t="s">
        <v>28</v>
      </c>
      <c r="C528" s="63">
        <v>0</v>
      </c>
      <c r="D528" s="63">
        <v>0</v>
      </c>
      <c r="E528" s="63">
        <v>526.14</v>
      </c>
      <c r="F528" s="63">
        <v>520.17020000000002</v>
      </c>
    </row>
    <row r="529" spans="1:6">
      <c r="A529" s="61">
        <v>46255.666666666664</v>
      </c>
      <c r="B529" s="62" t="s">
        <v>28</v>
      </c>
      <c r="C529" s="63">
        <v>0</v>
      </c>
      <c r="D529" s="63">
        <v>0</v>
      </c>
      <c r="E529" s="63">
        <v>526.14</v>
      </c>
      <c r="F529" s="63">
        <v>520.17020000000002</v>
      </c>
    </row>
    <row r="530" spans="1:6">
      <c r="A530" s="61">
        <v>46255.708333333336</v>
      </c>
      <c r="B530" s="62" t="s">
        <v>28</v>
      </c>
      <c r="C530" s="63">
        <v>0</v>
      </c>
      <c r="D530" s="63">
        <v>0</v>
      </c>
      <c r="E530" s="63">
        <v>526.14</v>
      </c>
      <c r="F530" s="63">
        <v>520.17020000000002</v>
      </c>
    </row>
    <row r="531" spans="1:6">
      <c r="A531" s="61">
        <v>46255.75</v>
      </c>
      <c r="B531" s="62" t="s">
        <v>28</v>
      </c>
      <c r="C531" s="63">
        <v>0</v>
      </c>
      <c r="D531" s="63">
        <v>0</v>
      </c>
      <c r="E531" s="63">
        <v>526.14</v>
      </c>
      <c r="F531" s="63">
        <v>520.17020000000002</v>
      </c>
    </row>
    <row r="532" spans="1:6">
      <c r="A532" s="61">
        <v>46255.791666666664</v>
      </c>
      <c r="B532" s="62" t="s">
        <v>28</v>
      </c>
      <c r="C532" s="63">
        <v>0</v>
      </c>
      <c r="D532" s="63">
        <v>0</v>
      </c>
      <c r="E532" s="63">
        <v>526.14</v>
      </c>
      <c r="F532" s="63">
        <v>520.17020000000002</v>
      </c>
    </row>
    <row r="533" spans="1:6">
      <c r="A533" s="61">
        <v>46255.833333333336</v>
      </c>
      <c r="B533" s="62" t="s">
        <v>28</v>
      </c>
      <c r="C533" s="63">
        <v>0</v>
      </c>
      <c r="D533" s="63">
        <v>0</v>
      </c>
      <c r="E533" s="63">
        <v>526.14</v>
      </c>
      <c r="F533" s="63">
        <v>520.17020000000002</v>
      </c>
    </row>
    <row r="534" spans="1:6">
      <c r="A534" s="61">
        <v>46255.875</v>
      </c>
      <c r="B534" s="62" t="s">
        <v>28</v>
      </c>
      <c r="C534" s="63">
        <v>0</v>
      </c>
      <c r="D534" s="63">
        <v>0</v>
      </c>
      <c r="E534" s="63">
        <v>526.14</v>
      </c>
      <c r="F534" s="63">
        <v>520.17020000000002</v>
      </c>
    </row>
    <row r="535" spans="1:6">
      <c r="A535" s="61">
        <v>46255.916666666664</v>
      </c>
      <c r="B535" s="62" t="s">
        <v>28</v>
      </c>
      <c r="C535" s="63">
        <v>0</v>
      </c>
      <c r="D535" s="63">
        <v>0</v>
      </c>
      <c r="E535" s="63">
        <v>526.14</v>
      </c>
      <c r="F535" s="63">
        <v>520.17020000000002</v>
      </c>
    </row>
    <row r="536" spans="1:6">
      <c r="A536" s="61">
        <v>46255.958333333336</v>
      </c>
      <c r="B536" s="62" t="s">
        <v>28</v>
      </c>
      <c r="C536" s="63">
        <v>0</v>
      </c>
      <c r="D536" s="63">
        <v>0</v>
      </c>
      <c r="E536" s="63">
        <v>526.14</v>
      </c>
      <c r="F536" s="63">
        <v>520.17020000000002</v>
      </c>
    </row>
    <row r="537" spans="1:6">
      <c r="A537" s="61">
        <v>46256</v>
      </c>
      <c r="B537" s="62" t="s">
        <v>28</v>
      </c>
      <c r="C537" s="63">
        <v>0</v>
      </c>
      <c r="D537" s="63">
        <v>0</v>
      </c>
      <c r="E537" s="63">
        <v>526.14</v>
      </c>
      <c r="F537" s="63">
        <v>520.17020000000002</v>
      </c>
    </row>
    <row r="538" spans="1:6">
      <c r="A538" s="61">
        <v>46256.041666666664</v>
      </c>
      <c r="B538" s="62" t="s">
        <v>28</v>
      </c>
      <c r="C538" s="63">
        <v>0</v>
      </c>
      <c r="D538" s="63">
        <v>0</v>
      </c>
      <c r="E538" s="63">
        <v>526.14</v>
      </c>
      <c r="F538" s="63">
        <v>520.17020000000002</v>
      </c>
    </row>
    <row r="539" spans="1:6">
      <c r="A539" s="61">
        <v>46256.083333333336</v>
      </c>
      <c r="B539" s="62" t="s">
        <v>28</v>
      </c>
      <c r="C539" s="63">
        <v>0</v>
      </c>
      <c r="D539" s="63">
        <v>0</v>
      </c>
      <c r="E539" s="63">
        <v>526.14</v>
      </c>
      <c r="F539" s="63">
        <v>520.17020000000002</v>
      </c>
    </row>
    <row r="540" spans="1:6">
      <c r="A540" s="61">
        <v>46256.125</v>
      </c>
      <c r="B540" s="62" t="s">
        <v>28</v>
      </c>
      <c r="C540" s="63">
        <v>0</v>
      </c>
      <c r="D540" s="63">
        <v>0</v>
      </c>
      <c r="E540" s="63">
        <v>526.14</v>
      </c>
      <c r="F540" s="63">
        <v>520.17020000000002</v>
      </c>
    </row>
    <row r="541" spans="1:6">
      <c r="A541" s="61">
        <v>46256.166666666664</v>
      </c>
      <c r="B541" s="62" t="s">
        <v>28</v>
      </c>
      <c r="C541" s="63">
        <v>0</v>
      </c>
      <c r="D541" s="63">
        <v>0</v>
      </c>
      <c r="E541" s="63">
        <v>526.14</v>
      </c>
      <c r="F541" s="63">
        <v>520.17020000000002</v>
      </c>
    </row>
    <row r="542" spans="1:6">
      <c r="A542" s="61">
        <v>46256.208333333336</v>
      </c>
      <c r="B542" s="62" t="s">
        <v>28</v>
      </c>
      <c r="C542" s="63">
        <v>0</v>
      </c>
      <c r="D542" s="63">
        <v>0</v>
      </c>
      <c r="E542" s="63">
        <v>526.14</v>
      </c>
      <c r="F542" s="63">
        <v>520.17020000000002</v>
      </c>
    </row>
    <row r="543" spans="1:6">
      <c r="A543" s="61">
        <v>46256.25</v>
      </c>
      <c r="B543" s="62" t="s">
        <v>28</v>
      </c>
      <c r="C543" s="63">
        <v>0</v>
      </c>
      <c r="D543" s="63">
        <v>0</v>
      </c>
      <c r="E543" s="63">
        <v>526.14</v>
      </c>
      <c r="F543" s="63">
        <v>520.17020000000002</v>
      </c>
    </row>
    <row r="544" spans="1:6">
      <c r="A544" s="61">
        <v>46256.291666666664</v>
      </c>
      <c r="B544" s="62" t="s">
        <v>28</v>
      </c>
      <c r="C544" s="63">
        <v>0</v>
      </c>
      <c r="D544" s="63">
        <v>0</v>
      </c>
      <c r="E544" s="63">
        <v>526.14</v>
      </c>
      <c r="F544" s="63">
        <v>520.17020000000002</v>
      </c>
    </row>
    <row r="545" spans="1:6">
      <c r="A545" s="61">
        <v>46256.333333333336</v>
      </c>
      <c r="B545" s="62" t="s">
        <v>28</v>
      </c>
      <c r="C545" s="63">
        <v>0</v>
      </c>
      <c r="D545" s="63">
        <v>0</v>
      </c>
      <c r="E545" s="63">
        <v>526.14</v>
      </c>
      <c r="F545" s="63">
        <v>520.17020000000002</v>
      </c>
    </row>
    <row r="546" spans="1:6">
      <c r="A546" s="61">
        <v>46256.375</v>
      </c>
      <c r="B546" s="62" t="s">
        <v>28</v>
      </c>
      <c r="C546" s="63">
        <v>0</v>
      </c>
      <c r="D546" s="63">
        <v>0</v>
      </c>
      <c r="E546" s="63">
        <v>526.14</v>
      </c>
      <c r="F546" s="63">
        <v>520.17020000000002</v>
      </c>
    </row>
    <row r="547" spans="1:6">
      <c r="A547" s="61">
        <v>46256.416666666664</v>
      </c>
      <c r="B547" s="62" t="s">
        <v>28</v>
      </c>
      <c r="C547" s="63">
        <v>0</v>
      </c>
      <c r="D547" s="63">
        <v>0</v>
      </c>
      <c r="E547" s="63">
        <v>526.14</v>
      </c>
      <c r="F547" s="63">
        <v>520.17020000000002</v>
      </c>
    </row>
    <row r="548" spans="1:6">
      <c r="A548" s="61">
        <v>46256.458333333336</v>
      </c>
      <c r="B548" s="62" t="s">
        <v>28</v>
      </c>
      <c r="C548" s="63">
        <v>0</v>
      </c>
      <c r="D548" s="63">
        <v>0</v>
      </c>
      <c r="E548" s="63">
        <v>526.14</v>
      </c>
      <c r="F548" s="63">
        <v>520.17020000000002</v>
      </c>
    </row>
    <row r="549" spans="1:6">
      <c r="A549" s="61">
        <v>46256.5</v>
      </c>
      <c r="B549" s="62" t="s">
        <v>28</v>
      </c>
      <c r="C549" s="63">
        <v>0</v>
      </c>
      <c r="D549" s="63">
        <v>0</v>
      </c>
      <c r="E549" s="63">
        <v>526.14</v>
      </c>
      <c r="F549" s="63">
        <v>520.17020000000002</v>
      </c>
    </row>
    <row r="550" spans="1:6">
      <c r="A550" s="61">
        <v>46256.541666666664</v>
      </c>
      <c r="B550" s="62" t="s">
        <v>28</v>
      </c>
      <c r="C550" s="63">
        <v>0</v>
      </c>
      <c r="D550" s="63">
        <v>0</v>
      </c>
      <c r="E550" s="63">
        <v>526.14</v>
      </c>
      <c r="F550" s="63">
        <v>520.17020000000002</v>
      </c>
    </row>
    <row r="551" spans="1:6">
      <c r="A551" s="61">
        <v>46256.583333333336</v>
      </c>
      <c r="B551" s="62" t="s">
        <v>28</v>
      </c>
      <c r="C551" s="63">
        <v>0</v>
      </c>
      <c r="D551" s="63">
        <v>0</v>
      </c>
      <c r="E551" s="63">
        <v>526.14</v>
      </c>
      <c r="F551" s="63">
        <v>520.17020000000002</v>
      </c>
    </row>
    <row r="552" spans="1:6">
      <c r="A552" s="61">
        <v>46256.625</v>
      </c>
      <c r="B552" s="62" t="s">
        <v>28</v>
      </c>
      <c r="C552" s="63">
        <v>0</v>
      </c>
      <c r="D552" s="63">
        <v>0</v>
      </c>
      <c r="E552" s="63">
        <v>526.14</v>
      </c>
      <c r="F552" s="63">
        <v>520.17020000000002</v>
      </c>
    </row>
    <row r="553" spans="1:6">
      <c r="A553" s="61">
        <v>46256.666666666664</v>
      </c>
      <c r="B553" s="62" t="s">
        <v>28</v>
      </c>
      <c r="C553" s="63">
        <v>0</v>
      </c>
      <c r="D553" s="63">
        <v>0</v>
      </c>
      <c r="E553" s="63">
        <v>526.14</v>
      </c>
      <c r="F553" s="63">
        <v>520.17020000000002</v>
      </c>
    </row>
    <row r="554" spans="1:6">
      <c r="A554" s="61">
        <v>46256.708333333336</v>
      </c>
      <c r="B554" s="62" t="s">
        <v>28</v>
      </c>
      <c r="C554" s="63">
        <v>0</v>
      </c>
      <c r="D554" s="63">
        <v>0</v>
      </c>
      <c r="E554" s="63">
        <v>526.14</v>
      </c>
      <c r="F554" s="63">
        <v>520.17020000000002</v>
      </c>
    </row>
    <row r="555" spans="1:6">
      <c r="A555" s="61">
        <v>46256.75</v>
      </c>
      <c r="B555" s="62" t="s">
        <v>28</v>
      </c>
      <c r="C555" s="63">
        <v>0</v>
      </c>
      <c r="D555" s="63">
        <v>0</v>
      </c>
      <c r="E555" s="63">
        <v>526.14</v>
      </c>
      <c r="F555" s="63">
        <v>520.17020000000002</v>
      </c>
    </row>
    <row r="556" spans="1:6">
      <c r="A556" s="61">
        <v>46256.791666666664</v>
      </c>
      <c r="B556" s="62" t="s">
        <v>28</v>
      </c>
      <c r="C556" s="63">
        <v>0</v>
      </c>
      <c r="D556" s="63">
        <v>0</v>
      </c>
      <c r="E556" s="63">
        <v>526.14</v>
      </c>
      <c r="F556" s="63">
        <v>520.17020000000002</v>
      </c>
    </row>
    <row r="557" spans="1:6">
      <c r="A557" s="61">
        <v>46256.833333333336</v>
      </c>
      <c r="B557" s="62" t="s">
        <v>28</v>
      </c>
      <c r="C557" s="63">
        <v>0</v>
      </c>
      <c r="D557" s="63">
        <v>0</v>
      </c>
      <c r="E557" s="63">
        <v>526.14</v>
      </c>
      <c r="F557" s="63">
        <v>520.17020000000002</v>
      </c>
    </row>
    <row r="558" spans="1:6">
      <c r="A558" s="61">
        <v>46256.875</v>
      </c>
      <c r="B558" s="62" t="s">
        <v>28</v>
      </c>
      <c r="C558" s="63">
        <v>0</v>
      </c>
      <c r="D558" s="63">
        <v>0</v>
      </c>
      <c r="E558" s="63">
        <v>526.14</v>
      </c>
      <c r="F558" s="63">
        <v>520.17020000000002</v>
      </c>
    </row>
    <row r="559" spans="1:6">
      <c r="A559" s="61">
        <v>46256.916666666664</v>
      </c>
      <c r="B559" s="62" t="s">
        <v>28</v>
      </c>
      <c r="C559" s="63">
        <v>0</v>
      </c>
      <c r="D559" s="63">
        <v>0</v>
      </c>
      <c r="E559" s="63">
        <v>526.14</v>
      </c>
      <c r="F559" s="63">
        <v>520.17020000000002</v>
      </c>
    </row>
    <row r="560" spans="1:6">
      <c r="A560" s="61">
        <v>46256.958333333336</v>
      </c>
      <c r="B560" s="62" t="s">
        <v>28</v>
      </c>
      <c r="C560" s="63">
        <v>0</v>
      </c>
      <c r="D560" s="63">
        <v>0</v>
      </c>
      <c r="E560" s="63">
        <v>526.14</v>
      </c>
      <c r="F560" s="63">
        <v>520.17020000000002</v>
      </c>
    </row>
    <row r="561" spans="1:6">
      <c r="A561" s="61">
        <v>46257</v>
      </c>
      <c r="B561" s="62" t="s">
        <v>28</v>
      </c>
      <c r="C561" s="63">
        <v>0</v>
      </c>
      <c r="D561" s="63">
        <v>0</v>
      </c>
      <c r="E561" s="63">
        <v>526.14</v>
      </c>
      <c r="F561" s="63">
        <v>520.17020000000002</v>
      </c>
    </row>
    <row r="562" spans="1:6">
      <c r="A562" s="61">
        <v>46257.041666666664</v>
      </c>
      <c r="B562" s="62" t="s">
        <v>28</v>
      </c>
      <c r="C562" s="63">
        <v>0</v>
      </c>
      <c r="D562" s="63">
        <v>0</v>
      </c>
      <c r="E562" s="63">
        <v>526.14</v>
      </c>
      <c r="F562" s="63">
        <v>520.17020000000002</v>
      </c>
    </row>
    <row r="563" spans="1:6">
      <c r="A563" s="61">
        <v>46257.083333333336</v>
      </c>
      <c r="B563" s="62" t="s">
        <v>28</v>
      </c>
      <c r="C563" s="63">
        <v>0</v>
      </c>
      <c r="D563" s="63">
        <v>0</v>
      </c>
      <c r="E563" s="63">
        <v>526.14</v>
      </c>
      <c r="F563" s="63">
        <v>520.17020000000002</v>
      </c>
    </row>
    <row r="564" spans="1:6">
      <c r="A564" s="61">
        <v>46257.125</v>
      </c>
      <c r="B564" s="62" t="s">
        <v>28</v>
      </c>
      <c r="C564" s="63">
        <v>0</v>
      </c>
      <c r="D564" s="63">
        <v>0</v>
      </c>
      <c r="E564" s="63">
        <v>526.14</v>
      </c>
      <c r="F564" s="63">
        <v>520.17020000000002</v>
      </c>
    </row>
    <row r="565" spans="1:6">
      <c r="A565" s="61">
        <v>46257.166666666664</v>
      </c>
      <c r="B565" s="62" t="s">
        <v>28</v>
      </c>
      <c r="C565" s="63">
        <v>0</v>
      </c>
      <c r="D565" s="63">
        <v>0</v>
      </c>
      <c r="E565" s="63">
        <v>526.14</v>
      </c>
      <c r="F565" s="63">
        <v>520.17020000000002</v>
      </c>
    </row>
    <row r="566" spans="1:6">
      <c r="A566" s="61">
        <v>46257.208333333336</v>
      </c>
      <c r="B566" s="62" t="s">
        <v>28</v>
      </c>
      <c r="C566" s="63">
        <v>0</v>
      </c>
      <c r="D566" s="63">
        <v>0</v>
      </c>
      <c r="E566" s="63">
        <v>526.14</v>
      </c>
      <c r="F566" s="63">
        <v>520.17020000000002</v>
      </c>
    </row>
    <row r="567" spans="1:6">
      <c r="A567" s="61">
        <v>46257.25</v>
      </c>
      <c r="B567" s="62" t="s">
        <v>28</v>
      </c>
      <c r="C567" s="63">
        <v>0</v>
      </c>
      <c r="D567" s="63">
        <v>0</v>
      </c>
      <c r="E567" s="63">
        <v>526.14</v>
      </c>
      <c r="F567" s="63">
        <v>520.17020000000002</v>
      </c>
    </row>
    <row r="568" spans="1:6">
      <c r="A568" s="61">
        <v>46257.291666666664</v>
      </c>
      <c r="B568" s="62" t="s">
        <v>28</v>
      </c>
      <c r="C568" s="63">
        <v>0</v>
      </c>
      <c r="D568" s="63">
        <v>0</v>
      </c>
      <c r="E568" s="63">
        <v>526.14</v>
      </c>
      <c r="F568" s="63">
        <v>520.17020000000002</v>
      </c>
    </row>
    <row r="569" spans="1:6">
      <c r="A569" s="61">
        <v>46257.333333333336</v>
      </c>
      <c r="B569" s="62" t="s">
        <v>28</v>
      </c>
      <c r="C569" s="63">
        <v>0</v>
      </c>
      <c r="D569" s="63">
        <v>0</v>
      </c>
      <c r="E569" s="63">
        <v>526.14</v>
      </c>
      <c r="F569" s="63">
        <v>520.17020000000002</v>
      </c>
    </row>
    <row r="570" spans="1:6">
      <c r="A570" s="61">
        <v>46257.375</v>
      </c>
      <c r="B570" s="62" t="s">
        <v>28</v>
      </c>
      <c r="C570" s="63">
        <v>0</v>
      </c>
      <c r="D570" s="63">
        <v>0</v>
      </c>
      <c r="E570" s="63">
        <v>526.14</v>
      </c>
      <c r="F570" s="63">
        <v>520.17020000000002</v>
      </c>
    </row>
    <row r="571" spans="1:6">
      <c r="A571" s="61">
        <v>46257.416666666664</v>
      </c>
      <c r="B571" s="62" t="s">
        <v>28</v>
      </c>
      <c r="C571" s="63">
        <v>0</v>
      </c>
      <c r="D571" s="63">
        <v>0</v>
      </c>
      <c r="E571" s="63">
        <v>526.14</v>
      </c>
      <c r="F571" s="63">
        <v>520.17020000000002</v>
      </c>
    </row>
    <row r="572" spans="1:6">
      <c r="A572" s="61">
        <v>46257.458333333336</v>
      </c>
      <c r="B572" s="62" t="s">
        <v>28</v>
      </c>
      <c r="C572" s="63">
        <v>0</v>
      </c>
      <c r="D572" s="63">
        <v>0</v>
      </c>
      <c r="E572" s="63">
        <v>526.14</v>
      </c>
      <c r="F572" s="63">
        <v>520.17020000000002</v>
      </c>
    </row>
    <row r="573" spans="1:6">
      <c r="A573" s="61">
        <v>46257.5</v>
      </c>
      <c r="B573" s="62" t="s">
        <v>28</v>
      </c>
      <c r="C573" s="63">
        <v>0</v>
      </c>
      <c r="D573" s="63">
        <v>0</v>
      </c>
      <c r="E573" s="63">
        <v>526.14</v>
      </c>
      <c r="F573" s="63">
        <v>520.17020000000002</v>
      </c>
    </row>
    <row r="574" spans="1:6">
      <c r="A574" s="61">
        <v>46257.541666666664</v>
      </c>
      <c r="B574" s="62" t="s">
        <v>28</v>
      </c>
      <c r="C574" s="63">
        <v>0</v>
      </c>
      <c r="D574" s="63">
        <v>0</v>
      </c>
      <c r="E574" s="63">
        <v>526.14</v>
      </c>
      <c r="F574" s="63">
        <v>520.17020000000002</v>
      </c>
    </row>
    <row r="575" spans="1:6">
      <c r="A575" s="61">
        <v>46257.583333333336</v>
      </c>
      <c r="B575" s="62" t="s">
        <v>28</v>
      </c>
      <c r="C575" s="63">
        <v>0</v>
      </c>
      <c r="D575" s="63">
        <v>0</v>
      </c>
      <c r="E575" s="63">
        <v>526.14</v>
      </c>
      <c r="F575" s="63">
        <v>520.17020000000002</v>
      </c>
    </row>
    <row r="576" spans="1:6">
      <c r="A576" s="61">
        <v>46257.625</v>
      </c>
      <c r="B576" s="62" t="s">
        <v>28</v>
      </c>
      <c r="C576" s="63">
        <v>0</v>
      </c>
      <c r="D576" s="63">
        <v>0</v>
      </c>
      <c r="E576" s="63">
        <v>526.14</v>
      </c>
      <c r="F576" s="63">
        <v>520.17020000000002</v>
      </c>
    </row>
    <row r="577" spans="1:6">
      <c r="A577" s="61">
        <v>46257.666666666664</v>
      </c>
      <c r="B577" s="62" t="s">
        <v>28</v>
      </c>
      <c r="C577" s="63">
        <v>0</v>
      </c>
      <c r="D577" s="63">
        <v>0</v>
      </c>
      <c r="E577" s="63">
        <v>526.14</v>
      </c>
      <c r="F577" s="63">
        <v>520.17020000000002</v>
      </c>
    </row>
    <row r="578" spans="1:6">
      <c r="A578" s="61">
        <v>46257.708333333336</v>
      </c>
      <c r="B578" s="62" t="s">
        <v>28</v>
      </c>
      <c r="C578" s="63">
        <v>0</v>
      </c>
      <c r="D578" s="63">
        <v>0</v>
      </c>
      <c r="E578" s="63">
        <v>526.14</v>
      </c>
      <c r="F578" s="63">
        <v>520.17020000000002</v>
      </c>
    </row>
    <row r="579" spans="1:6">
      <c r="A579" s="61">
        <v>46257.75</v>
      </c>
      <c r="B579" s="62" t="s">
        <v>28</v>
      </c>
      <c r="C579" s="63">
        <v>0</v>
      </c>
      <c r="D579" s="63">
        <v>0</v>
      </c>
      <c r="E579" s="63">
        <v>526.14</v>
      </c>
      <c r="F579" s="63">
        <v>520.17020000000002</v>
      </c>
    </row>
    <row r="580" spans="1:6">
      <c r="A580" s="61">
        <v>46257.791666666664</v>
      </c>
      <c r="B580" s="62" t="s">
        <v>28</v>
      </c>
      <c r="C580" s="63">
        <v>0</v>
      </c>
      <c r="D580" s="63">
        <v>0</v>
      </c>
      <c r="E580" s="63">
        <v>526.14</v>
      </c>
      <c r="F580" s="63">
        <v>520.17020000000002</v>
      </c>
    </row>
    <row r="581" spans="1:6">
      <c r="A581" s="61">
        <v>46257.833333333336</v>
      </c>
      <c r="B581" s="62" t="s">
        <v>28</v>
      </c>
      <c r="C581" s="63">
        <v>0</v>
      </c>
      <c r="D581" s="63">
        <v>0</v>
      </c>
      <c r="E581" s="63">
        <v>526.14</v>
      </c>
      <c r="F581" s="63">
        <v>520.17020000000002</v>
      </c>
    </row>
    <row r="582" spans="1:6">
      <c r="A582" s="61">
        <v>46257.875</v>
      </c>
      <c r="B582" s="62" t="s">
        <v>28</v>
      </c>
      <c r="C582" s="63">
        <v>0</v>
      </c>
      <c r="D582" s="63">
        <v>0</v>
      </c>
      <c r="E582" s="63">
        <v>526.14</v>
      </c>
      <c r="F582" s="63">
        <v>520.17020000000002</v>
      </c>
    </row>
    <row r="583" spans="1:6">
      <c r="A583" s="61">
        <v>46257.916666666664</v>
      </c>
      <c r="B583" s="62" t="s">
        <v>28</v>
      </c>
      <c r="C583" s="63">
        <v>0</v>
      </c>
      <c r="D583" s="63">
        <v>0</v>
      </c>
      <c r="E583" s="63">
        <v>526.14</v>
      </c>
      <c r="F583" s="63">
        <v>520.17020000000002</v>
      </c>
    </row>
    <row r="584" spans="1:6">
      <c r="A584" s="61">
        <v>46257.958333333336</v>
      </c>
      <c r="B584" s="62" t="s">
        <v>28</v>
      </c>
      <c r="C584" s="63">
        <v>0</v>
      </c>
      <c r="D584" s="63">
        <v>0</v>
      </c>
      <c r="E584" s="63">
        <v>526.14</v>
      </c>
      <c r="F584" s="63">
        <v>520.17020000000002</v>
      </c>
    </row>
    <row r="585" spans="1:6">
      <c r="A585" s="61">
        <v>46258</v>
      </c>
      <c r="B585" s="62" t="s">
        <v>28</v>
      </c>
      <c r="C585" s="63">
        <v>0</v>
      </c>
      <c r="D585" s="63">
        <v>0</v>
      </c>
      <c r="E585" s="63">
        <v>526.14</v>
      </c>
      <c r="F585" s="63">
        <v>520.17020000000002</v>
      </c>
    </row>
    <row r="586" spans="1:6">
      <c r="A586" s="61">
        <v>46258.041666666664</v>
      </c>
      <c r="B586" s="62" t="s">
        <v>28</v>
      </c>
      <c r="C586" s="63">
        <v>0</v>
      </c>
      <c r="D586" s="63">
        <v>0</v>
      </c>
      <c r="E586" s="63">
        <v>526.14</v>
      </c>
      <c r="F586" s="63">
        <v>520.17020000000002</v>
      </c>
    </row>
    <row r="587" spans="1:6">
      <c r="A587" s="61">
        <v>46258.083333333336</v>
      </c>
      <c r="B587" s="62" t="s">
        <v>28</v>
      </c>
      <c r="C587" s="63">
        <v>0</v>
      </c>
      <c r="D587" s="63">
        <v>0</v>
      </c>
      <c r="E587" s="63">
        <v>526.14</v>
      </c>
      <c r="F587" s="63">
        <v>520.17020000000002</v>
      </c>
    </row>
    <row r="588" spans="1:6">
      <c r="A588" s="61">
        <v>46258.125</v>
      </c>
      <c r="B588" s="62" t="s">
        <v>28</v>
      </c>
      <c r="C588" s="63">
        <v>0</v>
      </c>
      <c r="D588" s="63">
        <v>0</v>
      </c>
      <c r="E588" s="63">
        <v>526.14</v>
      </c>
      <c r="F588" s="63">
        <v>520.17020000000002</v>
      </c>
    </row>
    <row r="589" spans="1:6">
      <c r="A589" s="61">
        <v>46258.166666666664</v>
      </c>
      <c r="B589" s="62" t="s">
        <v>28</v>
      </c>
      <c r="C589" s="63">
        <v>0</v>
      </c>
      <c r="D589" s="63">
        <v>0</v>
      </c>
      <c r="E589" s="63">
        <v>526.14</v>
      </c>
      <c r="F589" s="63">
        <v>520.17020000000002</v>
      </c>
    </row>
    <row r="590" spans="1:6">
      <c r="A590" s="61">
        <v>46258.208333333336</v>
      </c>
      <c r="B590" s="62" t="s">
        <v>28</v>
      </c>
      <c r="C590" s="63">
        <v>0</v>
      </c>
      <c r="D590" s="63">
        <v>0</v>
      </c>
      <c r="E590" s="63">
        <v>526.14</v>
      </c>
      <c r="F590" s="63">
        <v>520.17020000000002</v>
      </c>
    </row>
    <row r="591" spans="1:6">
      <c r="A591" s="61">
        <v>46258.25</v>
      </c>
      <c r="B591" s="62" t="s">
        <v>28</v>
      </c>
      <c r="C591" s="63">
        <v>0</v>
      </c>
      <c r="D591" s="63">
        <v>0</v>
      </c>
      <c r="E591" s="63">
        <v>526.14</v>
      </c>
      <c r="F591" s="63">
        <v>520.17020000000002</v>
      </c>
    </row>
    <row r="592" spans="1:6">
      <c r="A592" s="61">
        <v>46258.291666666664</v>
      </c>
      <c r="B592" s="62" t="s">
        <v>28</v>
      </c>
      <c r="C592" s="63">
        <v>0</v>
      </c>
      <c r="D592" s="63">
        <v>0</v>
      </c>
      <c r="E592" s="63">
        <v>526.14</v>
      </c>
      <c r="F592" s="63">
        <v>520.17020000000002</v>
      </c>
    </row>
    <row r="593" spans="1:6">
      <c r="A593" s="61">
        <v>46258.333333333336</v>
      </c>
      <c r="B593" s="62" t="s">
        <v>28</v>
      </c>
      <c r="C593" s="63">
        <v>0</v>
      </c>
      <c r="D593" s="63">
        <v>0</v>
      </c>
      <c r="E593" s="63">
        <v>526.14</v>
      </c>
      <c r="F593" s="63">
        <v>520.17020000000002</v>
      </c>
    </row>
    <row r="594" spans="1:6">
      <c r="A594" s="61">
        <v>46258.375</v>
      </c>
      <c r="B594" s="62" t="s">
        <v>28</v>
      </c>
      <c r="C594" s="63">
        <v>0</v>
      </c>
      <c r="D594" s="63">
        <v>0</v>
      </c>
      <c r="E594" s="63">
        <v>526.14</v>
      </c>
      <c r="F594" s="63">
        <v>520.17020000000002</v>
      </c>
    </row>
    <row r="595" spans="1:6">
      <c r="A595" s="61">
        <v>46258.416666666664</v>
      </c>
      <c r="B595" s="62" t="s">
        <v>28</v>
      </c>
      <c r="C595" s="63">
        <v>0</v>
      </c>
      <c r="D595" s="63">
        <v>0</v>
      </c>
      <c r="E595" s="63">
        <v>526.14</v>
      </c>
      <c r="F595" s="63">
        <v>520.17020000000002</v>
      </c>
    </row>
    <row r="596" spans="1:6">
      <c r="A596" s="61">
        <v>46258.458333333336</v>
      </c>
      <c r="B596" s="62" t="s">
        <v>28</v>
      </c>
      <c r="C596" s="63">
        <v>0</v>
      </c>
      <c r="D596" s="63">
        <v>0</v>
      </c>
      <c r="E596" s="63">
        <v>526.14</v>
      </c>
      <c r="F596" s="63">
        <v>520.17020000000002</v>
      </c>
    </row>
    <row r="597" spans="1:6">
      <c r="A597" s="61">
        <v>46258.5</v>
      </c>
      <c r="B597" s="62" t="s">
        <v>28</v>
      </c>
      <c r="C597" s="63">
        <v>0</v>
      </c>
      <c r="D597" s="63">
        <v>0</v>
      </c>
      <c r="E597" s="63">
        <v>526.14</v>
      </c>
      <c r="F597" s="63">
        <v>520.17020000000002</v>
      </c>
    </row>
    <row r="598" spans="1:6">
      <c r="A598" s="61">
        <v>46258.541666666664</v>
      </c>
      <c r="B598" s="62" t="s">
        <v>28</v>
      </c>
      <c r="C598" s="63">
        <v>0</v>
      </c>
      <c r="D598" s="63">
        <v>0</v>
      </c>
      <c r="E598" s="63">
        <v>526.14</v>
      </c>
      <c r="F598" s="63">
        <v>520.17020000000002</v>
      </c>
    </row>
    <row r="599" spans="1:6">
      <c r="A599" s="61">
        <v>46258.583333333336</v>
      </c>
      <c r="B599" s="62" t="s">
        <v>28</v>
      </c>
      <c r="C599" s="63">
        <v>0</v>
      </c>
      <c r="D599" s="63">
        <v>0</v>
      </c>
      <c r="E599" s="63">
        <v>526.14</v>
      </c>
      <c r="F599" s="63">
        <v>520.17020000000002</v>
      </c>
    </row>
    <row r="600" spans="1:6">
      <c r="A600" s="61">
        <v>46258.625</v>
      </c>
      <c r="B600" s="62" t="s">
        <v>28</v>
      </c>
      <c r="C600" s="63">
        <v>0</v>
      </c>
      <c r="D600" s="63">
        <v>0</v>
      </c>
      <c r="E600" s="63">
        <v>526.14</v>
      </c>
      <c r="F600" s="63">
        <v>520.17020000000002</v>
      </c>
    </row>
    <row r="601" spans="1:6">
      <c r="A601" s="61">
        <v>46258.666666666664</v>
      </c>
      <c r="B601" s="62" t="s">
        <v>28</v>
      </c>
      <c r="C601" s="63">
        <v>0</v>
      </c>
      <c r="D601" s="63">
        <v>0</v>
      </c>
      <c r="E601" s="63">
        <v>526.14</v>
      </c>
      <c r="F601" s="63">
        <v>520.17020000000002</v>
      </c>
    </row>
    <row r="602" spans="1:6">
      <c r="A602" s="61">
        <v>46258.708333333336</v>
      </c>
      <c r="B602" s="62" t="s">
        <v>28</v>
      </c>
      <c r="C602" s="63">
        <v>0</v>
      </c>
      <c r="D602" s="63">
        <v>0</v>
      </c>
      <c r="E602" s="63">
        <v>526.14</v>
      </c>
      <c r="F602" s="63">
        <v>520.17020000000002</v>
      </c>
    </row>
    <row r="603" spans="1:6">
      <c r="A603" s="61">
        <v>46258.75</v>
      </c>
      <c r="B603" s="62" t="s">
        <v>28</v>
      </c>
      <c r="C603" s="63">
        <v>0</v>
      </c>
      <c r="D603" s="63">
        <v>0</v>
      </c>
      <c r="E603" s="63">
        <v>526.14</v>
      </c>
      <c r="F603" s="63">
        <v>520.17020000000002</v>
      </c>
    </row>
    <row r="604" spans="1:6">
      <c r="A604" s="61">
        <v>46258.791666666664</v>
      </c>
      <c r="B604" s="62" t="s">
        <v>28</v>
      </c>
      <c r="C604" s="63">
        <v>0</v>
      </c>
      <c r="D604" s="63">
        <v>0</v>
      </c>
      <c r="E604" s="63">
        <v>526.14</v>
      </c>
      <c r="F604" s="63">
        <v>520.17020000000002</v>
      </c>
    </row>
    <row r="605" spans="1:6">
      <c r="A605" s="61">
        <v>46258.833333333336</v>
      </c>
      <c r="B605" s="62" t="s">
        <v>28</v>
      </c>
      <c r="C605" s="63">
        <v>0</v>
      </c>
      <c r="D605" s="63">
        <v>0</v>
      </c>
      <c r="E605" s="63">
        <v>526.14</v>
      </c>
      <c r="F605" s="63">
        <v>520.17020000000002</v>
      </c>
    </row>
    <row r="606" spans="1:6">
      <c r="A606" s="61">
        <v>46258.875</v>
      </c>
      <c r="B606" s="62" t="s">
        <v>28</v>
      </c>
      <c r="C606" s="63">
        <v>0</v>
      </c>
      <c r="D606" s="63">
        <v>0</v>
      </c>
      <c r="E606" s="63">
        <v>526.14</v>
      </c>
      <c r="F606" s="63">
        <v>520.17020000000002</v>
      </c>
    </row>
    <row r="607" spans="1:6">
      <c r="A607" s="61">
        <v>46258.916666666664</v>
      </c>
      <c r="B607" s="62" t="s">
        <v>28</v>
      </c>
      <c r="C607" s="63">
        <v>0</v>
      </c>
      <c r="D607" s="63">
        <v>0</v>
      </c>
      <c r="E607" s="63">
        <v>526.14</v>
      </c>
      <c r="F607" s="63">
        <v>520.17020000000002</v>
      </c>
    </row>
    <row r="608" spans="1:6">
      <c r="A608" s="61">
        <v>46258.958333333336</v>
      </c>
      <c r="B608" s="62" t="s">
        <v>28</v>
      </c>
      <c r="C608" s="63">
        <v>0</v>
      </c>
      <c r="D608" s="63">
        <v>0</v>
      </c>
      <c r="E608" s="63">
        <v>526.14</v>
      </c>
      <c r="F608" s="63">
        <v>520.17020000000002</v>
      </c>
    </row>
    <row r="609" spans="1:6">
      <c r="A609" s="61">
        <v>46259</v>
      </c>
      <c r="B609" s="62" t="s">
        <v>28</v>
      </c>
      <c r="C609" s="63">
        <v>0</v>
      </c>
      <c r="D609" s="63">
        <v>0</v>
      </c>
      <c r="E609" s="63">
        <v>526.14</v>
      </c>
      <c r="F609" s="63">
        <v>520.17020000000002</v>
      </c>
    </row>
    <row r="610" spans="1:6">
      <c r="A610" s="61">
        <v>46259.041666666664</v>
      </c>
      <c r="B610" s="62" t="s">
        <v>28</v>
      </c>
      <c r="C610" s="63">
        <v>0</v>
      </c>
      <c r="D610" s="63">
        <v>0</v>
      </c>
      <c r="E610" s="63">
        <v>526.14</v>
      </c>
      <c r="F610" s="63">
        <v>520.17020000000002</v>
      </c>
    </row>
    <row r="611" spans="1:6">
      <c r="A611" s="61">
        <v>46259.083333333336</v>
      </c>
      <c r="B611" s="62" t="s">
        <v>28</v>
      </c>
      <c r="C611" s="63">
        <v>0</v>
      </c>
      <c r="D611" s="63">
        <v>0</v>
      </c>
      <c r="E611" s="63">
        <v>526.14</v>
      </c>
      <c r="F611" s="63">
        <v>520.17020000000002</v>
      </c>
    </row>
    <row r="612" spans="1:6">
      <c r="A612" s="61">
        <v>46259.125</v>
      </c>
      <c r="B612" s="62" t="s">
        <v>28</v>
      </c>
      <c r="C612" s="63">
        <v>0</v>
      </c>
      <c r="D612" s="63">
        <v>0</v>
      </c>
      <c r="E612" s="63">
        <v>526.14</v>
      </c>
      <c r="F612" s="63">
        <v>520.17020000000002</v>
      </c>
    </row>
    <row r="613" spans="1:6">
      <c r="A613" s="61">
        <v>46259.166666666664</v>
      </c>
      <c r="B613" s="62" t="s">
        <v>28</v>
      </c>
      <c r="C613" s="63">
        <v>0</v>
      </c>
      <c r="D613" s="63">
        <v>0</v>
      </c>
      <c r="E613" s="63">
        <v>526.14</v>
      </c>
      <c r="F613" s="63">
        <v>520.17020000000002</v>
      </c>
    </row>
    <row r="614" spans="1:6">
      <c r="A614" s="61">
        <v>46259.208333333336</v>
      </c>
      <c r="B614" s="62" t="s">
        <v>28</v>
      </c>
      <c r="C614" s="63">
        <v>0</v>
      </c>
      <c r="D614" s="63">
        <v>0</v>
      </c>
      <c r="E614" s="63">
        <v>526.14</v>
      </c>
      <c r="F614" s="63">
        <v>520.17020000000002</v>
      </c>
    </row>
    <row r="615" spans="1:6">
      <c r="A615" s="61">
        <v>46259.25</v>
      </c>
      <c r="B615" s="62" t="s">
        <v>28</v>
      </c>
      <c r="C615" s="63">
        <v>0</v>
      </c>
      <c r="D615" s="63">
        <v>0</v>
      </c>
      <c r="E615" s="63">
        <v>526.14</v>
      </c>
      <c r="F615" s="63">
        <v>520.17020000000002</v>
      </c>
    </row>
    <row r="616" spans="1:6">
      <c r="A616" s="61">
        <v>46259.291666666664</v>
      </c>
      <c r="B616" s="62" t="s">
        <v>28</v>
      </c>
      <c r="C616" s="63">
        <v>0</v>
      </c>
      <c r="D616" s="63">
        <v>0</v>
      </c>
      <c r="E616" s="63">
        <v>526.14</v>
      </c>
      <c r="F616" s="63">
        <v>520.17020000000002</v>
      </c>
    </row>
    <row r="617" spans="1:6">
      <c r="A617" s="61">
        <v>46259.333333333336</v>
      </c>
      <c r="B617" s="62" t="s">
        <v>28</v>
      </c>
      <c r="C617" s="63">
        <v>0</v>
      </c>
      <c r="D617" s="63">
        <v>0</v>
      </c>
      <c r="E617" s="63">
        <v>526.14</v>
      </c>
      <c r="F617" s="63">
        <v>520.17020000000002</v>
      </c>
    </row>
    <row r="618" spans="1:6">
      <c r="A618" s="61">
        <v>46259.375</v>
      </c>
      <c r="B618" s="62" t="s">
        <v>28</v>
      </c>
      <c r="C618" s="63">
        <v>0</v>
      </c>
      <c r="D618" s="63">
        <v>0</v>
      </c>
      <c r="E618" s="63">
        <v>526.14</v>
      </c>
      <c r="F618" s="63">
        <v>520.17020000000002</v>
      </c>
    </row>
    <row r="619" spans="1:6">
      <c r="A619" s="61">
        <v>46259.416666666664</v>
      </c>
      <c r="B619" s="62" t="s">
        <v>28</v>
      </c>
      <c r="C619" s="63">
        <v>0</v>
      </c>
      <c r="D619" s="63">
        <v>0</v>
      </c>
      <c r="E619" s="63">
        <v>526.14</v>
      </c>
      <c r="F619" s="63">
        <v>520.17020000000002</v>
      </c>
    </row>
    <row r="620" spans="1:6">
      <c r="A620" s="61">
        <v>46259.458333333336</v>
      </c>
      <c r="B620" s="62" t="s">
        <v>28</v>
      </c>
      <c r="C620" s="63">
        <v>0</v>
      </c>
      <c r="D620" s="63">
        <v>0</v>
      </c>
      <c r="E620" s="63">
        <v>526.14</v>
      </c>
      <c r="F620" s="63">
        <v>520.17020000000002</v>
      </c>
    </row>
    <row r="621" spans="1:6">
      <c r="A621" s="61">
        <v>46259.5</v>
      </c>
      <c r="B621" s="62" t="s">
        <v>28</v>
      </c>
      <c r="C621" s="63">
        <v>0</v>
      </c>
      <c r="D621" s="63">
        <v>0</v>
      </c>
      <c r="E621" s="63">
        <v>526.14</v>
      </c>
      <c r="F621" s="63">
        <v>520.17020000000002</v>
      </c>
    </row>
    <row r="622" spans="1:6">
      <c r="A622" s="61">
        <v>46259.541666666664</v>
      </c>
      <c r="B622" s="62" t="s">
        <v>28</v>
      </c>
      <c r="C622" s="63">
        <v>0</v>
      </c>
      <c r="D622" s="63">
        <v>0</v>
      </c>
      <c r="E622" s="63">
        <v>526.14</v>
      </c>
      <c r="F622" s="63">
        <v>520.17020000000002</v>
      </c>
    </row>
    <row r="623" spans="1:6">
      <c r="A623" s="61">
        <v>46259.583333333336</v>
      </c>
      <c r="B623" s="62" t="s">
        <v>28</v>
      </c>
      <c r="C623" s="63">
        <v>0</v>
      </c>
      <c r="D623" s="63">
        <v>0</v>
      </c>
      <c r="E623" s="63">
        <v>526.14</v>
      </c>
      <c r="F623" s="63">
        <v>520.17020000000002</v>
      </c>
    </row>
    <row r="624" spans="1:6">
      <c r="A624" s="61">
        <v>46259.625</v>
      </c>
      <c r="B624" s="62" t="s">
        <v>28</v>
      </c>
      <c r="C624" s="63">
        <v>0</v>
      </c>
      <c r="D624" s="63">
        <v>0</v>
      </c>
      <c r="E624" s="63">
        <v>526.14</v>
      </c>
      <c r="F624" s="63">
        <v>520.17020000000002</v>
      </c>
    </row>
    <row r="625" spans="1:6">
      <c r="A625" s="61">
        <v>46259.666666666664</v>
      </c>
      <c r="B625" s="62" t="s">
        <v>28</v>
      </c>
      <c r="C625" s="63">
        <v>0</v>
      </c>
      <c r="D625" s="63">
        <v>0</v>
      </c>
      <c r="E625" s="63">
        <v>526.14</v>
      </c>
      <c r="F625" s="63">
        <v>520.17020000000002</v>
      </c>
    </row>
    <row r="626" spans="1:6">
      <c r="A626" s="61">
        <v>46259.708333333336</v>
      </c>
      <c r="B626" s="62" t="s">
        <v>28</v>
      </c>
      <c r="C626" s="63">
        <v>0</v>
      </c>
      <c r="D626" s="63">
        <v>0</v>
      </c>
      <c r="E626" s="63">
        <v>526.14</v>
      </c>
      <c r="F626" s="63">
        <v>520.17020000000002</v>
      </c>
    </row>
    <row r="627" spans="1:6">
      <c r="A627" s="61">
        <v>46259.75</v>
      </c>
      <c r="B627" s="62" t="s">
        <v>28</v>
      </c>
      <c r="C627" s="63">
        <v>0</v>
      </c>
      <c r="D627" s="63">
        <v>0</v>
      </c>
      <c r="E627" s="63">
        <v>526.14</v>
      </c>
      <c r="F627" s="63">
        <v>520.17020000000002</v>
      </c>
    </row>
    <row r="628" spans="1:6">
      <c r="A628" s="61">
        <v>46259.791666666664</v>
      </c>
      <c r="B628" s="62" t="s">
        <v>28</v>
      </c>
      <c r="C628" s="63">
        <v>0</v>
      </c>
      <c r="D628" s="63">
        <v>0</v>
      </c>
      <c r="E628" s="63">
        <v>526.14</v>
      </c>
      <c r="F628" s="63">
        <v>520.17020000000002</v>
      </c>
    </row>
    <row r="629" spans="1:6">
      <c r="A629" s="61">
        <v>46259.833333333336</v>
      </c>
      <c r="B629" s="62" t="s">
        <v>28</v>
      </c>
      <c r="C629" s="63">
        <v>0</v>
      </c>
      <c r="D629" s="63">
        <v>0</v>
      </c>
      <c r="E629" s="63">
        <v>526.14</v>
      </c>
      <c r="F629" s="63">
        <v>520.17020000000002</v>
      </c>
    </row>
    <row r="630" spans="1:6">
      <c r="A630" s="61">
        <v>46259.875</v>
      </c>
      <c r="B630" s="62" t="s">
        <v>28</v>
      </c>
      <c r="C630" s="63">
        <v>0</v>
      </c>
      <c r="D630" s="63">
        <v>0</v>
      </c>
      <c r="E630" s="63">
        <v>526.14</v>
      </c>
      <c r="F630" s="63">
        <v>520.17020000000002</v>
      </c>
    </row>
    <row r="631" spans="1:6">
      <c r="A631" s="61">
        <v>46259.916666666664</v>
      </c>
      <c r="B631" s="62" t="s">
        <v>28</v>
      </c>
      <c r="C631" s="63">
        <v>0</v>
      </c>
      <c r="D631" s="63">
        <v>0</v>
      </c>
      <c r="E631" s="63">
        <v>526.14</v>
      </c>
      <c r="F631" s="63">
        <v>520.17020000000002</v>
      </c>
    </row>
    <row r="632" spans="1:6">
      <c r="A632" s="61">
        <v>46259.958333333336</v>
      </c>
      <c r="B632" s="62" t="s">
        <v>28</v>
      </c>
      <c r="C632" s="63">
        <v>0</v>
      </c>
      <c r="D632" s="63">
        <v>0</v>
      </c>
      <c r="E632" s="63">
        <v>526.14</v>
      </c>
      <c r="F632" s="63">
        <v>520.17020000000002</v>
      </c>
    </row>
    <row r="633" spans="1:6">
      <c r="A633" s="61">
        <v>46260</v>
      </c>
      <c r="B633" s="62" t="s">
        <v>28</v>
      </c>
      <c r="C633" s="63">
        <v>0</v>
      </c>
      <c r="D633" s="63">
        <v>0</v>
      </c>
      <c r="E633" s="63">
        <v>526.14</v>
      </c>
      <c r="F633" s="63">
        <v>520.17020000000002</v>
      </c>
    </row>
    <row r="634" spans="1:6">
      <c r="A634" s="61">
        <v>46260.041666666664</v>
      </c>
      <c r="B634" s="62" t="s">
        <v>28</v>
      </c>
      <c r="C634" s="63">
        <v>0</v>
      </c>
      <c r="D634" s="63">
        <v>0</v>
      </c>
      <c r="E634" s="63">
        <v>526.14</v>
      </c>
      <c r="F634" s="63">
        <v>520.17020000000002</v>
      </c>
    </row>
    <row r="635" spans="1:6">
      <c r="A635" s="61">
        <v>46260.083333333336</v>
      </c>
      <c r="B635" s="62" t="s">
        <v>28</v>
      </c>
      <c r="C635" s="63">
        <v>0</v>
      </c>
      <c r="D635" s="63">
        <v>0</v>
      </c>
      <c r="E635" s="63">
        <v>526.14</v>
      </c>
      <c r="F635" s="63">
        <v>520.17020000000002</v>
      </c>
    </row>
    <row r="636" spans="1:6">
      <c r="A636" s="61">
        <v>46260.125</v>
      </c>
      <c r="B636" s="62" t="s">
        <v>28</v>
      </c>
      <c r="C636" s="63">
        <v>0</v>
      </c>
      <c r="D636" s="63">
        <v>0</v>
      </c>
      <c r="E636" s="63">
        <v>526.14</v>
      </c>
      <c r="F636" s="63">
        <v>520.17020000000002</v>
      </c>
    </row>
    <row r="637" spans="1:6">
      <c r="A637" s="61">
        <v>46260.166666666664</v>
      </c>
      <c r="B637" s="62" t="s">
        <v>28</v>
      </c>
      <c r="C637" s="63">
        <v>0</v>
      </c>
      <c r="D637" s="63">
        <v>0</v>
      </c>
      <c r="E637" s="63">
        <v>526.14</v>
      </c>
      <c r="F637" s="63">
        <v>520.17020000000002</v>
      </c>
    </row>
    <row r="638" spans="1:6">
      <c r="A638" s="61">
        <v>46260.208333333336</v>
      </c>
      <c r="B638" s="62" t="s">
        <v>28</v>
      </c>
      <c r="C638" s="63">
        <v>0</v>
      </c>
      <c r="D638" s="63">
        <v>0</v>
      </c>
      <c r="E638" s="63">
        <v>526.14</v>
      </c>
      <c r="F638" s="63">
        <v>520.17020000000002</v>
      </c>
    </row>
    <row r="639" spans="1:6">
      <c r="A639" s="61">
        <v>46260.25</v>
      </c>
      <c r="B639" s="62" t="s">
        <v>28</v>
      </c>
      <c r="C639" s="63">
        <v>0</v>
      </c>
      <c r="D639" s="63">
        <v>0</v>
      </c>
      <c r="E639" s="63">
        <v>526.14</v>
      </c>
      <c r="F639" s="63">
        <v>520.17020000000002</v>
      </c>
    </row>
    <row r="640" spans="1:6">
      <c r="A640" s="61">
        <v>46260.291666666664</v>
      </c>
      <c r="B640" s="62" t="s">
        <v>28</v>
      </c>
      <c r="C640" s="63">
        <v>0</v>
      </c>
      <c r="D640" s="63">
        <v>0</v>
      </c>
      <c r="E640" s="63">
        <v>526.14</v>
      </c>
      <c r="F640" s="63">
        <v>520.17020000000002</v>
      </c>
    </row>
    <row r="641" spans="1:6">
      <c r="A641" s="61">
        <v>46260.333333333336</v>
      </c>
      <c r="B641" s="62" t="s">
        <v>28</v>
      </c>
      <c r="C641" s="63">
        <v>0</v>
      </c>
      <c r="D641" s="63">
        <v>0</v>
      </c>
      <c r="E641" s="63">
        <v>526.14</v>
      </c>
      <c r="F641" s="63">
        <v>520.17020000000002</v>
      </c>
    </row>
    <row r="642" spans="1:6">
      <c r="A642" s="61">
        <v>46260.375</v>
      </c>
      <c r="B642" s="62" t="s">
        <v>28</v>
      </c>
      <c r="C642" s="63">
        <v>0</v>
      </c>
      <c r="D642" s="63">
        <v>0</v>
      </c>
      <c r="E642" s="63">
        <v>526.14</v>
      </c>
      <c r="F642" s="63">
        <v>520.17020000000002</v>
      </c>
    </row>
    <row r="643" spans="1:6">
      <c r="A643" s="61">
        <v>46260.416666666664</v>
      </c>
      <c r="B643" s="62" t="s">
        <v>28</v>
      </c>
      <c r="C643" s="63">
        <v>0</v>
      </c>
      <c r="D643" s="63">
        <v>0</v>
      </c>
      <c r="E643" s="63">
        <v>526.14</v>
      </c>
      <c r="F643" s="63">
        <v>520.17020000000002</v>
      </c>
    </row>
  </sheetData>
  <phoneticPr fontId="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46"/>
  <sheetViews>
    <sheetView workbookViewId="0">
      <selection activeCell="A2" sqref="A2:F643"/>
    </sheetView>
  </sheetViews>
  <sheetFormatPr defaultRowHeight="13.5"/>
  <cols>
    <col min="1" max="1" width="18.875" style="19" customWidth="1"/>
    <col min="8" max="8" width="9" style="15"/>
    <col min="17" max="20" width="9" style="15"/>
  </cols>
  <sheetData>
    <row r="1" spans="1:21">
      <c r="A1" s="25" t="s">
        <v>30</v>
      </c>
      <c r="B1" s="36" t="s">
        <v>20</v>
      </c>
      <c r="C1" s="36" t="s">
        <v>21</v>
      </c>
      <c r="D1" s="36" t="s">
        <v>22</v>
      </c>
      <c r="E1" s="36" t="s">
        <v>23</v>
      </c>
      <c r="F1" s="36" t="s">
        <v>24</v>
      </c>
      <c r="G1" s="17" t="s">
        <v>36</v>
      </c>
      <c r="H1" s="14"/>
      <c r="R1" s="36" t="s">
        <v>41</v>
      </c>
      <c r="S1" s="36" t="s">
        <v>42</v>
      </c>
      <c r="T1" s="36" t="s">
        <v>73</v>
      </c>
      <c r="U1" s="36" t="s">
        <v>74</v>
      </c>
    </row>
    <row r="2" spans="1:21" ht="33">
      <c r="A2" s="64">
        <v>46233.708333333336</v>
      </c>
      <c r="B2" s="65" t="s">
        <v>29</v>
      </c>
      <c r="C2" s="66">
        <v>0</v>
      </c>
      <c r="D2" s="66">
        <v>100</v>
      </c>
      <c r="E2" s="66">
        <v>234.20939999999999</v>
      </c>
      <c r="F2" s="66">
        <v>67.603880000000004</v>
      </c>
      <c r="G2" s="16">
        <f>U2</f>
        <v>0</v>
      </c>
      <c r="H2" s="44">
        <f>D2+G8</f>
        <v>100</v>
      </c>
      <c r="I2" s="2" t="s">
        <v>3</v>
      </c>
      <c r="J2" s="8">
        <f>MAX(C:C)</f>
        <v>4502</v>
      </c>
      <c r="R2" s="67" t="s">
        <v>36</v>
      </c>
      <c r="S2" s="67" t="s">
        <v>36</v>
      </c>
      <c r="T2" s="68">
        <v>46233.708333333336</v>
      </c>
      <c r="U2" s="69">
        <v>0</v>
      </c>
    </row>
    <row r="3" spans="1:21" ht="33">
      <c r="A3" s="64">
        <v>46233.75</v>
      </c>
      <c r="B3" s="65" t="s">
        <v>29</v>
      </c>
      <c r="C3" s="66">
        <v>0</v>
      </c>
      <c r="D3" s="66">
        <v>100</v>
      </c>
      <c r="E3" s="66">
        <v>234.0788</v>
      </c>
      <c r="F3" s="66">
        <v>67.243880000000004</v>
      </c>
      <c r="G3" s="49">
        <f t="shared" ref="G3:G66" si="0">U3</f>
        <v>0</v>
      </c>
      <c r="H3" s="44">
        <f t="shared" ref="H3:H66" si="1">D3+G9</f>
        <v>100</v>
      </c>
      <c r="I3" s="3" t="s">
        <v>4</v>
      </c>
      <c r="J3" s="8">
        <f>MAX(D:D)</f>
        <v>3847.86</v>
      </c>
      <c r="R3" s="67" t="s">
        <v>36</v>
      </c>
      <c r="S3" s="67" t="s">
        <v>36</v>
      </c>
      <c r="T3" s="68">
        <v>46233.75</v>
      </c>
      <c r="U3" s="69">
        <v>0</v>
      </c>
    </row>
    <row r="4" spans="1:21" ht="33">
      <c r="A4" s="64">
        <v>46233.791666666664</v>
      </c>
      <c r="B4" s="65" t="s">
        <v>29</v>
      </c>
      <c r="C4" s="66">
        <v>0</v>
      </c>
      <c r="D4" s="66">
        <v>100</v>
      </c>
      <c r="E4" s="66">
        <v>233.94820000000001</v>
      </c>
      <c r="F4" s="66">
        <v>66.883880000000005</v>
      </c>
      <c r="G4" s="49">
        <f t="shared" si="0"/>
        <v>0</v>
      </c>
      <c r="H4" s="44">
        <f t="shared" si="1"/>
        <v>100</v>
      </c>
      <c r="I4" s="2" t="s">
        <v>5</v>
      </c>
      <c r="J4" s="8">
        <f>J6-F2</f>
        <v>225.93101999999999</v>
      </c>
      <c r="R4" s="67" t="s">
        <v>36</v>
      </c>
      <c r="S4" s="67" t="s">
        <v>36</v>
      </c>
      <c r="T4" s="68">
        <v>46233.791666666664</v>
      </c>
      <c r="U4" s="69">
        <v>0</v>
      </c>
    </row>
    <row r="5" spans="1:21" ht="33">
      <c r="A5" s="64">
        <v>46233.833333333336</v>
      </c>
      <c r="B5" s="65" t="s">
        <v>29</v>
      </c>
      <c r="C5" s="66">
        <v>0</v>
      </c>
      <c r="D5" s="66">
        <v>100</v>
      </c>
      <c r="E5" s="66">
        <v>233.8176</v>
      </c>
      <c r="F5" s="66">
        <v>66.523880000000005</v>
      </c>
      <c r="G5" s="49">
        <f t="shared" si="0"/>
        <v>0</v>
      </c>
      <c r="H5" s="44">
        <f t="shared" si="1"/>
        <v>100</v>
      </c>
      <c r="I5" s="2" t="s">
        <v>6</v>
      </c>
      <c r="J5" s="8">
        <f>MAX(E:E)</f>
        <v>283.24520000000001</v>
      </c>
      <c r="R5" s="67" t="s">
        <v>36</v>
      </c>
      <c r="S5" s="67" t="s">
        <v>36</v>
      </c>
      <c r="T5" s="68">
        <v>46233.833333333336</v>
      </c>
      <c r="U5" s="69">
        <v>0</v>
      </c>
    </row>
    <row r="6" spans="1:21" ht="33">
      <c r="A6" s="64">
        <v>46233.875</v>
      </c>
      <c r="B6" s="65" t="s">
        <v>29</v>
      </c>
      <c r="C6" s="66">
        <v>0</v>
      </c>
      <c r="D6" s="66">
        <v>100</v>
      </c>
      <c r="E6" s="66">
        <v>233.68700000000001</v>
      </c>
      <c r="F6" s="66">
        <v>66.163880000000006</v>
      </c>
      <c r="G6" s="49">
        <f t="shared" si="0"/>
        <v>0</v>
      </c>
      <c r="H6" s="44">
        <f t="shared" si="1"/>
        <v>100</v>
      </c>
      <c r="I6" s="2" t="s">
        <v>7</v>
      </c>
      <c r="J6" s="8">
        <f>MAX(F:F)</f>
        <v>293.53489999999999</v>
      </c>
      <c r="R6" s="67" t="s">
        <v>36</v>
      </c>
      <c r="S6" s="67" t="s">
        <v>36</v>
      </c>
      <c r="T6" s="68">
        <v>46233.875</v>
      </c>
      <c r="U6" s="69">
        <v>0</v>
      </c>
    </row>
    <row r="7" spans="1:21">
      <c r="A7" s="64">
        <v>46233.916666666664</v>
      </c>
      <c r="B7" s="65" t="s">
        <v>29</v>
      </c>
      <c r="C7" s="66">
        <v>0</v>
      </c>
      <c r="D7" s="66">
        <v>100</v>
      </c>
      <c r="E7" s="66">
        <v>233.5564</v>
      </c>
      <c r="F7" s="66">
        <v>65.803880000000007</v>
      </c>
      <c r="G7" s="49">
        <f t="shared" si="0"/>
        <v>0</v>
      </c>
      <c r="H7" s="44">
        <f t="shared" si="1"/>
        <v>100</v>
      </c>
      <c r="R7" s="67" t="s">
        <v>36</v>
      </c>
      <c r="S7" s="67" t="s">
        <v>36</v>
      </c>
      <c r="T7" s="68">
        <v>46233.916666666664</v>
      </c>
      <c r="U7" s="69">
        <v>0</v>
      </c>
    </row>
    <row r="8" spans="1:21">
      <c r="A8" s="64">
        <v>46233.958333333336</v>
      </c>
      <c r="B8" s="65" t="s">
        <v>29</v>
      </c>
      <c r="C8" s="66">
        <v>0</v>
      </c>
      <c r="D8" s="66">
        <v>100</v>
      </c>
      <c r="E8" s="66">
        <v>233.42580000000001</v>
      </c>
      <c r="F8" s="66">
        <v>65.443879999999993</v>
      </c>
      <c r="G8" s="49">
        <f t="shared" si="0"/>
        <v>0</v>
      </c>
      <c r="H8" s="44">
        <f t="shared" si="1"/>
        <v>101.0455</v>
      </c>
      <c r="R8" s="67" t="s">
        <v>36</v>
      </c>
      <c r="S8" s="67" t="s">
        <v>36</v>
      </c>
      <c r="T8" s="68">
        <v>46233.958333333336</v>
      </c>
      <c r="U8" s="69">
        <v>0</v>
      </c>
    </row>
    <row r="9" spans="1:21">
      <c r="A9" s="64">
        <v>46234</v>
      </c>
      <c r="B9" s="65" t="s">
        <v>29</v>
      </c>
      <c r="C9" s="66">
        <v>0</v>
      </c>
      <c r="D9" s="66">
        <v>100</v>
      </c>
      <c r="E9" s="66">
        <v>233.2953</v>
      </c>
      <c r="F9" s="66">
        <v>65.083879999999994</v>
      </c>
      <c r="G9" s="49">
        <f t="shared" si="0"/>
        <v>0</v>
      </c>
      <c r="H9" s="44">
        <f t="shared" si="1"/>
        <v>102.09099999999999</v>
      </c>
      <c r="R9" s="67" t="s">
        <v>36</v>
      </c>
      <c r="S9" s="67" t="s">
        <v>36</v>
      </c>
      <c r="T9" s="68">
        <v>46234</v>
      </c>
      <c r="U9" s="69">
        <v>0</v>
      </c>
    </row>
    <row r="10" spans="1:21">
      <c r="A10" s="64">
        <v>46234.041666666664</v>
      </c>
      <c r="B10" s="65" t="s">
        <v>29</v>
      </c>
      <c r="C10" s="66">
        <v>0</v>
      </c>
      <c r="D10" s="66">
        <v>100</v>
      </c>
      <c r="E10" s="66">
        <v>233.16470000000001</v>
      </c>
      <c r="F10" s="66">
        <v>64.723879999999994</v>
      </c>
      <c r="G10" s="49">
        <f t="shared" si="0"/>
        <v>0</v>
      </c>
      <c r="H10" s="44">
        <f t="shared" si="1"/>
        <v>104.05792099999999</v>
      </c>
      <c r="R10" s="67" t="s">
        <v>36</v>
      </c>
      <c r="S10" s="67" t="s">
        <v>36</v>
      </c>
      <c r="T10" s="68">
        <v>46234.041666666664</v>
      </c>
      <c r="U10" s="69">
        <v>0</v>
      </c>
    </row>
    <row r="11" spans="1:21">
      <c r="A11" s="64">
        <v>46234.083333333336</v>
      </c>
      <c r="B11" s="65" t="s">
        <v>29</v>
      </c>
      <c r="C11" s="66">
        <v>0</v>
      </c>
      <c r="D11" s="66">
        <v>100</v>
      </c>
      <c r="E11" s="66">
        <v>233.0341</v>
      </c>
      <c r="F11" s="66">
        <v>64.363879999999995</v>
      </c>
      <c r="G11" s="49">
        <f t="shared" si="0"/>
        <v>0</v>
      </c>
      <c r="H11" s="44">
        <f t="shared" si="1"/>
        <v>106.024843</v>
      </c>
      <c r="R11" s="67" t="s">
        <v>36</v>
      </c>
      <c r="S11" s="67" t="s">
        <v>36</v>
      </c>
      <c r="T11" s="68">
        <v>46234.083333333336</v>
      </c>
      <c r="U11" s="69">
        <v>0</v>
      </c>
    </row>
    <row r="12" spans="1:21">
      <c r="A12" s="64">
        <v>46234.125</v>
      </c>
      <c r="B12" s="65" t="s">
        <v>29</v>
      </c>
      <c r="C12" s="66">
        <v>0.5</v>
      </c>
      <c r="D12" s="66">
        <v>100</v>
      </c>
      <c r="E12" s="66">
        <v>232.90379999999999</v>
      </c>
      <c r="F12" s="66">
        <v>64.004779999999997</v>
      </c>
      <c r="G12" s="49">
        <f t="shared" si="0"/>
        <v>0</v>
      </c>
      <c r="H12" s="44">
        <f t="shared" si="1"/>
        <v>108.83381299999999</v>
      </c>
      <c r="R12" s="67" t="s">
        <v>36</v>
      </c>
      <c r="S12" s="67" t="s">
        <v>36</v>
      </c>
      <c r="T12" s="68">
        <v>46234.125</v>
      </c>
      <c r="U12" s="69">
        <v>0</v>
      </c>
    </row>
    <row r="13" spans="1:21">
      <c r="A13" s="64">
        <v>46234.166666666664</v>
      </c>
      <c r="B13" s="65" t="s">
        <v>29</v>
      </c>
      <c r="C13" s="66">
        <v>1</v>
      </c>
      <c r="D13" s="66">
        <v>100</v>
      </c>
      <c r="E13" s="66">
        <v>232.77420000000001</v>
      </c>
      <c r="F13" s="66">
        <v>63.647480000000002</v>
      </c>
      <c r="G13" s="49">
        <f t="shared" si="0"/>
        <v>0</v>
      </c>
      <c r="H13" s="44">
        <f t="shared" si="1"/>
        <v>111.64278</v>
      </c>
      <c r="R13" s="67" t="s">
        <v>36</v>
      </c>
      <c r="S13" s="67" t="s">
        <v>36</v>
      </c>
      <c r="T13" s="68">
        <v>46234.166666666664</v>
      </c>
      <c r="U13" s="69">
        <v>0</v>
      </c>
    </row>
    <row r="14" spans="1:21">
      <c r="A14" s="64">
        <v>46234.208333333336</v>
      </c>
      <c r="B14" s="65" t="s">
        <v>29</v>
      </c>
      <c r="C14" s="66">
        <v>2</v>
      </c>
      <c r="D14" s="66">
        <v>100</v>
      </c>
      <c r="E14" s="66">
        <v>232.6456</v>
      </c>
      <c r="F14" s="66">
        <v>63.292879999999997</v>
      </c>
      <c r="G14" s="49">
        <f t="shared" si="0"/>
        <v>1.0455000000000001</v>
      </c>
      <c r="H14" s="44">
        <f t="shared" si="1"/>
        <v>114.81762999999999</v>
      </c>
      <c r="R14" s="67" t="s">
        <v>36</v>
      </c>
      <c r="S14" s="67" t="s">
        <v>36</v>
      </c>
      <c r="T14" s="68">
        <v>46234.208333333336</v>
      </c>
      <c r="U14" s="69">
        <v>1.0455000000000001</v>
      </c>
    </row>
    <row r="15" spans="1:21">
      <c r="A15" s="64">
        <v>46234.25</v>
      </c>
      <c r="B15" s="65" t="s">
        <v>29</v>
      </c>
      <c r="C15" s="66">
        <v>3</v>
      </c>
      <c r="D15" s="66">
        <v>100</v>
      </c>
      <c r="E15" s="66">
        <v>232.51820000000001</v>
      </c>
      <c r="F15" s="66">
        <v>62.941879999999998</v>
      </c>
      <c r="G15" s="49">
        <f t="shared" si="0"/>
        <v>2.0910000000000002</v>
      </c>
      <c r="H15" s="44">
        <f t="shared" si="1"/>
        <v>117.99248</v>
      </c>
      <c r="R15" s="67" t="s">
        <v>36</v>
      </c>
      <c r="S15" s="67" t="s">
        <v>36</v>
      </c>
      <c r="T15" s="68">
        <v>46234.25</v>
      </c>
      <c r="U15" s="69">
        <v>2.0910000000000002</v>
      </c>
    </row>
    <row r="16" spans="1:21">
      <c r="A16" s="64">
        <v>46234.291666666664</v>
      </c>
      <c r="B16" s="65" t="s">
        <v>29</v>
      </c>
      <c r="C16" s="66">
        <v>5</v>
      </c>
      <c r="D16" s="66">
        <v>100</v>
      </c>
      <c r="E16" s="66">
        <v>232.3929</v>
      </c>
      <c r="F16" s="66">
        <v>62.59628</v>
      </c>
      <c r="G16" s="49">
        <f t="shared" si="0"/>
        <v>4.0579210000000003</v>
      </c>
      <c r="H16" s="44">
        <f t="shared" si="1"/>
        <v>121.81271</v>
      </c>
      <c r="R16" s="67" t="s">
        <v>36</v>
      </c>
      <c r="S16" s="67" t="s">
        <v>36</v>
      </c>
      <c r="T16" s="68">
        <v>46234.291666666664</v>
      </c>
      <c r="U16" s="69">
        <v>4.0579210000000003</v>
      </c>
    </row>
    <row r="17" spans="1:21">
      <c r="A17" s="64">
        <v>46234.333333333336</v>
      </c>
      <c r="B17" s="65" t="s">
        <v>29</v>
      </c>
      <c r="C17" s="66">
        <v>7</v>
      </c>
      <c r="D17" s="66">
        <v>100</v>
      </c>
      <c r="E17" s="66">
        <v>232.27010000000001</v>
      </c>
      <c r="F17" s="66">
        <v>62.257869999999997</v>
      </c>
      <c r="G17" s="49">
        <f t="shared" si="0"/>
        <v>6.0248429999999997</v>
      </c>
      <c r="H17" s="44">
        <f t="shared" si="1"/>
        <v>125.63294999999999</v>
      </c>
      <c r="R17" s="67" t="s">
        <v>36</v>
      </c>
      <c r="S17" s="67" t="s">
        <v>36</v>
      </c>
      <c r="T17" s="68">
        <v>46234.333333333336</v>
      </c>
      <c r="U17" s="69">
        <v>6.0248429999999997</v>
      </c>
    </row>
    <row r="18" spans="1:21">
      <c r="A18" s="64">
        <v>46234.375</v>
      </c>
      <c r="B18" s="65" t="s">
        <v>29</v>
      </c>
      <c r="C18" s="66">
        <v>9</v>
      </c>
      <c r="D18" s="66">
        <v>100</v>
      </c>
      <c r="E18" s="66">
        <v>232.1499</v>
      </c>
      <c r="F18" s="66">
        <v>61.926670000000001</v>
      </c>
      <c r="G18" s="49">
        <f t="shared" si="0"/>
        <v>8.8338129999999992</v>
      </c>
      <c r="H18" s="44">
        <f t="shared" si="1"/>
        <v>128.35687000000001</v>
      </c>
      <c r="R18" s="67" t="s">
        <v>36</v>
      </c>
      <c r="S18" s="67" t="s">
        <v>36</v>
      </c>
      <c r="T18" s="68">
        <v>46234.375</v>
      </c>
      <c r="U18" s="69">
        <v>8.8338129999999992</v>
      </c>
    </row>
    <row r="19" spans="1:21">
      <c r="A19" s="64">
        <v>46234.416666666664</v>
      </c>
      <c r="B19" s="65" t="s">
        <v>29</v>
      </c>
      <c r="C19" s="66">
        <v>11</v>
      </c>
      <c r="D19" s="66">
        <v>100</v>
      </c>
      <c r="E19" s="66">
        <v>232.0324</v>
      </c>
      <c r="F19" s="66">
        <v>61.602670000000003</v>
      </c>
      <c r="G19" s="49">
        <f t="shared" si="0"/>
        <v>11.64278</v>
      </c>
      <c r="H19" s="44">
        <f t="shared" si="1"/>
        <v>131.08079000000001</v>
      </c>
      <c r="R19" s="67" t="s">
        <v>36</v>
      </c>
      <c r="S19" s="67" t="s">
        <v>36</v>
      </c>
      <c r="T19" s="68">
        <v>46234.416666666664</v>
      </c>
      <c r="U19" s="69">
        <v>11.64278</v>
      </c>
    </row>
    <row r="20" spans="1:21">
      <c r="A20" s="64">
        <v>46234.458333333336</v>
      </c>
      <c r="B20" s="65" t="s">
        <v>29</v>
      </c>
      <c r="C20" s="66">
        <v>13.5</v>
      </c>
      <c r="D20" s="66">
        <v>100</v>
      </c>
      <c r="E20" s="66">
        <v>231.9178</v>
      </c>
      <c r="F20" s="66">
        <v>61.286769999999997</v>
      </c>
      <c r="G20" s="49">
        <f t="shared" si="0"/>
        <v>14.817629999999999</v>
      </c>
      <c r="H20" s="44">
        <f t="shared" si="1"/>
        <v>134.27843000000001</v>
      </c>
      <c r="R20" s="67" t="s">
        <v>36</v>
      </c>
      <c r="S20" s="67" t="s">
        <v>36</v>
      </c>
      <c r="T20" s="68">
        <v>46234.458333333336</v>
      </c>
      <c r="U20" s="69">
        <v>14.817629999999999</v>
      </c>
    </row>
    <row r="21" spans="1:21">
      <c r="A21" s="64">
        <v>46234.5</v>
      </c>
      <c r="B21" s="65" t="s">
        <v>29</v>
      </c>
      <c r="C21" s="66">
        <v>16</v>
      </c>
      <c r="D21" s="66">
        <v>100</v>
      </c>
      <c r="E21" s="66">
        <v>231.8065</v>
      </c>
      <c r="F21" s="66">
        <v>60.979869999999998</v>
      </c>
      <c r="G21" s="49">
        <f t="shared" si="0"/>
        <v>17.99248</v>
      </c>
      <c r="H21" s="44">
        <f t="shared" si="1"/>
        <v>137.47605999999999</v>
      </c>
      <c r="R21" s="67" t="s">
        <v>36</v>
      </c>
      <c r="S21" s="67" t="s">
        <v>36</v>
      </c>
      <c r="T21" s="68">
        <v>46234.5</v>
      </c>
      <c r="U21" s="69">
        <v>17.99248</v>
      </c>
    </row>
    <row r="22" spans="1:21">
      <c r="A22" s="64">
        <v>46234.541666666664</v>
      </c>
      <c r="B22" s="65" t="s">
        <v>29</v>
      </c>
      <c r="C22" s="66">
        <v>27</v>
      </c>
      <c r="D22" s="66">
        <v>100</v>
      </c>
      <c r="E22" s="66">
        <v>231.70400000000001</v>
      </c>
      <c r="F22" s="66">
        <v>60.697270000000003</v>
      </c>
      <c r="G22" s="49">
        <f t="shared" si="0"/>
        <v>21.812709999999999</v>
      </c>
      <c r="H22" s="44">
        <f t="shared" si="1"/>
        <v>144.80250999999998</v>
      </c>
      <c r="R22" s="67" t="s">
        <v>36</v>
      </c>
      <c r="S22" s="67" t="s">
        <v>36</v>
      </c>
      <c r="T22" s="68">
        <v>46234.541666666664</v>
      </c>
      <c r="U22" s="69">
        <v>21.812709999999999</v>
      </c>
    </row>
    <row r="23" spans="1:21">
      <c r="A23" s="64">
        <v>46234.583333333336</v>
      </c>
      <c r="B23" s="65" t="s">
        <v>29</v>
      </c>
      <c r="C23" s="66">
        <v>38</v>
      </c>
      <c r="D23" s="66">
        <v>100</v>
      </c>
      <c r="E23" s="66">
        <v>231.61580000000001</v>
      </c>
      <c r="F23" s="66">
        <v>60.454270000000001</v>
      </c>
      <c r="G23" s="49">
        <f t="shared" si="0"/>
        <v>25.632950000000001</v>
      </c>
      <c r="H23" s="44">
        <f t="shared" si="1"/>
        <v>152.12896000000001</v>
      </c>
      <c r="R23" s="67" t="s">
        <v>36</v>
      </c>
      <c r="S23" s="67" t="s">
        <v>36</v>
      </c>
      <c r="T23" s="68">
        <v>46234.583333333336</v>
      </c>
      <c r="U23" s="69">
        <v>25.632950000000001</v>
      </c>
    </row>
    <row r="24" spans="1:21">
      <c r="A24" s="64">
        <v>46234.625</v>
      </c>
      <c r="B24" s="65" t="s">
        <v>29</v>
      </c>
      <c r="C24" s="66">
        <v>68</v>
      </c>
      <c r="D24" s="66">
        <v>100</v>
      </c>
      <c r="E24" s="66">
        <v>231.55439999999999</v>
      </c>
      <c r="F24" s="66">
        <v>60.285069999999997</v>
      </c>
      <c r="G24" s="49">
        <f t="shared" si="0"/>
        <v>28.356870000000001</v>
      </c>
      <c r="H24" s="44">
        <f t="shared" si="1"/>
        <v>167.62658999999999</v>
      </c>
      <c r="R24" s="67" t="s">
        <v>36</v>
      </c>
      <c r="S24" s="67" t="s">
        <v>36</v>
      </c>
      <c r="T24" s="68">
        <v>46234.625</v>
      </c>
      <c r="U24" s="69">
        <v>28.356870000000001</v>
      </c>
    </row>
    <row r="25" spans="1:21">
      <c r="A25" s="64">
        <v>46234.666666666664</v>
      </c>
      <c r="B25" s="65" t="s">
        <v>29</v>
      </c>
      <c r="C25" s="66">
        <v>98</v>
      </c>
      <c r="D25" s="66">
        <v>100</v>
      </c>
      <c r="E25" s="66">
        <v>231.53219999999999</v>
      </c>
      <c r="F25" s="66">
        <v>60.223869999999998</v>
      </c>
      <c r="G25" s="49">
        <f t="shared" si="0"/>
        <v>31.08079</v>
      </c>
      <c r="H25" s="44">
        <f t="shared" si="1"/>
        <v>183.12421000000001</v>
      </c>
      <c r="R25" s="67" t="s">
        <v>36</v>
      </c>
      <c r="S25" s="67" t="s">
        <v>36</v>
      </c>
      <c r="T25" s="68">
        <v>46234.666666666664</v>
      </c>
      <c r="U25" s="69">
        <v>31.08079</v>
      </c>
    </row>
    <row r="26" spans="1:21">
      <c r="A26" s="64">
        <v>46234.708333333336</v>
      </c>
      <c r="B26" s="65" t="s">
        <v>29</v>
      </c>
      <c r="C26" s="66">
        <v>162.5</v>
      </c>
      <c r="D26" s="66">
        <v>162.5</v>
      </c>
      <c r="E26" s="66">
        <v>231.5309</v>
      </c>
      <c r="F26" s="66">
        <v>60.220269999999999</v>
      </c>
      <c r="G26" s="49">
        <f t="shared" si="0"/>
        <v>34.27843</v>
      </c>
      <c r="H26" s="44">
        <f t="shared" si="1"/>
        <v>286.07760000000002</v>
      </c>
      <c r="R26" s="67" t="s">
        <v>36</v>
      </c>
      <c r="S26" s="67" t="s">
        <v>36</v>
      </c>
      <c r="T26" s="68">
        <v>46234.708333333336</v>
      </c>
      <c r="U26" s="69">
        <v>34.27843</v>
      </c>
    </row>
    <row r="27" spans="1:21">
      <c r="A27" s="64">
        <v>46234.75</v>
      </c>
      <c r="B27" s="65" t="s">
        <v>29</v>
      </c>
      <c r="C27" s="66">
        <v>227</v>
      </c>
      <c r="D27" s="66">
        <v>227</v>
      </c>
      <c r="E27" s="66">
        <v>231.5309</v>
      </c>
      <c r="F27" s="66">
        <v>60.220269999999999</v>
      </c>
      <c r="G27" s="49">
        <f t="shared" si="0"/>
        <v>37.476059999999997</v>
      </c>
      <c r="H27" s="44">
        <f t="shared" si="1"/>
        <v>391.03089999999997</v>
      </c>
      <c r="R27" s="67" t="s">
        <v>36</v>
      </c>
      <c r="S27" s="67" t="s">
        <v>36</v>
      </c>
      <c r="T27" s="68">
        <v>46234.75</v>
      </c>
      <c r="U27" s="69">
        <v>37.476059999999997</v>
      </c>
    </row>
    <row r="28" spans="1:21">
      <c r="A28" s="64">
        <v>46234.791666666664</v>
      </c>
      <c r="B28" s="65" t="s">
        <v>29</v>
      </c>
      <c r="C28" s="66">
        <v>365.5</v>
      </c>
      <c r="D28" s="66">
        <v>365.5</v>
      </c>
      <c r="E28" s="66">
        <v>231.5309</v>
      </c>
      <c r="F28" s="66">
        <v>60.220269999999999</v>
      </c>
      <c r="G28" s="49">
        <f t="shared" si="0"/>
        <v>44.802509999999998</v>
      </c>
      <c r="H28" s="44">
        <f t="shared" si="1"/>
        <v>684.49019999999996</v>
      </c>
      <c r="R28" s="67" t="s">
        <v>36</v>
      </c>
      <c r="S28" s="67" t="s">
        <v>36</v>
      </c>
      <c r="T28" s="68">
        <v>46234.791666666664</v>
      </c>
      <c r="U28" s="69">
        <v>44.802509999999998</v>
      </c>
    </row>
    <row r="29" spans="1:21">
      <c r="A29" s="64">
        <v>46234.833333333336</v>
      </c>
      <c r="B29" s="65" t="s">
        <v>29</v>
      </c>
      <c r="C29" s="66">
        <v>504</v>
      </c>
      <c r="D29" s="66">
        <v>504</v>
      </c>
      <c r="E29" s="66">
        <v>231.5309</v>
      </c>
      <c r="F29" s="66">
        <v>60.220269999999999</v>
      </c>
      <c r="G29" s="49">
        <f t="shared" si="0"/>
        <v>52.128959999999999</v>
      </c>
      <c r="H29" s="44">
        <f t="shared" si="1"/>
        <v>977.94939999999997</v>
      </c>
      <c r="R29" s="67" t="s">
        <v>36</v>
      </c>
      <c r="S29" s="67" t="s">
        <v>36</v>
      </c>
      <c r="T29" s="68">
        <v>46234.833333333336</v>
      </c>
      <c r="U29" s="69">
        <v>52.128959999999999</v>
      </c>
    </row>
    <row r="30" spans="1:21">
      <c r="A30" s="64">
        <v>46234.875</v>
      </c>
      <c r="B30" s="65" t="s">
        <v>29</v>
      </c>
      <c r="C30" s="66">
        <v>685.5</v>
      </c>
      <c r="D30" s="66">
        <v>685.5</v>
      </c>
      <c r="E30" s="66">
        <v>231.5309</v>
      </c>
      <c r="F30" s="66">
        <v>60.220269999999999</v>
      </c>
      <c r="G30" s="49">
        <f t="shared" si="0"/>
        <v>67.626589999999993</v>
      </c>
      <c r="H30" s="44">
        <f t="shared" si="1"/>
        <v>1759.9880000000001</v>
      </c>
      <c r="R30" s="67" t="s">
        <v>36</v>
      </c>
      <c r="S30" s="67" t="s">
        <v>36</v>
      </c>
      <c r="T30" s="68">
        <v>46234.875</v>
      </c>
      <c r="U30" s="69">
        <v>67.626589999999993</v>
      </c>
    </row>
    <row r="31" spans="1:21">
      <c r="A31" s="64">
        <v>46234.916666666664</v>
      </c>
      <c r="B31" s="65" t="s">
        <v>29</v>
      </c>
      <c r="C31" s="66">
        <v>867</v>
      </c>
      <c r="D31" s="66">
        <v>0</v>
      </c>
      <c r="E31" s="66">
        <v>232.09710000000001</v>
      </c>
      <c r="F31" s="66">
        <v>61.78087</v>
      </c>
      <c r="G31" s="49">
        <f t="shared" si="0"/>
        <v>83.124210000000005</v>
      </c>
      <c r="H31" s="44">
        <f t="shared" si="1"/>
        <v>1675.0260000000001</v>
      </c>
      <c r="R31" s="67" t="s">
        <v>36</v>
      </c>
      <c r="S31" s="67" t="s">
        <v>36</v>
      </c>
      <c r="T31" s="68">
        <v>46234.916666666664</v>
      </c>
      <c r="U31" s="69">
        <v>83.124210000000005</v>
      </c>
    </row>
    <row r="32" spans="1:21">
      <c r="A32" s="64">
        <v>46234.958333333336</v>
      </c>
      <c r="B32" s="65" t="s">
        <v>29</v>
      </c>
      <c r="C32" s="66">
        <v>967</v>
      </c>
      <c r="D32" s="66">
        <v>0</v>
      </c>
      <c r="E32" s="66">
        <v>233.2946</v>
      </c>
      <c r="F32" s="66">
        <v>65.082070000000002</v>
      </c>
      <c r="G32" s="49">
        <f t="shared" si="0"/>
        <v>123.5776</v>
      </c>
      <c r="H32" s="44">
        <f t="shared" si="1"/>
        <v>1969.298</v>
      </c>
      <c r="R32" s="67" t="s">
        <v>36</v>
      </c>
      <c r="S32" s="67" t="s">
        <v>36</v>
      </c>
      <c r="T32" s="68">
        <v>46234.958333333336</v>
      </c>
      <c r="U32" s="69">
        <v>123.5776</v>
      </c>
    </row>
    <row r="33" spans="1:21">
      <c r="A33" s="64">
        <v>46235</v>
      </c>
      <c r="B33" s="65" t="s">
        <v>29</v>
      </c>
      <c r="C33" s="66">
        <v>1067</v>
      </c>
      <c r="D33" s="66">
        <v>0</v>
      </c>
      <c r="E33" s="66">
        <v>234.62270000000001</v>
      </c>
      <c r="F33" s="66">
        <v>68.743269999999995</v>
      </c>
      <c r="G33" s="49">
        <f t="shared" si="0"/>
        <v>164.0309</v>
      </c>
      <c r="H33" s="44">
        <f t="shared" si="1"/>
        <v>2263.569</v>
      </c>
      <c r="R33" s="67" t="s">
        <v>36</v>
      </c>
      <c r="S33" s="67" t="s">
        <v>36</v>
      </c>
      <c r="T33" s="68">
        <v>46235</v>
      </c>
      <c r="U33" s="69">
        <v>164.0309</v>
      </c>
    </row>
    <row r="34" spans="1:21">
      <c r="A34" s="64">
        <v>46235.041666666664</v>
      </c>
      <c r="B34" s="65" t="s">
        <v>29</v>
      </c>
      <c r="C34" s="66">
        <v>1105.5</v>
      </c>
      <c r="D34" s="66">
        <v>0</v>
      </c>
      <c r="E34" s="66">
        <v>236.04130000000001</v>
      </c>
      <c r="F34" s="66">
        <v>72.653769999999994</v>
      </c>
      <c r="G34" s="49">
        <f t="shared" si="0"/>
        <v>318.99020000000002</v>
      </c>
      <c r="H34" s="44">
        <f t="shared" si="1"/>
        <v>2265.2600000000002</v>
      </c>
      <c r="R34" s="67" t="s">
        <v>36</v>
      </c>
      <c r="S34" s="67" t="s">
        <v>36</v>
      </c>
      <c r="T34" s="68">
        <v>46235.041666666664</v>
      </c>
      <c r="U34" s="69">
        <v>318.99020000000002</v>
      </c>
    </row>
    <row r="35" spans="1:21">
      <c r="A35" s="64">
        <v>46235.083333333336</v>
      </c>
      <c r="B35" s="65" t="s">
        <v>29</v>
      </c>
      <c r="C35" s="66">
        <v>1144</v>
      </c>
      <c r="D35" s="66">
        <v>0</v>
      </c>
      <c r="E35" s="66">
        <v>237.51009999999999</v>
      </c>
      <c r="F35" s="66">
        <v>76.702870000000004</v>
      </c>
      <c r="G35" s="49">
        <f t="shared" si="0"/>
        <v>473.94940000000003</v>
      </c>
      <c r="H35" s="44">
        <f t="shared" si="1"/>
        <v>2266.9499999999998</v>
      </c>
      <c r="R35" s="67" t="s">
        <v>36</v>
      </c>
      <c r="S35" s="67" t="s">
        <v>36</v>
      </c>
      <c r="T35" s="68">
        <v>46235.083333333336</v>
      </c>
      <c r="U35" s="69">
        <v>473.94940000000003</v>
      </c>
    </row>
    <row r="36" spans="1:21" s="7" customFormat="1">
      <c r="A36" s="64">
        <v>46235.125</v>
      </c>
      <c r="B36" s="65" t="s">
        <v>29</v>
      </c>
      <c r="C36" s="66">
        <v>1170</v>
      </c>
      <c r="D36" s="66">
        <v>0</v>
      </c>
      <c r="E36" s="66">
        <v>238.9118</v>
      </c>
      <c r="F36" s="66">
        <v>80.868070000000003</v>
      </c>
      <c r="G36" s="49">
        <f t="shared" si="0"/>
        <v>1074.4880000000001</v>
      </c>
      <c r="H36" s="44">
        <f t="shared" si="1"/>
        <v>2121.982</v>
      </c>
      <c r="Q36" s="15"/>
      <c r="R36" s="67" t="s">
        <v>36</v>
      </c>
      <c r="S36" s="67" t="s">
        <v>36</v>
      </c>
      <c r="T36" s="68">
        <v>46235.125</v>
      </c>
      <c r="U36" s="69">
        <v>1074.4880000000001</v>
      </c>
    </row>
    <row r="37" spans="1:21">
      <c r="A37" s="64">
        <v>46235.166666666664</v>
      </c>
      <c r="B37" s="65" t="s">
        <v>29</v>
      </c>
      <c r="C37" s="66">
        <v>1196</v>
      </c>
      <c r="D37" s="66">
        <v>0</v>
      </c>
      <c r="E37" s="66">
        <v>240.2799</v>
      </c>
      <c r="F37" s="66">
        <v>85.126869999999997</v>
      </c>
      <c r="G37" s="49">
        <f t="shared" si="0"/>
        <v>1675.0260000000001</v>
      </c>
      <c r="H37" s="44">
        <f t="shared" si="1"/>
        <v>1977.0129999999999</v>
      </c>
      <c r="R37" s="67" t="s">
        <v>36</v>
      </c>
      <c r="S37" s="67" t="s">
        <v>36</v>
      </c>
      <c r="T37" s="68">
        <v>46235.166666666664</v>
      </c>
      <c r="U37" s="69">
        <v>1675.0260000000001</v>
      </c>
    </row>
    <row r="38" spans="1:21">
      <c r="A38" s="64">
        <v>46235.208333333336</v>
      </c>
      <c r="B38" s="65" t="s">
        <v>29</v>
      </c>
      <c r="C38" s="66">
        <v>1210.5</v>
      </c>
      <c r="D38" s="66">
        <v>0</v>
      </c>
      <c r="E38" s="66">
        <v>241.6276</v>
      </c>
      <c r="F38" s="66">
        <v>89.458569999999995</v>
      </c>
      <c r="G38" s="49">
        <f t="shared" si="0"/>
        <v>1969.298</v>
      </c>
      <c r="H38" s="44">
        <f t="shared" si="1"/>
        <v>1773.396</v>
      </c>
      <c r="R38" s="67" t="s">
        <v>36</v>
      </c>
      <c r="S38" s="67" t="s">
        <v>36</v>
      </c>
      <c r="T38" s="68">
        <v>46235.208333333336</v>
      </c>
      <c r="U38" s="69">
        <v>1969.298</v>
      </c>
    </row>
    <row r="39" spans="1:21">
      <c r="A39" s="64">
        <v>46235.25</v>
      </c>
      <c r="B39" s="65" t="s">
        <v>29</v>
      </c>
      <c r="C39" s="66">
        <v>1225</v>
      </c>
      <c r="D39" s="66">
        <v>0</v>
      </c>
      <c r="E39" s="66">
        <v>242.95410000000001</v>
      </c>
      <c r="F39" s="66">
        <v>93.842479999999995</v>
      </c>
      <c r="G39" s="49">
        <f t="shared" si="0"/>
        <v>2263.569</v>
      </c>
      <c r="H39" s="44">
        <f t="shared" si="1"/>
        <v>1569.78</v>
      </c>
      <c r="R39" s="67" t="s">
        <v>36</v>
      </c>
      <c r="S39" s="67" t="s">
        <v>36</v>
      </c>
      <c r="T39" s="68">
        <v>46235.25</v>
      </c>
      <c r="U39" s="69">
        <v>2263.569</v>
      </c>
    </row>
    <row r="40" spans="1:21">
      <c r="A40" s="64">
        <v>46235.291666666664</v>
      </c>
      <c r="B40" s="65" t="s">
        <v>29</v>
      </c>
      <c r="C40" s="66">
        <v>1214.5</v>
      </c>
      <c r="D40" s="66">
        <v>0</v>
      </c>
      <c r="E40" s="66">
        <v>244.25819999999999</v>
      </c>
      <c r="F40" s="66">
        <v>98.23357</v>
      </c>
      <c r="G40" s="49">
        <f t="shared" si="0"/>
        <v>2265.2600000000002</v>
      </c>
      <c r="H40" s="44">
        <f t="shared" si="1"/>
        <v>1352.1690000000001</v>
      </c>
      <c r="R40" s="67" t="s">
        <v>36</v>
      </c>
      <c r="S40" s="67" t="s">
        <v>36</v>
      </c>
      <c r="T40" s="68">
        <v>46235.291666666664</v>
      </c>
      <c r="U40" s="69">
        <v>2265.2600000000002</v>
      </c>
    </row>
    <row r="41" spans="1:21">
      <c r="A41" s="64">
        <v>46235.333333333336</v>
      </c>
      <c r="B41" s="65" t="s">
        <v>29</v>
      </c>
      <c r="C41" s="66">
        <v>1204</v>
      </c>
      <c r="D41" s="66">
        <v>0</v>
      </c>
      <c r="E41" s="66">
        <v>245.51070000000001</v>
      </c>
      <c r="F41" s="66">
        <v>102.5869</v>
      </c>
      <c r="G41" s="49">
        <f t="shared" si="0"/>
        <v>2266.9499999999998</v>
      </c>
      <c r="H41" s="44">
        <f t="shared" si="1"/>
        <v>1134.558</v>
      </c>
      <c r="R41" s="67" t="s">
        <v>36</v>
      </c>
      <c r="S41" s="67" t="s">
        <v>36</v>
      </c>
      <c r="T41" s="68">
        <v>46235.333333333336</v>
      </c>
      <c r="U41" s="69">
        <v>2266.9499999999998</v>
      </c>
    </row>
    <row r="42" spans="1:21">
      <c r="A42" s="64">
        <v>46235.375</v>
      </c>
      <c r="B42" s="65" t="s">
        <v>29</v>
      </c>
      <c r="C42" s="66">
        <v>1166.5</v>
      </c>
      <c r="D42" s="66">
        <v>0</v>
      </c>
      <c r="E42" s="66">
        <v>246.70580000000001</v>
      </c>
      <c r="F42" s="66">
        <v>106.85380000000001</v>
      </c>
      <c r="G42" s="49">
        <f t="shared" si="0"/>
        <v>2121.982</v>
      </c>
      <c r="H42" s="44">
        <f t="shared" si="1"/>
        <v>945.71360000000004</v>
      </c>
      <c r="R42" s="67" t="s">
        <v>36</v>
      </c>
      <c r="S42" s="67" t="s">
        <v>36</v>
      </c>
      <c r="T42" s="68">
        <v>46235.375</v>
      </c>
      <c r="U42" s="69">
        <v>2121.982</v>
      </c>
    </row>
    <row r="43" spans="1:21">
      <c r="A43" s="64">
        <v>46235.416666666664</v>
      </c>
      <c r="B43" s="65" t="s">
        <v>29</v>
      </c>
      <c r="C43" s="66">
        <v>1129</v>
      </c>
      <c r="D43" s="66">
        <v>0</v>
      </c>
      <c r="E43" s="66">
        <v>247.84219999999999</v>
      </c>
      <c r="F43" s="66">
        <v>110.98569999999999</v>
      </c>
      <c r="G43" s="49">
        <f t="shared" si="0"/>
        <v>1977.0129999999999</v>
      </c>
      <c r="H43" s="44">
        <f t="shared" si="1"/>
        <v>756.86929999999995</v>
      </c>
      <c r="R43" s="67" t="s">
        <v>36</v>
      </c>
      <c r="S43" s="67" t="s">
        <v>36</v>
      </c>
      <c r="T43" s="68">
        <v>46235.416666666664</v>
      </c>
      <c r="U43" s="69">
        <v>1977.0129999999999</v>
      </c>
    </row>
    <row r="44" spans="1:21">
      <c r="A44" s="64">
        <v>46235.458333333336</v>
      </c>
      <c r="B44" s="65" t="s">
        <v>29</v>
      </c>
      <c r="C44" s="66">
        <v>1077.5</v>
      </c>
      <c r="D44" s="66">
        <v>0</v>
      </c>
      <c r="E44" s="66">
        <v>248.88759999999999</v>
      </c>
      <c r="F44" s="66">
        <v>114.95740000000001</v>
      </c>
      <c r="G44" s="49">
        <f t="shared" si="0"/>
        <v>1773.396</v>
      </c>
      <c r="H44" s="44">
        <f t="shared" si="1"/>
        <v>629.03729999999996</v>
      </c>
      <c r="R44" s="67" t="s">
        <v>36</v>
      </c>
      <c r="S44" s="67" t="s">
        <v>36</v>
      </c>
      <c r="T44" s="68">
        <v>46235.458333333336</v>
      </c>
      <c r="U44" s="69">
        <v>1773.396</v>
      </c>
    </row>
    <row r="45" spans="1:21">
      <c r="A45" s="64">
        <v>46235.5</v>
      </c>
      <c r="B45" s="65" t="s">
        <v>29</v>
      </c>
      <c r="C45" s="66">
        <v>1026</v>
      </c>
      <c r="D45" s="66">
        <v>0</v>
      </c>
      <c r="E45" s="66">
        <v>249.8766</v>
      </c>
      <c r="F45" s="66">
        <v>118.7437</v>
      </c>
      <c r="G45" s="49">
        <f t="shared" si="0"/>
        <v>1569.78</v>
      </c>
      <c r="H45" s="44">
        <f t="shared" si="1"/>
        <v>501.20530000000002</v>
      </c>
      <c r="R45" s="67" t="s">
        <v>36</v>
      </c>
      <c r="S45" s="67" t="s">
        <v>36</v>
      </c>
      <c r="T45" s="68">
        <v>46235.5</v>
      </c>
      <c r="U45" s="69">
        <v>1569.78</v>
      </c>
    </row>
    <row r="46" spans="1:21">
      <c r="A46" s="64">
        <v>46235.541666666664</v>
      </c>
      <c r="B46" s="65" t="s">
        <v>29</v>
      </c>
      <c r="C46" s="66">
        <v>972</v>
      </c>
      <c r="D46" s="66">
        <v>0</v>
      </c>
      <c r="E46" s="66">
        <v>250.78100000000001</v>
      </c>
      <c r="F46" s="66">
        <v>122.34010000000001</v>
      </c>
      <c r="G46" s="49">
        <f t="shared" si="0"/>
        <v>1352.1690000000001</v>
      </c>
      <c r="H46" s="44">
        <f t="shared" si="1"/>
        <v>423.37569999999999</v>
      </c>
      <c r="R46" s="67" t="s">
        <v>36</v>
      </c>
      <c r="S46" s="67" t="s">
        <v>36</v>
      </c>
      <c r="T46" s="68">
        <v>46235.541666666664</v>
      </c>
      <c r="U46" s="69">
        <v>1352.1690000000001</v>
      </c>
    </row>
    <row r="47" spans="1:21">
      <c r="A47" s="64">
        <v>46235.583333333336</v>
      </c>
      <c r="B47" s="65" t="s">
        <v>29</v>
      </c>
      <c r="C47" s="66">
        <v>918</v>
      </c>
      <c r="D47" s="66">
        <v>0</v>
      </c>
      <c r="E47" s="66">
        <v>251.63149999999999</v>
      </c>
      <c r="F47" s="66">
        <v>125.74209999999999</v>
      </c>
      <c r="G47" s="49">
        <f t="shared" si="0"/>
        <v>1134.558</v>
      </c>
      <c r="H47" s="44">
        <f t="shared" si="1"/>
        <v>345.54599999999999</v>
      </c>
      <c r="R47" s="67" t="s">
        <v>36</v>
      </c>
      <c r="S47" s="67" t="s">
        <v>36</v>
      </c>
      <c r="T47" s="68">
        <v>46235.583333333336</v>
      </c>
      <c r="U47" s="69">
        <v>1134.558</v>
      </c>
    </row>
    <row r="48" spans="1:21">
      <c r="A48" s="64">
        <v>46235.625</v>
      </c>
      <c r="B48" s="65" t="s">
        <v>29</v>
      </c>
      <c r="C48" s="66">
        <v>867.5</v>
      </c>
      <c r="D48" s="66">
        <v>0</v>
      </c>
      <c r="E48" s="66">
        <v>252.4187</v>
      </c>
      <c r="F48" s="66">
        <v>128.95599999999999</v>
      </c>
      <c r="G48" s="49">
        <f t="shared" si="0"/>
        <v>945.71360000000004</v>
      </c>
      <c r="H48" s="44">
        <f t="shared" si="1"/>
        <v>298.26749999999998</v>
      </c>
      <c r="R48" s="67" t="s">
        <v>36</v>
      </c>
      <c r="S48" s="67" t="s">
        <v>36</v>
      </c>
      <c r="T48" s="68">
        <v>46235.625</v>
      </c>
      <c r="U48" s="69">
        <v>945.71360000000004</v>
      </c>
    </row>
    <row r="49" spans="1:21">
      <c r="A49" s="64">
        <v>46235.666666666664</v>
      </c>
      <c r="B49" s="65" t="s">
        <v>29</v>
      </c>
      <c r="C49" s="66">
        <v>817</v>
      </c>
      <c r="D49" s="66">
        <v>0</v>
      </c>
      <c r="E49" s="66">
        <v>253.14830000000001</v>
      </c>
      <c r="F49" s="66">
        <v>131.9881</v>
      </c>
      <c r="G49" s="49">
        <f t="shared" si="0"/>
        <v>756.86929999999995</v>
      </c>
      <c r="H49" s="44">
        <f t="shared" si="1"/>
        <v>250.98910000000001</v>
      </c>
      <c r="R49" s="67" t="s">
        <v>36</v>
      </c>
      <c r="S49" s="67" t="s">
        <v>36</v>
      </c>
      <c r="T49" s="68">
        <v>46235.666666666664</v>
      </c>
      <c r="U49" s="69">
        <v>756.86929999999995</v>
      </c>
    </row>
    <row r="50" spans="1:21">
      <c r="A50" s="64">
        <v>46235.708333333336</v>
      </c>
      <c r="B50" s="65" t="s">
        <v>29</v>
      </c>
      <c r="C50" s="66">
        <v>774.5</v>
      </c>
      <c r="D50" s="66">
        <v>0</v>
      </c>
      <c r="E50" s="66">
        <v>253.83770000000001</v>
      </c>
      <c r="F50" s="66">
        <v>134.8528</v>
      </c>
      <c r="G50" s="49">
        <f t="shared" si="0"/>
        <v>629.03729999999996</v>
      </c>
      <c r="H50" s="44">
        <f t="shared" si="1"/>
        <v>223.4545</v>
      </c>
      <c r="R50" s="67" t="s">
        <v>36</v>
      </c>
      <c r="S50" s="67" t="s">
        <v>36</v>
      </c>
      <c r="T50" s="68">
        <v>46235.708333333336</v>
      </c>
      <c r="U50" s="69">
        <v>629.03729999999996</v>
      </c>
    </row>
    <row r="51" spans="1:21">
      <c r="A51" s="64">
        <v>46235.75</v>
      </c>
      <c r="B51" s="65" t="s">
        <v>29</v>
      </c>
      <c r="C51" s="66">
        <v>732</v>
      </c>
      <c r="D51" s="66">
        <v>0</v>
      </c>
      <c r="E51" s="66">
        <v>254.4718</v>
      </c>
      <c r="F51" s="66">
        <v>137.56450000000001</v>
      </c>
      <c r="G51" s="49">
        <f t="shared" si="0"/>
        <v>501.20530000000002</v>
      </c>
      <c r="H51" s="44">
        <f t="shared" si="1"/>
        <v>195.92</v>
      </c>
      <c r="R51" s="67" t="s">
        <v>36</v>
      </c>
      <c r="S51" s="67" t="s">
        <v>36</v>
      </c>
      <c r="T51" s="68">
        <v>46235.75</v>
      </c>
      <c r="U51" s="69">
        <v>501.20530000000002</v>
      </c>
    </row>
    <row r="52" spans="1:21">
      <c r="A52" s="64">
        <v>46235.791666666664</v>
      </c>
      <c r="B52" s="65" t="s">
        <v>29</v>
      </c>
      <c r="C52" s="66">
        <v>699.5</v>
      </c>
      <c r="D52" s="66">
        <v>0</v>
      </c>
      <c r="E52" s="66">
        <v>255.0686</v>
      </c>
      <c r="F52" s="66">
        <v>140.1412</v>
      </c>
      <c r="G52" s="49">
        <f t="shared" si="0"/>
        <v>423.37569999999999</v>
      </c>
      <c r="H52" s="44">
        <f t="shared" si="1"/>
        <v>186.45609999999999</v>
      </c>
      <c r="R52" s="67" t="s">
        <v>36</v>
      </c>
      <c r="S52" s="67" t="s">
        <v>36</v>
      </c>
      <c r="T52" s="68">
        <v>46235.791666666664</v>
      </c>
      <c r="U52" s="69">
        <v>423.37569999999999</v>
      </c>
    </row>
    <row r="53" spans="1:21">
      <c r="A53" s="64">
        <v>46235.833333333336</v>
      </c>
      <c r="B53" s="65" t="s">
        <v>29</v>
      </c>
      <c r="C53" s="66">
        <v>667</v>
      </c>
      <c r="D53" s="66">
        <v>0</v>
      </c>
      <c r="E53" s="66">
        <v>255.63820000000001</v>
      </c>
      <c r="F53" s="66">
        <v>142.6009</v>
      </c>
      <c r="G53" s="49">
        <f t="shared" si="0"/>
        <v>345.54599999999999</v>
      </c>
      <c r="H53" s="44">
        <f t="shared" si="1"/>
        <v>176.9922</v>
      </c>
      <c r="R53" s="67" t="s">
        <v>36</v>
      </c>
      <c r="S53" s="67" t="s">
        <v>36</v>
      </c>
      <c r="T53" s="68">
        <v>46235.833333333336</v>
      </c>
      <c r="U53" s="69">
        <v>345.54599999999999</v>
      </c>
    </row>
    <row r="54" spans="1:21">
      <c r="A54" s="64">
        <v>46235.875</v>
      </c>
      <c r="B54" s="65" t="s">
        <v>29</v>
      </c>
      <c r="C54" s="66">
        <v>648.5</v>
      </c>
      <c r="D54" s="66">
        <v>0</v>
      </c>
      <c r="E54" s="66">
        <v>256.18</v>
      </c>
      <c r="F54" s="66">
        <v>144.96879999999999</v>
      </c>
      <c r="G54" s="49">
        <f t="shared" si="0"/>
        <v>298.26749999999998</v>
      </c>
      <c r="H54" s="44">
        <f t="shared" si="1"/>
        <v>210.364</v>
      </c>
      <c r="R54" s="67" t="s">
        <v>36</v>
      </c>
      <c r="S54" s="67" t="s">
        <v>36</v>
      </c>
      <c r="T54" s="68">
        <v>46235.875</v>
      </c>
      <c r="U54" s="69">
        <v>298.26749999999998</v>
      </c>
    </row>
    <row r="55" spans="1:21">
      <c r="A55" s="64">
        <v>46235.916666666664</v>
      </c>
      <c r="B55" s="65" t="s">
        <v>29</v>
      </c>
      <c r="C55" s="66">
        <v>630</v>
      </c>
      <c r="D55" s="66">
        <v>0</v>
      </c>
      <c r="E55" s="66">
        <v>256.69409999999999</v>
      </c>
      <c r="F55" s="66">
        <v>147.27010000000001</v>
      </c>
      <c r="G55" s="49">
        <f t="shared" si="0"/>
        <v>250.98910000000001</v>
      </c>
      <c r="H55" s="44">
        <f t="shared" si="1"/>
        <v>243.73589999999999</v>
      </c>
      <c r="R55" s="67" t="s">
        <v>36</v>
      </c>
      <c r="S55" s="67" t="s">
        <v>36</v>
      </c>
      <c r="T55" s="68">
        <v>46235.916666666664</v>
      </c>
      <c r="U55" s="69">
        <v>250.98910000000001</v>
      </c>
    </row>
    <row r="56" spans="1:21">
      <c r="A56" s="64">
        <v>46235.958333333336</v>
      </c>
      <c r="B56" s="65" t="s">
        <v>29</v>
      </c>
      <c r="C56" s="66">
        <v>634</v>
      </c>
      <c r="D56" s="66">
        <v>0</v>
      </c>
      <c r="E56" s="66">
        <v>257.20229999999998</v>
      </c>
      <c r="F56" s="66">
        <v>149.5453</v>
      </c>
      <c r="G56" s="49">
        <f t="shared" si="0"/>
        <v>223.4545</v>
      </c>
      <c r="H56" s="44">
        <f t="shared" si="1"/>
        <v>359.85840000000002</v>
      </c>
      <c r="R56" s="67" t="s">
        <v>36</v>
      </c>
      <c r="S56" s="67" t="s">
        <v>36</v>
      </c>
      <c r="T56" s="68">
        <v>46235.958333333336</v>
      </c>
      <c r="U56" s="69">
        <v>223.4545</v>
      </c>
    </row>
    <row r="57" spans="1:21">
      <c r="A57" s="64">
        <v>46236</v>
      </c>
      <c r="B57" s="65" t="s">
        <v>29</v>
      </c>
      <c r="C57" s="66">
        <v>638</v>
      </c>
      <c r="D57" s="66">
        <v>0</v>
      </c>
      <c r="E57" s="66">
        <v>257.71370000000002</v>
      </c>
      <c r="F57" s="66">
        <v>151.8349</v>
      </c>
      <c r="G57" s="49">
        <f t="shared" si="0"/>
        <v>195.92</v>
      </c>
      <c r="H57" s="44">
        <f t="shared" si="1"/>
        <v>475.98090000000002</v>
      </c>
      <c r="R57" s="67" t="s">
        <v>36</v>
      </c>
      <c r="S57" s="67" t="s">
        <v>36</v>
      </c>
      <c r="T57" s="68">
        <v>46236</v>
      </c>
      <c r="U57" s="69">
        <v>195.92</v>
      </c>
    </row>
    <row r="58" spans="1:21">
      <c r="A58" s="64">
        <v>46236.041666666664</v>
      </c>
      <c r="B58" s="65" t="s">
        <v>29</v>
      </c>
      <c r="C58" s="66">
        <v>657</v>
      </c>
      <c r="D58" s="66">
        <v>0</v>
      </c>
      <c r="E58" s="66">
        <v>258.2269</v>
      </c>
      <c r="F58" s="66">
        <v>154.16589999999999</v>
      </c>
      <c r="G58" s="49">
        <f t="shared" si="0"/>
        <v>186.45609999999999</v>
      </c>
      <c r="H58" s="44">
        <f t="shared" si="1"/>
        <v>642.09230000000002</v>
      </c>
      <c r="R58" s="67" t="s">
        <v>36</v>
      </c>
      <c r="S58" s="67" t="s">
        <v>36</v>
      </c>
      <c r="T58" s="68">
        <v>46236.041666666664</v>
      </c>
      <c r="U58" s="69">
        <v>186.45609999999999</v>
      </c>
    </row>
    <row r="59" spans="1:21">
      <c r="A59" s="64">
        <v>46236.083333333336</v>
      </c>
      <c r="B59" s="65" t="s">
        <v>29</v>
      </c>
      <c r="C59" s="66">
        <v>676</v>
      </c>
      <c r="D59" s="66">
        <v>0</v>
      </c>
      <c r="E59" s="66">
        <v>258.74560000000002</v>
      </c>
      <c r="F59" s="66">
        <v>156.56530000000001</v>
      </c>
      <c r="G59" s="49">
        <f t="shared" si="0"/>
        <v>176.9922</v>
      </c>
      <c r="H59" s="44">
        <f t="shared" si="1"/>
        <v>808.20370000000003</v>
      </c>
      <c r="R59" s="67" t="s">
        <v>36</v>
      </c>
      <c r="S59" s="67" t="s">
        <v>36</v>
      </c>
      <c r="T59" s="68">
        <v>46236.083333333336</v>
      </c>
      <c r="U59" s="69">
        <v>176.9922</v>
      </c>
    </row>
    <row r="60" spans="1:21">
      <c r="A60" s="64">
        <v>46236.125</v>
      </c>
      <c r="B60" s="65" t="s">
        <v>29</v>
      </c>
      <c r="C60" s="66">
        <v>1968.5</v>
      </c>
      <c r="D60" s="66">
        <v>0</v>
      </c>
      <c r="E60" s="66">
        <v>259.7747</v>
      </c>
      <c r="F60" s="66">
        <v>161.3254</v>
      </c>
      <c r="G60" s="49">
        <f t="shared" si="0"/>
        <v>210.364</v>
      </c>
      <c r="H60" s="44">
        <f t="shared" si="1"/>
        <v>993.66219999999998</v>
      </c>
      <c r="R60" s="67" t="s">
        <v>36</v>
      </c>
      <c r="S60" s="67" t="s">
        <v>36</v>
      </c>
      <c r="T60" s="68">
        <v>46236.125</v>
      </c>
      <c r="U60" s="69">
        <v>210.364</v>
      </c>
    </row>
    <row r="61" spans="1:21">
      <c r="A61" s="64">
        <v>46236.166666666664</v>
      </c>
      <c r="B61" s="65" t="s">
        <v>29</v>
      </c>
      <c r="C61" s="66">
        <v>3261</v>
      </c>
      <c r="D61" s="66">
        <v>0</v>
      </c>
      <c r="E61" s="66">
        <v>261.75080000000003</v>
      </c>
      <c r="F61" s="66">
        <v>170.73849999999999</v>
      </c>
      <c r="G61" s="49">
        <f t="shared" si="0"/>
        <v>243.73589999999999</v>
      </c>
      <c r="H61" s="44">
        <f t="shared" si="1"/>
        <v>1179.1210000000001</v>
      </c>
      <c r="R61" s="67" t="s">
        <v>36</v>
      </c>
      <c r="S61" s="67" t="s">
        <v>36</v>
      </c>
      <c r="T61" s="68">
        <v>46236.166666666664</v>
      </c>
      <c r="U61" s="69">
        <v>243.73589999999999</v>
      </c>
    </row>
    <row r="62" spans="1:21">
      <c r="A62" s="64">
        <v>46236.208333333336</v>
      </c>
      <c r="B62" s="65" t="s">
        <v>29</v>
      </c>
      <c r="C62" s="66">
        <v>2754.5</v>
      </c>
      <c r="D62" s="66">
        <v>0</v>
      </c>
      <c r="E62" s="66">
        <v>263.96210000000002</v>
      </c>
      <c r="F62" s="66">
        <v>181.56639999999999</v>
      </c>
      <c r="G62" s="49">
        <f t="shared" si="0"/>
        <v>359.85840000000002</v>
      </c>
      <c r="H62" s="44">
        <f t="shared" si="1"/>
        <v>1397.5119999999999</v>
      </c>
      <c r="R62" s="67" t="s">
        <v>36</v>
      </c>
      <c r="S62" s="67" t="s">
        <v>36</v>
      </c>
      <c r="T62" s="68">
        <v>46236.208333333336</v>
      </c>
      <c r="U62" s="69">
        <v>359.85840000000002</v>
      </c>
    </row>
    <row r="63" spans="1:21">
      <c r="A63" s="64">
        <v>46236.25</v>
      </c>
      <c r="B63" s="65" t="s">
        <v>29</v>
      </c>
      <c r="C63" s="66">
        <v>2248</v>
      </c>
      <c r="D63" s="66">
        <v>0</v>
      </c>
      <c r="E63" s="66">
        <v>265.74450000000002</v>
      </c>
      <c r="F63" s="66">
        <v>190.57089999999999</v>
      </c>
      <c r="G63" s="49">
        <f t="shared" si="0"/>
        <v>475.98090000000002</v>
      </c>
      <c r="H63" s="44">
        <f t="shared" si="1"/>
        <v>1615.903</v>
      </c>
      <c r="R63" s="67" t="s">
        <v>36</v>
      </c>
      <c r="S63" s="67" t="s">
        <v>36</v>
      </c>
      <c r="T63" s="68">
        <v>46236.25</v>
      </c>
      <c r="U63" s="69">
        <v>475.98090000000002</v>
      </c>
    </row>
    <row r="64" spans="1:21">
      <c r="A64" s="64">
        <v>46236.291666666664</v>
      </c>
      <c r="B64" s="65" t="s">
        <v>29</v>
      </c>
      <c r="C64" s="66">
        <v>1796.5</v>
      </c>
      <c r="D64" s="66">
        <v>0</v>
      </c>
      <c r="E64" s="66">
        <v>267.14690000000002</v>
      </c>
      <c r="F64" s="66">
        <v>197.851</v>
      </c>
      <c r="G64" s="49">
        <f t="shared" si="0"/>
        <v>642.09230000000002</v>
      </c>
      <c r="H64" s="44">
        <f t="shared" si="1"/>
        <v>1730.835</v>
      </c>
      <c r="R64" s="67" t="s">
        <v>36</v>
      </c>
      <c r="S64" s="67" t="s">
        <v>36</v>
      </c>
      <c r="T64" s="68">
        <v>46236.291666666664</v>
      </c>
      <c r="U64" s="69">
        <v>642.09230000000002</v>
      </c>
    </row>
    <row r="65" spans="1:21">
      <c r="A65" s="64">
        <v>46236.333333333336</v>
      </c>
      <c r="B65" s="65" t="s">
        <v>29</v>
      </c>
      <c r="C65" s="66">
        <v>1345</v>
      </c>
      <c r="D65" s="66">
        <v>0</v>
      </c>
      <c r="E65" s="66">
        <v>268.2235</v>
      </c>
      <c r="F65" s="66">
        <v>203.50569999999999</v>
      </c>
      <c r="G65" s="49">
        <f t="shared" si="0"/>
        <v>808.20370000000003</v>
      </c>
      <c r="H65" s="44">
        <f t="shared" si="1"/>
        <v>1845.7660000000001</v>
      </c>
      <c r="R65" s="67" t="s">
        <v>36</v>
      </c>
      <c r="S65" s="67" t="s">
        <v>36</v>
      </c>
      <c r="T65" s="68">
        <v>46236.333333333336</v>
      </c>
      <c r="U65" s="69">
        <v>808.20370000000003</v>
      </c>
    </row>
    <row r="66" spans="1:21">
      <c r="A66" s="64">
        <v>46236.375</v>
      </c>
      <c r="B66" s="65" t="s">
        <v>29</v>
      </c>
      <c r="C66" s="66">
        <v>1686.5</v>
      </c>
      <c r="D66" s="66">
        <v>0</v>
      </c>
      <c r="E66" s="66">
        <v>269.2396</v>
      </c>
      <c r="F66" s="66">
        <v>208.9624</v>
      </c>
      <c r="G66" s="49">
        <f t="shared" si="0"/>
        <v>993.66219999999998</v>
      </c>
      <c r="H66" s="44">
        <f t="shared" si="1"/>
        <v>1775.7249999999999</v>
      </c>
      <c r="R66" s="67" t="s">
        <v>36</v>
      </c>
      <c r="S66" s="67" t="s">
        <v>36</v>
      </c>
      <c r="T66" s="68">
        <v>46236.375</v>
      </c>
      <c r="U66" s="69">
        <v>993.66219999999998</v>
      </c>
    </row>
    <row r="67" spans="1:21">
      <c r="A67" s="64">
        <v>46236.416666666664</v>
      </c>
      <c r="B67" s="65" t="s">
        <v>29</v>
      </c>
      <c r="C67" s="66">
        <v>2028</v>
      </c>
      <c r="D67" s="66">
        <v>0</v>
      </c>
      <c r="E67" s="66">
        <v>270.47059999999999</v>
      </c>
      <c r="F67" s="66">
        <v>215.64850000000001</v>
      </c>
      <c r="G67" s="49">
        <f t="shared" ref="G67:G130" si="2">U67</f>
        <v>1179.1210000000001</v>
      </c>
      <c r="H67" s="44">
        <f t="shared" ref="H67:H130" si="3">D67+G73</f>
        <v>1705.684</v>
      </c>
      <c r="R67" s="67" t="s">
        <v>36</v>
      </c>
      <c r="S67" s="67" t="s">
        <v>36</v>
      </c>
      <c r="T67" s="68">
        <v>46236.416666666664</v>
      </c>
      <c r="U67" s="69">
        <v>1179.1210000000001</v>
      </c>
    </row>
    <row r="68" spans="1:21">
      <c r="A68" s="64">
        <v>46236.458333333336</v>
      </c>
      <c r="B68" s="65" t="s">
        <v>29</v>
      </c>
      <c r="C68" s="66">
        <v>2363</v>
      </c>
      <c r="D68" s="66">
        <v>0</v>
      </c>
      <c r="E68" s="66">
        <v>271.89999999999998</v>
      </c>
      <c r="F68" s="66">
        <v>223.5523</v>
      </c>
      <c r="G68" s="49">
        <f t="shared" si="2"/>
        <v>1397.5119999999999</v>
      </c>
      <c r="H68" s="44">
        <f t="shared" si="3"/>
        <v>1527.4580000000001</v>
      </c>
      <c r="R68" s="67" t="s">
        <v>36</v>
      </c>
      <c r="S68" s="67" t="s">
        <v>36</v>
      </c>
      <c r="T68" s="68">
        <v>46236.458333333336</v>
      </c>
      <c r="U68" s="69">
        <v>1397.5119999999999</v>
      </c>
    </row>
    <row r="69" spans="1:21">
      <c r="A69" s="64">
        <v>46236.5</v>
      </c>
      <c r="B69" s="65" t="s">
        <v>29</v>
      </c>
      <c r="C69" s="66">
        <v>2698</v>
      </c>
      <c r="D69" s="66">
        <v>0</v>
      </c>
      <c r="E69" s="66">
        <v>273.50110000000001</v>
      </c>
      <c r="F69" s="66">
        <v>232.66210000000001</v>
      </c>
      <c r="G69" s="49">
        <f t="shared" si="2"/>
        <v>1615.903</v>
      </c>
      <c r="H69" s="44">
        <f t="shared" si="3"/>
        <v>1349.231</v>
      </c>
      <c r="R69" s="67" t="s">
        <v>36</v>
      </c>
      <c r="S69" s="67" t="s">
        <v>36</v>
      </c>
      <c r="T69" s="68">
        <v>46236.5</v>
      </c>
      <c r="U69" s="69">
        <v>1615.903</v>
      </c>
    </row>
    <row r="70" spans="1:21">
      <c r="A70" s="64">
        <v>46236.541666666664</v>
      </c>
      <c r="B70" s="65" t="s">
        <v>29</v>
      </c>
      <c r="C70" s="66">
        <v>3091</v>
      </c>
      <c r="D70" s="66">
        <v>0</v>
      </c>
      <c r="E70" s="66">
        <v>275.28280000000001</v>
      </c>
      <c r="F70" s="66">
        <v>243.0823</v>
      </c>
      <c r="G70" s="49">
        <f t="shared" si="2"/>
        <v>1730.835</v>
      </c>
      <c r="H70" s="44">
        <f t="shared" si="3"/>
        <v>1162.6220000000001</v>
      </c>
      <c r="R70" s="67" t="s">
        <v>36</v>
      </c>
      <c r="S70" s="67" t="s">
        <v>36</v>
      </c>
      <c r="T70" s="68">
        <v>46236.541666666664</v>
      </c>
      <c r="U70" s="69">
        <v>1730.835</v>
      </c>
    </row>
    <row r="71" spans="1:21">
      <c r="A71" s="64">
        <v>46236.583333333336</v>
      </c>
      <c r="B71" s="65" t="s">
        <v>29</v>
      </c>
      <c r="C71" s="66">
        <v>3484</v>
      </c>
      <c r="D71" s="66">
        <v>3023.9859999999999</v>
      </c>
      <c r="E71" s="66">
        <v>276.35239999999999</v>
      </c>
      <c r="F71" s="66">
        <v>249.47409999999999</v>
      </c>
      <c r="G71" s="49">
        <f t="shared" si="2"/>
        <v>1845.7660000000001</v>
      </c>
      <c r="H71" s="44">
        <f t="shared" si="3"/>
        <v>4000</v>
      </c>
      <c r="R71" s="67" t="s">
        <v>36</v>
      </c>
      <c r="S71" s="67" t="s">
        <v>36</v>
      </c>
      <c r="T71" s="68">
        <v>46236.583333333336</v>
      </c>
      <c r="U71" s="69">
        <v>1845.7660000000001</v>
      </c>
    </row>
    <row r="72" spans="1:21">
      <c r="A72" s="64">
        <v>46236.625</v>
      </c>
      <c r="B72" s="65" t="s">
        <v>29</v>
      </c>
      <c r="C72" s="66">
        <v>3844.5</v>
      </c>
      <c r="D72" s="66">
        <v>3167.567</v>
      </c>
      <c r="E72" s="66">
        <v>276.68700000000001</v>
      </c>
      <c r="F72" s="66">
        <v>251.5206</v>
      </c>
      <c r="G72" s="49">
        <f t="shared" si="2"/>
        <v>1775.7249999999999</v>
      </c>
      <c r="H72" s="44">
        <f t="shared" si="3"/>
        <v>3999.9998999999998</v>
      </c>
      <c r="R72" s="67" t="s">
        <v>36</v>
      </c>
      <c r="S72" s="67" t="s">
        <v>36</v>
      </c>
      <c r="T72" s="68">
        <v>46236.625</v>
      </c>
      <c r="U72" s="69">
        <v>1775.7249999999999</v>
      </c>
    </row>
    <row r="73" spans="1:21">
      <c r="A73" s="64">
        <v>46236.666666666664</v>
      </c>
      <c r="B73" s="65" t="s">
        <v>29</v>
      </c>
      <c r="C73" s="66">
        <v>4205</v>
      </c>
      <c r="D73" s="66">
        <v>3311.1480000000001</v>
      </c>
      <c r="E73" s="66">
        <v>277.14909999999998</v>
      </c>
      <c r="F73" s="66">
        <v>254.34800000000001</v>
      </c>
      <c r="G73" s="49">
        <f t="shared" si="2"/>
        <v>1705.684</v>
      </c>
      <c r="H73" s="44">
        <f t="shared" si="3"/>
        <v>3999.9998000000001</v>
      </c>
      <c r="R73" s="67" t="s">
        <v>36</v>
      </c>
      <c r="S73" s="67" t="s">
        <v>36</v>
      </c>
      <c r="T73" s="68">
        <v>46236.666666666664</v>
      </c>
      <c r="U73" s="69">
        <v>1705.684</v>
      </c>
    </row>
    <row r="74" spans="1:21">
      <c r="A74" s="64">
        <v>46236.708333333336</v>
      </c>
      <c r="B74" s="65" t="s">
        <v>29</v>
      </c>
      <c r="C74" s="66">
        <v>4353.5</v>
      </c>
      <c r="D74" s="66">
        <v>3399.9960000000001</v>
      </c>
      <c r="E74" s="66">
        <v>277.6927</v>
      </c>
      <c r="F74" s="66">
        <v>257.67320000000001</v>
      </c>
      <c r="G74" s="49">
        <f t="shared" si="2"/>
        <v>1527.4580000000001</v>
      </c>
      <c r="H74" s="44">
        <f t="shared" si="3"/>
        <v>3999.9997000000003</v>
      </c>
      <c r="R74" s="67" t="s">
        <v>36</v>
      </c>
      <c r="S74" s="67" t="s">
        <v>36</v>
      </c>
      <c r="T74" s="68">
        <v>46236.708333333336</v>
      </c>
      <c r="U74" s="69">
        <v>1527.4580000000001</v>
      </c>
    </row>
    <row r="75" spans="1:21">
      <c r="A75" s="64">
        <v>46236.75</v>
      </c>
      <c r="B75" s="65" t="s">
        <v>29</v>
      </c>
      <c r="C75" s="66">
        <v>4502</v>
      </c>
      <c r="D75" s="66">
        <v>3488.8440000000001</v>
      </c>
      <c r="E75" s="66">
        <v>278.26339999999999</v>
      </c>
      <c r="F75" s="66">
        <v>261.21319999999997</v>
      </c>
      <c r="G75" s="49">
        <f t="shared" si="2"/>
        <v>1349.231</v>
      </c>
      <c r="H75" s="44">
        <f t="shared" si="3"/>
        <v>3999.9994999999999</v>
      </c>
      <c r="R75" s="67" t="s">
        <v>36</v>
      </c>
      <c r="S75" s="67" t="s">
        <v>36</v>
      </c>
      <c r="T75" s="68">
        <v>46236.75</v>
      </c>
      <c r="U75" s="69">
        <v>1349.231</v>
      </c>
    </row>
    <row r="76" spans="1:21">
      <c r="A76" s="64">
        <v>46236.791666666664</v>
      </c>
      <c r="B76" s="65" t="s">
        <v>29</v>
      </c>
      <c r="C76" s="66">
        <v>4482</v>
      </c>
      <c r="D76" s="66">
        <v>3533.0369999999998</v>
      </c>
      <c r="E76" s="66">
        <v>278.82380000000001</v>
      </c>
      <c r="F76" s="66">
        <v>264.745</v>
      </c>
      <c r="G76" s="49">
        <f t="shared" si="2"/>
        <v>1162.6220000000001</v>
      </c>
      <c r="H76" s="44">
        <f t="shared" si="3"/>
        <v>4000.0004999999996</v>
      </c>
      <c r="R76" s="67" t="s">
        <v>36</v>
      </c>
      <c r="S76" s="67" t="s">
        <v>36</v>
      </c>
      <c r="T76" s="68">
        <v>46236.791666666664</v>
      </c>
      <c r="U76" s="69">
        <v>1162.6220000000001</v>
      </c>
    </row>
    <row r="77" spans="1:21">
      <c r="A77" s="64">
        <v>46236.833333333336</v>
      </c>
      <c r="B77" s="65" t="s">
        <v>29</v>
      </c>
      <c r="C77" s="66">
        <v>4462</v>
      </c>
      <c r="D77" s="66">
        <v>3577.2289999999998</v>
      </c>
      <c r="E77" s="66">
        <v>279.34750000000003</v>
      </c>
      <c r="F77" s="66">
        <v>268.04570000000001</v>
      </c>
      <c r="G77" s="49">
        <f t="shared" si="2"/>
        <v>976.01400000000001</v>
      </c>
      <c r="H77" s="44">
        <f t="shared" si="3"/>
        <v>4000.0004999999996</v>
      </c>
      <c r="R77" s="67" t="s">
        <v>36</v>
      </c>
      <c r="S77" s="67" t="s">
        <v>36</v>
      </c>
      <c r="T77" s="68">
        <v>46236.833333333336</v>
      </c>
      <c r="U77" s="69">
        <v>976.01400000000001</v>
      </c>
    </row>
    <row r="78" spans="1:21">
      <c r="A78" s="64">
        <v>46236.875</v>
      </c>
      <c r="B78" s="65" t="s">
        <v>29</v>
      </c>
      <c r="C78" s="66">
        <v>4331.5</v>
      </c>
      <c r="D78" s="66">
        <v>3592.511</v>
      </c>
      <c r="E78" s="66">
        <v>279.81119999999999</v>
      </c>
      <c r="F78" s="66">
        <v>270.96850000000001</v>
      </c>
      <c r="G78" s="49">
        <f t="shared" si="2"/>
        <v>832.43290000000002</v>
      </c>
      <c r="H78" s="44">
        <f t="shared" si="3"/>
        <v>4000</v>
      </c>
      <c r="R78" s="67" t="s">
        <v>36</v>
      </c>
      <c r="S78" s="67" t="s">
        <v>36</v>
      </c>
      <c r="T78" s="68">
        <v>46236.875</v>
      </c>
      <c r="U78" s="69">
        <v>832.43290000000002</v>
      </c>
    </row>
    <row r="79" spans="1:21">
      <c r="A79" s="64">
        <v>46236.916666666664</v>
      </c>
      <c r="B79" s="65" t="s">
        <v>29</v>
      </c>
      <c r="C79" s="66">
        <v>4201</v>
      </c>
      <c r="D79" s="66">
        <v>3607.7930000000001</v>
      </c>
      <c r="E79" s="66">
        <v>280.18599999999998</v>
      </c>
      <c r="F79" s="66">
        <v>273.36649999999997</v>
      </c>
      <c r="G79" s="49">
        <f t="shared" si="2"/>
        <v>688.85180000000003</v>
      </c>
      <c r="H79" s="44">
        <f t="shared" si="3"/>
        <v>3999.9996000000001</v>
      </c>
      <c r="R79" s="67" t="s">
        <v>36</v>
      </c>
      <c r="S79" s="67" t="s">
        <v>36</v>
      </c>
      <c r="T79" s="68">
        <v>46236.916666666664</v>
      </c>
      <c r="U79" s="69">
        <v>688.85180000000003</v>
      </c>
    </row>
    <row r="80" spans="1:21">
      <c r="A80" s="64">
        <v>46236.958333333336</v>
      </c>
      <c r="B80" s="65" t="s">
        <v>29</v>
      </c>
      <c r="C80" s="66">
        <v>4004</v>
      </c>
      <c r="D80" s="66">
        <v>3607.6889999999999</v>
      </c>
      <c r="E80" s="66">
        <v>280.46030000000002</v>
      </c>
      <c r="F80" s="66">
        <v>275.14760000000001</v>
      </c>
      <c r="G80" s="49">
        <f t="shared" si="2"/>
        <v>600.00369999999998</v>
      </c>
      <c r="H80" s="44">
        <f t="shared" si="3"/>
        <v>3999.9994999999999</v>
      </c>
      <c r="R80" s="67" t="s">
        <v>36</v>
      </c>
      <c r="S80" s="67" t="s">
        <v>36</v>
      </c>
      <c r="T80" s="68">
        <v>46236.958333333336</v>
      </c>
      <c r="U80" s="69">
        <v>600.00369999999998</v>
      </c>
    </row>
    <row r="81" spans="1:21">
      <c r="A81" s="64">
        <v>46237</v>
      </c>
      <c r="B81" s="65" t="s">
        <v>29</v>
      </c>
      <c r="C81" s="66">
        <v>3807</v>
      </c>
      <c r="D81" s="66">
        <v>3607.5859999999998</v>
      </c>
      <c r="E81" s="66">
        <v>280.62540000000001</v>
      </c>
      <c r="F81" s="66">
        <v>276.2199</v>
      </c>
      <c r="G81" s="49">
        <f t="shared" si="2"/>
        <v>511.15550000000002</v>
      </c>
      <c r="H81" s="44">
        <f t="shared" si="3"/>
        <v>4000.0003999999999</v>
      </c>
      <c r="R81" s="67" t="s">
        <v>36</v>
      </c>
      <c r="S81" s="67" t="s">
        <v>36</v>
      </c>
      <c r="T81" s="68">
        <v>46237</v>
      </c>
      <c r="U81" s="69">
        <v>511.15550000000002</v>
      </c>
    </row>
    <row r="82" spans="1:21">
      <c r="A82" s="64">
        <v>46237.041666666664</v>
      </c>
      <c r="B82" s="65" t="s">
        <v>29</v>
      </c>
      <c r="C82" s="66">
        <v>3591.5</v>
      </c>
      <c r="D82" s="66">
        <v>3605.4650000000001</v>
      </c>
      <c r="E82" s="66">
        <v>280.67680000000001</v>
      </c>
      <c r="F82" s="66">
        <v>276.55369999999999</v>
      </c>
      <c r="G82" s="49">
        <f t="shared" si="2"/>
        <v>466.96350000000001</v>
      </c>
      <c r="H82" s="44">
        <f t="shared" si="3"/>
        <v>3999.9998000000001</v>
      </c>
      <c r="R82" s="67" t="s">
        <v>36</v>
      </c>
      <c r="S82" s="67" t="s">
        <v>36</v>
      </c>
      <c r="T82" s="68">
        <v>46237.041666666664</v>
      </c>
      <c r="U82" s="69">
        <v>466.96350000000001</v>
      </c>
    </row>
    <row r="83" spans="1:21">
      <c r="A83" s="64">
        <v>46237.083333333336</v>
      </c>
      <c r="B83" s="65" t="s">
        <v>29</v>
      </c>
      <c r="C83" s="66">
        <v>3376</v>
      </c>
      <c r="D83" s="66">
        <v>3603.3449999999998</v>
      </c>
      <c r="E83" s="66">
        <v>280.60989999999998</v>
      </c>
      <c r="F83" s="66">
        <v>276.11930000000001</v>
      </c>
      <c r="G83" s="49">
        <f t="shared" si="2"/>
        <v>422.7715</v>
      </c>
      <c r="H83" s="44">
        <f t="shared" si="3"/>
        <v>4000.0000999999997</v>
      </c>
      <c r="R83" s="67" t="s">
        <v>36</v>
      </c>
      <c r="S83" s="67" t="s">
        <v>36</v>
      </c>
      <c r="T83" s="68">
        <v>46237.083333333336</v>
      </c>
      <c r="U83" s="69">
        <v>422.7715</v>
      </c>
    </row>
    <row r="84" spans="1:21">
      <c r="A84" s="64">
        <v>46237.125</v>
      </c>
      <c r="B84" s="65" t="s">
        <v>29</v>
      </c>
      <c r="C84" s="66">
        <v>3190</v>
      </c>
      <c r="D84" s="66">
        <v>3603.6750000000002</v>
      </c>
      <c r="E84" s="66">
        <v>280.4323</v>
      </c>
      <c r="F84" s="66">
        <v>274.96550000000002</v>
      </c>
      <c r="G84" s="49">
        <f t="shared" si="2"/>
        <v>407.48899999999998</v>
      </c>
      <c r="H84" s="44">
        <f t="shared" si="3"/>
        <v>4000.0005000000001</v>
      </c>
      <c r="R84" s="67" t="s">
        <v>36</v>
      </c>
      <c r="S84" s="67" t="s">
        <v>36</v>
      </c>
      <c r="T84" s="68">
        <v>46237.125</v>
      </c>
      <c r="U84" s="69">
        <v>407.48899999999998</v>
      </c>
    </row>
    <row r="85" spans="1:21">
      <c r="A85" s="64">
        <v>46237.166666666664</v>
      </c>
      <c r="B85" s="65" t="s">
        <v>29</v>
      </c>
      <c r="C85" s="66">
        <v>3004</v>
      </c>
      <c r="D85" s="66">
        <v>3604.0039999999999</v>
      </c>
      <c r="E85" s="66">
        <v>280.15129999999999</v>
      </c>
      <c r="F85" s="66">
        <v>273.14089999999999</v>
      </c>
      <c r="G85" s="49">
        <f t="shared" si="2"/>
        <v>392.20659999999998</v>
      </c>
      <c r="H85" s="44">
        <f t="shared" si="3"/>
        <v>3999.9998000000001</v>
      </c>
      <c r="R85" s="67" t="s">
        <v>36</v>
      </c>
      <c r="S85" s="67" t="s">
        <v>36</v>
      </c>
      <c r="T85" s="68">
        <v>46237.166666666664</v>
      </c>
      <c r="U85" s="69">
        <v>392.20659999999998</v>
      </c>
    </row>
    <row r="86" spans="1:21">
      <c r="A86" s="64">
        <v>46237.208333333336</v>
      </c>
      <c r="B86" s="65" t="s">
        <v>29</v>
      </c>
      <c r="C86" s="66">
        <v>2884.5</v>
      </c>
      <c r="D86" s="66">
        <v>3604.913</v>
      </c>
      <c r="E86" s="66">
        <v>279.77879999999999</v>
      </c>
      <c r="F86" s="66">
        <v>270.76409999999998</v>
      </c>
      <c r="G86" s="49">
        <f t="shared" si="2"/>
        <v>392.31049999999999</v>
      </c>
      <c r="H86" s="44">
        <f t="shared" si="3"/>
        <v>4000.0003000000002</v>
      </c>
      <c r="R86" s="67" t="s">
        <v>36</v>
      </c>
      <c r="S86" s="67" t="s">
        <v>36</v>
      </c>
      <c r="T86" s="68">
        <v>46237.208333333336</v>
      </c>
      <c r="U86" s="69">
        <v>392.31049999999999</v>
      </c>
    </row>
    <row r="87" spans="1:21">
      <c r="A87" s="64">
        <v>46237.25</v>
      </c>
      <c r="B87" s="65" t="s">
        <v>29</v>
      </c>
      <c r="C87" s="66">
        <v>2765</v>
      </c>
      <c r="D87" s="66">
        <v>3605.8209999999999</v>
      </c>
      <c r="E87" s="66">
        <v>279.3329</v>
      </c>
      <c r="F87" s="66">
        <v>267.95389999999998</v>
      </c>
      <c r="G87" s="49">
        <f t="shared" si="2"/>
        <v>392.4144</v>
      </c>
      <c r="H87" s="44">
        <f t="shared" si="3"/>
        <v>3999.9998999999998</v>
      </c>
      <c r="R87" s="67" t="s">
        <v>36</v>
      </c>
      <c r="S87" s="67" t="s">
        <v>36</v>
      </c>
      <c r="T87" s="68">
        <v>46237.25</v>
      </c>
      <c r="U87" s="69">
        <v>392.4144</v>
      </c>
    </row>
    <row r="88" spans="1:21">
      <c r="A88" s="64">
        <v>46237.291666666664</v>
      </c>
      <c r="B88" s="65" t="s">
        <v>29</v>
      </c>
      <c r="C88" s="66">
        <v>2912</v>
      </c>
      <c r="D88" s="66">
        <v>3604.6129999999998</v>
      </c>
      <c r="E88" s="66">
        <v>278.89499999999998</v>
      </c>
      <c r="F88" s="66">
        <v>265.19369999999998</v>
      </c>
      <c r="G88" s="49">
        <f t="shared" si="2"/>
        <v>394.53480000000002</v>
      </c>
      <c r="H88" s="44">
        <f t="shared" si="3"/>
        <v>3999.9997999999996</v>
      </c>
      <c r="R88" s="67" t="s">
        <v>36</v>
      </c>
      <c r="S88" s="67" t="s">
        <v>36</v>
      </c>
      <c r="T88" s="68">
        <v>46237.291666666664</v>
      </c>
      <c r="U88" s="69">
        <v>394.53480000000002</v>
      </c>
    </row>
    <row r="89" spans="1:21">
      <c r="A89" s="64">
        <v>46237.333333333336</v>
      </c>
      <c r="B89" s="65" t="s">
        <v>29</v>
      </c>
      <c r="C89" s="66">
        <v>3059</v>
      </c>
      <c r="D89" s="66">
        <v>3603.4050000000002</v>
      </c>
      <c r="E89" s="66">
        <v>278.54169999999999</v>
      </c>
      <c r="F89" s="66">
        <v>262.96710000000002</v>
      </c>
      <c r="G89" s="49">
        <f t="shared" si="2"/>
        <v>396.6551</v>
      </c>
      <c r="H89" s="44">
        <f t="shared" si="3"/>
        <v>3999.9998000000001</v>
      </c>
      <c r="R89" s="67" t="s">
        <v>36</v>
      </c>
      <c r="S89" s="67" t="s">
        <v>36</v>
      </c>
      <c r="T89" s="68">
        <v>46237.333333333336</v>
      </c>
      <c r="U89" s="69">
        <v>396.6551</v>
      </c>
    </row>
    <row r="90" spans="1:21">
      <c r="A90" s="64">
        <v>46237.375</v>
      </c>
      <c r="B90" s="65" t="s">
        <v>29</v>
      </c>
      <c r="C90" s="66">
        <v>3298</v>
      </c>
      <c r="D90" s="66">
        <v>3584.346</v>
      </c>
      <c r="E90" s="66">
        <v>278.30439999999999</v>
      </c>
      <c r="F90" s="66">
        <v>261.4717</v>
      </c>
      <c r="G90" s="49">
        <f t="shared" si="2"/>
        <v>396.32549999999998</v>
      </c>
      <c r="H90" s="44">
        <f t="shared" si="3"/>
        <v>4000.0001000000002</v>
      </c>
      <c r="R90" s="67" t="s">
        <v>36</v>
      </c>
      <c r="S90" s="67" t="s">
        <v>36</v>
      </c>
      <c r="T90" s="68">
        <v>46237.375</v>
      </c>
      <c r="U90" s="69">
        <v>396.32549999999998</v>
      </c>
    </row>
    <row r="91" spans="1:21">
      <c r="A91" s="64">
        <v>46237.416666666664</v>
      </c>
      <c r="B91" s="65" t="s">
        <v>29</v>
      </c>
      <c r="C91" s="66">
        <v>3537</v>
      </c>
      <c r="D91" s="66">
        <v>3565.2869999999998</v>
      </c>
      <c r="E91" s="66">
        <v>278.21449999999999</v>
      </c>
      <c r="F91" s="66">
        <v>260.90539999999999</v>
      </c>
      <c r="G91" s="49">
        <f t="shared" si="2"/>
        <v>395.99579999999997</v>
      </c>
      <c r="H91" s="44">
        <f t="shared" si="3"/>
        <v>4000.0003999999999</v>
      </c>
      <c r="R91" s="67" t="s">
        <v>36</v>
      </c>
      <c r="S91" s="67" t="s">
        <v>36</v>
      </c>
      <c r="T91" s="68">
        <v>46237.416666666664</v>
      </c>
      <c r="U91" s="69">
        <v>395.99579999999997</v>
      </c>
    </row>
    <row r="92" spans="1:21">
      <c r="A92" s="64">
        <v>46237.458333333336</v>
      </c>
      <c r="B92" s="65" t="s">
        <v>29</v>
      </c>
      <c r="C92" s="66">
        <v>3750.5</v>
      </c>
      <c r="D92" s="66">
        <v>3475.4609999999998</v>
      </c>
      <c r="E92" s="66">
        <v>278.28500000000003</v>
      </c>
      <c r="F92" s="66">
        <v>261.34949999999998</v>
      </c>
      <c r="G92" s="49">
        <f t="shared" si="2"/>
        <v>395.08730000000003</v>
      </c>
      <c r="H92" s="44">
        <f t="shared" si="3"/>
        <v>3999.9995999999996</v>
      </c>
      <c r="R92" s="67" t="s">
        <v>36</v>
      </c>
      <c r="S92" s="67" t="s">
        <v>36</v>
      </c>
      <c r="T92" s="68">
        <v>46237.458333333336</v>
      </c>
      <c r="U92" s="69">
        <v>395.08730000000003</v>
      </c>
    </row>
    <row r="93" spans="1:21">
      <c r="A93" s="64">
        <v>46237.5</v>
      </c>
      <c r="B93" s="65" t="s">
        <v>29</v>
      </c>
      <c r="C93" s="66">
        <v>3964</v>
      </c>
      <c r="D93" s="66">
        <v>3385.636</v>
      </c>
      <c r="E93" s="66">
        <v>278.52870000000001</v>
      </c>
      <c r="F93" s="66">
        <v>262.88569999999999</v>
      </c>
      <c r="G93" s="49">
        <f t="shared" si="2"/>
        <v>394.1789</v>
      </c>
      <c r="H93" s="44">
        <f t="shared" si="3"/>
        <v>3999.9998000000001</v>
      </c>
      <c r="R93" s="67" t="s">
        <v>36</v>
      </c>
      <c r="S93" s="67" t="s">
        <v>36</v>
      </c>
      <c r="T93" s="68">
        <v>46237.5</v>
      </c>
      <c r="U93" s="69">
        <v>394.1789</v>
      </c>
    </row>
    <row r="94" spans="1:21">
      <c r="A94" s="64">
        <v>46237.541666666664</v>
      </c>
      <c r="B94" s="65" t="s">
        <v>29</v>
      </c>
      <c r="C94" s="66">
        <v>4099</v>
      </c>
      <c r="D94" s="66">
        <v>3056.6390000000001</v>
      </c>
      <c r="E94" s="66">
        <v>278.99160000000001</v>
      </c>
      <c r="F94" s="66">
        <v>265.803</v>
      </c>
      <c r="G94" s="49">
        <f t="shared" si="2"/>
        <v>395.38679999999999</v>
      </c>
      <c r="H94" s="44">
        <f t="shared" si="3"/>
        <v>3999.9994999999999</v>
      </c>
      <c r="R94" s="67" t="s">
        <v>36</v>
      </c>
      <c r="S94" s="67" t="s">
        <v>36</v>
      </c>
      <c r="T94" s="68">
        <v>46237.541666666664</v>
      </c>
      <c r="U94" s="69">
        <v>395.38679999999999</v>
      </c>
    </row>
    <row r="95" spans="1:21">
      <c r="A95" s="64">
        <v>46237.583333333336</v>
      </c>
      <c r="B95" s="65" t="s">
        <v>29</v>
      </c>
      <c r="C95" s="66">
        <v>4234</v>
      </c>
      <c r="D95" s="66">
        <v>2727.643</v>
      </c>
      <c r="E95" s="66">
        <v>279.71949999999998</v>
      </c>
      <c r="F95" s="66">
        <v>270.39069999999998</v>
      </c>
      <c r="G95" s="49">
        <f t="shared" si="2"/>
        <v>396.59480000000002</v>
      </c>
      <c r="H95" s="44">
        <f t="shared" si="3"/>
        <v>4000</v>
      </c>
      <c r="R95" s="67" t="s">
        <v>36</v>
      </c>
      <c r="S95" s="67" t="s">
        <v>36</v>
      </c>
      <c r="T95" s="68">
        <v>46237.583333333336</v>
      </c>
      <c r="U95" s="69">
        <v>396.59480000000002</v>
      </c>
    </row>
    <row r="96" spans="1:21">
      <c r="A96" s="64">
        <v>46237.625</v>
      </c>
      <c r="B96" s="65" t="s">
        <v>29</v>
      </c>
      <c r="C96" s="66">
        <v>4102</v>
      </c>
      <c r="D96" s="66">
        <v>2619.462</v>
      </c>
      <c r="E96" s="66">
        <v>280.55619999999999</v>
      </c>
      <c r="F96" s="66">
        <v>275.77069999999998</v>
      </c>
      <c r="G96" s="49">
        <f t="shared" si="2"/>
        <v>415.65410000000003</v>
      </c>
      <c r="H96" s="44">
        <f t="shared" si="3"/>
        <v>4000</v>
      </c>
      <c r="R96" s="67" t="s">
        <v>36</v>
      </c>
      <c r="S96" s="67" t="s">
        <v>36</v>
      </c>
      <c r="T96" s="68">
        <v>46237.625</v>
      </c>
      <c r="U96" s="69">
        <v>415.65410000000003</v>
      </c>
    </row>
    <row r="97" spans="1:21">
      <c r="A97" s="64">
        <v>46237.666666666664</v>
      </c>
      <c r="B97" s="65" t="s">
        <v>29</v>
      </c>
      <c r="C97" s="66">
        <v>3970</v>
      </c>
      <c r="D97" s="66">
        <v>2511.2809999999999</v>
      </c>
      <c r="E97" s="66">
        <v>281.37150000000003</v>
      </c>
      <c r="F97" s="66">
        <v>281.06490000000002</v>
      </c>
      <c r="G97" s="49">
        <f t="shared" si="2"/>
        <v>434.71339999999998</v>
      </c>
      <c r="H97" s="44">
        <f t="shared" si="3"/>
        <v>4000</v>
      </c>
      <c r="R97" s="67" t="s">
        <v>36</v>
      </c>
      <c r="S97" s="67" t="s">
        <v>36</v>
      </c>
      <c r="T97" s="68">
        <v>46237.666666666664</v>
      </c>
      <c r="U97" s="69">
        <v>434.71339999999998</v>
      </c>
    </row>
    <row r="98" spans="1:21">
      <c r="A98" s="64">
        <v>46237.708333333336</v>
      </c>
      <c r="B98" s="65" t="s">
        <v>29</v>
      </c>
      <c r="C98" s="66">
        <v>3756</v>
      </c>
      <c r="D98" s="66">
        <v>2595.7660000000001</v>
      </c>
      <c r="E98" s="66">
        <v>282.09390000000002</v>
      </c>
      <c r="F98" s="66">
        <v>285.77910000000003</v>
      </c>
      <c r="G98" s="49">
        <f t="shared" si="2"/>
        <v>524.53859999999997</v>
      </c>
      <c r="H98" s="44">
        <f t="shared" si="3"/>
        <v>4000</v>
      </c>
      <c r="R98" s="67" t="s">
        <v>36</v>
      </c>
      <c r="S98" s="67" t="s">
        <v>36</v>
      </c>
      <c r="T98" s="68">
        <v>46237.708333333336</v>
      </c>
      <c r="U98" s="69">
        <v>524.53859999999997</v>
      </c>
    </row>
    <row r="99" spans="1:21">
      <c r="A99" s="64">
        <v>46237.75</v>
      </c>
      <c r="B99" s="65" t="s">
        <v>29</v>
      </c>
      <c r="C99" s="66">
        <v>3542</v>
      </c>
      <c r="D99" s="66">
        <v>2680.25</v>
      </c>
      <c r="E99" s="66">
        <v>282.63420000000002</v>
      </c>
      <c r="F99" s="66">
        <v>289.41860000000003</v>
      </c>
      <c r="G99" s="49">
        <f t="shared" si="2"/>
        <v>614.36379999999997</v>
      </c>
      <c r="H99" s="44">
        <f t="shared" si="3"/>
        <v>4000</v>
      </c>
      <c r="R99" s="67" t="s">
        <v>36</v>
      </c>
      <c r="S99" s="67" t="s">
        <v>36</v>
      </c>
      <c r="T99" s="68">
        <v>46237.75</v>
      </c>
      <c r="U99" s="69">
        <v>614.36379999999997</v>
      </c>
    </row>
    <row r="100" spans="1:21">
      <c r="A100" s="64">
        <v>46237.791666666664</v>
      </c>
      <c r="B100" s="65" t="s">
        <v>29</v>
      </c>
      <c r="C100" s="66">
        <v>3363</v>
      </c>
      <c r="D100" s="66">
        <v>2825.27</v>
      </c>
      <c r="E100" s="66">
        <v>283.00810000000001</v>
      </c>
      <c r="F100" s="66">
        <v>291.93770000000001</v>
      </c>
      <c r="G100" s="49">
        <f t="shared" si="2"/>
        <v>943.3605</v>
      </c>
      <c r="H100" s="44">
        <f t="shared" si="3"/>
        <v>4000</v>
      </c>
      <c r="R100" s="67" t="s">
        <v>36</v>
      </c>
      <c r="S100" s="67" t="s">
        <v>36</v>
      </c>
      <c r="T100" s="68">
        <v>46237.791666666664</v>
      </c>
      <c r="U100" s="69">
        <v>943.3605</v>
      </c>
    </row>
    <row r="101" spans="1:21">
      <c r="A101" s="64">
        <v>46237.833333333336</v>
      </c>
      <c r="B101" s="65" t="s">
        <v>29</v>
      </c>
      <c r="C101" s="66">
        <v>3184</v>
      </c>
      <c r="D101" s="66">
        <v>2970.2890000000002</v>
      </c>
      <c r="E101" s="66">
        <v>283.20890000000003</v>
      </c>
      <c r="F101" s="66">
        <v>293.2903</v>
      </c>
      <c r="G101" s="49">
        <f t="shared" si="2"/>
        <v>1272.357</v>
      </c>
      <c r="H101" s="44">
        <f t="shared" si="3"/>
        <v>4000</v>
      </c>
      <c r="R101" s="67" t="s">
        <v>36</v>
      </c>
      <c r="S101" s="67" t="s">
        <v>36</v>
      </c>
      <c r="T101" s="68">
        <v>46237.833333333336</v>
      </c>
      <c r="U101" s="69">
        <v>1272.357</v>
      </c>
    </row>
    <row r="102" spans="1:21">
      <c r="A102" s="64">
        <v>46237.875</v>
      </c>
      <c r="B102" s="65" t="s">
        <v>29</v>
      </c>
      <c r="C102" s="66">
        <v>3033.5</v>
      </c>
      <c r="D102" s="66">
        <v>3111.335</v>
      </c>
      <c r="E102" s="66">
        <v>283.24520000000001</v>
      </c>
      <c r="F102" s="66">
        <v>293.53489999999999</v>
      </c>
      <c r="G102" s="49">
        <f t="shared" si="2"/>
        <v>1380.538</v>
      </c>
      <c r="H102" s="44">
        <f t="shared" si="3"/>
        <v>3999.9998999999998</v>
      </c>
      <c r="R102" s="67" t="s">
        <v>36</v>
      </c>
      <c r="S102" s="67" t="s">
        <v>36</v>
      </c>
      <c r="T102" s="68">
        <v>46237.875</v>
      </c>
      <c r="U102" s="69">
        <v>1380.538</v>
      </c>
    </row>
    <row r="103" spans="1:21">
      <c r="A103" s="64">
        <v>46237.916666666664</v>
      </c>
      <c r="B103" s="65" t="s">
        <v>29</v>
      </c>
      <c r="C103" s="66">
        <v>2883</v>
      </c>
      <c r="D103" s="66">
        <v>3252.3809999999999</v>
      </c>
      <c r="E103" s="66">
        <v>283.12569999999999</v>
      </c>
      <c r="F103" s="66">
        <v>292.72989999999999</v>
      </c>
      <c r="G103" s="49">
        <f t="shared" si="2"/>
        <v>1488.7190000000001</v>
      </c>
      <c r="H103" s="44">
        <f t="shared" si="3"/>
        <v>4000</v>
      </c>
      <c r="R103" s="67" t="s">
        <v>36</v>
      </c>
      <c r="S103" s="67" t="s">
        <v>36</v>
      </c>
      <c r="T103" s="68">
        <v>46237.916666666664</v>
      </c>
      <c r="U103" s="69">
        <v>1488.7190000000001</v>
      </c>
    </row>
    <row r="104" spans="1:21">
      <c r="A104" s="64">
        <v>46237.958333333336</v>
      </c>
      <c r="B104" s="65" t="s">
        <v>29</v>
      </c>
      <c r="C104" s="66">
        <v>2756.5</v>
      </c>
      <c r="D104" s="66">
        <v>3362.6709999999998</v>
      </c>
      <c r="E104" s="66">
        <v>282.86509999999998</v>
      </c>
      <c r="F104" s="66">
        <v>290.97390000000001</v>
      </c>
      <c r="G104" s="49">
        <f t="shared" si="2"/>
        <v>1404.2339999999999</v>
      </c>
      <c r="H104" s="44">
        <f t="shared" si="3"/>
        <v>4000</v>
      </c>
      <c r="R104" s="67" t="s">
        <v>36</v>
      </c>
      <c r="S104" s="67" t="s">
        <v>36</v>
      </c>
      <c r="T104" s="68">
        <v>46237.958333333336</v>
      </c>
      <c r="U104" s="69">
        <v>1404.2339999999999</v>
      </c>
    </row>
    <row r="105" spans="1:21">
      <c r="A105" s="64">
        <v>46238</v>
      </c>
      <c r="B105" s="65" t="s">
        <v>29</v>
      </c>
      <c r="C105" s="66">
        <v>2630</v>
      </c>
      <c r="D105" s="66">
        <v>3472.9609999999998</v>
      </c>
      <c r="E105" s="66">
        <v>282.4778</v>
      </c>
      <c r="F105" s="66">
        <v>288.36540000000002</v>
      </c>
      <c r="G105" s="49">
        <f t="shared" si="2"/>
        <v>1319.75</v>
      </c>
      <c r="H105" s="44">
        <f t="shared" si="3"/>
        <v>3999.9998999999998</v>
      </c>
      <c r="R105" s="67" t="s">
        <v>36</v>
      </c>
      <c r="S105" s="67" t="s">
        <v>36</v>
      </c>
      <c r="T105" s="68">
        <v>46238</v>
      </c>
      <c r="U105" s="69">
        <v>1319.75</v>
      </c>
    </row>
    <row r="106" spans="1:21">
      <c r="A106" s="64">
        <v>46238.041666666664</v>
      </c>
      <c r="B106" s="65" t="s">
        <v>29</v>
      </c>
      <c r="C106" s="66">
        <v>2524.5</v>
      </c>
      <c r="D106" s="66">
        <v>3550.2750000000001</v>
      </c>
      <c r="E106" s="66">
        <v>281.97770000000003</v>
      </c>
      <c r="F106" s="66">
        <v>285.00170000000003</v>
      </c>
      <c r="G106" s="49">
        <f t="shared" si="2"/>
        <v>1174.73</v>
      </c>
      <c r="H106" s="44">
        <f t="shared" si="3"/>
        <v>4000.0003000000002</v>
      </c>
      <c r="R106" s="67" t="s">
        <v>36</v>
      </c>
      <c r="S106" s="67" t="s">
        <v>36</v>
      </c>
      <c r="T106" s="68">
        <v>46238.041666666664</v>
      </c>
      <c r="U106" s="69">
        <v>1174.73</v>
      </c>
    </row>
    <row r="107" spans="1:21">
      <c r="A107" s="64">
        <v>46238.083333333336</v>
      </c>
      <c r="B107" s="65" t="s">
        <v>29</v>
      </c>
      <c r="C107" s="66">
        <v>2419</v>
      </c>
      <c r="D107" s="66">
        <v>3627.5880000000002</v>
      </c>
      <c r="E107" s="66">
        <v>281.35840000000002</v>
      </c>
      <c r="F107" s="66">
        <v>280.97989999999999</v>
      </c>
      <c r="G107" s="49">
        <f t="shared" si="2"/>
        <v>1029.711</v>
      </c>
      <c r="H107" s="44">
        <f t="shared" si="3"/>
        <v>3999.9996000000001</v>
      </c>
      <c r="R107" s="67" t="s">
        <v>36</v>
      </c>
      <c r="S107" s="67" t="s">
        <v>36</v>
      </c>
      <c r="T107" s="68">
        <v>46238.083333333336</v>
      </c>
      <c r="U107" s="69">
        <v>1029.711</v>
      </c>
    </row>
    <row r="108" spans="1:21">
      <c r="A108" s="64">
        <v>46238.125</v>
      </c>
      <c r="B108" s="65" t="s">
        <v>29</v>
      </c>
      <c r="C108" s="66">
        <v>2346.5</v>
      </c>
      <c r="D108" s="66">
        <v>3679.7260000000001</v>
      </c>
      <c r="E108" s="66">
        <v>280.65379999999999</v>
      </c>
      <c r="F108" s="66">
        <v>276.40460000000002</v>
      </c>
      <c r="G108" s="49">
        <f t="shared" si="2"/>
        <v>888.66489999999999</v>
      </c>
      <c r="H108" s="44">
        <f t="shared" si="3"/>
        <v>4000.0005000000001</v>
      </c>
      <c r="R108" s="67" t="s">
        <v>36</v>
      </c>
      <c r="S108" s="67" t="s">
        <v>36</v>
      </c>
      <c r="T108" s="68">
        <v>46238.125</v>
      </c>
      <c r="U108" s="69">
        <v>888.66489999999999</v>
      </c>
    </row>
    <row r="109" spans="1:21">
      <c r="A109" s="64">
        <v>46238.166666666664</v>
      </c>
      <c r="B109" s="65" t="s">
        <v>29</v>
      </c>
      <c r="C109" s="66">
        <v>2274</v>
      </c>
      <c r="D109" s="66">
        <v>3731.8629999999998</v>
      </c>
      <c r="E109" s="66">
        <v>279.8766</v>
      </c>
      <c r="F109" s="66">
        <v>271.38060000000002</v>
      </c>
      <c r="G109" s="49">
        <f t="shared" si="2"/>
        <v>747.61900000000003</v>
      </c>
      <c r="H109" s="44">
        <f t="shared" si="3"/>
        <v>4000.0003999999999</v>
      </c>
      <c r="R109" s="67" t="s">
        <v>36</v>
      </c>
      <c r="S109" s="67" t="s">
        <v>36</v>
      </c>
      <c r="T109" s="68">
        <v>46238.166666666664</v>
      </c>
      <c r="U109" s="69">
        <v>747.61900000000003</v>
      </c>
    </row>
    <row r="110" spans="1:21">
      <c r="A110" s="64">
        <v>46238.208333333336</v>
      </c>
      <c r="B110" s="65" t="s">
        <v>29</v>
      </c>
      <c r="C110" s="66">
        <v>2254</v>
      </c>
      <c r="D110" s="66">
        <v>3766.3589999999999</v>
      </c>
      <c r="E110" s="66">
        <v>279.0283</v>
      </c>
      <c r="F110" s="66">
        <v>266.0342</v>
      </c>
      <c r="G110" s="49">
        <f t="shared" si="2"/>
        <v>637.32899999999995</v>
      </c>
      <c r="H110" s="44">
        <f t="shared" si="3"/>
        <v>3999.9998999999998</v>
      </c>
      <c r="R110" s="67" t="s">
        <v>36</v>
      </c>
      <c r="S110" s="67" t="s">
        <v>36</v>
      </c>
      <c r="T110" s="68">
        <v>46238.208333333336</v>
      </c>
      <c r="U110" s="69">
        <v>637.32899999999995</v>
      </c>
    </row>
    <row r="111" spans="1:21">
      <c r="A111" s="64">
        <v>46238.25</v>
      </c>
      <c r="B111" s="65" t="s">
        <v>29</v>
      </c>
      <c r="C111" s="66">
        <v>2234</v>
      </c>
      <c r="D111" s="66">
        <v>3800.855</v>
      </c>
      <c r="E111" s="66">
        <v>278.14890000000003</v>
      </c>
      <c r="F111" s="66">
        <v>260.49169999999998</v>
      </c>
      <c r="G111" s="49">
        <f t="shared" si="2"/>
        <v>527.03890000000001</v>
      </c>
      <c r="H111" s="44">
        <f t="shared" si="3"/>
        <v>3999.9994999999999</v>
      </c>
      <c r="R111" s="67" t="s">
        <v>36</v>
      </c>
      <c r="S111" s="67" t="s">
        <v>36</v>
      </c>
      <c r="T111" s="68">
        <v>46238.25</v>
      </c>
      <c r="U111" s="69">
        <v>527.03890000000001</v>
      </c>
    </row>
    <row r="112" spans="1:21">
      <c r="A112" s="64">
        <v>46238.291666666664</v>
      </c>
      <c r="B112" s="65" t="s">
        <v>29</v>
      </c>
      <c r="C112" s="66">
        <v>2225</v>
      </c>
      <c r="D112" s="66">
        <v>3824.357</v>
      </c>
      <c r="E112" s="66">
        <v>277.22179999999997</v>
      </c>
      <c r="F112" s="66">
        <v>254.79249999999999</v>
      </c>
      <c r="G112" s="49">
        <f t="shared" si="2"/>
        <v>449.7253</v>
      </c>
      <c r="H112" s="44">
        <f t="shared" si="3"/>
        <v>3999.9994999999999</v>
      </c>
      <c r="R112" s="67" t="s">
        <v>36</v>
      </c>
      <c r="S112" s="67" t="s">
        <v>36</v>
      </c>
      <c r="T112" s="68">
        <v>46238.291666666664</v>
      </c>
      <c r="U112" s="69">
        <v>449.7253</v>
      </c>
    </row>
    <row r="113" spans="1:21">
      <c r="A113" s="64">
        <v>46238.333333333336</v>
      </c>
      <c r="B113" s="65" t="s">
        <v>29</v>
      </c>
      <c r="C113" s="66">
        <v>2216</v>
      </c>
      <c r="D113" s="66">
        <v>3847.86</v>
      </c>
      <c r="E113" s="66">
        <v>276.27109999999999</v>
      </c>
      <c r="F113" s="66">
        <v>248.97630000000001</v>
      </c>
      <c r="G113" s="49">
        <f t="shared" si="2"/>
        <v>372.41160000000002</v>
      </c>
      <c r="H113" s="44">
        <f t="shared" si="3"/>
        <v>4000.0003999999999</v>
      </c>
      <c r="R113" s="67" t="s">
        <v>36</v>
      </c>
      <c r="S113" s="67" t="s">
        <v>36</v>
      </c>
      <c r="T113" s="68">
        <v>46238.333333333336</v>
      </c>
      <c r="U113" s="69">
        <v>372.41160000000002</v>
      </c>
    </row>
    <row r="114" spans="1:21">
      <c r="A114" s="64">
        <v>46238.375</v>
      </c>
      <c r="B114" s="65" t="s">
        <v>29</v>
      </c>
      <c r="C114" s="66">
        <v>2190.5</v>
      </c>
      <c r="D114" s="66">
        <v>2190.5</v>
      </c>
      <c r="E114" s="66">
        <v>275.78339999999997</v>
      </c>
      <c r="F114" s="66">
        <v>246.03890000000001</v>
      </c>
      <c r="G114" s="49">
        <f t="shared" si="2"/>
        <v>320.27449999999999</v>
      </c>
      <c r="H114" s="44">
        <f t="shared" si="3"/>
        <v>2326.3654000000001</v>
      </c>
      <c r="R114" s="67" t="s">
        <v>36</v>
      </c>
      <c r="S114" s="67" t="s">
        <v>36</v>
      </c>
      <c r="T114" s="68">
        <v>46238.375</v>
      </c>
      <c r="U114" s="69">
        <v>320.27449999999999</v>
      </c>
    </row>
    <row r="115" spans="1:21">
      <c r="A115" s="64">
        <v>46238.416666666664</v>
      </c>
      <c r="B115" s="65" t="s">
        <v>29</v>
      </c>
      <c r="C115" s="66">
        <v>2165</v>
      </c>
      <c r="D115" s="66">
        <v>2165</v>
      </c>
      <c r="E115" s="66">
        <v>275.78339999999997</v>
      </c>
      <c r="F115" s="66">
        <v>246.03890000000001</v>
      </c>
      <c r="G115" s="49">
        <f t="shared" si="2"/>
        <v>268.13740000000001</v>
      </c>
      <c r="H115" s="44">
        <f t="shared" si="3"/>
        <v>2284.5902999999998</v>
      </c>
      <c r="R115" s="67" t="s">
        <v>36</v>
      </c>
      <c r="S115" s="67" t="s">
        <v>36</v>
      </c>
      <c r="T115" s="68">
        <v>46238.416666666664</v>
      </c>
      <c r="U115" s="69">
        <v>268.13740000000001</v>
      </c>
    </row>
    <row r="116" spans="1:21">
      <c r="A116" s="64">
        <v>46238.458333333336</v>
      </c>
      <c r="B116" s="65" t="s">
        <v>29</v>
      </c>
      <c r="C116" s="66">
        <v>2137.5</v>
      </c>
      <c r="D116" s="66">
        <v>2137.5</v>
      </c>
      <c r="E116" s="66">
        <v>275.78339999999997</v>
      </c>
      <c r="F116" s="66">
        <v>246.03890000000001</v>
      </c>
      <c r="G116" s="49">
        <f t="shared" si="2"/>
        <v>233.64089999999999</v>
      </c>
      <c r="H116" s="44">
        <f t="shared" si="3"/>
        <v>2244.9688000000001</v>
      </c>
      <c r="R116" s="67" t="s">
        <v>36</v>
      </c>
      <c r="S116" s="67" t="s">
        <v>36</v>
      </c>
      <c r="T116" s="68">
        <v>46238.458333333336</v>
      </c>
      <c r="U116" s="69">
        <v>233.64089999999999</v>
      </c>
    </row>
    <row r="117" spans="1:21">
      <c r="A117" s="64">
        <v>46238.5</v>
      </c>
      <c r="B117" s="65" t="s">
        <v>29</v>
      </c>
      <c r="C117" s="66">
        <v>2110</v>
      </c>
      <c r="D117" s="66">
        <v>2110</v>
      </c>
      <c r="E117" s="66">
        <v>275.78339999999997</v>
      </c>
      <c r="F117" s="66">
        <v>246.03890000000001</v>
      </c>
      <c r="G117" s="49">
        <f t="shared" si="2"/>
        <v>199.14449999999999</v>
      </c>
      <c r="H117" s="44">
        <f t="shared" si="3"/>
        <v>2205.3471599999998</v>
      </c>
      <c r="R117" s="67" t="s">
        <v>36</v>
      </c>
      <c r="S117" s="67" t="s">
        <v>36</v>
      </c>
      <c r="T117" s="68">
        <v>46238.5</v>
      </c>
      <c r="U117" s="69">
        <v>199.14449999999999</v>
      </c>
    </row>
    <row r="118" spans="1:21">
      <c r="A118" s="64">
        <v>46238.541666666664</v>
      </c>
      <c r="B118" s="65" t="s">
        <v>29</v>
      </c>
      <c r="C118" s="66">
        <v>2069.5</v>
      </c>
      <c r="D118" s="66">
        <v>2069.5</v>
      </c>
      <c r="E118" s="66">
        <v>275.78339999999997</v>
      </c>
      <c r="F118" s="66">
        <v>246.03890000000001</v>
      </c>
      <c r="G118" s="49">
        <f t="shared" si="2"/>
        <v>175.64250000000001</v>
      </c>
      <c r="H118" s="44">
        <f t="shared" si="3"/>
        <v>2156.5859700000001</v>
      </c>
      <c r="R118" s="67" t="s">
        <v>36</v>
      </c>
      <c r="S118" s="67" t="s">
        <v>36</v>
      </c>
      <c r="T118" s="68">
        <v>46238.541666666664</v>
      </c>
      <c r="U118" s="69">
        <v>175.64250000000001</v>
      </c>
    </row>
    <row r="119" spans="1:21">
      <c r="A119" s="64">
        <v>46238.583333333336</v>
      </c>
      <c r="B119" s="65" t="s">
        <v>29</v>
      </c>
      <c r="C119" s="66">
        <v>2029</v>
      </c>
      <c r="D119" s="66">
        <v>2029</v>
      </c>
      <c r="E119" s="66">
        <v>275.78339999999997</v>
      </c>
      <c r="F119" s="66">
        <v>246.03890000000001</v>
      </c>
      <c r="G119" s="49">
        <f t="shared" si="2"/>
        <v>152.1404</v>
      </c>
      <c r="H119" s="44">
        <f t="shared" si="3"/>
        <v>2107.8247799999999</v>
      </c>
      <c r="R119" s="67" t="s">
        <v>36</v>
      </c>
      <c r="S119" s="67" t="s">
        <v>36</v>
      </c>
      <c r="T119" s="68">
        <v>46238.583333333336</v>
      </c>
      <c r="U119" s="69">
        <v>152.1404</v>
      </c>
    </row>
    <row r="120" spans="1:21">
      <c r="A120" s="64">
        <v>46238.625</v>
      </c>
      <c r="B120" s="65" t="s">
        <v>29</v>
      </c>
      <c r="C120" s="66">
        <v>1969.5</v>
      </c>
      <c r="D120" s="66">
        <v>1969.5</v>
      </c>
      <c r="E120" s="66">
        <v>275.78339999999997</v>
      </c>
      <c r="F120" s="66">
        <v>246.03890000000001</v>
      </c>
      <c r="G120" s="49">
        <f t="shared" si="2"/>
        <v>135.86539999999999</v>
      </c>
      <c r="H120" s="44">
        <f t="shared" si="3"/>
        <v>2041.43497</v>
      </c>
      <c r="R120" s="67" t="s">
        <v>36</v>
      </c>
      <c r="S120" s="67" t="s">
        <v>36</v>
      </c>
      <c r="T120" s="68">
        <v>46238.625</v>
      </c>
      <c r="U120" s="69">
        <v>135.86539999999999</v>
      </c>
    </row>
    <row r="121" spans="1:21">
      <c r="A121" s="64">
        <v>46238.666666666664</v>
      </c>
      <c r="B121" s="65" t="s">
        <v>29</v>
      </c>
      <c r="C121" s="66">
        <v>1910</v>
      </c>
      <c r="D121" s="66">
        <v>1910</v>
      </c>
      <c r="E121" s="66">
        <v>275.78339999999997</v>
      </c>
      <c r="F121" s="66">
        <v>246.03890000000001</v>
      </c>
      <c r="G121" s="49">
        <f t="shared" si="2"/>
        <v>119.5903</v>
      </c>
      <c r="H121" s="44">
        <f t="shared" si="3"/>
        <v>1975.0451700000001</v>
      </c>
      <c r="R121" s="67" t="s">
        <v>36</v>
      </c>
      <c r="S121" s="67" t="s">
        <v>36</v>
      </c>
      <c r="T121" s="68">
        <v>46238.666666666664</v>
      </c>
      <c r="U121" s="69">
        <v>119.5903</v>
      </c>
    </row>
    <row r="122" spans="1:21">
      <c r="A122" s="64">
        <v>46238.708333333336</v>
      </c>
      <c r="B122" s="65" t="s">
        <v>29</v>
      </c>
      <c r="C122" s="66">
        <v>1843</v>
      </c>
      <c r="D122" s="66">
        <v>1843</v>
      </c>
      <c r="E122" s="66">
        <v>275.78339999999997</v>
      </c>
      <c r="F122" s="66">
        <v>246.03890000000001</v>
      </c>
      <c r="G122" s="49">
        <f t="shared" si="2"/>
        <v>107.4688</v>
      </c>
      <c r="H122" s="44">
        <f t="shared" si="3"/>
        <v>1903.1657399999999</v>
      </c>
      <c r="R122" s="67" t="s">
        <v>36</v>
      </c>
      <c r="S122" s="67" t="s">
        <v>36</v>
      </c>
      <c r="T122" s="68">
        <v>46238.708333333336</v>
      </c>
      <c r="U122" s="69">
        <v>107.4688</v>
      </c>
    </row>
    <row r="123" spans="1:21">
      <c r="A123" s="64">
        <v>46238.75</v>
      </c>
      <c r="B123" s="65" t="s">
        <v>29</v>
      </c>
      <c r="C123" s="66">
        <v>1776</v>
      </c>
      <c r="D123" s="66">
        <v>1776</v>
      </c>
      <c r="E123" s="66">
        <v>275.78339999999997</v>
      </c>
      <c r="F123" s="66">
        <v>246.03890000000001</v>
      </c>
      <c r="G123" s="49">
        <f t="shared" si="2"/>
        <v>95.347160000000002</v>
      </c>
      <c r="H123" s="44">
        <f t="shared" si="3"/>
        <v>1831.2863299999999</v>
      </c>
      <c r="R123" s="67" t="s">
        <v>36</v>
      </c>
      <c r="S123" s="67" t="s">
        <v>36</v>
      </c>
      <c r="T123" s="68">
        <v>46238.75</v>
      </c>
      <c r="U123" s="69">
        <v>95.347160000000002</v>
      </c>
    </row>
    <row r="124" spans="1:21">
      <c r="A124" s="64">
        <v>46238.791666666664</v>
      </c>
      <c r="B124" s="65" t="s">
        <v>29</v>
      </c>
      <c r="C124" s="66">
        <v>1709.5</v>
      </c>
      <c r="D124" s="66">
        <v>1709.5</v>
      </c>
      <c r="E124" s="66">
        <v>275.78339999999997</v>
      </c>
      <c r="F124" s="66">
        <v>246.03890000000001</v>
      </c>
      <c r="G124" s="49">
        <f t="shared" si="2"/>
        <v>87.085970000000003</v>
      </c>
      <c r="H124" s="44">
        <f t="shared" si="3"/>
        <v>1760.2282500000001</v>
      </c>
      <c r="R124" s="67" t="s">
        <v>36</v>
      </c>
      <c r="S124" s="67" t="s">
        <v>36</v>
      </c>
      <c r="T124" s="68">
        <v>46238.791666666664</v>
      </c>
      <c r="U124" s="69">
        <v>87.085970000000003</v>
      </c>
    </row>
    <row r="125" spans="1:21">
      <c r="A125" s="64">
        <v>46238.833333333336</v>
      </c>
      <c r="B125" s="65" t="s">
        <v>29</v>
      </c>
      <c r="C125" s="66">
        <v>1643</v>
      </c>
      <c r="D125" s="66">
        <v>1643</v>
      </c>
      <c r="E125" s="66">
        <v>275.78339999999997</v>
      </c>
      <c r="F125" s="66">
        <v>246.03890000000001</v>
      </c>
      <c r="G125" s="49">
        <f t="shared" si="2"/>
        <v>78.824780000000004</v>
      </c>
      <c r="H125" s="44">
        <f t="shared" si="3"/>
        <v>1689.1701700000001</v>
      </c>
      <c r="R125" s="67" t="s">
        <v>36</v>
      </c>
      <c r="S125" s="67" t="s">
        <v>36</v>
      </c>
      <c r="T125" s="68">
        <v>46238.833333333336</v>
      </c>
      <c r="U125" s="69">
        <v>78.824780000000004</v>
      </c>
    </row>
    <row r="126" spans="1:21">
      <c r="A126" s="64">
        <v>46238.875</v>
      </c>
      <c r="B126" s="65" t="s">
        <v>29</v>
      </c>
      <c r="C126" s="66">
        <v>1582.5</v>
      </c>
      <c r="D126" s="66">
        <v>1582.5</v>
      </c>
      <c r="E126" s="66">
        <v>275.78339999999997</v>
      </c>
      <c r="F126" s="66">
        <v>246.03890000000001</v>
      </c>
      <c r="G126" s="49">
        <f t="shared" si="2"/>
        <v>71.934970000000007</v>
      </c>
      <c r="H126" s="44">
        <f t="shared" si="3"/>
        <v>1625.06331</v>
      </c>
      <c r="R126" s="67" t="s">
        <v>36</v>
      </c>
      <c r="S126" s="67" t="s">
        <v>36</v>
      </c>
      <c r="T126" s="68">
        <v>46238.875</v>
      </c>
      <c r="U126" s="69">
        <v>71.934970000000007</v>
      </c>
    </row>
    <row r="127" spans="1:21">
      <c r="A127" s="64">
        <v>46238.916666666664</v>
      </c>
      <c r="B127" s="65" t="s">
        <v>29</v>
      </c>
      <c r="C127" s="66">
        <v>1522</v>
      </c>
      <c r="D127" s="66">
        <v>1522</v>
      </c>
      <c r="E127" s="66">
        <v>275.78339999999997</v>
      </c>
      <c r="F127" s="66">
        <v>246.03890000000001</v>
      </c>
      <c r="G127" s="49">
        <f t="shared" si="2"/>
        <v>65.045169999999999</v>
      </c>
      <c r="H127" s="44">
        <f t="shared" si="3"/>
        <v>1560.9564600000001</v>
      </c>
      <c r="R127" s="67" t="s">
        <v>36</v>
      </c>
      <c r="S127" s="67" t="s">
        <v>36</v>
      </c>
      <c r="T127" s="68">
        <v>46238.916666666664</v>
      </c>
      <c r="U127" s="69">
        <v>65.045169999999999</v>
      </c>
    </row>
    <row r="128" spans="1:21">
      <c r="A128" s="64">
        <v>46238.958333333336</v>
      </c>
      <c r="B128" s="65" t="s">
        <v>29</v>
      </c>
      <c r="C128" s="66">
        <v>1461.5</v>
      </c>
      <c r="D128" s="66">
        <v>1461.5</v>
      </c>
      <c r="E128" s="66">
        <v>275.78339999999997</v>
      </c>
      <c r="F128" s="66">
        <v>246.03890000000001</v>
      </c>
      <c r="G128" s="49">
        <f t="shared" si="2"/>
        <v>60.16574</v>
      </c>
      <c r="H128" s="44">
        <f t="shared" si="3"/>
        <v>1497.79078</v>
      </c>
      <c r="R128" s="67" t="s">
        <v>36</v>
      </c>
      <c r="S128" s="67" t="s">
        <v>36</v>
      </c>
      <c r="T128" s="68">
        <v>46238.958333333336</v>
      </c>
      <c r="U128" s="69">
        <v>60.16574</v>
      </c>
    </row>
    <row r="129" spans="1:21">
      <c r="A129" s="64">
        <v>46239</v>
      </c>
      <c r="B129" s="65" t="s">
        <v>29</v>
      </c>
      <c r="C129" s="66">
        <v>1401</v>
      </c>
      <c r="D129" s="66">
        <v>1401</v>
      </c>
      <c r="E129" s="66">
        <v>275.78339999999997</v>
      </c>
      <c r="F129" s="66">
        <v>246.03890000000001</v>
      </c>
      <c r="G129" s="49">
        <f t="shared" si="2"/>
        <v>55.28633</v>
      </c>
      <c r="H129" s="44">
        <f t="shared" si="3"/>
        <v>1434.6251099999999</v>
      </c>
      <c r="R129" s="67" t="s">
        <v>36</v>
      </c>
      <c r="S129" s="67" t="s">
        <v>36</v>
      </c>
      <c r="T129" s="68">
        <v>46239</v>
      </c>
      <c r="U129" s="69">
        <v>55.28633</v>
      </c>
    </row>
    <row r="130" spans="1:21">
      <c r="A130" s="64">
        <v>46239.041666666664</v>
      </c>
      <c r="B130" s="65" t="s">
        <v>29</v>
      </c>
      <c r="C130" s="66">
        <v>1336</v>
      </c>
      <c r="D130" s="66">
        <v>1336</v>
      </c>
      <c r="E130" s="66">
        <v>275.78339999999997</v>
      </c>
      <c r="F130" s="66">
        <v>246.03890000000001</v>
      </c>
      <c r="G130" s="49">
        <f t="shared" si="2"/>
        <v>50.728250000000003</v>
      </c>
      <c r="H130" s="44">
        <f t="shared" si="3"/>
        <v>1367.57988</v>
      </c>
      <c r="R130" s="67" t="s">
        <v>36</v>
      </c>
      <c r="S130" s="67" t="s">
        <v>36</v>
      </c>
      <c r="T130" s="68">
        <v>46239.041666666664</v>
      </c>
      <c r="U130" s="69">
        <v>50.728250000000003</v>
      </c>
    </row>
    <row r="131" spans="1:21">
      <c r="A131" s="64">
        <v>46239.083333333336</v>
      </c>
      <c r="B131" s="65" t="s">
        <v>29</v>
      </c>
      <c r="C131" s="66">
        <v>1271</v>
      </c>
      <c r="D131" s="66">
        <v>1271</v>
      </c>
      <c r="E131" s="66">
        <v>275.78339999999997</v>
      </c>
      <c r="F131" s="66">
        <v>246.03890000000001</v>
      </c>
      <c r="G131" s="49">
        <f t="shared" ref="G131:G194" si="4">U131</f>
        <v>46.170169999999999</v>
      </c>
      <c r="H131" s="44">
        <f t="shared" ref="H131:H194" si="5">D131+G137</f>
        <v>1300.5346500000001</v>
      </c>
      <c r="R131" s="67" t="s">
        <v>36</v>
      </c>
      <c r="S131" s="67" t="s">
        <v>36</v>
      </c>
      <c r="T131" s="68">
        <v>46239.083333333336</v>
      </c>
      <c r="U131" s="69">
        <v>46.170169999999999</v>
      </c>
    </row>
    <row r="132" spans="1:21">
      <c r="A132" s="64">
        <v>46239.125</v>
      </c>
      <c r="B132" s="65" t="s">
        <v>29</v>
      </c>
      <c r="C132" s="66">
        <v>1205</v>
      </c>
      <c r="D132" s="66">
        <v>1205</v>
      </c>
      <c r="E132" s="66">
        <v>275.78339999999997</v>
      </c>
      <c r="F132" s="66">
        <v>246.03890000000001</v>
      </c>
      <c r="G132" s="49">
        <f t="shared" si="4"/>
        <v>42.563310000000001</v>
      </c>
      <c r="H132" s="44">
        <f t="shared" si="5"/>
        <v>1232.56781</v>
      </c>
      <c r="R132" s="67" t="s">
        <v>36</v>
      </c>
      <c r="S132" s="67" t="s">
        <v>36</v>
      </c>
      <c r="T132" s="68">
        <v>46239.125</v>
      </c>
      <c r="U132" s="69">
        <v>42.563310000000001</v>
      </c>
    </row>
    <row r="133" spans="1:21">
      <c r="A133" s="64">
        <v>46239.166666666664</v>
      </c>
      <c r="B133" s="65" t="s">
        <v>29</v>
      </c>
      <c r="C133" s="66">
        <v>1139</v>
      </c>
      <c r="D133" s="66">
        <v>1139</v>
      </c>
      <c r="E133" s="66">
        <v>275.78339999999997</v>
      </c>
      <c r="F133" s="66">
        <v>246.03890000000001</v>
      </c>
      <c r="G133" s="49">
        <f t="shared" si="4"/>
        <v>38.95646</v>
      </c>
      <c r="H133" s="44">
        <f t="shared" si="5"/>
        <v>1164.60096</v>
      </c>
      <c r="R133" s="67" t="s">
        <v>36</v>
      </c>
      <c r="S133" s="67" t="s">
        <v>36</v>
      </c>
      <c r="T133" s="68">
        <v>46239.166666666664</v>
      </c>
      <c r="U133" s="69">
        <v>38.95646</v>
      </c>
    </row>
    <row r="134" spans="1:21">
      <c r="A134" s="64">
        <v>46239.208333333336</v>
      </c>
      <c r="B134" s="65" t="s">
        <v>29</v>
      </c>
      <c r="C134" s="66">
        <v>1074.5</v>
      </c>
      <c r="D134" s="66">
        <v>1074.5</v>
      </c>
      <c r="E134" s="66">
        <v>275.78339999999997</v>
      </c>
      <c r="F134" s="66">
        <v>246.03890000000001</v>
      </c>
      <c r="G134" s="49">
        <f t="shared" si="4"/>
        <v>36.290779999999998</v>
      </c>
      <c r="H134" s="44">
        <f t="shared" si="5"/>
        <v>1098.4280100000001</v>
      </c>
      <c r="R134" s="67" t="s">
        <v>36</v>
      </c>
      <c r="S134" s="67" t="s">
        <v>36</v>
      </c>
      <c r="T134" s="68">
        <v>46239.208333333336</v>
      </c>
      <c r="U134" s="69">
        <v>36.290779999999998</v>
      </c>
    </row>
    <row r="135" spans="1:21">
      <c r="A135" s="64">
        <v>46239.25</v>
      </c>
      <c r="B135" s="65" t="s">
        <v>29</v>
      </c>
      <c r="C135" s="66">
        <v>1010</v>
      </c>
      <c r="D135" s="66">
        <v>1010</v>
      </c>
      <c r="E135" s="66">
        <v>275.78339999999997</v>
      </c>
      <c r="F135" s="66">
        <v>246.03890000000001</v>
      </c>
      <c r="G135" s="49">
        <f t="shared" si="4"/>
        <v>33.625109999999999</v>
      </c>
      <c r="H135" s="44">
        <f t="shared" si="5"/>
        <v>1032.25506</v>
      </c>
      <c r="R135" s="67" t="s">
        <v>36</v>
      </c>
      <c r="S135" s="67" t="s">
        <v>36</v>
      </c>
      <c r="T135" s="68">
        <v>46239.25</v>
      </c>
      <c r="U135" s="69">
        <v>33.625109999999999</v>
      </c>
    </row>
    <row r="136" spans="1:21">
      <c r="A136" s="64">
        <v>46239.291666666664</v>
      </c>
      <c r="B136" s="65" t="s">
        <v>29</v>
      </c>
      <c r="C136" s="66">
        <v>950.5</v>
      </c>
      <c r="D136" s="66">
        <v>950.5</v>
      </c>
      <c r="E136" s="66">
        <v>275.78339999999997</v>
      </c>
      <c r="F136" s="66">
        <v>246.03890000000001</v>
      </c>
      <c r="G136" s="49">
        <f t="shared" si="4"/>
        <v>31.579879999999999</v>
      </c>
      <c r="H136" s="44">
        <f t="shared" si="5"/>
        <v>971.38985000000002</v>
      </c>
      <c r="R136" s="67" t="s">
        <v>36</v>
      </c>
      <c r="S136" s="67" t="s">
        <v>36</v>
      </c>
      <c r="T136" s="68">
        <v>46239.291666666664</v>
      </c>
      <c r="U136" s="69">
        <v>31.579879999999999</v>
      </c>
    </row>
    <row r="137" spans="1:21">
      <c r="A137" s="64">
        <v>46239.333333333336</v>
      </c>
      <c r="B137" s="65" t="s">
        <v>29</v>
      </c>
      <c r="C137" s="66">
        <v>891</v>
      </c>
      <c r="D137" s="66">
        <v>891</v>
      </c>
      <c r="E137" s="66">
        <v>275.78339999999997</v>
      </c>
      <c r="F137" s="66">
        <v>246.03890000000001</v>
      </c>
      <c r="G137" s="49">
        <f t="shared" si="4"/>
        <v>29.534649999999999</v>
      </c>
      <c r="H137" s="44">
        <f t="shared" si="5"/>
        <v>910.52463</v>
      </c>
      <c r="R137" s="67" t="s">
        <v>36</v>
      </c>
      <c r="S137" s="67" t="s">
        <v>36</v>
      </c>
      <c r="T137" s="68">
        <v>46239.333333333336</v>
      </c>
      <c r="U137" s="69">
        <v>29.534649999999999</v>
      </c>
    </row>
    <row r="138" spans="1:21">
      <c r="A138" s="64">
        <v>46239.375</v>
      </c>
      <c r="B138" s="65" t="s">
        <v>29</v>
      </c>
      <c r="C138" s="66">
        <v>837</v>
      </c>
      <c r="D138" s="66">
        <v>837</v>
      </c>
      <c r="E138" s="66">
        <v>275.78339999999997</v>
      </c>
      <c r="F138" s="66">
        <v>246.03890000000001</v>
      </c>
      <c r="G138" s="49">
        <f t="shared" si="4"/>
        <v>27.567810000000001</v>
      </c>
      <c r="H138" s="44">
        <f t="shared" si="5"/>
        <v>854.92493000000002</v>
      </c>
      <c r="R138" s="67" t="s">
        <v>36</v>
      </c>
      <c r="S138" s="67" t="s">
        <v>36</v>
      </c>
      <c r="T138" s="68">
        <v>46239.375</v>
      </c>
      <c r="U138" s="69">
        <v>27.567810000000001</v>
      </c>
    </row>
    <row r="139" spans="1:21">
      <c r="A139" s="64">
        <v>46239.416666666664</v>
      </c>
      <c r="B139" s="65" t="s">
        <v>29</v>
      </c>
      <c r="C139" s="66">
        <v>783</v>
      </c>
      <c r="D139" s="66">
        <v>783</v>
      </c>
      <c r="E139" s="66">
        <v>275.78339999999997</v>
      </c>
      <c r="F139" s="66">
        <v>246.03890000000001</v>
      </c>
      <c r="G139" s="49">
        <f t="shared" si="4"/>
        <v>25.600960000000001</v>
      </c>
      <c r="H139" s="44">
        <f t="shared" si="5"/>
        <v>799.32521999999994</v>
      </c>
      <c r="R139" s="67" t="s">
        <v>36</v>
      </c>
      <c r="S139" s="67" t="s">
        <v>36</v>
      </c>
      <c r="T139" s="68">
        <v>46239.416666666664</v>
      </c>
      <c r="U139" s="69">
        <v>25.600960000000001</v>
      </c>
    </row>
    <row r="140" spans="1:21">
      <c r="A140" s="64">
        <v>46239.458333333336</v>
      </c>
      <c r="B140" s="65" t="s">
        <v>29</v>
      </c>
      <c r="C140" s="66">
        <v>736</v>
      </c>
      <c r="D140" s="66">
        <v>736</v>
      </c>
      <c r="E140" s="66">
        <v>275.78339999999997</v>
      </c>
      <c r="F140" s="66">
        <v>246.03890000000001</v>
      </c>
      <c r="G140" s="49">
        <f t="shared" si="4"/>
        <v>23.92801</v>
      </c>
      <c r="H140" s="44">
        <f t="shared" si="5"/>
        <v>751.79800999999998</v>
      </c>
      <c r="R140" s="67" t="s">
        <v>36</v>
      </c>
      <c r="S140" s="67" t="s">
        <v>36</v>
      </c>
      <c r="T140" s="68">
        <v>46239.458333333336</v>
      </c>
      <c r="U140" s="69">
        <v>23.92801</v>
      </c>
    </row>
    <row r="141" spans="1:21">
      <c r="A141" s="64">
        <v>46239.5</v>
      </c>
      <c r="B141" s="65" t="s">
        <v>29</v>
      </c>
      <c r="C141" s="66">
        <v>689</v>
      </c>
      <c r="D141" s="66">
        <v>689</v>
      </c>
      <c r="E141" s="66">
        <v>275.78339999999997</v>
      </c>
      <c r="F141" s="66">
        <v>246.03890000000001</v>
      </c>
      <c r="G141" s="49">
        <f t="shared" si="4"/>
        <v>22.25506</v>
      </c>
      <c r="H141" s="44">
        <f t="shared" si="5"/>
        <v>704.27079000000003</v>
      </c>
      <c r="R141" s="67" t="s">
        <v>36</v>
      </c>
      <c r="S141" s="67" t="s">
        <v>36</v>
      </c>
      <c r="T141" s="68">
        <v>46239.5</v>
      </c>
      <c r="U141" s="69">
        <v>22.25506</v>
      </c>
    </row>
    <row r="142" spans="1:21">
      <c r="A142" s="64">
        <v>46239.541666666664</v>
      </c>
      <c r="B142" s="65" t="s">
        <v>29</v>
      </c>
      <c r="C142" s="66">
        <v>648</v>
      </c>
      <c r="D142" s="66">
        <v>648</v>
      </c>
      <c r="E142" s="66">
        <v>275.78339999999997</v>
      </c>
      <c r="F142" s="66">
        <v>246.03890000000001</v>
      </c>
      <c r="G142" s="49">
        <f t="shared" si="4"/>
        <v>20.889849999999999</v>
      </c>
      <c r="H142" s="44">
        <f t="shared" si="5"/>
        <v>662.26336000000003</v>
      </c>
      <c r="R142" s="67" t="s">
        <v>36</v>
      </c>
      <c r="S142" s="67" t="s">
        <v>36</v>
      </c>
      <c r="T142" s="68">
        <v>46239.541666666664</v>
      </c>
      <c r="U142" s="69">
        <v>20.889849999999999</v>
      </c>
    </row>
    <row r="143" spans="1:21">
      <c r="A143" s="64">
        <v>46239.583333333336</v>
      </c>
      <c r="B143" s="65" t="s">
        <v>29</v>
      </c>
      <c r="C143" s="66">
        <v>607</v>
      </c>
      <c r="D143" s="66">
        <v>607</v>
      </c>
      <c r="E143" s="66">
        <v>275.78339999999997</v>
      </c>
      <c r="F143" s="66">
        <v>246.03890000000001</v>
      </c>
      <c r="G143" s="49">
        <f t="shared" si="4"/>
        <v>19.524629999999998</v>
      </c>
      <c r="H143" s="44">
        <f t="shared" si="5"/>
        <v>620.25591999999995</v>
      </c>
      <c r="R143" s="67" t="s">
        <v>36</v>
      </c>
      <c r="S143" s="67" t="s">
        <v>36</v>
      </c>
      <c r="T143" s="68">
        <v>46239.583333333336</v>
      </c>
      <c r="U143" s="69">
        <v>19.524629999999998</v>
      </c>
    </row>
    <row r="144" spans="1:21">
      <c r="A144" s="64">
        <v>46239.625</v>
      </c>
      <c r="B144" s="65" t="s">
        <v>29</v>
      </c>
      <c r="C144" s="66">
        <v>571.5</v>
      </c>
      <c r="D144" s="66">
        <v>571.5</v>
      </c>
      <c r="E144" s="66">
        <v>275.78339999999997</v>
      </c>
      <c r="F144" s="66">
        <v>246.03890000000001</v>
      </c>
      <c r="G144" s="49">
        <f t="shared" si="4"/>
        <v>17.92493</v>
      </c>
      <c r="H144" s="44">
        <f t="shared" si="5"/>
        <v>583.79939999999999</v>
      </c>
      <c r="R144" s="67" t="s">
        <v>36</v>
      </c>
      <c r="S144" s="67" t="s">
        <v>36</v>
      </c>
      <c r="T144" s="68">
        <v>46239.625</v>
      </c>
      <c r="U144" s="69">
        <v>17.92493</v>
      </c>
    </row>
    <row r="145" spans="1:21">
      <c r="A145" s="64">
        <v>46239.666666666664</v>
      </c>
      <c r="B145" s="65" t="s">
        <v>29</v>
      </c>
      <c r="C145" s="66">
        <v>536</v>
      </c>
      <c r="D145" s="66">
        <v>536</v>
      </c>
      <c r="E145" s="66">
        <v>275.78339999999997</v>
      </c>
      <c r="F145" s="66">
        <v>246.03890000000001</v>
      </c>
      <c r="G145" s="49">
        <f t="shared" si="4"/>
        <v>16.325220000000002</v>
      </c>
      <c r="H145" s="44">
        <f t="shared" si="5"/>
        <v>547.34286999999995</v>
      </c>
      <c r="R145" s="67" t="s">
        <v>36</v>
      </c>
      <c r="S145" s="67" t="s">
        <v>36</v>
      </c>
      <c r="T145" s="68">
        <v>46239.666666666664</v>
      </c>
      <c r="U145" s="69">
        <v>16.325220000000002</v>
      </c>
    </row>
    <row r="146" spans="1:21">
      <c r="A146" s="64">
        <v>46239.708333333336</v>
      </c>
      <c r="B146" s="65" t="s">
        <v>29</v>
      </c>
      <c r="C146" s="66">
        <v>506</v>
      </c>
      <c r="D146" s="66">
        <v>506</v>
      </c>
      <c r="E146" s="66">
        <v>275.78339999999997</v>
      </c>
      <c r="F146" s="66">
        <v>246.03890000000001</v>
      </c>
      <c r="G146" s="49">
        <f t="shared" si="4"/>
        <v>15.79801</v>
      </c>
      <c r="H146" s="44">
        <f t="shared" si="5"/>
        <v>516.67273999999998</v>
      </c>
      <c r="R146" s="67" t="s">
        <v>36</v>
      </c>
      <c r="S146" s="67" t="s">
        <v>36</v>
      </c>
      <c r="T146" s="68">
        <v>46239.708333333336</v>
      </c>
      <c r="U146" s="69">
        <v>15.79801</v>
      </c>
    </row>
    <row r="147" spans="1:21">
      <c r="A147" s="64">
        <v>46239.75</v>
      </c>
      <c r="B147" s="65" t="s">
        <v>29</v>
      </c>
      <c r="C147" s="66">
        <v>476</v>
      </c>
      <c r="D147" s="66">
        <v>500</v>
      </c>
      <c r="E147" s="66">
        <v>275.77609999999999</v>
      </c>
      <c r="F147" s="66">
        <v>245.9957</v>
      </c>
      <c r="G147" s="49">
        <f t="shared" si="4"/>
        <v>15.27079</v>
      </c>
      <c r="H147" s="44">
        <f t="shared" si="5"/>
        <v>510.00259999999997</v>
      </c>
      <c r="R147" s="67" t="s">
        <v>36</v>
      </c>
      <c r="S147" s="67" t="s">
        <v>36</v>
      </c>
      <c r="T147" s="68">
        <v>46239.75</v>
      </c>
      <c r="U147" s="69">
        <v>15.27079</v>
      </c>
    </row>
    <row r="148" spans="1:21">
      <c r="A148" s="64">
        <v>46239.791666666664</v>
      </c>
      <c r="B148" s="65" t="s">
        <v>29</v>
      </c>
      <c r="C148" s="66">
        <v>450</v>
      </c>
      <c r="D148" s="66">
        <v>500</v>
      </c>
      <c r="E148" s="66">
        <v>275.75349999999997</v>
      </c>
      <c r="F148" s="66">
        <v>245.86250000000001</v>
      </c>
      <c r="G148" s="49">
        <f t="shared" si="4"/>
        <v>14.26336</v>
      </c>
      <c r="H148" s="44">
        <f t="shared" si="5"/>
        <v>509.59265699999997</v>
      </c>
      <c r="R148" s="67" t="s">
        <v>36</v>
      </c>
      <c r="S148" s="67" t="s">
        <v>36</v>
      </c>
      <c r="T148" s="68">
        <v>46239.791666666664</v>
      </c>
      <c r="U148" s="69">
        <v>14.26336</v>
      </c>
    </row>
    <row r="149" spans="1:21">
      <c r="A149" s="64">
        <v>46239.833333333336</v>
      </c>
      <c r="B149" s="65" t="s">
        <v>29</v>
      </c>
      <c r="C149" s="66">
        <v>424</v>
      </c>
      <c r="D149" s="66">
        <v>500</v>
      </c>
      <c r="E149" s="66">
        <v>275.71510000000001</v>
      </c>
      <c r="F149" s="66">
        <v>245.63570000000001</v>
      </c>
      <c r="G149" s="49">
        <f t="shared" si="4"/>
        <v>13.25592</v>
      </c>
      <c r="H149" s="44">
        <f t="shared" si="5"/>
        <v>509.18271099999998</v>
      </c>
      <c r="R149" s="67" t="s">
        <v>36</v>
      </c>
      <c r="S149" s="67" t="s">
        <v>36</v>
      </c>
      <c r="T149" s="68">
        <v>46239.833333333336</v>
      </c>
      <c r="U149" s="69">
        <v>13.25592</v>
      </c>
    </row>
    <row r="150" spans="1:21">
      <c r="A150" s="64">
        <v>46239.875</v>
      </c>
      <c r="B150" s="65" t="s">
        <v>29</v>
      </c>
      <c r="C150" s="66">
        <v>400.5</v>
      </c>
      <c r="D150" s="66">
        <v>500</v>
      </c>
      <c r="E150" s="66">
        <v>275.6617</v>
      </c>
      <c r="F150" s="66">
        <v>245.31979999999999</v>
      </c>
      <c r="G150" s="49">
        <f t="shared" si="4"/>
        <v>12.2994</v>
      </c>
      <c r="H150" s="44">
        <f t="shared" si="5"/>
        <v>508.25279499999999</v>
      </c>
      <c r="R150" s="67" t="s">
        <v>36</v>
      </c>
      <c r="S150" s="67" t="s">
        <v>36</v>
      </c>
      <c r="T150" s="68">
        <v>46239.875</v>
      </c>
      <c r="U150" s="69">
        <v>12.2994</v>
      </c>
    </row>
    <row r="151" spans="1:21">
      <c r="A151" s="64">
        <v>46239.916666666664</v>
      </c>
      <c r="B151" s="65" t="s">
        <v>29</v>
      </c>
      <c r="C151" s="66">
        <v>377</v>
      </c>
      <c r="D151" s="66">
        <v>500</v>
      </c>
      <c r="E151" s="66">
        <v>275.59379999999999</v>
      </c>
      <c r="F151" s="66">
        <v>244.91929999999999</v>
      </c>
      <c r="G151" s="49">
        <f t="shared" si="4"/>
        <v>11.34287</v>
      </c>
      <c r="H151" s="44">
        <f t="shared" si="5"/>
        <v>507.32288</v>
      </c>
      <c r="R151" s="67" t="s">
        <v>36</v>
      </c>
      <c r="S151" s="67" t="s">
        <v>36</v>
      </c>
      <c r="T151" s="68">
        <v>46239.916666666664</v>
      </c>
      <c r="U151" s="69">
        <v>11.34287</v>
      </c>
    </row>
    <row r="152" spans="1:21">
      <c r="A152" s="64">
        <v>46239.958333333336</v>
      </c>
      <c r="B152" s="65" t="s">
        <v>29</v>
      </c>
      <c r="C152" s="66">
        <v>357</v>
      </c>
      <c r="D152" s="66">
        <v>500</v>
      </c>
      <c r="E152" s="66">
        <v>275.51280000000003</v>
      </c>
      <c r="F152" s="66">
        <v>244.44049999999999</v>
      </c>
      <c r="G152" s="49">
        <f t="shared" si="4"/>
        <v>10.672739999999999</v>
      </c>
      <c r="H152" s="44">
        <f t="shared" si="5"/>
        <v>507.16001299999999</v>
      </c>
      <c r="R152" s="67" t="s">
        <v>36</v>
      </c>
      <c r="S152" s="67" t="s">
        <v>36</v>
      </c>
      <c r="T152" s="68">
        <v>46239.958333333336</v>
      </c>
      <c r="U152" s="69">
        <v>10.672739999999999</v>
      </c>
    </row>
    <row r="153" spans="1:21">
      <c r="A153" s="64">
        <v>46240</v>
      </c>
      <c r="B153" s="65" t="s">
        <v>29</v>
      </c>
      <c r="C153" s="66">
        <v>337</v>
      </c>
      <c r="D153" s="66">
        <v>500</v>
      </c>
      <c r="E153" s="66">
        <v>275.41950000000003</v>
      </c>
      <c r="F153" s="66">
        <v>243.8897</v>
      </c>
      <c r="G153" s="49">
        <f t="shared" si="4"/>
        <v>10.002599999999999</v>
      </c>
      <c r="H153" s="44">
        <f t="shared" si="5"/>
        <v>506.99714599999999</v>
      </c>
      <c r="R153" s="67" t="s">
        <v>36</v>
      </c>
      <c r="S153" s="67" t="s">
        <v>36</v>
      </c>
      <c r="T153" s="68">
        <v>46240</v>
      </c>
      <c r="U153" s="69">
        <v>10.002599999999999</v>
      </c>
    </row>
    <row r="154" spans="1:21">
      <c r="A154" s="64">
        <v>46240.041666666664</v>
      </c>
      <c r="B154" s="65" t="s">
        <v>29</v>
      </c>
      <c r="C154" s="66">
        <v>319</v>
      </c>
      <c r="D154" s="66">
        <v>500</v>
      </c>
      <c r="E154" s="66">
        <v>275.31470000000002</v>
      </c>
      <c r="F154" s="66">
        <v>243.2705</v>
      </c>
      <c r="G154" s="49">
        <f t="shared" si="4"/>
        <v>9.5926570000000009</v>
      </c>
      <c r="H154" s="44">
        <f t="shared" si="5"/>
        <v>506.13468399999999</v>
      </c>
      <c r="R154" s="67" t="s">
        <v>36</v>
      </c>
      <c r="S154" s="67" t="s">
        <v>36</v>
      </c>
      <c r="T154" s="68">
        <v>46240.041666666664</v>
      </c>
      <c r="U154" s="69">
        <v>9.5926570000000009</v>
      </c>
    </row>
    <row r="155" spans="1:21">
      <c r="A155" s="64">
        <v>46240.083333333336</v>
      </c>
      <c r="B155" s="65" t="s">
        <v>29</v>
      </c>
      <c r="C155" s="66">
        <v>301</v>
      </c>
      <c r="D155" s="66">
        <v>500</v>
      </c>
      <c r="E155" s="66">
        <v>275.19889999999998</v>
      </c>
      <c r="F155" s="66">
        <v>242.5865</v>
      </c>
      <c r="G155" s="49">
        <f t="shared" si="4"/>
        <v>9.1827109999999994</v>
      </c>
      <c r="H155" s="44">
        <f t="shared" si="5"/>
        <v>505.272221</v>
      </c>
      <c r="R155" s="67" t="s">
        <v>36</v>
      </c>
      <c r="S155" s="67" t="s">
        <v>36</v>
      </c>
      <c r="T155" s="68">
        <v>46240.083333333336</v>
      </c>
      <c r="U155" s="69">
        <v>9.1827109999999994</v>
      </c>
    </row>
    <row r="156" spans="1:21">
      <c r="A156" s="64">
        <v>46240.125</v>
      </c>
      <c r="B156" s="65" t="s">
        <v>29</v>
      </c>
      <c r="C156" s="66">
        <v>285</v>
      </c>
      <c r="D156" s="66">
        <v>500</v>
      </c>
      <c r="E156" s="66">
        <v>275.0727</v>
      </c>
      <c r="F156" s="66">
        <v>241.84129999999999</v>
      </c>
      <c r="G156" s="49">
        <f t="shared" si="4"/>
        <v>8.2527950000000008</v>
      </c>
      <c r="H156" s="44">
        <f t="shared" si="5"/>
        <v>505.127769</v>
      </c>
      <c r="R156" s="67" t="s">
        <v>36</v>
      </c>
      <c r="S156" s="67" t="s">
        <v>36</v>
      </c>
      <c r="T156" s="68">
        <v>46240.125</v>
      </c>
      <c r="U156" s="69">
        <v>8.2527950000000008</v>
      </c>
    </row>
    <row r="157" spans="1:21">
      <c r="A157" s="64">
        <v>46240.166666666664</v>
      </c>
      <c r="B157" s="65" t="s">
        <v>29</v>
      </c>
      <c r="C157" s="66">
        <v>269</v>
      </c>
      <c r="D157" s="66">
        <v>500</v>
      </c>
      <c r="E157" s="66">
        <v>274.93680000000001</v>
      </c>
      <c r="F157" s="66">
        <v>241.0385</v>
      </c>
      <c r="G157" s="49">
        <f t="shared" si="4"/>
        <v>7.3228799999999996</v>
      </c>
      <c r="H157" s="44">
        <f t="shared" si="5"/>
        <v>504.983316</v>
      </c>
      <c r="R157" s="67" t="s">
        <v>36</v>
      </c>
      <c r="S157" s="67" t="s">
        <v>36</v>
      </c>
      <c r="T157" s="68">
        <v>46240.166666666664</v>
      </c>
      <c r="U157" s="69">
        <v>7.3228799999999996</v>
      </c>
    </row>
    <row r="158" spans="1:21">
      <c r="A158" s="64">
        <v>46240.208333333336</v>
      </c>
      <c r="B158" s="65" t="s">
        <v>29</v>
      </c>
      <c r="C158" s="66">
        <v>254.5</v>
      </c>
      <c r="D158" s="66">
        <v>500</v>
      </c>
      <c r="E158" s="66">
        <v>274.79149999999998</v>
      </c>
      <c r="F158" s="66">
        <v>240.1808</v>
      </c>
      <c r="G158" s="49">
        <f t="shared" si="4"/>
        <v>7.1600130000000002</v>
      </c>
      <c r="H158" s="44">
        <f t="shared" si="5"/>
        <v>504.62588099999999</v>
      </c>
      <c r="R158" s="67" t="s">
        <v>36</v>
      </c>
      <c r="S158" s="67" t="s">
        <v>36</v>
      </c>
      <c r="T158" s="68">
        <v>46240.208333333336</v>
      </c>
      <c r="U158" s="69">
        <v>7.1600130000000002</v>
      </c>
    </row>
    <row r="159" spans="1:21">
      <c r="A159" s="64">
        <v>46240.25</v>
      </c>
      <c r="B159" s="65" t="s">
        <v>29</v>
      </c>
      <c r="C159" s="66">
        <v>240</v>
      </c>
      <c r="D159" s="66">
        <v>500</v>
      </c>
      <c r="E159" s="66">
        <v>274.63749999999999</v>
      </c>
      <c r="F159" s="66">
        <v>239.27099999999999</v>
      </c>
      <c r="G159" s="49">
        <f t="shared" si="4"/>
        <v>6.9971459999999999</v>
      </c>
      <c r="H159" s="44">
        <f t="shared" si="5"/>
        <v>504.26844499999999</v>
      </c>
      <c r="R159" s="67" t="s">
        <v>36</v>
      </c>
      <c r="S159" s="67" t="s">
        <v>36</v>
      </c>
      <c r="T159" s="68">
        <v>46240.25</v>
      </c>
      <c r="U159" s="69">
        <v>6.9971459999999999</v>
      </c>
    </row>
    <row r="160" spans="1:21">
      <c r="A160" s="64">
        <v>46240.291666666664</v>
      </c>
      <c r="B160" s="65" t="s">
        <v>29</v>
      </c>
      <c r="C160" s="66">
        <v>227</v>
      </c>
      <c r="D160" s="66">
        <v>500</v>
      </c>
      <c r="E160" s="66">
        <v>274.47500000000002</v>
      </c>
      <c r="F160" s="66">
        <v>238.3116</v>
      </c>
      <c r="G160" s="49">
        <f t="shared" si="4"/>
        <v>6.134684</v>
      </c>
      <c r="H160" s="44">
        <f t="shared" si="5"/>
        <v>504.12536499999999</v>
      </c>
      <c r="R160" s="67" t="s">
        <v>36</v>
      </c>
      <c r="S160" s="67" t="s">
        <v>36</v>
      </c>
      <c r="T160" s="68">
        <v>46240.291666666664</v>
      </c>
      <c r="U160" s="69">
        <v>6.134684</v>
      </c>
    </row>
    <row r="161" spans="1:21">
      <c r="A161" s="64">
        <v>46240.333333333336</v>
      </c>
      <c r="B161" s="65" t="s">
        <v>29</v>
      </c>
      <c r="C161" s="66">
        <v>214</v>
      </c>
      <c r="D161" s="66">
        <v>500</v>
      </c>
      <c r="E161" s="66">
        <v>274.30470000000003</v>
      </c>
      <c r="F161" s="66">
        <v>237.30539999999999</v>
      </c>
      <c r="G161" s="49">
        <f t="shared" si="4"/>
        <v>5.272221</v>
      </c>
      <c r="H161" s="44">
        <f t="shared" si="5"/>
        <v>503.98228499999999</v>
      </c>
      <c r="R161" s="67" t="s">
        <v>36</v>
      </c>
      <c r="S161" s="67" t="s">
        <v>36</v>
      </c>
      <c r="T161" s="68">
        <v>46240.333333333336</v>
      </c>
      <c r="U161" s="69">
        <v>5.272221</v>
      </c>
    </row>
    <row r="162" spans="1:21">
      <c r="A162" s="64">
        <v>46240.375</v>
      </c>
      <c r="B162" s="65" t="s">
        <v>29</v>
      </c>
      <c r="C162" s="66">
        <v>201.5</v>
      </c>
      <c r="D162" s="66">
        <v>500</v>
      </c>
      <c r="E162" s="66">
        <v>274.12650000000002</v>
      </c>
      <c r="F162" s="66">
        <v>236.2533</v>
      </c>
      <c r="G162" s="49">
        <f t="shared" si="4"/>
        <v>5.1277689999999998</v>
      </c>
      <c r="H162" s="44">
        <f t="shared" si="5"/>
        <v>503.125225</v>
      </c>
      <c r="R162" s="67" t="s">
        <v>36</v>
      </c>
      <c r="S162" s="67" t="s">
        <v>36</v>
      </c>
      <c r="T162" s="68">
        <v>46240.375</v>
      </c>
      <c r="U162" s="69">
        <v>5.1277689999999998</v>
      </c>
    </row>
    <row r="163" spans="1:21">
      <c r="A163" s="64">
        <v>46240.416666666664</v>
      </c>
      <c r="B163" s="65" t="s">
        <v>29</v>
      </c>
      <c r="C163" s="66">
        <v>189</v>
      </c>
      <c r="D163" s="66">
        <v>500</v>
      </c>
      <c r="E163" s="66">
        <v>273.93860000000001</v>
      </c>
      <c r="F163" s="66">
        <v>235.15620000000001</v>
      </c>
      <c r="G163" s="49">
        <f t="shared" si="4"/>
        <v>4.9833160000000003</v>
      </c>
      <c r="H163" s="44">
        <f t="shared" si="5"/>
        <v>502.26816400000001</v>
      </c>
      <c r="R163" s="67" t="s">
        <v>36</v>
      </c>
      <c r="S163" s="67" t="s">
        <v>36</v>
      </c>
      <c r="T163" s="68">
        <v>46240.416666666664</v>
      </c>
      <c r="U163" s="69">
        <v>4.9833160000000003</v>
      </c>
    </row>
    <row r="164" spans="1:21">
      <c r="A164" s="64">
        <v>46240.458333333336</v>
      </c>
      <c r="B164" s="65" t="s">
        <v>29</v>
      </c>
      <c r="C164" s="66">
        <v>177.5</v>
      </c>
      <c r="D164" s="66">
        <v>500</v>
      </c>
      <c r="E164" s="66">
        <v>273.73860000000002</v>
      </c>
      <c r="F164" s="66">
        <v>234.01589999999999</v>
      </c>
      <c r="G164" s="49">
        <f t="shared" si="4"/>
        <v>4.6258809999999997</v>
      </c>
      <c r="H164" s="44">
        <f t="shared" si="5"/>
        <v>502.17068599999999</v>
      </c>
      <c r="R164" s="67" t="s">
        <v>36</v>
      </c>
      <c r="S164" s="67" t="s">
        <v>36</v>
      </c>
      <c r="T164" s="68">
        <v>46240.458333333336</v>
      </c>
      <c r="U164" s="69">
        <v>4.6258809999999997</v>
      </c>
    </row>
    <row r="165" spans="1:21">
      <c r="A165" s="64">
        <v>46240.5</v>
      </c>
      <c r="B165" s="65" t="s">
        <v>29</v>
      </c>
      <c r="C165" s="66">
        <v>166</v>
      </c>
      <c r="D165" s="66">
        <v>500</v>
      </c>
      <c r="E165" s="66">
        <v>273.53129999999999</v>
      </c>
      <c r="F165" s="66">
        <v>232.83420000000001</v>
      </c>
      <c r="G165" s="49">
        <f t="shared" si="4"/>
        <v>4.2684449999999998</v>
      </c>
      <c r="H165" s="44">
        <f t="shared" si="5"/>
        <v>502.07320900000002</v>
      </c>
      <c r="R165" s="67" t="s">
        <v>36</v>
      </c>
      <c r="S165" s="67" t="s">
        <v>36</v>
      </c>
      <c r="T165" s="68">
        <v>46240.5</v>
      </c>
      <c r="U165" s="69">
        <v>4.2684449999999998</v>
      </c>
    </row>
    <row r="166" spans="1:21">
      <c r="A166" s="64">
        <v>46240.541666666664</v>
      </c>
      <c r="B166" s="65" t="s">
        <v>29</v>
      </c>
      <c r="C166" s="66">
        <v>156</v>
      </c>
      <c r="D166" s="66">
        <v>500</v>
      </c>
      <c r="E166" s="66">
        <v>273.31720000000001</v>
      </c>
      <c r="F166" s="66">
        <v>231.6138</v>
      </c>
      <c r="G166" s="49">
        <f t="shared" si="4"/>
        <v>4.1253650000000004</v>
      </c>
      <c r="H166" s="44">
        <f t="shared" si="5"/>
        <v>502.04659700000002</v>
      </c>
      <c r="R166" s="67" t="s">
        <v>36</v>
      </c>
      <c r="S166" s="67" t="s">
        <v>36</v>
      </c>
      <c r="T166" s="68">
        <v>46240.541666666664</v>
      </c>
      <c r="U166" s="69">
        <v>4.1253650000000004</v>
      </c>
    </row>
    <row r="167" spans="1:21">
      <c r="A167" s="64">
        <v>46240.583333333336</v>
      </c>
      <c r="B167" s="65" t="s">
        <v>29</v>
      </c>
      <c r="C167" s="66">
        <v>146</v>
      </c>
      <c r="D167" s="66">
        <v>500</v>
      </c>
      <c r="E167" s="66">
        <v>273.09679999999997</v>
      </c>
      <c r="F167" s="66">
        <v>230.35740000000001</v>
      </c>
      <c r="G167" s="49">
        <f t="shared" si="4"/>
        <v>3.9822850000000001</v>
      </c>
      <c r="H167" s="44">
        <f t="shared" si="5"/>
        <v>502.01998600000002</v>
      </c>
      <c r="R167" s="67" t="s">
        <v>36</v>
      </c>
      <c r="S167" s="67" t="s">
        <v>36</v>
      </c>
      <c r="T167" s="68">
        <v>46240.583333333336</v>
      </c>
      <c r="U167" s="69">
        <v>3.9822850000000001</v>
      </c>
    </row>
    <row r="168" spans="1:21">
      <c r="A168" s="64">
        <v>46240.625</v>
      </c>
      <c r="B168" s="65" t="s">
        <v>29</v>
      </c>
      <c r="C168" s="66">
        <v>137.5</v>
      </c>
      <c r="D168" s="66">
        <v>500</v>
      </c>
      <c r="E168" s="66">
        <v>272.87049999999999</v>
      </c>
      <c r="F168" s="66">
        <v>229.0677</v>
      </c>
      <c r="G168" s="49">
        <f t="shared" si="4"/>
        <v>3.1252249999999999</v>
      </c>
      <c r="H168" s="44">
        <f t="shared" si="5"/>
        <v>501.967221</v>
      </c>
      <c r="R168" s="67" t="s">
        <v>36</v>
      </c>
      <c r="S168" s="67" t="s">
        <v>36</v>
      </c>
      <c r="T168" s="68">
        <v>46240.625</v>
      </c>
      <c r="U168" s="69">
        <v>3.1252249999999999</v>
      </c>
    </row>
    <row r="169" spans="1:21">
      <c r="A169" s="64">
        <v>46240.666666666664</v>
      </c>
      <c r="B169" s="65" t="s">
        <v>29</v>
      </c>
      <c r="C169" s="66">
        <v>129</v>
      </c>
      <c r="D169" s="66">
        <v>500</v>
      </c>
      <c r="E169" s="66">
        <v>272.63889999999998</v>
      </c>
      <c r="F169" s="66">
        <v>227.7474</v>
      </c>
      <c r="G169" s="49">
        <f t="shared" si="4"/>
        <v>2.2681640000000001</v>
      </c>
      <c r="H169" s="44">
        <f t="shared" si="5"/>
        <v>501.91445599999997</v>
      </c>
      <c r="R169" s="67" t="s">
        <v>36</v>
      </c>
      <c r="S169" s="67" t="s">
        <v>36</v>
      </c>
      <c r="T169" s="68">
        <v>46240.666666666664</v>
      </c>
      <c r="U169" s="69">
        <v>2.2681640000000001</v>
      </c>
    </row>
    <row r="170" spans="1:21">
      <c r="A170" s="64">
        <v>46240.708333333336</v>
      </c>
      <c r="B170" s="65" t="s">
        <v>29</v>
      </c>
      <c r="C170" s="66">
        <v>121</v>
      </c>
      <c r="D170" s="66">
        <v>500</v>
      </c>
      <c r="E170" s="66">
        <v>272.40210000000002</v>
      </c>
      <c r="F170" s="66">
        <v>226.3974</v>
      </c>
      <c r="G170" s="49">
        <f t="shared" si="4"/>
        <v>2.1706859999999999</v>
      </c>
      <c r="H170" s="44">
        <f t="shared" si="5"/>
        <v>501.58205099999998</v>
      </c>
      <c r="R170" s="67" t="s">
        <v>36</v>
      </c>
      <c r="S170" s="67" t="s">
        <v>36</v>
      </c>
      <c r="T170" s="68">
        <v>46240.708333333336</v>
      </c>
      <c r="U170" s="69">
        <v>2.1706859999999999</v>
      </c>
    </row>
    <row r="171" spans="1:21">
      <c r="A171" s="64">
        <v>46240.75</v>
      </c>
      <c r="B171" s="65" t="s">
        <v>29</v>
      </c>
      <c r="C171" s="66">
        <v>113</v>
      </c>
      <c r="D171" s="66">
        <v>500</v>
      </c>
      <c r="E171" s="66">
        <v>272.16019999999997</v>
      </c>
      <c r="F171" s="66">
        <v>225.01859999999999</v>
      </c>
      <c r="G171" s="49">
        <f t="shared" si="4"/>
        <v>2.0732089999999999</v>
      </c>
      <c r="H171" s="44">
        <f t="shared" si="5"/>
        <v>501.24964699999998</v>
      </c>
      <c r="R171" s="67" t="s">
        <v>36</v>
      </c>
      <c r="S171" s="67" t="s">
        <v>36</v>
      </c>
      <c r="T171" s="68">
        <v>46240.75</v>
      </c>
      <c r="U171" s="69">
        <v>2.0732089999999999</v>
      </c>
    </row>
    <row r="172" spans="1:21">
      <c r="A172" s="64">
        <v>46240.791666666664</v>
      </c>
      <c r="B172" s="65" t="s">
        <v>29</v>
      </c>
      <c r="C172" s="66">
        <v>106.5</v>
      </c>
      <c r="D172" s="66">
        <v>500</v>
      </c>
      <c r="E172" s="66">
        <v>271.91109999999998</v>
      </c>
      <c r="F172" s="66">
        <v>223.61359999999999</v>
      </c>
      <c r="G172" s="49">
        <f t="shared" si="4"/>
        <v>2.0465970000000002</v>
      </c>
      <c r="H172" s="44">
        <f t="shared" si="5"/>
        <v>501.15890000000002</v>
      </c>
      <c r="R172" s="67" t="s">
        <v>36</v>
      </c>
      <c r="S172" s="67" t="s">
        <v>36</v>
      </c>
      <c r="T172" s="68">
        <v>46240.791666666664</v>
      </c>
      <c r="U172" s="69">
        <v>2.0465970000000002</v>
      </c>
    </row>
    <row r="173" spans="1:21">
      <c r="A173" s="64">
        <v>46240.833333333336</v>
      </c>
      <c r="B173" s="65" t="s">
        <v>29</v>
      </c>
      <c r="C173" s="66">
        <v>100</v>
      </c>
      <c r="D173" s="66">
        <v>500</v>
      </c>
      <c r="E173" s="66">
        <v>271.65280000000001</v>
      </c>
      <c r="F173" s="66">
        <v>222.18530000000001</v>
      </c>
      <c r="G173" s="49">
        <f t="shared" si="4"/>
        <v>2.0199859999999998</v>
      </c>
      <c r="H173" s="44">
        <f t="shared" si="5"/>
        <v>501.06815399999999</v>
      </c>
      <c r="R173" s="67" t="s">
        <v>36</v>
      </c>
      <c r="S173" s="67" t="s">
        <v>36</v>
      </c>
      <c r="T173" s="68">
        <v>46240.833333333336</v>
      </c>
      <c r="U173" s="69">
        <v>2.0199859999999998</v>
      </c>
    </row>
    <row r="174" spans="1:21">
      <c r="A174" s="64">
        <v>46240.875</v>
      </c>
      <c r="B174" s="65" t="s">
        <v>29</v>
      </c>
      <c r="C174" s="66">
        <v>93.5</v>
      </c>
      <c r="D174" s="66">
        <v>500</v>
      </c>
      <c r="E174" s="66">
        <v>271.39019999999999</v>
      </c>
      <c r="F174" s="66">
        <v>220.7336</v>
      </c>
      <c r="G174" s="49">
        <f t="shared" si="4"/>
        <v>1.9672210000000001</v>
      </c>
      <c r="H174" s="44">
        <f t="shared" si="5"/>
        <v>501.04338000000001</v>
      </c>
      <c r="R174" s="67" t="s">
        <v>36</v>
      </c>
      <c r="S174" s="67" t="s">
        <v>36</v>
      </c>
      <c r="T174" s="68">
        <v>46240.875</v>
      </c>
      <c r="U174" s="69">
        <v>1.9672210000000001</v>
      </c>
    </row>
    <row r="175" spans="1:21">
      <c r="A175" s="64">
        <v>46240.916666666664</v>
      </c>
      <c r="B175" s="65" t="s">
        <v>29</v>
      </c>
      <c r="C175" s="66">
        <v>87</v>
      </c>
      <c r="D175" s="66">
        <v>500</v>
      </c>
      <c r="E175" s="66">
        <v>271.12349999999998</v>
      </c>
      <c r="F175" s="66">
        <v>219.2585</v>
      </c>
      <c r="G175" s="49">
        <f t="shared" si="4"/>
        <v>1.9144559999999999</v>
      </c>
      <c r="H175" s="44">
        <f t="shared" si="5"/>
        <v>501.01860599999998</v>
      </c>
      <c r="R175" s="67" t="s">
        <v>36</v>
      </c>
      <c r="S175" s="67" t="s">
        <v>36</v>
      </c>
      <c r="T175" s="68">
        <v>46240.916666666664</v>
      </c>
      <c r="U175" s="69">
        <v>1.9144559999999999</v>
      </c>
    </row>
    <row r="176" spans="1:21">
      <c r="A176" s="64">
        <v>46240.958333333336</v>
      </c>
      <c r="B176" s="65" t="s">
        <v>29</v>
      </c>
      <c r="C176" s="66">
        <v>81.5</v>
      </c>
      <c r="D176" s="66">
        <v>500</v>
      </c>
      <c r="E176" s="66">
        <v>270.8528</v>
      </c>
      <c r="F176" s="66">
        <v>217.76179999999999</v>
      </c>
      <c r="G176" s="49">
        <f t="shared" si="4"/>
        <v>1.5820510000000001</v>
      </c>
      <c r="H176" s="44">
        <f t="shared" si="5"/>
        <v>501.011843</v>
      </c>
      <c r="R176" s="67" t="s">
        <v>36</v>
      </c>
      <c r="S176" s="67" t="s">
        <v>36</v>
      </c>
      <c r="T176" s="68">
        <v>46240.958333333336</v>
      </c>
      <c r="U176" s="69">
        <v>1.5820510000000001</v>
      </c>
    </row>
    <row r="177" spans="1:21">
      <c r="A177" s="64">
        <v>46241</v>
      </c>
      <c r="B177" s="65" t="s">
        <v>29</v>
      </c>
      <c r="C177" s="66">
        <v>76</v>
      </c>
      <c r="D177" s="66">
        <v>500</v>
      </c>
      <c r="E177" s="66">
        <v>270.57859999999999</v>
      </c>
      <c r="F177" s="66">
        <v>216.24529999999999</v>
      </c>
      <c r="G177" s="49">
        <f t="shared" si="4"/>
        <v>1.249647</v>
      </c>
      <c r="H177" s="44">
        <f t="shared" si="5"/>
        <v>501.00507900000002</v>
      </c>
      <c r="R177" s="67" t="s">
        <v>36</v>
      </c>
      <c r="S177" s="67" t="s">
        <v>36</v>
      </c>
      <c r="T177" s="68">
        <v>46241</v>
      </c>
      <c r="U177" s="69">
        <v>1.249647</v>
      </c>
    </row>
    <row r="178" spans="1:21">
      <c r="A178" s="64">
        <v>46241.041666666664</v>
      </c>
      <c r="B178" s="65" t="s">
        <v>29</v>
      </c>
      <c r="C178" s="66">
        <v>71</v>
      </c>
      <c r="D178" s="66">
        <v>500</v>
      </c>
      <c r="E178" s="66">
        <v>270.30090000000001</v>
      </c>
      <c r="F178" s="66">
        <v>214.7099</v>
      </c>
      <c r="G178" s="49">
        <f t="shared" si="4"/>
        <v>1.1589</v>
      </c>
      <c r="H178" s="44">
        <f t="shared" si="5"/>
        <v>501.00323300000002</v>
      </c>
      <c r="R178" s="67" t="s">
        <v>36</v>
      </c>
      <c r="S178" s="67" t="s">
        <v>36</v>
      </c>
      <c r="T178" s="68">
        <v>46241.041666666664</v>
      </c>
      <c r="U178" s="69">
        <v>1.1589</v>
      </c>
    </row>
    <row r="179" spans="1:21">
      <c r="A179" s="64">
        <v>46241.083333333336</v>
      </c>
      <c r="B179" s="65" t="s">
        <v>29</v>
      </c>
      <c r="C179" s="66">
        <v>66</v>
      </c>
      <c r="D179" s="66">
        <v>500</v>
      </c>
      <c r="E179" s="66">
        <v>270.01990000000001</v>
      </c>
      <c r="F179" s="66">
        <v>213.15649999999999</v>
      </c>
      <c r="G179" s="49">
        <f t="shared" si="4"/>
        <v>1.068154</v>
      </c>
      <c r="H179" s="44">
        <f t="shared" si="5"/>
        <v>501.00138700000002</v>
      </c>
      <c r="R179" s="67" t="s">
        <v>36</v>
      </c>
      <c r="S179" s="67" t="s">
        <v>36</v>
      </c>
      <c r="T179" s="68">
        <v>46241.083333333336</v>
      </c>
      <c r="U179" s="69">
        <v>1.068154</v>
      </c>
    </row>
    <row r="180" spans="1:21">
      <c r="A180" s="64">
        <v>46241.125</v>
      </c>
      <c r="B180" s="65" t="s">
        <v>29</v>
      </c>
      <c r="C180" s="66">
        <v>62</v>
      </c>
      <c r="D180" s="66">
        <v>500</v>
      </c>
      <c r="E180" s="66">
        <v>269.72829999999999</v>
      </c>
      <c r="F180" s="66">
        <v>211.58690000000001</v>
      </c>
      <c r="G180" s="49">
        <f t="shared" si="4"/>
        <v>1.04338</v>
      </c>
      <c r="H180" s="44">
        <f t="shared" si="5"/>
        <v>500.95538260000001</v>
      </c>
      <c r="R180" s="67" t="s">
        <v>36</v>
      </c>
      <c r="S180" s="67" t="s">
        <v>36</v>
      </c>
      <c r="T180" s="68">
        <v>46241.125</v>
      </c>
      <c r="U180" s="69">
        <v>1.04338</v>
      </c>
    </row>
    <row r="181" spans="1:21">
      <c r="A181" s="64">
        <v>46241.166666666664</v>
      </c>
      <c r="B181" s="65" t="s">
        <v>29</v>
      </c>
      <c r="C181" s="66">
        <v>58</v>
      </c>
      <c r="D181" s="66">
        <v>500</v>
      </c>
      <c r="E181" s="66">
        <v>269.43329999999997</v>
      </c>
      <c r="F181" s="66">
        <v>210.00290000000001</v>
      </c>
      <c r="G181" s="49">
        <f t="shared" si="4"/>
        <v>1.0186059999999999</v>
      </c>
      <c r="H181" s="44">
        <f t="shared" si="5"/>
        <v>500.9093785</v>
      </c>
      <c r="R181" s="67" t="s">
        <v>36</v>
      </c>
      <c r="S181" s="67" t="s">
        <v>36</v>
      </c>
      <c r="T181" s="68">
        <v>46241.166666666664</v>
      </c>
      <c r="U181" s="69">
        <v>1.0186059999999999</v>
      </c>
    </row>
    <row r="182" spans="1:21">
      <c r="A182" s="64">
        <v>46241.208333333336</v>
      </c>
      <c r="B182" s="65" t="s">
        <v>29</v>
      </c>
      <c r="C182" s="66">
        <v>54.5</v>
      </c>
      <c r="D182" s="66">
        <v>500</v>
      </c>
      <c r="E182" s="66">
        <v>269.13580000000002</v>
      </c>
      <c r="F182" s="66">
        <v>208.40539999999999</v>
      </c>
      <c r="G182" s="49">
        <f t="shared" si="4"/>
        <v>1.011843</v>
      </c>
      <c r="H182" s="44">
        <f t="shared" si="5"/>
        <v>500.57881950000001</v>
      </c>
      <c r="R182" s="67" t="s">
        <v>36</v>
      </c>
      <c r="S182" s="67" t="s">
        <v>36</v>
      </c>
      <c r="T182" s="68">
        <v>46241.208333333336</v>
      </c>
      <c r="U182" s="69">
        <v>1.011843</v>
      </c>
    </row>
    <row r="183" spans="1:21">
      <c r="A183" s="64">
        <v>46241.25</v>
      </c>
      <c r="B183" s="65" t="s">
        <v>29</v>
      </c>
      <c r="C183" s="66">
        <v>51</v>
      </c>
      <c r="D183" s="66">
        <v>500</v>
      </c>
      <c r="E183" s="66">
        <v>268.83600000000001</v>
      </c>
      <c r="F183" s="66">
        <v>206.7953</v>
      </c>
      <c r="G183" s="49">
        <f t="shared" si="4"/>
        <v>1.0050790000000001</v>
      </c>
      <c r="H183" s="44">
        <f t="shared" si="5"/>
        <v>500.24826030000003</v>
      </c>
      <c r="R183" s="67" t="s">
        <v>36</v>
      </c>
      <c r="S183" s="67" t="s">
        <v>36</v>
      </c>
      <c r="T183" s="68">
        <v>46241.25</v>
      </c>
      <c r="U183" s="69">
        <v>1.0050790000000001</v>
      </c>
    </row>
    <row r="184" spans="1:21">
      <c r="A184" s="64">
        <v>46241.291666666664</v>
      </c>
      <c r="B184" s="65" t="s">
        <v>29</v>
      </c>
      <c r="C184" s="66">
        <v>48</v>
      </c>
      <c r="D184" s="66">
        <v>500</v>
      </c>
      <c r="E184" s="66">
        <v>268.53410000000002</v>
      </c>
      <c r="F184" s="66">
        <v>205.17349999999999</v>
      </c>
      <c r="G184" s="49">
        <f t="shared" si="4"/>
        <v>1.003233</v>
      </c>
      <c r="H184" s="44">
        <f t="shared" si="5"/>
        <v>500.15801770000002</v>
      </c>
      <c r="R184" s="67" t="s">
        <v>36</v>
      </c>
      <c r="S184" s="67" t="s">
        <v>36</v>
      </c>
      <c r="T184" s="68">
        <v>46241.291666666664</v>
      </c>
      <c r="U184" s="69">
        <v>1.003233</v>
      </c>
    </row>
    <row r="185" spans="1:21">
      <c r="A185" s="64">
        <v>46241.333333333336</v>
      </c>
      <c r="B185" s="65" t="s">
        <v>29</v>
      </c>
      <c r="C185" s="66">
        <v>45</v>
      </c>
      <c r="D185" s="66">
        <v>500</v>
      </c>
      <c r="E185" s="66">
        <v>268.23</v>
      </c>
      <c r="F185" s="66">
        <v>203.54089999999999</v>
      </c>
      <c r="G185" s="49">
        <f t="shared" si="4"/>
        <v>1.001387</v>
      </c>
      <c r="H185" s="44">
        <f t="shared" si="5"/>
        <v>500.06777507999999</v>
      </c>
      <c r="R185" s="67" t="s">
        <v>36</v>
      </c>
      <c r="S185" s="67" t="s">
        <v>36</v>
      </c>
      <c r="T185" s="68">
        <v>46241.333333333336</v>
      </c>
      <c r="U185" s="69">
        <v>1.001387</v>
      </c>
    </row>
    <row r="186" spans="1:21">
      <c r="A186" s="64">
        <v>46241.375</v>
      </c>
      <c r="B186" s="65" t="s">
        <v>29</v>
      </c>
      <c r="C186" s="66">
        <v>42.5</v>
      </c>
      <c r="D186" s="66">
        <v>500</v>
      </c>
      <c r="E186" s="66">
        <v>267.92200000000003</v>
      </c>
      <c r="F186" s="66">
        <v>201.89840000000001</v>
      </c>
      <c r="G186" s="49">
        <f t="shared" si="4"/>
        <v>0.95538259999999997</v>
      </c>
      <c r="H186" s="44">
        <f t="shared" si="5"/>
        <v>500.04313883999998</v>
      </c>
      <c r="R186" s="67" t="s">
        <v>36</v>
      </c>
      <c r="S186" s="67" t="s">
        <v>36</v>
      </c>
      <c r="T186" s="68">
        <v>46241.375</v>
      </c>
      <c r="U186" s="69">
        <v>0.95538259999999997</v>
      </c>
    </row>
    <row r="187" spans="1:21">
      <c r="A187" s="64">
        <v>46241.416666666664</v>
      </c>
      <c r="B187" s="65" t="s">
        <v>29</v>
      </c>
      <c r="C187" s="66">
        <v>40</v>
      </c>
      <c r="D187" s="66">
        <v>500</v>
      </c>
      <c r="E187" s="66">
        <v>267.60570000000001</v>
      </c>
      <c r="F187" s="66">
        <v>200.24690000000001</v>
      </c>
      <c r="G187" s="49">
        <f t="shared" si="4"/>
        <v>0.90937849999999998</v>
      </c>
      <c r="H187" s="44">
        <f t="shared" si="5"/>
        <v>500.01850259999998</v>
      </c>
      <c r="R187" s="67" t="s">
        <v>36</v>
      </c>
      <c r="S187" s="67" t="s">
        <v>36</v>
      </c>
      <c r="T187" s="68">
        <v>46241.416666666664</v>
      </c>
      <c r="U187" s="69">
        <v>0.90937849999999998</v>
      </c>
    </row>
    <row r="188" spans="1:21">
      <c r="A188" s="64">
        <v>46241.458333333336</v>
      </c>
      <c r="B188" s="65" t="s">
        <v>29</v>
      </c>
      <c r="C188" s="66">
        <v>37.5</v>
      </c>
      <c r="D188" s="66">
        <v>500</v>
      </c>
      <c r="E188" s="66">
        <v>267.28769999999997</v>
      </c>
      <c r="F188" s="66">
        <v>198.5864</v>
      </c>
      <c r="G188" s="49">
        <f t="shared" si="4"/>
        <v>0.57881950000000004</v>
      </c>
      <c r="H188" s="44">
        <f t="shared" si="5"/>
        <v>500.01177689999997</v>
      </c>
      <c r="R188" s="67" t="s">
        <v>36</v>
      </c>
      <c r="S188" s="67" t="s">
        <v>36</v>
      </c>
      <c r="T188" s="68">
        <v>46241.458333333336</v>
      </c>
      <c r="U188" s="69">
        <v>0.57881950000000004</v>
      </c>
    </row>
    <row r="189" spans="1:21">
      <c r="A189" s="64">
        <v>46241.5</v>
      </c>
      <c r="B189" s="65" t="s">
        <v>29</v>
      </c>
      <c r="C189" s="66">
        <v>35</v>
      </c>
      <c r="D189" s="66">
        <v>500</v>
      </c>
      <c r="E189" s="66">
        <v>266.96800000000002</v>
      </c>
      <c r="F189" s="66">
        <v>196.9169</v>
      </c>
      <c r="G189" s="49">
        <f t="shared" si="4"/>
        <v>0.24826029999999999</v>
      </c>
      <c r="H189" s="44">
        <f t="shared" si="5"/>
        <v>500.00505120899999</v>
      </c>
      <c r="R189" s="67" t="s">
        <v>36</v>
      </c>
      <c r="S189" s="67" t="s">
        <v>36</v>
      </c>
      <c r="T189" s="68">
        <v>46241.5</v>
      </c>
      <c r="U189" s="69">
        <v>0.24826029999999999</v>
      </c>
    </row>
    <row r="190" spans="1:21">
      <c r="A190" s="64">
        <v>46241.541666666664</v>
      </c>
      <c r="B190" s="65" t="s">
        <v>29</v>
      </c>
      <c r="C190" s="66">
        <v>33</v>
      </c>
      <c r="D190" s="66">
        <v>500</v>
      </c>
      <c r="E190" s="66">
        <v>266.64670000000001</v>
      </c>
      <c r="F190" s="66">
        <v>195.23929999999999</v>
      </c>
      <c r="G190" s="49">
        <f t="shared" si="4"/>
        <v>0.15801770000000001</v>
      </c>
      <c r="H190" s="44">
        <f t="shared" si="5"/>
        <v>500.00321509399998</v>
      </c>
      <c r="R190" s="67" t="s">
        <v>36</v>
      </c>
      <c r="S190" s="67" t="s">
        <v>36</v>
      </c>
      <c r="T190" s="68">
        <v>46241.541666666664</v>
      </c>
      <c r="U190" s="69">
        <v>0.15801770000000001</v>
      </c>
    </row>
    <row r="191" spans="1:21">
      <c r="A191" s="64">
        <v>46241.583333333336</v>
      </c>
      <c r="B191" s="65" t="s">
        <v>29</v>
      </c>
      <c r="C191" s="66">
        <v>31</v>
      </c>
      <c r="D191" s="66">
        <v>500</v>
      </c>
      <c r="E191" s="66">
        <v>266.32400000000001</v>
      </c>
      <c r="F191" s="66">
        <v>193.55449999999999</v>
      </c>
      <c r="G191" s="49">
        <f t="shared" si="4"/>
        <v>6.7775080000000001E-2</v>
      </c>
      <c r="H191" s="44">
        <f t="shared" si="5"/>
        <v>500.00137898000003</v>
      </c>
      <c r="R191" s="67" t="s">
        <v>36</v>
      </c>
      <c r="S191" s="67" t="s">
        <v>36</v>
      </c>
      <c r="T191" s="68">
        <v>46241.583333333336</v>
      </c>
      <c r="U191" s="69">
        <v>6.7775080000000001E-2</v>
      </c>
    </row>
    <row r="192" spans="1:21">
      <c r="A192" s="64">
        <v>46241.625</v>
      </c>
      <c r="B192" s="65" t="s">
        <v>29</v>
      </c>
      <c r="C192" s="66">
        <v>28.5</v>
      </c>
      <c r="D192" s="66">
        <v>500</v>
      </c>
      <c r="E192" s="66">
        <v>265.99979999999999</v>
      </c>
      <c r="F192" s="66">
        <v>191.86160000000001</v>
      </c>
      <c r="G192" s="49">
        <f t="shared" si="4"/>
        <v>4.3138839999999998E-2</v>
      </c>
      <c r="H192" s="44">
        <f t="shared" si="5"/>
        <v>500.00087772069998</v>
      </c>
      <c r="R192" s="67" t="s">
        <v>36</v>
      </c>
      <c r="S192" s="67" t="s">
        <v>36</v>
      </c>
      <c r="T192" s="68">
        <v>46241.625</v>
      </c>
      <c r="U192" s="69">
        <v>4.3138839999999998E-2</v>
      </c>
    </row>
    <row r="193" spans="1:21">
      <c r="A193" s="64">
        <v>46241.666666666664</v>
      </c>
      <c r="B193" s="65" t="s">
        <v>29</v>
      </c>
      <c r="C193" s="66">
        <v>26</v>
      </c>
      <c r="D193" s="66">
        <v>500</v>
      </c>
      <c r="E193" s="66">
        <v>265.66309999999999</v>
      </c>
      <c r="F193" s="66">
        <v>190.15969999999999</v>
      </c>
      <c r="G193" s="49">
        <f t="shared" si="4"/>
        <v>1.8502600000000001E-2</v>
      </c>
      <c r="H193" s="44">
        <f t="shared" si="5"/>
        <v>500.00037646160001</v>
      </c>
      <c r="R193" s="67" t="s">
        <v>36</v>
      </c>
      <c r="S193" s="67" t="s">
        <v>36</v>
      </c>
      <c r="T193" s="68">
        <v>46241.666666666664</v>
      </c>
      <c r="U193" s="69">
        <v>1.8502600000000001E-2</v>
      </c>
    </row>
    <row r="194" spans="1:21">
      <c r="A194" s="64">
        <v>46241.708333333336</v>
      </c>
      <c r="B194" s="65" t="s">
        <v>29</v>
      </c>
      <c r="C194" s="66">
        <v>24.5</v>
      </c>
      <c r="D194" s="66">
        <v>500</v>
      </c>
      <c r="E194" s="66">
        <v>265.32499999999999</v>
      </c>
      <c r="F194" s="66">
        <v>188.45060000000001</v>
      </c>
      <c r="G194" s="49">
        <f t="shared" si="4"/>
        <v>1.17769E-2</v>
      </c>
      <c r="H194" s="44">
        <f t="shared" si="5"/>
        <v>500.00023961779999</v>
      </c>
      <c r="R194" s="67" t="s">
        <v>36</v>
      </c>
      <c r="S194" s="67" t="s">
        <v>36</v>
      </c>
      <c r="T194" s="68">
        <v>46241.708333333336</v>
      </c>
      <c r="U194" s="69">
        <v>1.17769E-2</v>
      </c>
    </row>
    <row r="195" spans="1:21">
      <c r="A195" s="64">
        <v>46241.75</v>
      </c>
      <c r="B195" s="65" t="s">
        <v>29</v>
      </c>
      <c r="C195" s="66">
        <v>23</v>
      </c>
      <c r="D195" s="66">
        <v>500</v>
      </c>
      <c r="E195" s="66">
        <v>264.98590000000002</v>
      </c>
      <c r="F195" s="66">
        <v>186.73609999999999</v>
      </c>
      <c r="G195" s="49">
        <f t="shared" ref="G195:G258" si="6">U195</f>
        <v>5.0512090000000001E-3</v>
      </c>
      <c r="H195" s="44">
        <f t="shared" ref="H195:H258" si="7">D195+G201</f>
        <v>500.00010277400003</v>
      </c>
      <c r="R195" s="67" t="s">
        <v>36</v>
      </c>
      <c r="S195" s="67" t="s">
        <v>36</v>
      </c>
      <c r="T195" s="68">
        <v>46241.75</v>
      </c>
      <c r="U195" s="69">
        <v>5.0512090000000001E-3</v>
      </c>
    </row>
    <row r="196" spans="1:21">
      <c r="A196" s="64">
        <v>46241.791666666664</v>
      </c>
      <c r="B196" s="65" t="s">
        <v>29</v>
      </c>
      <c r="C196" s="66">
        <v>21</v>
      </c>
      <c r="D196" s="66">
        <v>500</v>
      </c>
      <c r="E196" s="66">
        <v>264.64550000000003</v>
      </c>
      <c r="F196" s="66">
        <v>185.0153</v>
      </c>
      <c r="G196" s="49">
        <f t="shared" si="6"/>
        <v>3.2150939999999999E-3</v>
      </c>
      <c r="H196" s="44">
        <f t="shared" si="7"/>
        <v>500.00006541565</v>
      </c>
      <c r="R196" s="67" t="s">
        <v>36</v>
      </c>
      <c r="S196" s="67" t="s">
        <v>36</v>
      </c>
      <c r="T196" s="68">
        <v>46241.791666666664</v>
      </c>
      <c r="U196" s="69">
        <v>3.2150939999999999E-3</v>
      </c>
    </row>
    <row r="197" spans="1:21">
      <c r="A197" s="64">
        <v>46241.833333333336</v>
      </c>
      <c r="B197" s="65" t="s">
        <v>29</v>
      </c>
      <c r="C197" s="66">
        <v>19</v>
      </c>
      <c r="D197" s="66">
        <v>500</v>
      </c>
      <c r="E197" s="66">
        <v>264.30360000000002</v>
      </c>
      <c r="F197" s="66">
        <v>183.28729999999999</v>
      </c>
      <c r="G197" s="49">
        <f t="shared" si="6"/>
        <v>1.3789799999999999E-3</v>
      </c>
      <c r="H197" s="44">
        <f t="shared" si="7"/>
        <v>500.00002805730003</v>
      </c>
      <c r="R197" s="67" t="s">
        <v>36</v>
      </c>
      <c r="S197" s="67" t="s">
        <v>36</v>
      </c>
      <c r="T197" s="68">
        <v>46241.833333333336</v>
      </c>
      <c r="U197" s="69">
        <v>1.3789799999999999E-3</v>
      </c>
    </row>
    <row r="198" spans="1:21">
      <c r="A198" s="64">
        <v>46241.875</v>
      </c>
      <c r="B198" s="65" t="s">
        <v>29</v>
      </c>
      <c r="C198" s="66">
        <v>17</v>
      </c>
      <c r="D198" s="66">
        <v>500</v>
      </c>
      <c r="E198" s="66">
        <v>263.95920000000001</v>
      </c>
      <c r="F198" s="66">
        <v>181.5521</v>
      </c>
      <c r="G198" s="49">
        <f t="shared" si="6"/>
        <v>8.7772070000000004E-4</v>
      </c>
      <c r="H198" s="44">
        <f t="shared" si="7"/>
        <v>500.00001785847002</v>
      </c>
      <c r="R198" s="67" t="s">
        <v>36</v>
      </c>
      <c r="S198" s="67" t="s">
        <v>36</v>
      </c>
      <c r="T198" s="68">
        <v>46241.875</v>
      </c>
      <c r="U198" s="69">
        <v>8.7772070000000004E-4</v>
      </c>
    </row>
    <row r="199" spans="1:21">
      <c r="A199" s="64">
        <v>46241.916666666664</v>
      </c>
      <c r="B199" s="65" t="s">
        <v>29</v>
      </c>
      <c r="C199" s="66">
        <v>15</v>
      </c>
      <c r="D199" s="66">
        <v>500</v>
      </c>
      <c r="E199" s="66">
        <v>263.6044</v>
      </c>
      <c r="F199" s="66">
        <v>179.80969999999999</v>
      </c>
      <c r="G199" s="49">
        <f t="shared" si="6"/>
        <v>3.7646160000000001E-4</v>
      </c>
      <c r="H199" s="44">
        <f t="shared" si="7"/>
        <v>500.00000765964398</v>
      </c>
      <c r="R199" s="67" t="s">
        <v>36</v>
      </c>
      <c r="S199" s="67" t="s">
        <v>36</v>
      </c>
      <c r="T199" s="68">
        <v>46241.916666666664</v>
      </c>
      <c r="U199" s="69">
        <v>3.7646160000000001E-4</v>
      </c>
    </row>
    <row r="200" spans="1:21">
      <c r="A200" s="64">
        <v>46241.958333333336</v>
      </c>
      <c r="B200" s="65" t="s">
        <v>29</v>
      </c>
      <c r="C200" s="66">
        <v>13.5</v>
      </c>
      <c r="D200" s="66">
        <v>500</v>
      </c>
      <c r="E200" s="66">
        <v>263.2484</v>
      </c>
      <c r="F200" s="66">
        <v>178.06100000000001</v>
      </c>
      <c r="G200" s="49">
        <f t="shared" si="6"/>
        <v>2.3961779999999999E-4</v>
      </c>
      <c r="H200" s="44">
        <f t="shared" si="7"/>
        <v>500.000004875363</v>
      </c>
      <c r="R200" s="67" t="s">
        <v>36</v>
      </c>
      <c r="S200" s="67" t="s">
        <v>36</v>
      </c>
      <c r="T200" s="68">
        <v>46241.958333333336</v>
      </c>
      <c r="U200" s="69">
        <v>2.3961779999999999E-4</v>
      </c>
    </row>
    <row r="201" spans="1:21">
      <c r="A201" s="64">
        <v>46242</v>
      </c>
      <c r="B201" s="65" t="s">
        <v>29</v>
      </c>
      <c r="C201" s="66">
        <v>12</v>
      </c>
      <c r="D201" s="66">
        <v>500</v>
      </c>
      <c r="E201" s="66">
        <v>262.89120000000003</v>
      </c>
      <c r="F201" s="66">
        <v>176.30690000000001</v>
      </c>
      <c r="G201" s="49">
        <f t="shared" si="6"/>
        <v>1.02774E-4</v>
      </c>
      <c r="H201" s="44">
        <f t="shared" si="7"/>
        <v>500.00000209108299</v>
      </c>
      <c r="R201" s="67" t="s">
        <v>36</v>
      </c>
      <c r="S201" s="67" t="s">
        <v>36</v>
      </c>
      <c r="T201" s="68">
        <v>46242</v>
      </c>
      <c r="U201" s="69">
        <v>1.02774E-4</v>
      </c>
    </row>
    <row r="202" spans="1:21">
      <c r="A202" s="64">
        <v>46242.041666666664</v>
      </c>
      <c r="B202" s="65" t="s">
        <v>29</v>
      </c>
      <c r="C202" s="66">
        <v>11</v>
      </c>
      <c r="D202" s="66">
        <v>500</v>
      </c>
      <c r="E202" s="66">
        <v>262.53309999999999</v>
      </c>
      <c r="F202" s="66">
        <v>174.54830000000001</v>
      </c>
      <c r="G202" s="49">
        <f t="shared" si="6"/>
        <v>6.5415650000000001E-5</v>
      </c>
      <c r="H202" s="44">
        <f t="shared" si="7"/>
        <v>500.00000133097399</v>
      </c>
      <c r="R202" s="67" t="s">
        <v>36</v>
      </c>
      <c r="S202" s="67" t="s">
        <v>36</v>
      </c>
      <c r="T202" s="68">
        <v>46242.041666666664</v>
      </c>
      <c r="U202" s="69">
        <v>6.5415650000000001E-5</v>
      </c>
    </row>
    <row r="203" spans="1:21">
      <c r="A203" s="64">
        <v>46242.083333333336</v>
      </c>
      <c r="B203" s="65" t="s">
        <v>29</v>
      </c>
      <c r="C203" s="66">
        <v>10</v>
      </c>
      <c r="D203" s="66">
        <v>500</v>
      </c>
      <c r="E203" s="66">
        <v>262.17430000000002</v>
      </c>
      <c r="F203" s="66">
        <v>172.7861</v>
      </c>
      <c r="G203" s="49">
        <f t="shared" si="6"/>
        <v>2.80573E-5</v>
      </c>
      <c r="H203" s="44">
        <f t="shared" si="7"/>
        <v>500.00000057086572</v>
      </c>
      <c r="R203" s="67" t="s">
        <v>36</v>
      </c>
      <c r="S203" s="67" t="s">
        <v>36</v>
      </c>
      <c r="T203" s="68">
        <v>46242.083333333336</v>
      </c>
      <c r="U203" s="69">
        <v>2.80573E-5</v>
      </c>
    </row>
    <row r="204" spans="1:21">
      <c r="A204" s="64">
        <v>46242.125</v>
      </c>
      <c r="B204" s="65" t="s">
        <v>29</v>
      </c>
      <c r="C204" s="66">
        <v>9</v>
      </c>
      <c r="D204" s="66">
        <v>500</v>
      </c>
      <c r="E204" s="66">
        <v>261.8098</v>
      </c>
      <c r="F204" s="66">
        <v>171.02029999999999</v>
      </c>
      <c r="G204" s="49">
        <f t="shared" si="6"/>
        <v>1.785847E-5</v>
      </c>
      <c r="H204" s="44">
        <f t="shared" si="7"/>
        <v>500.00000036335592</v>
      </c>
      <c r="R204" s="67" t="s">
        <v>36</v>
      </c>
      <c r="S204" s="67" t="s">
        <v>36</v>
      </c>
      <c r="T204" s="68">
        <v>46242.125</v>
      </c>
      <c r="U204" s="69">
        <v>1.785847E-5</v>
      </c>
    </row>
    <row r="205" spans="1:21">
      <c r="A205" s="64">
        <v>46242.166666666664</v>
      </c>
      <c r="B205" s="65" t="s">
        <v>29</v>
      </c>
      <c r="C205" s="66">
        <v>8</v>
      </c>
      <c r="D205" s="66">
        <v>500</v>
      </c>
      <c r="E205" s="66">
        <v>261.43970000000002</v>
      </c>
      <c r="F205" s="66">
        <v>169.2509</v>
      </c>
      <c r="G205" s="49">
        <f t="shared" si="6"/>
        <v>7.6596440000000007E-6</v>
      </c>
      <c r="H205" s="44">
        <f t="shared" si="7"/>
        <v>500.00000015584629</v>
      </c>
      <c r="R205" s="67" t="s">
        <v>36</v>
      </c>
      <c r="S205" s="67" t="s">
        <v>36</v>
      </c>
      <c r="T205" s="68">
        <v>46242.166666666664</v>
      </c>
      <c r="U205" s="69">
        <v>7.6596440000000007E-6</v>
      </c>
    </row>
    <row r="206" spans="1:21">
      <c r="A206" s="64">
        <v>46242.208333333336</v>
      </c>
      <c r="B206" s="65" t="s">
        <v>29</v>
      </c>
      <c r="C206" s="66">
        <v>7</v>
      </c>
      <c r="D206" s="66">
        <v>500</v>
      </c>
      <c r="E206" s="66">
        <v>261.06889999999999</v>
      </c>
      <c r="F206" s="66">
        <v>167.47790000000001</v>
      </c>
      <c r="G206" s="49">
        <f t="shared" si="6"/>
        <v>4.8753630000000004E-6</v>
      </c>
      <c r="H206" s="44">
        <f t="shared" si="7"/>
        <v>500.00000009919614</v>
      </c>
      <c r="R206" s="67" t="s">
        <v>36</v>
      </c>
      <c r="S206" s="67" t="s">
        <v>36</v>
      </c>
      <c r="T206" s="68">
        <v>46242.208333333336</v>
      </c>
      <c r="U206" s="69">
        <v>4.8753630000000004E-6</v>
      </c>
    </row>
    <row r="207" spans="1:21">
      <c r="A207" s="64">
        <v>46242.25</v>
      </c>
      <c r="B207" s="65" t="s">
        <v>29</v>
      </c>
      <c r="C207" s="66">
        <v>6</v>
      </c>
      <c r="D207" s="66">
        <v>500</v>
      </c>
      <c r="E207" s="66">
        <v>260.69729999999998</v>
      </c>
      <c r="F207" s="66">
        <v>165.7013</v>
      </c>
      <c r="G207" s="49">
        <f t="shared" si="6"/>
        <v>2.0910829999999999E-6</v>
      </c>
      <c r="H207" s="44">
        <f t="shared" si="7"/>
        <v>500.00000004254605</v>
      </c>
      <c r="R207" s="67" t="s">
        <v>36</v>
      </c>
      <c r="S207" s="67" t="s">
        <v>36</v>
      </c>
      <c r="T207" s="68">
        <v>46242.25</v>
      </c>
      <c r="U207" s="69">
        <v>2.0910829999999999E-6</v>
      </c>
    </row>
    <row r="208" spans="1:21">
      <c r="A208" s="64">
        <v>46242.291666666664</v>
      </c>
      <c r="B208" s="65" t="s">
        <v>29</v>
      </c>
      <c r="C208" s="66">
        <v>5</v>
      </c>
      <c r="D208" s="66">
        <v>500</v>
      </c>
      <c r="E208" s="66">
        <v>260.32499999999999</v>
      </c>
      <c r="F208" s="66">
        <v>163.9211</v>
      </c>
      <c r="G208" s="49">
        <f t="shared" si="6"/>
        <v>1.330974E-6</v>
      </c>
      <c r="H208" s="44">
        <f t="shared" si="7"/>
        <v>500.00000002708055</v>
      </c>
      <c r="R208" s="67" t="s">
        <v>36</v>
      </c>
      <c r="S208" s="67" t="s">
        <v>36</v>
      </c>
      <c r="T208" s="68">
        <v>46242.291666666664</v>
      </c>
      <c r="U208" s="69">
        <v>1.330974E-6</v>
      </c>
    </row>
    <row r="209" spans="1:21">
      <c r="A209" s="64">
        <v>46242.333333333336</v>
      </c>
      <c r="B209" s="65" t="s">
        <v>29</v>
      </c>
      <c r="C209" s="66">
        <v>4</v>
      </c>
      <c r="D209" s="66">
        <v>500</v>
      </c>
      <c r="E209" s="66">
        <v>259.95030000000003</v>
      </c>
      <c r="F209" s="66">
        <v>162.13730000000001</v>
      </c>
      <c r="G209" s="49">
        <f t="shared" si="6"/>
        <v>5.7086569999999999E-7</v>
      </c>
      <c r="H209" s="44">
        <f t="shared" si="7"/>
        <v>500.00000001161504</v>
      </c>
      <c r="R209" s="67" t="s">
        <v>36</v>
      </c>
      <c r="S209" s="67" t="s">
        <v>36</v>
      </c>
      <c r="T209" s="68">
        <v>46242.333333333336</v>
      </c>
      <c r="U209" s="69">
        <v>5.7086569999999999E-7</v>
      </c>
    </row>
    <row r="210" spans="1:21">
      <c r="A210" s="64">
        <v>46242.375</v>
      </c>
      <c r="B210" s="65" t="s">
        <v>29</v>
      </c>
      <c r="C210" s="66">
        <v>3.5</v>
      </c>
      <c r="D210" s="66">
        <v>500</v>
      </c>
      <c r="E210" s="66">
        <v>259.5641</v>
      </c>
      <c r="F210" s="66">
        <v>160.35079999999999</v>
      </c>
      <c r="G210" s="49">
        <f t="shared" si="6"/>
        <v>3.633559E-7</v>
      </c>
      <c r="H210" s="44">
        <f t="shared" si="7"/>
        <v>500.000000007393</v>
      </c>
      <c r="R210" s="67" t="s">
        <v>36</v>
      </c>
      <c r="S210" s="67" t="s">
        <v>36</v>
      </c>
      <c r="T210" s="68">
        <v>46242.375</v>
      </c>
      <c r="U210" s="69">
        <v>3.633559E-7</v>
      </c>
    </row>
    <row r="211" spans="1:21">
      <c r="A211" s="64">
        <v>46242.416666666664</v>
      </c>
      <c r="B211" s="65" t="s">
        <v>29</v>
      </c>
      <c r="C211" s="66">
        <v>3</v>
      </c>
      <c r="D211" s="66">
        <v>500</v>
      </c>
      <c r="E211" s="66">
        <v>259.17739999999998</v>
      </c>
      <c r="F211" s="66">
        <v>158.5625</v>
      </c>
      <c r="G211" s="49">
        <f t="shared" si="6"/>
        <v>1.5584630000000001E-7</v>
      </c>
      <c r="H211" s="44">
        <f t="shared" si="7"/>
        <v>500.0000000031709</v>
      </c>
      <c r="R211" s="67" t="s">
        <v>36</v>
      </c>
      <c r="S211" s="67" t="s">
        <v>36</v>
      </c>
      <c r="T211" s="68">
        <v>46242.416666666664</v>
      </c>
      <c r="U211" s="69">
        <v>1.5584630000000001E-7</v>
      </c>
    </row>
    <row r="212" spans="1:21">
      <c r="A212" s="64">
        <v>46242.458333333336</v>
      </c>
      <c r="B212" s="65" t="s">
        <v>29</v>
      </c>
      <c r="C212" s="66">
        <v>2.5</v>
      </c>
      <c r="D212" s="66">
        <v>500</v>
      </c>
      <c r="E212" s="66">
        <v>258.79039999999998</v>
      </c>
      <c r="F212" s="66">
        <v>156.7724</v>
      </c>
      <c r="G212" s="49">
        <f t="shared" si="6"/>
        <v>9.9196159999999995E-8</v>
      </c>
      <c r="H212" s="44">
        <f t="shared" si="7"/>
        <v>500.00000000201828</v>
      </c>
      <c r="R212" s="67" t="s">
        <v>36</v>
      </c>
      <c r="S212" s="67" t="s">
        <v>36</v>
      </c>
      <c r="T212" s="68">
        <v>46242.458333333336</v>
      </c>
      <c r="U212" s="69">
        <v>9.9196159999999995E-8</v>
      </c>
    </row>
    <row r="213" spans="1:21">
      <c r="A213" s="64">
        <v>46242.5</v>
      </c>
      <c r="B213" s="65" t="s">
        <v>29</v>
      </c>
      <c r="C213" s="66">
        <v>2</v>
      </c>
      <c r="D213" s="66">
        <v>500</v>
      </c>
      <c r="E213" s="66">
        <v>258.40300000000002</v>
      </c>
      <c r="F213" s="66">
        <v>154.98050000000001</v>
      </c>
      <c r="G213" s="49">
        <f t="shared" si="6"/>
        <v>4.2546040000000002E-8</v>
      </c>
      <c r="H213" s="44">
        <f t="shared" si="7"/>
        <v>500.00000000086567</v>
      </c>
      <c r="R213" s="67" t="s">
        <v>36</v>
      </c>
      <c r="S213" s="67" t="s">
        <v>36</v>
      </c>
      <c r="T213" s="68">
        <v>46242.5</v>
      </c>
      <c r="U213" s="69">
        <v>4.2546040000000002E-8</v>
      </c>
    </row>
    <row r="214" spans="1:21">
      <c r="A214" s="64">
        <v>46242.541666666664</v>
      </c>
      <c r="B214" s="65" t="s">
        <v>29</v>
      </c>
      <c r="C214" s="66">
        <v>1.5</v>
      </c>
      <c r="D214" s="66">
        <v>500</v>
      </c>
      <c r="E214" s="66">
        <v>258.01519999999999</v>
      </c>
      <c r="F214" s="66">
        <v>153.18680000000001</v>
      </c>
      <c r="G214" s="49">
        <f t="shared" si="6"/>
        <v>2.7080550000000002E-8</v>
      </c>
      <c r="H214" s="44">
        <f t="shared" si="7"/>
        <v>500.00000000055098</v>
      </c>
      <c r="R214" s="67" t="s">
        <v>36</v>
      </c>
      <c r="S214" s="67" t="s">
        <v>36</v>
      </c>
      <c r="T214" s="68">
        <v>46242.541666666664</v>
      </c>
      <c r="U214" s="69">
        <v>2.7080550000000002E-8</v>
      </c>
    </row>
    <row r="215" spans="1:21">
      <c r="A215" s="64">
        <v>46242.583333333336</v>
      </c>
      <c r="B215" s="65" t="s">
        <v>29</v>
      </c>
      <c r="C215" s="66">
        <v>1</v>
      </c>
      <c r="D215" s="66">
        <v>500</v>
      </c>
      <c r="E215" s="66">
        <v>257.61470000000003</v>
      </c>
      <c r="F215" s="66">
        <v>151.3913</v>
      </c>
      <c r="G215" s="49">
        <f t="shared" si="6"/>
        <v>1.1615069999999999E-8</v>
      </c>
      <c r="H215" s="44">
        <f t="shared" si="7"/>
        <v>500.0000000002363</v>
      </c>
      <c r="R215" s="67" t="s">
        <v>36</v>
      </c>
      <c r="S215" s="67" t="s">
        <v>36</v>
      </c>
      <c r="T215" s="68">
        <v>46242.583333333336</v>
      </c>
      <c r="U215" s="69">
        <v>1.1615069999999999E-8</v>
      </c>
    </row>
    <row r="216" spans="1:21">
      <c r="A216" s="64">
        <v>46242.625</v>
      </c>
      <c r="B216" s="65" t="s">
        <v>29</v>
      </c>
      <c r="C216" s="66">
        <v>0.5</v>
      </c>
      <c r="D216" s="66">
        <v>500</v>
      </c>
      <c r="E216" s="66">
        <v>257.21319999999997</v>
      </c>
      <c r="F216" s="66">
        <v>149.59399999999999</v>
      </c>
      <c r="G216" s="49">
        <f t="shared" si="6"/>
        <v>7.392991E-9</v>
      </c>
      <c r="H216" s="44">
        <f t="shared" si="7"/>
        <v>500.00000000015041</v>
      </c>
      <c r="R216" s="67" t="s">
        <v>36</v>
      </c>
      <c r="S216" s="67" t="s">
        <v>36</v>
      </c>
      <c r="T216" s="68">
        <v>46242.625</v>
      </c>
      <c r="U216" s="69">
        <v>7.392991E-9</v>
      </c>
    </row>
    <row r="217" spans="1:21">
      <c r="A217" s="64">
        <v>46242.666666666664</v>
      </c>
      <c r="B217" s="65" t="s">
        <v>29</v>
      </c>
      <c r="C217" s="75">
        <v>9.2599999999999999E-9</v>
      </c>
      <c r="D217" s="66">
        <v>500</v>
      </c>
      <c r="E217" s="66">
        <v>256.81130000000002</v>
      </c>
      <c r="F217" s="66">
        <v>147.79490000000001</v>
      </c>
      <c r="G217" s="49">
        <f t="shared" si="6"/>
        <v>3.1709140000000002E-9</v>
      </c>
      <c r="H217" s="44">
        <f t="shared" si="7"/>
        <v>500.00000000006452</v>
      </c>
      <c r="R217" s="67" t="s">
        <v>36</v>
      </c>
      <c r="S217" s="67" t="s">
        <v>36</v>
      </c>
      <c r="T217" s="68">
        <v>46242.666666666664</v>
      </c>
      <c r="U217" s="69">
        <v>3.1709140000000002E-9</v>
      </c>
    </row>
    <row r="218" spans="1:21">
      <c r="A218" s="64">
        <v>46242.708333333336</v>
      </c>
      <c r="B218" s="65" t="s">
        <v>29</v>
      </c>
      <c r="C218" s="66">
        <v>0</v>
      </c>
      <c r="D218" s="66">
        <v>500</v>
      </c>
      <c r="E218" s="66">
        <v>256.4092</v>
      </c>
      <c r="F218" s="66">
        <v>145.9949</v>
      </c>
      <c r="G218" s="49">
        <f t="shared" si="6"/>
        <v>2.0182869999999999E-9</v>
      </c>
      <c r="H218" s="44">
        <f t="shared" si="7"/>
        <v>500.00000000004104</v>
      </c>
      <c r="R218" s="67" t="s">
        <v>36</v>
      </c>
      <c r="S218" s="67" t="s">
        <v>36</v>
      </c>
      <c r="T218" s="68">
        <v>46242.708333333336</v>
      </c>
      <c r="U218" s="69">
        <v>2.0182869999999999E-9</v>
      </c>
    </row>
    <row r="219" spans="1:21">
      <c r="A219" s="64">
        <v>46242.75</v>
      </c>
      <c r="B219" s="65" t="s">
        <v>29</v>
      </c>
      <c r="C219" s="66">
        <v>0</v>
      </c>
      <c r="D219" s="66">
        <v>500</v>
      </c>
      <c r="E219" s="66">
        <v>256.00709999999998</v>
      </c>
      <c r="F219" s="66">
        <v>144.19489999999999</v>
      </c>
      <c r="G219" s="49">
        <f t="shared" si="6"/>
        <v>8.6565969999999999E-10</v>
      </c>
      <c r="H219" s="44">
        <f t="shared" si="7"/>
        <v>500.00000000001762</v>
      </c>
      <c r="R219" s="67" t="s">
        <v>36</v>
      </c>
      <c r="S219" s="67" t="s">
        <v>36</v>
      </c>
      <c r="T219" s="68">
        <v>46242.75</v>
      </c>
      <c r="U219" s="69">
        <v>8.6565969999999999E-10</v>
      </c>
    </row>
    <row r="220" spans="1:21">
      <c r="A220" s="64">
        <v>46242.791666666664</v>
      </c>
      <c r="B220" s="65" t="s">
        <v>29</v>
      </c>
      <c r="C220" s="66">
        <v>0</v>
      </c>
      <c r="D220" s="66">
        <v>500</v>
      </c>
      <c r="E220" s="66">
        <v>255.59049999999999</v>
      </c>
      <c r="F220" s="66">
        <v>142.39490000000001</v>
      </c>
      <c r="G220" s="49">
        <f t="shared" si="6"/>
        <v>5.5099229999999999E-10</v>
      </c>
      <c r="H220" s="44">
        <f t="shared" si="7"/>
        <v>500.0000000000112</v>
      </c>
      <c r="R220" s="67" t="s">
        <v>36</v>
      </c>
      <c r="S220" s="67" t="s">
        <v>36</v>
      </c>
      <c r="T220" s="68">
        <v>46242.791666666664</v>
      </c>
      <c r="U220" s="69">
        <v>5.5099229999999999E-10</v>
      </c>
    </row>
    <row r="221" spans="1:21">
      <c r="A221" s="64">
        <v>46242.833333333336</v>
      </c>
      <c r="B221" s="65" t="s">
        <v>29</v>
      </c>
      <c r="C221" s="66">
        <v>0</v>
      </c>
      <c r="D221" s="66">
        <v>500</v>
      </c>
      <c r="E221" s="66">
        <v>255.17359999999999</v>
      </c>
      <c r="F221" s="66">
        <v>140.5949</v>
      </c>
      <c r="G221" s="49">
        <f t="shared" si="6"/>
        <v>2.3632509999999999E-10</v>
      </c>
      <c r="H221" s="44">
        <f t="shared" si="7"/>
        <v>500.00000000000483</v>
      </c>
      <c r="R221" s="67" t="s">
        <v>36</v>
      </c>
      <c r="S221" s="67" t="s">
        <v>36</v>
      </c>
      <c r="T221" s="68">
        <v>46242.833333333336</v>
      </c>
      <c r="U221" s="69">
        <v>2.3632509999999999E-10</v>
      </c>
    </row>
    <row r="222" spans="1:21">
      <c r="A222" s="64">
        <v>46242.875</v>
      </c>
      <c r="B222" s="65" t="s">
        <v>29</v>
      </c>
      <c r="C222" s="66">
        <v>0</v>
      </c>
      <c r="D222" s="66">
        <v>500</v>
      </c>
      <c r="E222" s="66">
        <v>254.7568</v>
      </c>
      <c r="F222" s="66">
        <v>138.79490000000001</v>
      </c>
      <c r="G222" s="49">
        <f t="shared" si="6"/>
        <v>1.5042090000000001E-10</v>
      </c>
      <c r="H222" s="44">
        <f t="shared" si="7"/>
        <v>500.00000000000307</v>
      </c>
      <c r="R222" s="67" t="s">
        <v>36</v>
      </c>
      <c r="S222" s="67" t="s">
        <v>36</v>
      </c>
      <c r="T222" s="68">
        <v>46242.875</v>
      </c>
      <c r="U222" s="69">
        <v>1.5042090000000001E-10</v>
      </c>
    </row>
    <row r="223" spans="1:21">
      <c r="A223" s="64">
        <v>46242.916666666664</v>
      </c>
      <c r="B223" s="65" t="s">
        <v>29</v>
      </c>
      <c r="C223" s="66">
        <v>0</v>
      </c>
      <c r="D223" s="66">
        <v>500</v>
      </c>
      <c r="E223" s="66">
        <v>254.3399</v>
      </c>
      <c r="F223" s="66">
        <v>136.9949</v>
      </c>
      <c r="G223" s="49">
        <f t="shared" si="6"/>
        <v>6.4516749999999999E-11</v>
      </c>
      <c r="H223" s="44">
        <f t="shared" si="7"/>
        <v>500.00000000000131</v>
      </c>
      <c r="R223" s="67" t="s">
        <v>36</v>
      </c>
      <c r="S223" s="67" t="s">
        <v>36</v>
      </c>
      <c r="T223" s="68">
        <v>46242.916666666664</v>
      </c>
      <c r="U223" s="69">
        <v>6.4516749999999999E-11</v>
      </c>
    </row>
    <row r="224" spans="1:21">
      <c r="A224" s="64">
        <v>46242.958333333336</v>
      </c>
      <c r="B224" s="65" t="s">
        <v>29</v>
      </c>
      <c r="C224" s="66">
        <v>0</v>
      </c>
      <c r="D224" s="66">
        <v>500</v>
      </c>
      <c r="E224" s="66">
        <v>253.92</v>
      </c>
      <c r="F224" s="66">
        <v>135.19489999999999</v>
      </c>
      <c r="G224" s="49">
        <f t="shared" si="6"/>
        <v>4.1064900000000003E-11</v>
      </c>
      <c r="H224" s="44">
        <f t="shared" si="7"/>
        <v>500.00000000000085</v>
      </c>
      <c r="R224" s="67" t="s">
        <v>36</v>
      </c>
      <c r="S224" s="67" t="s">
        <v>36</v>
      </c>
      <c r="T224" s="68">
        <v>46242.958333333336</v>
      </c>
      <c r="U224" s="69">
        <v>4.1064900000000003E-11</v>
      </c>
    </row>
    <row r="225" spans="1:21">
      <c r="A225" s="64">
        <v>46243</v>
      </c>
      <c r="B225" s="65" t="s">
        <v>29</v>
      </c>
      <c r="C225" s="66">
        <v>0</v>
      </c>
      <c r="D225" s="66">
        <v>500</v>
      </c>
      <c r="E225" s="66">
        <v>253.48689999999999</v>
      </c>
      <c r="F225" s="66">
        <v>133.39490000000001</v>
      </c>
      <c r="G225" s="49">
        <f t="shared" si="6"/>
        <v>1.7613069999999999E-11</v>
      </c>
      <c r="H225" s="44">
        <f t="shared" si="7"/>
        <v>500.00000000000034</v>
      </c>
      <c r="R225" s="67" t="s">
        <v>36</v>
      </c>
      <c r="S225" s="67" t="s">
        <v>36</v>
      </c>
      <c r="T225" s="68">
        <v>46243</v>
      </c>
      <c r="U225" s="69">
        <v>1.7613069999999999E-11</v>
      </c>
    </row>
    <row r="226" spans="1:21">
      <c r="A226" s="64">
        <v>46243.041666666664</v>
      </c>
      <c r="B226" s="65" t="s">
        <v>29</v>
      </c>
      <c r="C226" s="66">
        <v>0</v>
      </c>
      <c r="D226" s="66">
        <v>500</v>
      </c>
      <c r="E226" s="66">
        <v>253.05369999999999</v>
      </c>
      <c r="F226" s="66">
        <v>131.5949</v>
      </c>
      <c r="G226" s="49">
        <f t="shared" si="6"/>
        <v>1.121072E-11</v>
      </c>
      <c r="H226" s="44">
        <f t="shared" si="7"/>
        <v>500.00000000000023</v>
      </c>
      <c r="R226" s="67" t="s">
        <v>36</v>
      </c>
      <c r="S226" s="67" t="s">
        <v>36</v>
      </c>
      <c r="T226" s="68">
        <v>46243.041666666664</v>
      </c>
      <c r="U226" s="69">
        <v>1.121072E-11</v>
      </c>
    </row>
    <row r="227" spans="1:21">
      <c r="A227" s="64">
        <v>46243.083333333336</v>
      </c>
      <c r="B227" s="65" t="s">
        <v>29</v>
      </c>
      <c r="C227" s="66">
        <v>0</v>
      </c>
      <c r="D227" s="66">
        <v>500</v>
      </c>
      <c r="E227" s="66">
        <v>252.6206</v>
      </c>
      <c r="F227" s="66">
        <v>129.79490000000001</v>
      </c>
      <c r="G227" s="49">
        <f t="shared" si="6"/>
        <v>4.8083690000000003E-12</v>
      </c>
      <c r="H227" s="44">
        <f t="shared" si="7"/>
        <v>500.00000000000011</v>
      </c>
      <c r="R227" s="67" t="s">
        <v>36</v>
      </c>
      <c r="S227" s="67" t="s">
        <v>36</v>
      </c>
      <c r="T227" s="68">
        <v>46243.083333333336</v>
      </c>
      <c r="U227" s="69">
        <v>4.8083690000000003E-12</v>
      </c>
    </row>
    <row r="228" spans="1:21">
      <c r="A228" s="64">
        <v>46243.125</v>
      </c>
      <c r="B228" s="65" t="s">
        <v>29</v>
      </c>
      <c r="C228" s="66">
        <v>0</v>
      </c>
      <c r="D228" s="66">
        <v>500</v>
      </c>
      <c r="E228" s="66">
        <v>252.1875</v>
      </c>
      <c r="F228" s="66">
        <v>127.9949</v>
      </c>
      <c r="G228" s="49">
        <f t="shared" si="6"/>
        <v>3.0605260000000002E-12</v>
      </c>
      <c r="H228" s="44">
        <f t="shared" si="7"/>
        <v>500.00000000000006</v>
      </c>
      <c r="R228" s="67" t="s">
        <v>36</v>
      </c>
      <c r="S228" s="67" t="s">
        <v>36</v>
      </c>
      <c r="T228" s="68">
        <v>46243.125</v>
      </c>
      <c r="U228" s="69">
        <v>3.0605260000000002E-12</v>
      </c>
    </row>
    <row r="229" spans="1:21">
      <c r="A229" s="64">
        <v>46243.166666666664</v>
      </c>
      <c r="B229" s="65" t="s">
        <v>29</v>
      </c>
      <c r="C229" s="66">
        <v>0</v>
      </c>
      <c r="D229" s="66">
        <v>500</v>
      </c>
      <c r="E229" s="66">
        <v>251.74469999999999</v>
      </c>
      <c r="F229" s="66">
        <v>126.1949</v>
      </c>
      <c r="G229" s="49">
        <f t="shared" si="6"/>
        <v>1.3126850000000001E-12</v>
      </c>
      <c r="H229" s="44">
        <f t="shared" si="7"/>
        <v>500</v>
      </c>
      <c r="R229" s="67" t="s">
        <v>36</v>
      </c>
      <c r="S229" s="67" t="s">
        <v>36</v>
      </c>
      <c r="T229" s="68">
        <v>46243.166666666664</v>
      </c>
      <c r="U229" s="69">
        <v>1.3126850000000001E-12</v>
      </c>
    </row>
    <row r="230" spans="1:21">
      <c r="A230" s="64">
        <v>46243.208333333336</v>
      </c>
      <c r="B230" s="65" t="s">
        <v>29</v>
      </c>
      <c r="C230" s="66">
        <v>0</v>
      </c>
      <c r="D230" s="66">
        <v>500</v>
      </c>
      <c r="E230" s="66">
        <v>251.29470000000001</v>
      </c>
      <c r="F230" s="66">
        <v>124.39490000000001</v>
      </c>
      <c r="G230" s="49">
        <f t="shared" si="6"/>
        <v>8.3552360000000002E-13</v>
      </c>
      <c r="H230" s="44">
        <f t="shared" si="7"/>
        <v>500</v>
      </c>
      <c r="R230" s="67" t="s">
        <v>36</v>
      </c>
      <c r="S230" s="67" t="s">
        <v>36</v>
      </c>
      <c r="T230" s="68">
        <v>46243.208333333336</v>
      </c>
      <c r="U230" s="69">
        <v>8.3552360000000002E-13</v>
      </c>
    </row>
    <row r="231" spans="1:21">
      <c r="A231" s="64">
        <v>46243.25</v>
      </c>
      <c r="B231" s="65" t="s">
        <v>29</v>
      </c>
      <c r="C231" s="66">
        <v>0</v>
      </c>
      <c r="D231" s="66">
        <v>500</v>
      </c>
      <c r="E231" s="66">
        <v>250.84469999999999</v>
      </c>
      <c r="F231" s="66">
        <v>122.5949</v>
      </c>
      <c r="G231" s="49">
        <f t="shared" si="6"/>
        <v>3.5836300000000001E-13</v>
      </c>
      <c r="H231" s="44">
        <f t="shared" si="7"/>
        <v>500</v>
      </c>
      <c r="R231" s="67" t="s">
        <v>36</v>
      </c>
      <c r="S231" s="67" t="s">
        <v>36</v>
      </c>
      <c r="T231" s="68">
        <v>46243.25</v>
      </c>
      <c r="U231" s="69">
        <v>3.5836300000000001E-13</v>
      </c>
    </row>
    <row r="232" spans="1:21">
      <c r="A232" s="64">
        <v>46243.291666666664</v>
      </c>
      <c r="B232" s="65" t="s">
        <v>29</v>
      </c>
      <c r="C232" s="66">
        <v>0</v>
      </c>
      <c r="D232" s="66">
        <v>500</v>
      </c>
      <c r="E232" s="66">
        <v>250.3947</v>
      </c>
      <c r="F232" s="66">
        <v>120.7949</v>
      </c>
      <c r="G232" s="49">
        <f t="shared" si="6"/>
        <v>2.2809790000000001E-13</v>
      </c>
      <c r="H232" s="44">
        <f t="shared" si="7"/>
        <v>500</v>
      </c>
      <c r="R232" s="67" t="s">
        <v>36</v>
      </c>
      <c r="S232" s="67" t="s">
        <v>36</v>
      </c>
      <c r="T232" s="68">
        <v>46243.291666666664</v>
      </c>
      <c r="U232" s="69">
        <v>2.2809790000000001E-13</v>
      </c>
    </row>
    <row r="233" spans="1:21">
      <c r="A233" s="64">
        <v>46243.333333333336</v>
      </c>
      <c r="B233" s="65" t="s">
        <v>29</v>
      </c>
      <c r="C233" s="66">
        <v>0</v>
      </c>
      <c r="D233" s="66">
        <v>500</v>
      </c>
      <c r="E233" s="66">
        <v>249.94220000000001</v>
      </c>
      <c r="F233" s="66">
        <v>118.9949</v>
      </c>
      <c r="G233" s="49">
        <f t="shared" si="6"/>
        <v>9.7833089999999997E-14</v>
      </c>
      <c r="H233" s="44">
        <f t="shared" si="7"/>
        <v>500</v>
      </c>
      <c r="R233" s="67" t="s">
        <v>36</v>
      </c>
      <c r="S233" s="67" t="s">
        <v>36</v>
      </c>
      <c r="T233" s="68">
        <v>46243.333333333336</v>
      </c>
      <c r="U233" s="69">
        <v>9.7833089999999997E-14</v>
      </c>
    </row>
    <row r="234" spans="1:21">
      <c r="A234" s="64">
        <v>46243.375</v>
      </c>
      <c r="B234" s="65" t="s">
        <v>29</v>
      </c>
      <c r="C234" s="66">
        <v>0</v>
      </c>
      <c r="D234" s="66">
        <v>500</v>
      </c>
      <c r="E234" s="66">
        <v>249.47200000000001</v>
      </c>
      <c r="F234" s="66">
        <v>117.1949</v>
      </c>
      <c r="G234" s="49">
        <f t="shared" si="6"/>
        <v>6.2270740000000002E-14</v>
      </c>
      <c r="H234" s="44">
        <f t="shared" si="7"/>
        <v>500</v>
      </c>
      <c r="R234" s="67" t="s">
        <v>36</v>
      </c>
      <c r="S234" s="67" t="s">
        <v>36</v>
      </c>
      <c r="T234" s="68">
        <v>46243.375</v>
      </c>
      <c r="U234" s="69">
        <v>6.2270740000000002E-14</v>
      </c>
    </row>
    <row r="235" spans="1:21">
      <c r="A235" s="64">
        <v>46243.416666666664</v>
      </c>
      <c r="B235" s="65" t="s">
        <v>29</v>
      </c>
      <c r="C235" s="66">
        <v>0</v>
      </c>
      <c r="D235" s="66">
        <v>500</v>
      </c>
      <c r="E235" s="66">
        <v>249.0018</v>
      </c>
      <c r="F235" s="66">
        <v>115.39490000000001</v>
      </c>
      <c r="G235" s="49">
        <f t="shared" si="6"/>
        <v>2.6708429999999999E-14</v>
      </c>
      <c r="H235" s="44">
        <f t="shared" si="7"/>
        <v>500</v>
      </c>
      <c r="R235" s="67" t="s">
        <v>36</v>
      </c>
      <c r="S235" s="67" t="s">
        <v>36</v>
      </c>
      <c r="T235" s="68">
        <v>46243.416666666664</v>
      </c>
      <c r="U235" s="69">
        <v>2.6708429999999999E-14</v>
      </c>
    </row>
    <row r="236" spans="1:21">
      <c r="A236" s="64">
        <v>46243.458333333336</v>
      </c>
      <c r="B236" s="65" t="s">
        <v>29</v>
      </c>
      <c r="C236" s="66">
        <v>0</v>
      </c>
      <c r="D236" s="66">
        <v>500</v>
      </c>
      <c r="E236" s="66">
        <v>248.5317</v>
      </c>
      <c r="F236" s="66">
        <v>113.5949</v>
      </c>
      <c r="G236" s="49">
        <f t="shared" si="6"/>
        <v>1.6999910000000001E-14</v>
      </c>
      <c r="H236" s="44">
        <f t="shared" si="7"/>
        <v>500</v>
      </c>
      <c r="R236" s="67" t="s">
        <v>36</v>
      </c>
      <c r="S236" s="67" t="s">
        <v>36</v>
      </c>
      <c r="T236" s="68">
        <v>46243.458333333336</v>
      </c>
      <c r="U236" s="69">
        <v>1.6999910000000001E-14</v>
      </c>
    </row>
    <row r="237" spans="1:21">
      <c r="A237" s="64">
        <v>46243.5</v>
      </c>
      <c r="B237" s="65" t="s">
        <v>29</v>
      </c>
      <c r="C237" s="66">
        <v>0</v>
      </c>
      <c r="D237" s="66">
        <v>500</v>
      </c>
      <c r="E237" s="66">
        <v>248.0615</v>
      </c>
      <c r="F237" s="66">
        <v>111.7949</v>
      </c>
      <c r="G237" s="49">
        <f t="shared" si="6"/>
        <v>7.2914029999999996E-15</v>
      </c>
      <c r="H237" s="44">
        <f t="shared" si="7"/>
        <v>500</v>
      </c>
      <c r="R237" s="67" t="s">
        <v>36</v>
      </c>
      <c r="S237" s="67" t="s">
        <v>36</v>
      </c>
      <c r="T237" s="68">
        <v>46243.5</v>
      </c>
      <c r="U237" s="69">
        <v>7.2914029999999996E-15</v>
      </c>
    </row>
    <row r="238" spans="1:21">
      <c r="A238" s="64">
        <v>46243.541666666664</v>
      </c>
      <c r="B238" s="65" t="s">
        <v>29</v>
      </c>
      <c r="C238" s="66">
        <v>0</v>
      </c>
      <c r="D238" s="66">
        <v>500</v>
      </c>
      <c r="E238" s="66">
        <v>247.56970000000001</v>
      </c>
      <c r="F238" s="66">
        <v>109.9949</v>
      </c>
      <c r="G238" s="49">
        <f t="shared" si="6"/>
        <v>4.6409759999999999E-15</v>
      </c>
      <c r="H238" s="44">
        <f t="shared" si="7"/>
        <v>500</v>
      </c>
      <c r="R238" s="67" t="s">
        <v>36</v>
      </c>
      <c r="S238" s="67" t="s">
        <v>36</v>
      </c>
      <c r="T238" s="68">
        <v>46243.541666666664</v>
      </c>
      <c r="U238" s="69">
        <v>4.6409759999999999E-15</v>
      </c>
    </row>
    <row r="239" spans="1:21">
      <c r="A239" s="64">
        <v>46243.583333333336</v>
      </c>
      <c r="B239" s="65" t="s">
        <v>29</v>
      </c>
      <c r="C239" s="66">
        <v>0</v>
      </c>
      <c r="D239" s="66">
        <v>500</v>
      </c>
      <c r="E239" s="66">
        <v>247.0746</v>
      </c>
      <c r="F239" s="66">
        <v>108.1949</v>
      </c>
      <c r="G239" s="49">
        <f t="shared" si="6"/>
        <v>1.9905529999999998E-15</v>
      </c>
      <c r="H239" s="44">
        <f t="shared" si="7"/>
        <v>500</v>
      </c>
      <c r="R239" s="67" t="s">
        <v>36</v>
      </c>
      <c r="S239" s="67" t="s">
        <v>36</v>
      </c>
      <c r="T239" s="68">
        <v>46243.583333333336</v>
      </c>
      <c r="U239" s="69">
        <v>1.9905529999999998E-15</v>
      </c>
    </row>
    <row r="240" spans="1:21">
      <c r="A240" s="64">
        <v>46243.625</v>
      </c>
      <c r="B240" s="65" t="s">
        <v>29</v>
      </c>
      <c r="C240" s="66">
        <v>0</v>
      </c>
      <c r="D240" s="66">
        <v>500</v>
      </c>
      <c r="E240" s="66">
        <v>246.5795</v>
      </c>
      <c r="F240" s="66">
        <v>106.39490000000001</v>
      </c>
      <c r="G240" s="49">
        <f t="shared" si="6"/>
        <v>1.266986E-15</v>
      </c>
      <c r="H240" s="44">
        <f t="shared" si="7"/>
        <v>500</v>
      </c>
      <c r="R240" s="67" t="s">
        <v>36</v>
      </c>
      <c r="S240" s="67" t="s">
        <v>36</v>
      </c>
      <c r="T240" s="68">
        <v>46243.625</v>
      </c>
      <c r="U240" s="69">
        <v>1.266986E-15</v>
      </c>
    </row>
    <row r="241" spans="1:21">
      <c r="A241" s="64">
        <v>46243.666666666664</v>
      </c>
      <c r="B241" s="65" t="s">
        <v>29</v>
      </c>
      <c r="C241" s="66">
        <v>0</v>
      </c>
      <c r="D241" s="66">
        <v>500</v>
      </c>
      <c r="E241" s="66">
        <v>246.08449999999999</v>
      </c>
      <c r="F241" s="66">
        <v>104.5949</v>
      </c>
      <c r="G241" s="49">
        <f t="shared" si="6"/>
        <v>5.4342099999999998E-16</v>
      </c>
      <c r="H241" s="44">
        <f t="shared" si="7"/>
        <v>500</v>
      </c>
      <c r="R241" s="67" t="s">
        <v>36</v>
      </c>
      <c r="S241" s="67" t="s">
        <v>36</v>
      </c>
      <c r="T241" s="68">
        <v>46243.666666666664</v>
      </c>
      <c r="U241" s="69">
        <v>5.4342099999999998E-16</v>
      </c>
    </row>
    <row r="242" spans="1:21">
      <c r="A242" s="64">
        <v>46243.708333333336</v>
      </c>
      <c r="B242" s="65" t="s">
        <v>29</v>
      </c>
      <c r="C242" s="66">
        <v>0</v>
      </c>
      <c r="D242" s="66">
        <v>500</v>
      </c>
      <c r="E242" s="66">
        <v>245.57050000000001</v>
      </c>
      <c r="F242" s="66">
        <v>102.7949</v>
      </c>
      <c r="G242" s="49">
        <f t="shared" si="6"/>
        <v>3.4588729999999998E-16</v>
      </c>
      <c r="H242" s="44">
        <f t="shared" si="7"/>
        <v>500</v>
      </c>
      <c r="R242" s="67" t="s">
        <v>36</v>
      </c>
      <c r="S242" s="67" t="s">
        <v>36</v>
      </c>
      <c r="T242" s="68">
        <v>46243.708333333336</v>
      </c>
      <c r="U242" s="69">
        <v>3.4588729999999998E-16</v>
      </c>
    </row>
    <row r="243" spans="1:21">
      <c r="A243" s="64">
        <v>46243.75</v>
      </c>
      <c r="B243" s="65" t="s">
        <v>29</v>
      </c>
      <c r="C243" s="66">
        <v>0</v>
      </c>
      <c r="D243" s="66">
        <v>500</v>
      </c>
      <c r="E243" s="66">
        <v>245.05260000000001</v>
      </c>
      <c r="F243" s="66">
        <v>100.9949</v>
      </c>
      <c r="G243" s="49">
        <f t="shared" si="6"/>
        <v>1.483539E-16</v>
      </c>
      <c r="H243" s="44">
        <f t="shared" si="7"/>
        <v>500</v>
      </c>
      <c r="R243" s="67" t="s">
        <v>36</v>
      </c>
      <c r="S243" s="67" t="s">
        <v>36</v>
      </c>
      <c r="T243" s="68">
        <v>46243.75</v>
      </c>
      <c r="U243" s="69">
        <v>1.483539E-16</v>
      </c>
    </row>
    <row r="244" spans="1:21">
      <c r="A244" s="64">
        <v>46243.791666666664</v>
      </c>
      <c r="B244" s="65" t="s">
        <v>29</v>
      </c>
      <c r="C244" s="66">
        <v>0</v>
      </c>
      <c r="D244" s="66">
        <v>500</v>
      </c>
      <c r="E244" s="66">
        <v>244.53479999999999</v>
      </c>
      <c r="F244" s="66">
        <v>99.194850000000002</v>
      </c>
      <c r="G244" s="49">
        <f t="shared" si="6"/>
        <v>9.4427229999999994E-17</v>
      </c>
      <c r="H244" s="44">
        <f t="shared" si="7"/>
        <v>500</v>
      </c>
      <c r="R244" s="67" t="s">
        <v>36</v>
      </c>
      <c r="S244" s="67" t="s">
        <v>36</v>
      </c>
      <c r="T244" s="68">
        <v>46243.791666666664</v>
      </c>
      <c r="U244" s="69">
        <v>9.4427229999999994E-17</v>
      </c>
    </row>
    <row r="245" spans="1:21">
      <c r="A245" s="64">
        <v>46243.833333333336</v>
      </c>
      <c r="B245" s="65" t="s">
        <v>29</v>
      </c>
      <c r="C245" s="66">
        <v>0</v>
      </c>
      <c r="D245" s="66">
        <v>500</v>
      </c>
      <c r="E245" s="66">
        <v>244.01689999999999</v>
      </c>
      <c r="F245" s="66">
        <v>97.394850000000005</v>
      </c>
      <c r="G245" s="49">
        <f t="shared" si="6"/>
        <v>4.0500619999999998E-17</v>
      </c>
      <c r="H245" s="44">
        <f t="shared" si="7"/>
        <v>500</v>
      </c>
      <c r="R245" s="67" t="s">
        <v>36</v>
      </c>
      <c r="S245" s="67" t="s">
        <v>36</v>
      </c>
      <c r="T245" s="68">
        <v>46243.833333333336</v>
      </c>
      <c r="U245" s="69">
        <v>4.0500619999999998E-17</v>
      </c>
    </row>
    <row r="246" spans="1:21">
      <c r="A246" s="64">
        <v>46243.875</v>
      </c>
      <c r="B246" s="65" t="s">
        <v>29</v>
      </c>
      <c r="C246" s="66">
        <v>0</v>
      </c>
      <c r="D246" s="66">
        <v>500</v>
      </c>
      <c r="E246" s="66">
        <v>243.4787</v>
      </c>
      <c r="F246" s="66">
        <v>95.594849999999994</v>
      </c>
      <c r="G246" s="49">
        <f t="shared" si="6"/>
        <v>2.5778640000000001E-17</v>
      </c>
      <c r="H246" s="44">
        <f t="shared" si="7"/>
        <v>500</v>
      </c>
      <c r="R246" s="67" t="s">
        <v>36</v>
      </c>
      <c r="S246" s="67" t="s">
        <v>36</v>
      </c>
      <c r="T246" s="68">
        <v>46243.875</v>
      </c>
      <c r="U246" s="69">
        <v>2.5778640000000001E-17</v>
      </c>
    </row>
    <row r="247" spans="1:21">
      <c r="A247" s="64">
        <v>46243.916666666664</v>
      </c>
      <c r="B247" s="65" t="s">
        <v>29</v>
      </c>
      <c r="C247" s="66">
        <v>0</v>
      </c>
      <c r="D247" s="66">
        <v>500</v>
      </c>
      <c r="E247" s="66">
        <v>242.93979999999999</v>
      </c>
      <c r="F247" s="66">
        <v>93.794849999999997</v>
      </c>
      <c r="G247" s="49">
        <f t="shared" si="6"/>
        <v>1.105667E-17</v>
      </c>
      <c r="H247" s="44">
        <f t="shared" si="7"/>
        <v>500</v>
      </c>
      <c r="R247" s="67" t="s">
        <v>36</v>
      </c>
      <c r="S247" s="67" t="s">
        <v>36</v>
      </c>
      <c r="T247" s="68">
        <v>46243.916666666664</v>
      </c>
      <c r="U247" s="69">
        <v>1.105667E-17</v>
      </c>
    </row>
    <row r="248" spans="1:21">
      <c r="A248" s="64">
        <v>46243.958333333336</v>
      </c>
      <c r="B248" s="65" t="s">
        <v>29</v>
      </c>
      <c r="C248" s="66">
        <v>0</v>
      </c>
      <c r="D248" s="66">
        <v>500</v>
      </c>
      <c r="E248" s="66">
        <v>242.40090000000001</v>
      </c>
      <c r="F248" s="66">
        <v>91.994839999999996</v>
      </c>
      <c r="G248" s="49">
        <f t="shared" si="6"/>
        <v>7.0375669999999994E-18</v>
      </c>
      <c r="H248" s="44">
        <f t="shared" si="7"/>
        <v>500</v>
      </c>
      <c r="R248" s="67" t="s">
        <v>36</v>
      </c>
      <c r="S248" s="67" t="s">
        <v>36</v>
      </c>
      <c r="T248" s="68">
        <v>46243.958333333336</v>
      </c>
      <c r="U248" s="69">
        <v>7.0375669999999994E-18</v>
      </c>
    </row>
    <row r="249" spans="1:21">
      <c r="A249" s="64">
        <v>46244</v>
      </c>
      <c r="B249" s="65" t="s">
        <v>29</v>
      </c>
      <c r="C249" s="66">
        <v>0</v>
      </c>
      <c r="D249" s="66">
        <v>500</v>
      </c>
      <c r="E249" s="66">
        <v>241.85659999999999</v>
      </c>
      <c r="F249" s="66">
        <v>90.194839999999999</v>
      </c>
      <c r="G249" s="49">
        <f t="shared" si="6"/>
        <v>3.0184710000000001E-18</v>
      </c>
      <c r="H249" s="44">
        <f t="shared" si="7"/>
        <v>500</v>
      </c>
      <c r="R249" s="67" t="s">
        <v>36</v>
      </c>
      <c r="S249" s="67" t="s">
        <v>36</v>
      </c>
      <c r="T249" s="68">
        <v>46244</v>
      </c>
      <c r="U249" s="69">
        <v>3.0184710000000001E-18</v>
      </c>
    </row>
    <row r="250" spans="1:21">
      <c r="A250" s="64">
        <v>46244.041666666664</v>
      </c>
      <c r="B250" s="65" t="s">
        <v>29</v>
      </c>
      <c r="C250" s="66">
        <v>0</v>
      </c>
      <c r="D250" s="66">
        <v>500</v>
      </c>
      <c r="E250" s="66">
        <v>241.29660000000001</v>
      </c>
      <c r="F250" s="66">
        <v>88.394840000000002</v>
      </c>
      <c r="G250" s="49">
        <f t="shared" si="6"/>
        <v>1.9212559999999998E-18</v>
      </c>
      <c r="H250" s="44">
        <f t="shared" si="7"/>
        <v>500</v>
      </c>
      <c r="R250" s="67" t="s">
        <v>36</v>
      </c>
      <c r="S250" s="67" t="s">
        <v>36</v>
      </c>
      <c r="T250" s="68">
        <v>46244.041666666664</v>
      </c>
      <c r="U250" s="69">
        <v>1.9212559999999998E-18</v>
      </c>
    </row>
    <row r="251" spans="1:21">
      <c r="A251" s="64">
        <v>46244.083333333336</v>
      </c>
      <c r="B251" s="65" t="s">
        <v>29</v>
      </c>
      <c r="C251" s="66">
        <v>0</v>
      </c>
      <c r="D251" s="66">
        <v>500</v>
      </c>
      <c r="E251" s="66">
        <v>240.73660000000001</v>
      </c>
      <c r="F251" s="66">
        <v>86.594830000000002</v>
      </c>
      <c r="G251" s="49">
        <f t="shared" si="6"/>
        <v>8.2404259999999999E-19</v>
      </c>
      <c r="H251" s="44">
        <f t="shared" si="7"/>
        <v>500</v>
      </c>
      <c r="R251" s="67" t="s">
        <v>36</v>
      </c>
      <c r="S251" s="67" t="s">
        <v>36</v>
      </c>
      <c r="T251" s="68">
        <v>46244.083333333336</v>
      </c>
      <c r="U251" s="69">
        <v>8.2404259999999999E-19</v>
      </c>
    </row>
    <row r="252" spans="1:21">
      <c r="A252" s="64">
        <v>46244.125</v>
      </c>
      <c r="B252" s="65" t="s">
        <v>29</v>
      </c>
      <c r="C252" s="66">
        <v>0</v>
      </c>
      <c r="D252" s="66">
        <v>500</v>
      </c>
      <c r="E252" s="66">
        <v>240.17660000000001</v>
      </c>
      <c r="F252" s="66">
        <v>84.794830000000005</v>
      </c>
      <c r="G252" s="49">
        <f t="shared" si="6"/>
        <v>5.2450290000000003E-19</v>
      </c>
      <c r="H252" s="44">
        <f t="shared" si="7"/>
        <v>500</v>
      </c>
      <c r="R252" s="67" t="s">
        <v>36</v>
      </c>
      <c r="S252" s="67" t="s">
        <v>36</v>
      </c>
      <c r="T252" s="68">
        <v>46244.125</v>
      </c>
      <c r="U252" s="69">
        <v>5.2450290000000003E-19</v>
      </c>
    </row>
    <row r="253" spans="1:21">
      <c r="A253" s="64">
        <v>46244.166666666664</v>
      </c>
      <c r="B253" s="65" t="s">
        <v>29</v>
      </c>
      <c r="C253" s="66">
        <v>0</v>
      </c>
      <c r="D253" s="66">
        <v>500</v>
      </c>
      <c r="E253" s="66">
        <v>239.60079999999999</v>
      </c>
      <c r="F253" s="66">
        <v>82.994829999999993</v>
      </c>
      <c r="G253" s="49">
        <f t="shared" si="6"/>
        <v>2.2496359999999999E-19</v>
      </c>
      <c r="H253" s="44">
        <f t="shared" si="7"/>
        <v>500</v>
      </c>
      <c r="R253" s="67" t="s">
        <v>36</v>
      </c>
      <c r="S253" s="67" t="s">
        <v>36</v>
      </c>
      <c r="T253" s="68">
        <v>46244.166666666664</v>
      </c>
      <c r="U253" s="69">
        <v>2.2496359999999999E-19</v>
      </c>
    </row>
    <row r="254" spans="1:21">
      <c r="A254" s="64">
        <v>46244.208333333336</v>
      </c>
      <c r="B254" s="65" t="s">
        <v>29</v>
      </c>
      <c r="C254" s="66">
        <v>0</v>
      </c>
      <c r="D254" s="66">
        <v>500</v>
      </c>
      <c r="E254" s="66">
        <v>239.01769999999999</v>
      </c>
      <c r="F254" s="66">
        <v>81.194820000000007</v>
      </c>
      <c r="G254" s="49">
        <f t="shared" si="6"/>
        <v>1.431893E-19</v>
      </c>
      <c r="H254" s="44">
        <f t="shared" si="7"/>
        <v>500</v>
      </c>
      <c r="R254" s="67" t="s">
        <v>36</v>
      </c>
      <c r="S254" s="67" t="s">
        <v>36</v>
      </c>
      <c r="T254" s="68">
        <v>46244.208333333336</v>
      </c>
      <c r="U254" s="69">
        <v>1.431893E-19</v>
      </c>
    </row>
    <row r="255" spans="1:21">
      <c r="A255" s="64">
        <v>46244.25</v>
      </c>
      <c r="B255" s="65" t="s">
        <v>29</v>
      </c>
      <c r="C255" s="66">
        <v>0</v>
      </c>
      <c r="D255" s="66">
        <v>500</v>
      </c>
      <c r="E255" s="66">
        <v>238.43459999999999</v>
      </c>
      <c r="F255" s="66">
        <v>79.394819999999996</v>
      </c>
      <c r="G255" s="49">
        <f t="shared" si="6"/>
        <v>6.1415070000000005E-20</v>
      </c>
      <c r="H255" s="44">
        <f t="shared" si="7"/>
        <v>500</v>
      </c>
      <c r="R255" s="67" t="s">
        <v>36</v>
      </c>
      <c r="S255" s="67" t="s">
        <v>36</v>
      </c>
      <c r="T255" s="68">
        <v>46244.25</v>
      </c>
      <c r="U255" s="69">
        <v>6.1415070000000005E-20</v>
      </c>
    </row>
    <row r="256" spans="1:21">
      <c r="A256" s="64">
        <v>46244.291666666664</v>
      </c>
      <c r="B256" s="65" t="s">
        <v>29</v>
      </c>
      <c r="C256" s="66">
        <v>0</v>
      </c>
      <c r="D256" s="66">
        <v>122.65779999999999</v>
      </c>
      <c r="E256" s="66">
        <v>238.07149999999999</v>
      </c>
      <c r="F256" s="66">
        <v>78.274039999999999</v>
      </c>
      <c r="G256" s="49">
        <f t="shared" si="6"/>
        <v>3.9090680000000001E-20</v>
      </c>
      <c r="H256" s="44">
        <f t="shared" si="7"/>
        <v>122.65779999999999</v>
      </c>
      <c r="R256" s="67" t="s">
        <v>36</v>
      </c>
      <c r="S256" s="67" t="s">
        <v>36</v>
      </c>
      <c r="T256" s="68">
        <v>46244.291666666664</v>
      </c>
      <c r="U256" s="69">
        <v>3.9090680000000001E-20</v>
      </c>
    </row>
    <row r="257" spans="1:21">
      <c r="A257" s="64">
        <v>46244.333333333336</v>
      </c>
      <c r="B257" s="65" t="s">
        <v>29</v>
      </c>
      <c r="C257" s="66">
        <v>0</v>
      </c>
      <c r="D257" s="66">
        <v>8.4800000000000001E-4</v>
      </c>
      <c r="E257" s="66">
        <v>238</v>
      </c>
      <c r="F257" s="66">
        <v>78.053250000000006</v>
      </c>
      <c r="G257" s="49">
        <f t="shared" si="6"/>
        <v>1.6766309999999999E-20</v>
      </c>
      <c r="H257" s="44">
        <f t="shared" si="7"/>
        <v>8.4800000000000001E-4</v>
      </c>
      <c r="R257" s="67" t="s">
        <v>36</v>
      </c>
      <c r="S257" s="67" t="s">
        <v>36</v>
      </c>
      <c r="T257" s="68">
        <v>46244.333333333336</v>
      </c>
      <c r="U257" s="69">
        <v>1.6766309999999999E-20</v>
      </c>
    </row>
    <row r="258" spans="1:21">
      <c r="A258" s="64">
        <v>46244.375</v>
      </c>
      <c r="B258" s="65" t="s">
        <v>29</v>
      </c>
      <c r="C258" s="66">
        <v>0</v>
      </c>
      <c r="D258" s="66">
        <v>0</v>
      </c>
      <c r="E258" s="66">
        <v>238</v>
      </c>
      <c r="F258" s="66">
        <v>78.053250000000006</v>
      </c>
      <c r="G258" s="49">
        <f t="shared" si="6"/>
        <v>1.067175E-20</v>
      </c>
      <c r="H258" s="44">
        <f t="shared" si="7"/>
        <v>2.1713200000000002E-22</v>
      </c>
      <c r="R258" s="67" t="s">
        <v>36</v>
      </c>
      <c r="S258" s="67" t="s">
        <v>36</v>
      </c>
      <c r="T258" s="68">
        <v>46244.375</v>
      </c>
      <c r="U258" s="69">
        <v>1.067175E-20</v>
      </c>
    </row>
    <row r="259" spans="1:21">
      <c r="A259" s="64">
        <v>46244.416666666664</v>
      </c>
      <c r="B259" s="65" t="s">
        <v>29</v>
      </c>
      <c r="C259" s="66">
        <v>0</v>
      </c>
      <c r="D259" s="66">
        <v>0</v>
      </c>
      <c r="E259" s="66">
        <v>238</v>
      </c>
      <c r="F259" s="66">
        <v>78.053250000000006</v>
      </c>
      <c r="G259" s="49">
        <f t="shared" ref="G259:G322" si="8">U259</f>
        <v>4.5772039999999999E-21</v>
      </c>
      <c r="H259" s="44">
        <f t="shared" ref="H259:H322" si="9">D259+G265</f>
        <v>9.3129700000000003E-23</v>
      </c>
      <c r="R259" s="67" t="s">
        <v>36</v>
      </c>
      <c r="S259" s="67" t="s">
        <v>36</v>
      </c>
      <c r="T259" s="68">
        <v>46244.416666666664</v>
      </c>
      <c r="U259" s="69">
        <v>4.5772039999999999E-21</v>
      </c>
    </row>
    <row r="260" spans="1:21">
      <c r="A260" s="64">
        <v>46244.458333333336</v>
      </c>
      <c r="B260" s="65" t="s">
        <v>29</v>
      </c>
      <c r="C260" s="66">
        <v>0</v>
      </c>
      <c r="D260" s="66">
        <v>0</v>
      </c>
      <c r="E260" s="66">
        <v>238</v>
      </c>
      <c r="F260" s="66">
        <v>78.053250000000006</v>
      </c>
      <c r="G260" s="49">
        <f t="shared" si="8"/>
        <v>2.9133890000000002E-21</v>
      </c>
      <c r="H260" s="44">
        <f t="shared" si="9"/>
        <v>5.9277029999999997E-23</v>
      </c>
      <c r="R260" s="67" t="s">
        <v>36</v>
      </c>
      <c r="S260" s="67" t="s">
        <v>36</v>
      </c>
      <c r="T260" s="68">
        <v>46244.458333333336</v>
      </c>
      <c r="U260" s="69">
        <v>2.9133890000000002E-21</v>
      </c>
    </row>
    <row r="261" spans="1:21">
      <c r="A261" s="64">
        <v>46244.5</v>
      </c>
      <c r="B261" s="65" t="s">
        <v>29</v>
      </c>
      <c r="C261" s="66">
        <v>0</v>
      </c>
      <c r="D261" s="66">
        <v>0</v>
      </c>
      <c r="E261" s="66">
        <v>238</v>
      </c>
      <c r="F261" s="66">
        <v>78.053250000000006</v>
      </c>
      <c r="G261" s="49">
        <f t="shared" si="8"/>
        <v>1.2495769999999999E-21</v>
      </c>
      <c r="H261" s="44">
        <f t="shared" si="9"/>
        <v>2.542441E-23</v>
      </c>
      <c r="R261" s="67" t="s">
        <v>36</v>
      </c>
      <c r="S261" s="67" t="s">
        <v>36</v>
      </c>
      <c r="T261" s="68">
        <v>46244.5</v>
      </c>
      <c r="U261" s="69">
        <v>1.2495769999999999E-21</v>
      </c>
    </row>
    <row r="262" spans="1:21">
      <c r="A262" s="64">
        <v>46244.541666666664</v>
      </c>
      <c r="B262" s="65" t="s">
        <v>29</v>
      </c>
      <c r="C262" s="66">
        <v>0</v>
      </c>
      <c r="D262" s="66">
        <v>0</v>
      </c>
      <c r="E262" s="66">
        <v>238</v>
      </c>
      <c r="F262" s="66">
        <v>78.053250000000006</v>
      </c>
      <c r="G262" s="49">
        <f t="shared" si="8"/>
        <v>7.9535519999999997E-22</v>
      </c>
      <c r="H262" s="44">
        <f t="shared" si="9"/>
        <v>1.6182629999999999E-23</v>
      </c>
      <c r="R262" s="67" t="s">
        <v>36</v>
      </c>
      <c r="S262" s="67" t="s">
        <v>36</v>
      </c>
      <c r="T262" s="68">
        <v>46244.541666666664</v>
      </c>
      <c r="U262" s="69">
        <v>7.9535519999999997E-22</v>
      </c>
    </row>
    <row r="263" spans="1:21">
      <c r="A263" s="64">
        <v>46244.583333333336</v>
      </c>
      <c r="B263" s="65" t="s">
        <v>29</v>
      </c>
      <c r="C263" s="66">
        <v>0</v>
      </c>
      <c r="D263" s="66">
        <v>0</v>
      </c>
      <c r="E263" s="66">
        <v>238</v>
      </c>
      <c r="F263" s="66">
        <v>78.053250000000006</v>
      </c>
      <c r="G263" s="49">
        <f t="shared" si="8"/>
        <v>3.4113440000000001E-22</v>
      </c>
      <c r="H263" s="44">
        <f t="shared" si="9"/>
        <v>6.9408639999999996E-24</v>
      </c>
      <c r="R263" s="67" t="s">
        <v>36</v>
      </c>
      <c r="S263" s="67" t="s">
        <v>36</v>
      </c>
      <c r="T263" s="68">
        <v>46244.583333333336</v>
      </c>
      <c r="U263" s="69">
        <v>3.4113440000000001E-22</v>
      </c>
    </row>
    <row r="264" spans="1:21">
      <c r="A264" s="64">
        <v>46244.625</v>
      </c>
      <c r="B264" s="65" t="s">
        <v>29</v>
      </c>
      <c r="C264" s="66">
        <v>0</v>
      </c>
      <c r="D264" s="66">
        <v>0</v>
      </c>
      <c r="E264" s="66">
        <v>238</v>
      </c>
      <c r="F264" s="66">
        <v>78.053250000000006</v>
      </c>
      <c r="G264" s="49">
        <f t="shared" si="8"/>
        <v>2.1713200000000002E-22</v>
      </c>
      <c r="H264" s="44">
        <f t="shared" si="9"/>
        <v>4.4178579999999997E-24</v>
      </c>
      <c r="R264" s="67" t="s">
        <v>36</v>
      </c>
      <c r="S264" s="67" t="s">
        <v>36</v>
      </c>
      <c r="T264" s="68">
        <v>46244.625</v>
      </c>
      <c r="U264" s="69">
        <v>2.1713200000000002E-22</v>
      </c>
    </row>
    <row r="265" spans="1:21">
      <c r="A265" s="64">
        <v>46244.666666666664</v>
      </c>
      <c r="B265" s="65" t="s">
        <v>29</v>
      </c>
      <c r="C265" s="66">
        <v>0</v>
      </c>
      <c r="D265" s="66">
        <v>0</v>
      </c>
      <c r="E265" s="66">
        <v>238</v>
      </c>
      <c r="F265" s="66">
        <v>78.053250000000006</v>
      </c>
      <c r="G265" s="49">
        <f t="shared" si="8"/>
        <v>9.3129700000000003E-23</v>
      </c>
      <c r="H265" s="44">
        <f t="shared" si="9"/>
        <v>1.8948559999999999E-24</v>
      </c>
      <c r="R265" s="67" t="s">
        <v>36</v>
      </c>
      <c r="S265" s="67" t="s">
        <v>36</v>
      </c>
      <c r="T265" s="68">
        <v>46244.666666666664</v>
      </c>
      <c r="U265" s="69">
        <v>9.3129700000000003E-23</v>
      </c>
    </row>
    <row r="266" spans="1:21">
      <c r="A266" s="64">
        <v>46244.708333333336</v>
      </c>
      <c r="B266" s="65" t="s">
        <v>29</v>
      </c>
      <c r="C266" s="66">
        <v>0</v>
      </c>
      <c r="D266" s="66">
        <v>0</v>
      </c>
      <c r="E266" s="66">
        <v>238</v>
      </c>
      <c r="F266" s="66">
        <v>78.053250000000006</v>
      </c>
      <c r="G266" s="49">
        <f t="shared" si="8"/>
        <v>5.9277029999999997E-23</v>
      </c>
      <c r="H266" s="44">
        <f t="shared" si="9"/>
        <v>1.2060750000000001E-24</v>
      </c>
      <c r="R266" s="67" t="s">
        <v>36</v>
      </c>
      <c r="S266" s="67" t="s">
        <v>36</v>
      </c>
      <c r="T266" s="68">
        <v>46244.708333333336</v>
      </c>
      <c r="U266" s="69">
        <v>5.9277029999999997E-23</v>
      </c>
    </row>
    <row r="267" spans="1:21">
      <c r="A267" s="64">
        <v>46244.75</v>
      </c>
      <c r="B267" s="65" t="s">
        <v>29</v>
      </c>
      <c r="C267" s="66">
        <v>0</v>
      </c>
      <c r="D267" s="66">
        <v>0</v>
      </c>
      <c r="E267" s="66">
        <v>238</v>
      </c>
      <c r="F267" s="66">
        <v>78.053250000000006</v>
      </c>
      <c r="G267" s="49">
        <f t="shared" si="8"/>
        <v>2.542441E-23</v>
      </c>
      <c r="H267" s="44">
        <f t="shared" si="9"/>
        <v>5.1729559999999996E-25</v>
      </c>
      <c r="R267" s="67" t="s">
        <v>36</v>
      </c>
      <c r="S267" s="67" t="s">
        <v>36</v>
      </c>
      <c r="T267" s="68">
        <v>46244.75</v>
      </c>
      <c r="U267" s="69">
        <v>2.542441E-23</v>
      </c>
    </row>
    <row r="268" spans="1:21">
      <c r="A268" s="64">
        <v>46244.791666666664</v>
      </c>
      <c r="B268" s="65" t="s">
        <v>29</v>
      </c>
      <c r="C268" s="66">
        <v>0</v>
      </c>
      <c r="D268" s="66">
        <v>0</v>
      </c>
      <c r="E268" s="66">
        <v>238</v>
      </c>
      <c r="F268" s="66">
        <v>78.053250000000006</v>
      </c>
      <c r="G268" s="49">
        <f t="shared" si="8"/>
        <v>1.6182629999999999E-23</v>
      </c>
      <c r="H268" s="44">
        <f t="shared" si="9"/>
        <v>3.2925849999999999E-25</v>
      </c>
      <c r="R268" s="67" t="s">
        <v>36</v>
      </c>
      <c r="S268" s="67" t="s">
        <v>36</v>
      </c>
      <c r="T268" s="68">
        <v>46244.791666666664</v>
      </c>
      <c r="U268" s="69">
        <v>1.6182629999999999E-23</v>
      </c>
    </row>
    <row r="269" spans="1:21">
      <c r="A269" s="64">
        <v>46244.833333333336</v>
      </c>
      <c r="B269" s="65" t="s">
        <v>29</v>
      </c>
      <c r="C269" s="66">
        <v>0</v>
      </c>
      <c r="D269" s="66">
        <v>0</v>
      </c>
      <c r="E269" s="66">
        <v>238</v>
      </c>
      <c r="F269" s="66">
        <v>78.053250000000006</v>
      </c>
      <c r="G269" s="49">
        <f t="shared" si="8"/>
        <v>6.9408639999999996E-24</v>
      </c>
      <c r="H269" s="44">
        <f t="shared" si="9"/>
        <v>1.412217E-25</v>
      </c>
      <c r="R269" s="67" t="s">
        <v>36</v>
      </c>
      <c r="S269" s="67" t="s">
        <v>36</v>
      </c>
      <c r="T269" s="68">
        <v>46244.833333333336</v>
      </c>
      <c r="U269" s="69">
        <v>6.9408639999999996E-24</v>
      </c>
    </row>
    <row r="270" spans="1:21">
      <c r="A270" s="64">
        <v>46244.875</v>
      </c>
      <c r="B270" s="65" t="s">
        <v>29</v>
      </c>
      <c r="C270" s="66">
        <v>0</v>
      </c>
      <c r="D270" s="66">
        <v>0</v>
      </c>
      <c r="E270" s="66">
        <v>238</v>
      </c>
      <c r="F270" s="66">
        <v>78.053250000000006</v>
      </c>
      <c r="G270" s="49">
        <f t="shared" si="8"/>
        <v>4.4178579999999997E-24</v>
      </c>
      <c r="H270" s="44">
        <f t="shared" si="9"/>
        <v>8.9887580000000003E-26</v>
      </c>
      <c r="R270" s="67" t="s">
        <v>36</v>
      </c>
      <c r="S270" s="67" t="s">
        <v>36</v>
      </c>
      <c r="T270" s="68">
        <v>46244.875</v>
      </c>
      <c r="U270" s="69">
        <v>4.4178579999999997E-24</v>
      </c>
    </row>
    <row r="271" spans="1:21">
      <c r="A271" s="64">
        <v>46244.916666666664</v>
      </c>
      <c r="B271" s="65" t="s">
        <v>29</v>
      </c>
      <c r="C271" s="66">
        <v>0</v>
      </c>
      <c r="D271" s="66">
        <v>0</v>
      </c>
      <c r="E271" s="66">
        <v>238</v>
      </c>
      <c r="F271" s="66">
        <v>78.053250000000006</v>
      </c>
      <c r="G271" s="49">
        <f t="shared" si="8"/>
        <v>1.8948559999999999E-24</v>
      </c>
      <c r="H271" s="44">
        <f t="shared" si="9"/>
        <v>3.8553529999999999E-26</v>
      </c>
      <c r="R271" s="67" t="s">
        <v>36</v>
      </c>
      <c r="S271" s="67" t="s">
        <v>36</v>
      </c>
      <c r="T271" s="68">
        <v>46244.916666666664</v>
      </c>
      <c r="U271" s="69">
        <v>1.8948559999999999E-24</v>
      </c>
    </row>
    <row r="272" spans="1:21">
      <c r="A272" s="64">
        <v>46244.958333333336</v>
      </c>
      <c r="B272" s="65" t="s">
        <v>29</v>
      </c>
      <c r="C272" s="66">
        <v>0</v>
      </c>
      <c r="D272" s="66">
        <v>0</v>
      </c>
      <c r="E272" s="66">
        <v>238</v>
      </c>
      <c r="F272" s="66">
        <v>78.053250000000006</v>
      </c>
      <c r="G272" s="49">
        <f t="shared" si="8"/>
        <v>1.2060750000000001E-24</v>
      </c>
      <c r="H272" s="44">
        <f t="shared" si="9"/>
        <v>2.453931E-26</v>
      </c>
      <c r="R272" s="67" t="s">
        <v>36</v>
      </c>
      <c r="S272" s="67" t="s">
        <v>36</v>
      </c>
      <c r="T272" s="68">
        <v>46244.958333333336</v>
      </c>
      <c r="U272" s="69">
        <v>1.2060750000000001E-24</v>
      </c>
    </row>
    <row r="273" spans="1:21">
      <c r="A273" s="64">
        <v>46245</v>
      </c>
      <c r="B273" s="65" t="s">
        <v>29</v>
      </c>
      <c r="C273" s="66">
        <v>0</v>
      </c>
      <c r="D273" s="66">
        <v>0</v>
      </c>
      <c r="E273" s="66">
        <v>238</v>
      </c>
      <c r="F273" s="66">
        <v>78.053250000000006</v>
      </c>
      <c r="G273" s="49">
        <f t="shared" si="8"/>
        <v>5.1729559999999996E-25</v>
      </c>
      <c r="H273" s="44">
        <f t="shared" si="9"/>
        <v>1.052511E-26</v>
      </c>
      <c r="R273" s="67" t="s">
        <v>36</v>
      </c>
      <c r="S273" s="67" t="s">
        <v>36</v>
      </c>
      <c r="T273" s="68">
        <v>46245</v>
      </c>
      <c r="U273" s="69">
        <v>5.1729559999999996E-25</v>
      </c>
    </row>
    <row r="274" spans="1:21">
      <c r="A274" s="64">
        <v>46245.041666666664</v>
      </c>
      <c r="B274" s="65" t="s">
        <v>29</v>
      </c>
      <c r="C274" s="66">
        <v>0</v>
      </c>
      <c r="D274" s="66">
        <v>0</v>
      </c>
      <c r="E274" s="66">
        <v>238</v>
      </c>
      <c r="F274" s="66">
        <v>78.053250000000006</v>
      </c>
      <c r="G274" s="49">
        <f t="shared" si="8"/>
        <v>3.2925849999999999E-25</v>
      </c>
      <c r="H274" s="44">
        <f t="shared" si="9"/>
        <v>6.699231E-27</v>
      </c>
      <c r="R274" s="67" t="s">
        <v>36</v>
      </c>
      <c r="S274" s="67" t="s">
        <v>36</v>
      </c>
      <c r="T274" s="68">
        <v>46245.041666666664</v>
      </c>
      <c r="U274" s="69">
        <v>3.2925849999999999E-25</v>
      </c>
    </row>
    <row r="275" spans="1:21">
      <c r="A275" s="64">
        <v>46245.083333333336</v>
      </c>
      <c r="B275" s="65" t="s">
        <v>29</v>
      </c>
      <c r="C275" s="66">
        <v>0</v>
      </c>
      <c r="D275" s="66">
        <v>0</v>
      </c>
      <c r="E275" s="66">
        <v>238</v>
      </c>
      <c r="F275" s="66">
        <v>78.053250000000006</v>
      </c>
      <c r="G275" s="49">
        <f t="shared" si="8"/>
        <v>1.412217E-25</v>
      </c>
      <c r="H275" s="44">
        <f t="shared" si="9"/>
        <v>2.8733560000000001E-27</v>
      </c>
      <c r="R275" s="67" t="s">
        <v>36</v>
      </c>
      <c r="S275" s="67" t="s">
        <v>36</v>
      </c>
      <c r="T275" s="68">
        <v>46245.083333333336</v>
      </c>
      <c r="U275" s="69">
        <v>1.412217E-25</v>
      </c>
    </row>
    <row r="276" spans="1:21">
      <c r="A276" s="64">
        <v>46245.125</v>
      </c>
      <c r="B276" s="65" t="s">
        <v>29</v>
      </c>
      <c r="C276" s="66">
        <v>0</v>
      </c>
      <c r="D276" s="66">
        <v>0</v>
      </c>
      <c r="E276" s="66">
        <v>238</v>
      </c>
      <c r="F276" s="66">
        <v>78.053250000000006</v>
      </c>
      <c r="G276" s="49">
        <f t="shared" si="8"/>
        <v>8.9887580000000003E-26</v>
      </c>
      <c r="H276" s="44">
        <f t="shared" si="9"/>
        <v>1.82889E-27</v>
      </c>
      <c r="R276" s="67" t="s">
        <v>36</v>
      </c>
      <c r="S276" s="67" t="s">
        <v>36</v>
      </c>
      <c r="T276" s="68">
        <v>46245.125</v>
      </c>
      <c r="U276" s="69">
        <v>8.9887580000000003E-26</v>
      </c>
    </row>
    <row r="277" spans="1:21">
      <c r="A277" s="64">
        <v>46245.166666666664</v>
      </c>
      <c r="B277" s="65" t="s">
        <v>29</v>
      </c>
      <c r="C277" s="66">
        <v>0</v>
      </c>
      <c r="D277" s="66">
        <v>0</v>
      </c>
      <c r="E277" s="66">
        <v>238</v>
      </c>
      <c r="F277" s="66">
        <v>78.053250000000006</v>
      </c>
      <c r="G277" s="49">
        <f t="shared" si="8"/>
        <v>3.8553529999999999E-26</v>
      </c>
      <c r="H277" s="44">
        <f t="shared" si="9"/>
        <v>7.8442619999999999E-28</v>
      </c>
      <c r="R277" s="67" t="s">
        <v>36</v>
      </c>
      <c r="S277" s="67" t="s">
        <v>36</v>
      </c>
      <c r="T277" s="68">
        <v>46245.166666666664</v>
      </c>
      <c r="U277" s="69">
        <v>3.8553529999999999E-26</v>
      </c>
    </row>
    <row r="278" spans="1:21">
      <c r="A278" s="64">
        <v>46245.208333333336</v>
      </c>
      <c r="B278" s="65" t="s">
        <v>29</v>
      </c>
      <c r="C278" s="66">
        <v>0</v>
      </c>
      <c r="D278" s="66">
        <v>0</v>
      </c>
      <c r="E278" s="66">
        <v>238</v>
      </c>
      <c r="F278" s="66">
        <v>78.053250000000006</v>
      </c>
      <c r="G278" s="49">
        <f t="shared" si="8"/>
        <v>2.453931E-26</v>
      </c>
      <c r="H278" s="44">
        <f t="shared" si="9"/>
        <v>4.9928700000000003E-28</v>
      </c>
      <c r="R278" s="67" t="s">
        <v>36</v>
      </c>
      <c r="S278" s="67" t="s">
        <v>36</v>
      </c>
      <c r="T278" s="68">
        <v>46245.208333333336</v>
      </c>
      <c r="U278" s="69">
        <v>2.453931E-26</v>
      </c>
    </row>
    <row r="279" spans="1:21">
      <c r="A279" s="64">
        <v>46245.25</v>
      </c>
      <c r="B279" s="65" t="s">
        <v>29</v>
      </c>
      <c r="C279" s="66">
        <v>0</v>
      </c>
      <c r="D279" s="66">
        <v>0</v>
      </c>
      <c r="E279" s="66">
        <v>238</v>
      </c>
      <c r="F279" s="66">
        <v>78.053250000000006</v>
      </c>
      <c r="G279" s="49">
        <f t="shared" si="8"/>
        <v>1.052511E-26</v>
      </c>
      <c r="H279" s="44">
        <f t="shared" si="9"/>
        <v>2.1414829999999998E-28</v>
      </c>
      <c r="R279" s="67" t="s">
        <v>36</v>
      </c>
      <c r="S279" s="67" t="s">
        <v>36</v>
      </c>
      <c r="T279" s="68">
        <v>46245.25</v>
      </c>
      <c r="U279" s="69">
        <v>1.052511E-26</v>
      </c>
    </row>
    <row r="280" spans="1:21">
      <c r="A280" s="64">
        <v>46245.291666666664</v>
      </c>
      <c r="B280" s="65" t="s">
        <v>29</v>
      </c>
      <c r="C280" s="66">
        <v>0</v>
      </c>
      <c r="D280" s="66">
        <v>0</v>
      </c>
      <c r="E280" s="66">
        <v>238</v>
      </c>
      <c r="F280" s="66">
        <v>78.053250000000006</v>
      </c>
      <c r="G280" s="49">
        <f t="shared" si="8"/>
        <v>6.699231E-27</v>
      </c>
      <c r="H280" s="44">
        <f t="shared" si="9"/>
        <v>1.3630529999999999E-28</v>
      </c>
      <c r="R280" s="67" t="s">
        <v>36</v>
      </c>
      <c r="S280" s="67" t="s">
        <v>36</v>
      </c>
      <c r="T280" s="68">
        <v>46245.291666666664</v>
      </c>
      <c r="U280" s="69">
        <v>6.699231E-27</v>
      </c>
    </row>
    <row r="281" spans="1:21">
      <c r="A281" s="64">
        <v>46245.333333333336</v>
      </c>
      <c r="B281" s="65" t="s">
        <v>29</v>
      </c>
      <c r="C281" s="66">
        <v>0</v>
      </c>
      <c r="D281" s="66">
        <v>0</v>
      </c>
      <c r="E281" s="66">
        <v>238</v>
      </c>
      <c r="F281" s="66">
        <v>78.053250000000006</v>
      </c>
      <c r="G281" s="49">
        <f t="shared" si="8"/>
        <v>2.8733560000000001E-27</v>
      </c>
      <c r="H281" s="44">
        <f t="shared" si="9"/>
        <v>5.8462489999999997E-29</v>
      </c>
      <c r="R281" s="67" t="s">
        <v>36</v>
      </c>
      <c r="S281" s="67" t="s">
        <v>36</v>
      </c>
      <c r="T281" s="68">
        <v>46245.333333333336</v>
      </c>
      <c r="U281" s="69">
        <v>2.8733560000000001E-27</v>
      </c>
    </row>
    <row r="282" spans="1:21">
      <c r="A282" s="64">
        <v>46245.375</v>
      </c>
      <c r="B282" s="65" t="s">
        <v>29</v>
      </c>
      <c r="C282" s="66">
        <v>0</v>
      </c>
      <c r="D282" s="66">
        <v>0</v>
      </c>
      <c r="E282" s="66">
        <v>238</v>
      </c>
      <c r="F282" s="66">
        <v>78.053250000000006</v>
      </c>
      <c r="G282" s="49">
        <f t="shared" si="8"/>
        <v>1.82889E-27</v>
      </c>
      <c r="H282" s="44">
        <f t="shared" si="9"/>
        <v>3.7211360000000001E-29</v>
      </c>
      <c r="R282" s="67" t="s">
        <v>36</v>
      </c>
      <c r="S282" s="67" t="s">
        <v>36</v>
      </c>
      <c r="T282" s="68">
        <v>46245.375</v>
      </c>
      <c r="U282" s="69">
        <v>1.82889E-27</v>
      </c>
    </row>
    <row r="283" spans="1:21">
      <c r="A283" s="64">
        <v>46245.416666666664</v>
      </c>
      <c r="B283" s="65" t="s">
        <v>29</v>
      </c>
      <c r="C283" s="66">
        <v>0</v>
      </c>
      <c r="D283" s="66">
        <v>0</v>
      </c>
      <c r="E283" s="66">
        <v>238</v>
      </c>
      <c r="F283" s="66">
        <v>78.053250000000006</v>
      </c>
      <c r="G283" s="49">
        <f t="shared" si="8"/>
        <v>7.8442619999999999E-28</v>
      </c>
      <c r="H283" s="44">
        <f t="shared" si="9"/>
        <v>1.5960260000000001E-29</v>
      </c>
      <c r="R283" s="67" t="s">
        <v>36</v>
      </c>
      <c r="S283" s="67" t="s">
        <v>36</v>
      </c>
      <c r="T283" s="68">
        <v>46245.416666666664</v>
      </c>
      <c r="U283" s="69">
        <v>7.8442619999999999E-28</v>
      </c>
    </row>
    <row r="284" spans="1:21">
      <c r="A284" s="64">
        <v>46245.458333333336</v>
      </c>
      <c r="B284" s="65" t="s">
        <v>29</v>
      </c>
      <c r="C284" s="66">
        <v>0</v>
      </c>
      <c r="D284" s="66">
        <v>0</v>
      </c>
      <c r="E284" s="66">
        <v>238</v>
      </c>
      <c r="F284" s="66">
        <v>78.053250000000006</v>
      </c>
      <c r="G284" s="49">
        <f t="shared" si="8"/>
        <v>4.9928700000000003E-28</v>
      </c>
      <c r="H284" s="44">
        <f t="shared" si="9"/>
        <v>1.01587E-29</v>
      </c>
      <c r="R284" s="67" t="s">
        <v>36</v>
      </c>
      <c r="S284" s="67" t="s">
        <v>36</v>
      </c>
      <c r="T284" s="68">
        <v>46245.458333333336</v>
      </c>
      <c r="U284" s="69">
        <v>4.9928700000000003E-28</v>
      </c>
    </row>
    <row r="285" spans="1:21">
      <c r="A285" s="64">
        <v>46245.5</v>
      </c>
      <c r="B285" s="65" t="s">
        <v>29</v>
      </c>
      <c r="C285" s="66">
        <v>0</v>
      </c>
      <c r="D285" s="66">
        <v>0</v>
      </c>
      <c r="E285" s="66">
        <v>238</v>
      </c>
      <c r="F285" s="66">
        <v>78.053250000000006</v>
      </c>
      <c r="G285" s="49">
        <f t="shared" si="8"/>
        <v>2.1414829999999998E-28</v>
      </c>
      <c r="H285" s="44">
        <f t="shared" si="9"/>
        <v>4.3571510000000001E-30</v>
      </c>
      <c r="R285" s="67" t="s">
        <v>36</v>
      </c>
      <c r="S285" s="67" t="s">
        <v>36</v>
      </c>
      <c r="T285" s="68">
        <v>46245.5</v>
      </c>
      <c r="U285" s="69">
        <v>2.1414829999999998E-28</v>
      </c>
    </row>
    <row r="286" spans="1:21">
      <c r="A286" s="64">
        <v>46245.541666666664</v>
      </c>
      <c r="B286" s="65" t="s">
        <v>29</v>
      </c>
      <c r="C286" s="66">
        <v>0</v>
      </c>
      <c r="D286" s="66">
        <v>0</v>
      </c>
      <c r="E286" s="66">
        <v>238</v>
      </c>
      <c r="F286" s="66">
        <v>78.053250000000006</v>
      </c>
      <c r="G286" s="49">
        <f t="shared" si="8"/>
        <v>1.3630529999999999E-28</v>
      </c>
      <c r="H286" s="44">
        <f t="shared" si="9"/>
        <v>2.7733249999999999E-30</v>
      </c>
      <c r="R286" s="67" t="s">
        <v>36</v>
      </c>
      <c r="S286" s="67" t="s">
        <v>36</v>
      </c>
      <c r="T286" s="68">
        <v>46245.541666666664</v>
      </c>
      <c r="U286" s="69">
        <v>1.3630529999999999E-28</v>
      </c>
    </row>
    <row r="287" spans="1:21">
      <c r="A287" s="64">
        <v>46245.583333333336</v>
      </c>
      <c r="B287" s="65" t="s">
        <v>29</v>
      </c>
      <c r="C287" s="66">
        <v>0</v>
      </c>
      <c r="D287" s="66">
        <v>0</v>
      </c>
      <c r="E287" s="66">
        <v>238</v>
      </c>
      <c r="F287" s="66">
        <v>78.053250000000006</v>
      </c>
      <c r="G287" s="49">
        <f t="shared" si="8"/>
        <v>5.8462489999999997E-29</v>
      </c>
      <c r="H287" s="44">
        <f t="shared" si="9"/>
        <v>1.189502E-30</v>
      </c>
      <c r="R287" s="67" t="s">
        <v>36</v>
      </c>
      <c r="S287" s="67" t="s">
        <v>36</v>
      </c>
      <c r="T287" s="68">
        <v>46245.583333333336</v>
      </c>
      <c r="U287" s="69">
        <v>5.8462489999999997E-29</v>
      </c>
    </row>
    <row r="288" spans="1:21">
      <c r="A288" s="64">
        <v>46245.625</v>
      </c>
      <c r="B288" s="65" t="s">
        <v>29</v>
      </c>
      <c r="C288" s="66">
        <v>0</v>
      </c>
      <c r="D288" s="66">
        <v>0</v>
      </c>
      <c r="E288" s="66">
        <v>238</v>
      </c>
      <c r="F288" s="66">
        <v>78.053250000000006</v>
      </c>
      <c r="G288" s="49">
        <f t="shared" si="8"/>
        <v>3.7211360000000001E-29</v>
      </c>
      <c r="H288" s="44">
        <f t="shared" si="9"/>
        <v>7.5711789999999997E-31</v>
      </c>
      <c r="R288" s="67" t="s">
        <v>36</v>
      </c>
      <c r="S288" s="67" t="s">
        <v>36</v>
      </c>
      <c r="T288" s="68">
        <v>46245.625</v>
      </c>
      <c r="U288" s="69">
        <v>3.7211360000000001E-29</v>
      </c>
    </row>
    <row r="289" spans="1:21">
      <c r="A289" s="64">
        <v>46245.666666666664</v>
      </c>
      <c r="B289" s="65" t="s">
        <v>29</v>
      </c>
      <c r="C289" s="66">
        <v>0</v>
      </c>
      <c r="D289" s="66">
        <v>0</v>
      </c>
      <c r="E289" s="66">
        <v>238</v>
      </c>
      <c r="F289" s="66">
        <v>78.053250000000006</v>
      </c>
      <c r="G289" s="49">
        <f t="shared" si="8"/>
        <v>1.5960260000000001E-29</v>
      </c>
      <c r="H289" s="44">
        <f t="shared" si="9"/>
        <v>3.2473409999999999E-31</v>
      </c>
      <c r="R289" s="67" t="s">
        <v>36</v>
      </c>
      <c r="S289" s="67" t="s">
        <v>36</v>
      </c>
      <c r="T289" s="68">
        <v>46245.666666666664</v>
      </c>
      <c r="U289" s="69">
        <v>1.5960260000000001E-29</v>
      </c>
    </row>
    <row r="290" spans="1:21">
      <c r="A290" s="64">
        <v>46245.708333333336</v>
      </c>
      <c r="B290" s="65" t="s">
        <v>29</v>
      </c>
      <c r="C290" s="66">
        <v>0</v>
      </c>
      <c r="D290" s="66">
        <v>0</v>
      </c>
      <c r="E290" s="66">
        <v>238</v>
      </c>
      <c r="F290" s="66">
        <v>78.053250000000006</v>
      </c>
      <c r="G290" s="49">
        <f t="shared" si="8"/>
        <v>1.01587E-29</v>
      </c>
      <c r="H290" s="44">
        <f t="shared" si="9"/>
        <v>2.066932E-31</v>
      </c>
      <c r="R290" s="67" t="s">
        <v>36</v>
      </c>
      <c r="S290" s="67" t="s">
        <v>36</v>
      </c>
      <c r="T290" s="68">
        <v>46245.708333333336</v>
      </c>
      <c r="U290" s="69">
        <v>1.01587E-29</v>
      </c>
    </row>
    <row r="291" spans="1:21">
      <c r="A291" s="64">
        <v>46245.75</v>
      </c>
      <c r="B291" s="65" t="s">
        <v>29</v>
      </c>
      <c r="C291" s="66">
        <v>0</v>
      </c>
      <c r="D291" s="66">
        <v>0</v>
      </c>
      <c r="E291" s="66">
        <v>238</v>
      </c>
      <c r="F291" s="66">
        <v>78.053250000000006</v>
      </c>
      <c r="G291" s="49">
        <f t="shared" si="8"/>
        <v>4.3571510000000001E-30</v>
      </c>
      <c r="H291" s="44">
        <f t="shared" si="9"/>
        <v>8.8652419999999997E-32</v>
      </c>
      <c r="R291" s="67" t="s">
        <v>36</v>
      </c>
      <c r="S291" s="67" t="s">
        <v>36</v>
      </c>
      <c r="T291" s="68">
        <v>46245.75</v>
      </c>
      <c r="U291" s="69">
        <v>4.3571510000000001E-30</v>
      </c>
    </row>
    <row r="292" spans="1:21">
      <c r="A292" s="64">
        <v>46245.791666666664</v>
      </c>
      <c r="B292" s="65" t="s">
        <v>29</v>
      </c>
      <c r="C292" s="66">
        <v>0</v>
      </c>
      <c r="D292" s="66">
        <v>0</v>
      </c>
      <c r="E292" s="66">
        <v>238</v>
      </c>
      <c r="F292" s="66">
        <v>78.053250000000006</v>
      </c>
      <c r="G292" s="49">
        <f t="shared" si="8"/>
        <v>2.7733249999999999E-30</v>
      </c>
      <c r="H292" s="44">
        <f t="shared" si="9"/>
        <v>5.6427240000000004E-32</v>
      </c>
      <c r="R292" s="67" t="s">
        <v>36</v>
      </c>
      <c r="S292" s="67" t="s">
        <v>36</v>
      </c>
      <c r="T292" s="68">
        <v>46245.791666666664</v>
      </c>
      <c r="U292" s="69">
        <v>2.7733249999999999E-30</v>
      </c>
    </row>
    <row r="293" spans="1:21">
      <c r="A293" s="64">
        <v>46245.833333333336</v>
      </c>
      <c r="B293" s="65" t="s">
        <v>29</v>
      </c>
      <c r="C293" s="66">
        <v>0</v>
      </c>
      <c r="D293" s="66">
        <v>0</v>
      </c>
      <c r="E293" s="66">
        <v>238</v>
      </c>
      <c r="F293" s="66">
        <v>78.053250000000006</v>
      </c>
      <c r="G293" s="49">
        <f t="shared" si="8"/>
        <v>1.189502E-30</v>
      </c>
      <c r="H293" s="44">
        <f t="shared" si="9"/>
        <v>2.4202110000000001E-32</v>
      </c>
      <c r="R293" s="67" t="s">
        <v>36</v>
      </c>
      <c r="S293" s="67" t="s">
        <v>36</v>
      </c>
      <c r="T293" s="68">
        <v>46245.833333333336</v>
      </c>
      <c r="U293" s="69">
        <v>1.189502E-30</v>
      </c>
    </row>
    <row r="294" spans="1:21">
      <c r="A294" s="64">
        <v>46245.875</v>
      </c>
      <c r="B294" s="65" t="s">
        <v>29</v>
      </c>
      <c r="C294" s="66">
        <v>0</v>
      </c>
      <c r="D294" s="66">
        <v>0</v>
      </c>
      <c r="E294" s="66">
        <v>238</v>
      </c>
      <c r="F294" s="66">
        <v>78.053250000000006</v>
      </c>
      <c r="G294" s="49">
        <f t="shared" si="8"/>
        <v>7.5711789999999997E-31</v>
      </c>
      <c r="H294" s="44">
        <f t="shared" si="9"/>
        <v>1.540464E-32</v>
      </c>
      <c r="R294" s="67" t="s">
        <v>36</v>
      </c>
      <c r="S294" s="67" t="s">
        <v>36</v>
      </c>
      <c r="T294" s="68">
        <v>46245.875</v>
      </c>
      <c r="U294" s="69">
        <v>7.5711789999999997E-31</v>
      </c>
    </row>
    <row r="295" spans="1:21">
      <c r="A295" s="64">
        <v>46245.916666666664</v>
      </c>
      <c r="B295" s="65" t="s">
        <v>29</v>
      </c>
      <c r="C295" s="66">
        <v>0</v>
      </c>
      <c r="D295" s="66">
        <v>0</v>
      </c>
      <c r="E295" s="66">
        <v>238</v>
      </c>
      <c r="F295" s="66">
        <v>78.053250000000006</v>
      </c>
      <c r="G295" s="49">
        <f t="shared" si="8"/>
        <v>3.2473409999999999E-31</v>
      </c>
      <c r="H295" s="44">
        <f t="shared" si="9"/>
        <v>6.6071760000000001E-33</v>
      </c>
      <c r="R295" s="67" t="s">
        <v>36</v>
      </c>
      <c r="S295" s="67" t="s">
        <v>36</v>
      </c>
      <c r="T295" s="68">
        <v>46245.916666666664</v>
      </c>
      <c r="U295" s="69">
        <v>3.2473409999999999E-31</v>
      </c>
    </row>
    <row r="296" spans="1:21">
      <c r="A296" s="64">
        <v>46245.958333333336</v>
      </c>
      <c r="B296" s="65" t="s">
        <v>29</v>
      </c>
      <c r="C296" s="66">
        <v>0</v>
      </c>
      <c r="D296" s="66">
        <v>0</v>
      </c>
      <c r="E296" s="66">
        <v>238</v>
      </c>
      <c r="F296" s="66">
        <v>78.053250000000006</v>
      </c>
      <c r="G296" s="49">
        <f t="shared" si="8"/>
        <v>2.066932E-31</v>
      </c>
      <c r="H296" s="44">
        <f t="shared" si="9"/>
        <v>4.2054650000000002E-33</v>
      </c>
      <c r="R296" s="67" t="s">
        <v>36</v>
      </c>
      <c r="S296" s="67" t="s">
        <v>36</v>
      </c>
      <c r="T296" s="68">
        <v>46245.958333333336</v>
      </c>
      <c r="U296" s="69">
        <v>2.066932E-31</v>
      </c>
    </row>
    <row r="297" spans="1:21">
      <c r="A297" s="64">
        <v>46246</v>
      </c>
      <c r="B297" s="65" t="s">
        <v>29</v>
      </c>
      <c r="C297" s="66">
        <v>0</v>
      </c>
      <c r="D297" s="66">
        <v>0</v>
      </c>
      <c r="E297" s="66">
        <v>238</v>
      </c>
      <c r="F297" s="66">
        <v>78.053250000000006</v>
      </c>
      <c r="G297" s="49">
        <f t="shared" si="8"/>
        <v>8.8652419999999997E-32</v>
      </c>
      <c r="H297" s="44">
        <f t="shared" si="9"/>
        <v>1.8037589999999999E-33</v>
      </c>
      <c r="R297" s="67" t="s">
        <v>36</v>
      </c>
      <c r="S297" s="67" t="s">
        <v>36</v>
      </c>
      <c r="T297" s="68">
        <v>46246</v>
      </c>
      <c r="U297" s="69">
        <v>8.8652419999999997E-32</v>
      </c>
    </row>
    <row r="298" spans="1:21">
      <c r="A298" s="64">
        <v>46246.041666666664</v>
      </c>
      <c r="B298" s="65" t="s">
        <v>29</v>
      </c>
      <c r="C298" s="66">
        <v>0</v>
      </c>
      <c r="D298" s="66">
        <v>0</v>
      </c>
      <c r="E298" s="66">
        <v>238</v>
      </c>
      <c r="F298" s="66">
        <v>78.053250000000006</v>
      </c>
      <c r="G298" s="49">
        <f t="shared" si="8"/>
        <v>5.6427240000000004E-32</v>
      </c>
      <c r="H298" s="44">
        <f t="shared" si="9"/>
        <v>1.148092E-33</v>
      </c>
      <c r="R298" s="67" t="s">
        <v>36</v>
      </c>
      <c r="S298" s="67" t="s">
        <v>36</v>
      </c>
      <c r="T298" s="68">
        <v>46246.041666666664</v>
      </c>
      <c r="U298" s="69">
        <v>5.6427240000000004E-32</v>
      </c>
    </row>
    <row r="299" spans="1:21">
      <c r="A299" s="64">
        <v>46246.083333333336</v>
      </c>
      <c r="B299" s="65" t="s">
        <v>29</v>
      </c>
      <c r="C299" s="66">
        <v>0</v>
      </c>
      <c r="D299" s="66">
        <v>0</v>
      </c>
      <c r="E299" s="66">
        <v>238</v>
      </c>
      <c r="F299" s="66">
        <v>78.053250000000006</v>
      </c>
      <c r="G299" s="49">
        <f t="shared" si="8"/>
        <v>2.4202110000000001E-32</v>
      </c>
      <c r="H299" s="44">
        <f t="shared" si="9"/>
        <v>4.9242619999999997E-34</v>
      </c>
      <c r="R299" s="67" t="s">
        <v>36</v>
      </c>
      <c r="S299" s="67" t="s">
        <v>36</v>
      </c>
      <c r="T299" s="68">
        <v>46246.083333333336</v>
      </c>
      <c r="U299" s="69">
        <v>2.4202110000000001E-32</v>
      </c>
    </row>
    <row r="300" spans="1:21">
      <c r="A300" s="64">
        <v>46246.125</v>
      </c>
      <c r="B300" s="65" t="s">
        <v>29</v>
      </c>
      <c r="C300" s="66">
        <v>0</v>
      </c>
      <c r="D300" s="66">
        <v>0</v>
      </c>
      <c r="E300" s="66">
        <v>238</v>
      </c>
      <c r="F300" s="66">
        <v>78.053250000000006</v>
      </c>
      <c r="G300" s="49">
        <f t="shared" si="8"/>
        <v>1.540464E-32</v>
      </c>
      <c r="H300" s="44">
        <f t="shared" si="9"/>
        <v>3.1342920000000002E-34</v>
      </c>
      <c r="R300" s="67" t="s">
        <v>36</v>
      </c>
      <c r="S300" s="67" t="s">
        <v>36</v>
      </c>
      <c r="T300" s="68">
        <v>46246.125</v>
      </c>
      <c r="U300" s="69">
        <v>1.540464E-32</v>
      </c>
    </row>
    <row r="301" spans="1:21">
      <c r="A301" s="64">
        <v>46246.166666666664</v>
      </c>
      <c r="B301" s="65" t="s">
        <v>29</v>
      </c>
      <c r="C301" s="66">
        <v>0</v>
      </c>
      <c r="D301" s="66">
        <v>0</v>
      </c>
      <c r="E301" s="66">
        <v>238</v>
      </c>
      <c r="F301" s="66">
        <v>78.053250000000006</v>
      </c>
      <c r="G301" s="49">
        <f t="shared" si="8"/>
        <v>6.6071760000000001E-33</v>
      </c>
      <c r="H301" s="44">
        <f t="shared" si="9"/>
        <v>1.344324E-34</v>
      </c>
      <c r="R301" s="67" t="s">
        <v>36</v>
      </c>
      <c r="S301" s="67" t="s">
        <v>36</v>
      </c>
      <c r="T301" s="68">
        <v>46246.166666666664</v>
      </c>
      <c r="U301" s="69">
        <v>6.6071760000000001E-33</v>
      </c>
    </row>
    <row r="302" spans="1:21">
      <c r="A302" s="64">
        <v>46246.208333333336</v>
      </c>
      <c r="B302" s="65" t="s">
        <v>29</v>
      </c>
      <c r="C302" s="66">
        <v>0</v>
      </c>
      <c r="D302" s="66">
        <v>0</v>
      </c>
      <c r="E302" s="66">
        <v>238</v>
      </c>
      <c r="F302" s="66">
        <v>78.053250000000006</v>
      </c>
      <c r="G302" s="49">
        <f t="shared" si="8"/>
        <v>4.2054650000000002E-33</v>
      </c>
      <c r="H302" s="44">
        <f t="shared" si="9"/>
        <v>8.5566160000000002E-35</v>
      </c>
      <c r="R302" s="67" t="s">
        <v>36</v>
      </c>
      <c r="S302" s="67" t="s">
        <v>36</v>
      </c>
      <c r="T302" s="68">
        <v>46246.208333333336</v>
      </c>
      <c r="U302" s="69">
        <v>4.2054650000000002E-33</v>
      </c>
    </row>
    <row r="303" spans="1:21">
      <c r="A303" s="64">
        <v>46246.25</v>
      </c>
      <c r="B303" s="65" t="s">
        <v>29</v>
      </c>
      <c r="C303" s="66">
        <v>0</v>
      </c>
      <c r="D303" s="66">
        <v>0</v>
      </c>
      <c r="E303" s="66">
        <v>238</v>
      </c>
      <c r="F303" s="66">
        <v>78.053250000000006</v>
      </c>
      <c r="G303" s="49">
        <f t="shared" si="8"/>
        <v>1.8037589999999999E-33</v>
      </c>
      <c r="H303" s="44">
        <f t="shared" si="9"/>
        <v>3.6700030000000001E-35</v>
      </c>
      <c r="R303" s="67" t="s">
        <v>36</v>
      </c>
      <c r="S303" s="67" t="s">
        <v>36</v>
      </c>
      <c r="T303" s="68">
        <v>46246.25</v>
      </c>
      <c r="U303" s="69">
        <v>1.8037589999999999E-33</v>
      </c>
    </row>
    <row r="304" spans="1:21">
      <c r="A304" s="64">
        <v>46246.291666666664</v>
      </c>
      <c r="B304" s="65" t="s">
        <v>29</v>
      </c>
      <c r="C304" s="66">
        <v>0</v>
      </c>
      <c r="D304" s="66">
        <v>0</v>
      </c>
      <c r="E304" s="66">
        <v>238</v>
      </c>
      <c r="F304" s="66">
        <v>78.053250000000006</v>
      </c>
      <c r="G304" s="49">
        <f t="shared" si="8"/>
        <v>1.148092E-33</v>
      </c>
      <c r="H304" s="44">
        <f t="shared" si="9"/>
        <v>2.3359559999999999E-35</v>
      </c>
      <c r="R304" s="67" t="s">
        <v>36</v>
      </c>
      <c r="S304" s="67" t="s">
        <v>36</v>
      </c>
      <c r="T304" s="68">
        <v>46246.291666666664</v>
      </c>
      <c r="U304" s="69">
        <v>1.148092E-33</v>
      </c>
    </row>
    <row r="305" spans="1:21">
      <c r="A305" s="64">
        <v>46246.333333333336</v>
      </c>
      <c r="B305" s="65" t="s">
        <v>29</v>
      </c>
      <c r="C305" s="66">
        <v>0</v>
      </c>
      <c r="D305" s="66">
        <v>0</v>
      </c>
      <c r="E305" s="66">
        <v>238</v>
      </c>
      <c r="F305" s="66">
        <v>78.053250000000006</v>
      </c>
      <c r="G305" s="49">
        <f t="shared" si="8"/>
        <v>4.9242619999999997E-34</v>
      </c>
      <c r="H305" s="44">
        <f t="shared" si="9"/>
        <v>1.0019109999999999E-35</v>
      </c>
      <c r="R305" s="67" t="s">
        <v>36</v>
      </c>
      <c r="S305" s="67" t="s">
        <v>36</v>
      </c>
      <c r="T305" s="68">
        <v>46246.333333333336</v>
      </c>
      <c r="U305" s="69">
        <v>4.9242619999999997E-34</v>
      </c>
    </row>
    <row r="306" spans="1:21">
      <c r="A306" s="64">
        <v>46246.375</v>
      </c>
      <c r="B306" s="65" t="s">
        <v>29</v>
      </c>
      <c r="C306" s="66">
        <v>0</v>
      </c>
      <c r="D306" s="66">
        <v>0</v>
      </c>
      <c r="E306" s="66">
        <v>238</v>
      </c>
      <c r="F306" s="66">
        <v>78.053250000000006</v>
      </c>
      <c r="G306" s="49">
        <f t="shared" si="8"/>
        <v>3.1342920000000002E-34</v>
      </c>
      <c r="H306" s="44">
        <f t="shared" si="9"/>
        <v>6.3771599999999998E-36</v>
      </c>
      <c r="R306" s="67" t="s">
        <v>36</v>
      </c>
      <c r="S306" s="67" t="s">
        <v>36</v>
      </c>
      <c r="T306" s="68">
        <v>46246.375</v>
      </c>
      <c r="U306" s="69">
        <v>3.1342920000000002E-34</v>
      </c>
    </row>
    <row r="307" spans="1:21">
      <c r="A307" s="64">
        <v>46246.416666666664</v>
      </c>
      <c r="B307" s="65" t="s">
        <v>29</v>
      </c>
      <c r="C307" s="66">
        <v>0</v>
      </c>
      <c r="D307" s="66">
        <v>0</v>
      </c>
      <c r="E307" s="66">
        <v>238</v>
      </c>
      <c r="F307" s="66">
        <v>78.053250000000006</v>
      </c>
      <c r="G307" s="49">
        <f t="shared" si="8"/>
        <v>1.344324E-34</v>
      </c>
      <c r="H307" s="44">
        <f t="shared" si="9"/>
        <v>2.735217E-36</v>
      </c>
      <c r="R307" s="67" t="s">
        <v>36</v>
      </c>
      <c r="S307" s="67" t="s">
        <v>36</v>
      </c>
      <c r="T307" s="68">
        <v>46246.416666666664</v>
      </c>
      <c r="U307" s="69">
        <v>1.344324E-34</v>
      </c>
    </row>
    <row r="308" spans="1:21">
      <c r="A308" s="64">
        <v>46246.458333333336</v>
      </c>
      <c r="B308" s="65" t="s">
        <v>29</v>
      </c>
      <c r="C308" s="66">
        <v>0</v>
      </c>
      <c r="D308" s="66">
        <v>0</v>
      </c>
      <c r="E308" s="66">
        <v>238</v>
      </c>
      <c r="F308" s="66">
        <v>78.053250000000006</v>
      </c>
      <c r="G308" s="49">
        <f t="shared" si="8"/>
        <v>8.5566160000000002E-35</v>
      </c>
      <c r="H308" s="44">
        <f t="shared" si="9"/>
        <v>1.740965E-36</v>
      </c>
      <c r="R308" s="67" t="s">
        <v>36</v>
      </c>
      <c r="S308" s="67" t="s">
        <v>36</v>
      </c>
      <c r="T308" s="68">
        <v>46246.458333333336</v>
      </c>
      <c r="U308" s="69">
        <v>8.5566160000000002E-35</v>
      </c>
    </row>
    <row r="309" spans="1:21">
      <c r="A309" s="64">
        <v>46246.5</v>
      </c>
      <c r="B309" s="65" t="s">
        <v>29</v>
      </c>
      <c r="C309" s="66">
        <v>0</v>
      </c>
      <c r="D309" s="66">
        <v>0</v>
      </c>
      <c r="E309" s="66">
        <v>238</v>
      </c>
      <c r="F309" s="66">
        <v>78.053250000000006</v>
      </c>
      <c r="G309" s="49">
        <f t="shared" si="8"/>
        <v>3.6700030000000001E-35</v>
      </c>
      <c r="H309" s="44">
        <f t="shared" si="9"/>
        <v>7.4671420000000003E-37</v>
      </c>
      <c r="R309" s="67" t="s">
        <v>36</v>
      </c>
      <c r="S309" s="67" t="s">
        <v>36</v>
      </c>
      <c r="T309" s="68">
        <v>46246.5</v>
      </c>
      <c r="U309" s="69">
        <v>3.6700030000000001E-35</v>
      </c>
    </row>
    <row r="310" spans="1:21">
      <c r="A310" s="64">
        <v>46246.541666666664</v>
      </c>
      <c r="B310" s="65" t="s">
        <v>29</v>
      </c>
      <c r="C310" s="66">
        <v>0</v>
      </c>
      <c r="D310" s="66">
        <v>0</v>
      </c>
      <c r="E310" s="66">
        <v>238</v>
      </c>
      <c r="F310" s="66">
        <v>78.053250000000006</v>
      </c>
      <c r="G310" s="49">
        <f t="shared" si="8"/>
        <v>2.3359559999999999E-35</v>
      </c>
      <c r="H310" s="44">
        <f t="shared" si="9"/>
        <v>4.7528340000000002E-37</v>
      </c>
      <c r="R310" s="67" t="s">
        <v>36</v>
      </c>
      <c r="S310" s="67" t="s">
        <v>36</v>
      </c>
      <c r="T310" s="68">
        <v>46246.541666666664</v>
      </c>
      <c r="U310" s="69">
        <v>2.3359559999999999E-35</v>
      </c>
    </row>
    <row r="311" spans="1:21">
      <c r="A311" s="64">
        <v>46246.583333333336</v>
      </c>
      <c r="B311" s="65" t="s">
        <v>29</v>
      </c>
      <c r="C311" s="66">
        <v>0</v>
      </c>
      <c r="D311" s="66">
        <v>0</v>
      </c>
      <c r="E311" s="66">
        <v>238</v>
      </c>
      <c r="F311" s="66">
        <v>78.053250000000006</v>
      </c>
      <c r="G311" s="49">
        <f t="shared" si="8"/>
        <v>1.0019109999999999E-35</v>
      </c>
      <c r="H311" s="44">
        <f t="shared" si="9"/>
        <v>2.0385299999999998E-37</v>
      </c>
      <c r="R311" s="67" t="s">
        <v>36</v>
      </c>
      <c r="S311" s="67" t="s">
        <v>36</v>
      </c>
      <c r="T311" s="68">
        <v>46246.583333333336</v>
      </c>
      <c r="U311" s="69">
        <v>1.0019109999999999E-35</v>
      </c>
    </row>
    <row r="312" spans="1:21">
      <c r="A312" s="64">
        <v>46246.625</v>
      </c>
      <c r="B312" s="65" t="s">
        <v>29</v>
      </c>
      <c r="C312" s="66">
        <v>0</v>
      </c>
      <c r="D312" s="66">
        <v>0</v>
      </c>
      <c r="E312" s="66">
        <v>238</v>
      </c>
      <c r="F312" s="66">
        <v>78.053250000000006</v>
      </c>
      <c r="G312" s="49">
        <f t="shared" si="8"/>
        <v>6.3771599999999998E-36</v>
      </c>
      <c r="H312" s="44">
        <f t="shared" si="9"/>
        <v>1.2975240000000001E-37</v>
      </c>
      <c r="R312" s="67" t="s">
        <v>36</v>
      </c>
      <c r="S312" s="67" t="s">
        <v>36</v>
      </c>
      <c r="T312" s="68">
        <v>46246.625</v>
      </c>
      <c r="U312" s="69">
        <v>6.3771599999999998E-36</v>
      </c>
    </row>
    <row r="313" spans="1:21">
      <c r="A313" s="64">
        <v>46246.666666666664</v>
      </c>
      <c r="B313" s="65" t="s">
        <v>29</v>
      </c>
      <c r="C313" s="66">
        <v>0</v>
      </c>
      <c r="D313" s="66">
        <v>0</v>
      </c>
      <c r="E313" s="66">
        <v>238</v>
      </c>
      <c r="F313" s="66">
        <v>78.053250000000006</v>
      </c>
      <c r="G313" s="49">
        <f t="shared" si="8"/>
        <v>2.735217E-36</v>
      </c>
      <c r="H313" s="44">
        <f t="shared" si="9"/>
        <v>5.5651869999999996E-38</v>
      </c>
      <c r="R313" s="67" t="s">
        <v>36</v>
      </c>
      <c r="S313" s="67" t="s">
        <v>36</v>
      </c>
      <c r="T313" s="68">
        <v>46246.666666666664</v>
      </c>
      <c r="U313" s="69">
        <v>2.735217E-36</v>
      </c>
    </row>
    <row r="314" spans="1:21">
      <c r="A314" s="64">
        <v>46246.708333333336</v>
      </c>
      <c r="B314" s="65" t="s">
        <v>29</v>
      </c>
      <c r="C314" s="66">
        <v>0</v>
      </c>
      <c r="D314" s="66">
        <v>0</v>
      </c>
      <c r="E314" s="66">
        <v>238</v>
      </c>
      <c r="F314" s="66">
        <v>78.053250000000006</v>
      </c>
      <c r="G314" s="49">
        <f t="shared" si="8"/>
        <v>1.740965E-36</v>
      </c>
      <c r="H314" s="44">
        <f t="shared" si="9"/>
        <v>3.5422400000000002E-38</v>
      </c>
      <c r="R314" s="67" t="s">
        <v>36</v>
      </c>
      <c r="S314" s="67" t="s">
        <v>36</v>
      </c>
      <c r="T314" s="68">
        <v>46246.708333333336</v>
      </c>
      <c r="U314" s="69">
        <v>1.740965E-36</v>
      </c>
    </row>
    <row r="315" spans="1:21">
      <c r="A315" s="64">
        <v>46246.75</v>
      </c>
      <c r="B315" s="65" t="s">
        <v>29</v>
      </c>
      <c r="C315" s="66">
        <v>0</v>
      </c>
      <c r="D315" s="66">
        <v>0</v>
      </c>
      <c r="E315" s="66">
        <v>238</v>
      </c>
      <c r="F315" s="66">
        <v>78.053250000000006</v>
      </c>
      <c r="G315" s="49">
        <f t="shared" si="8"/>
        <v>7.4671420000000003E-37</v>
      </c>
      <c r="H315" s="44">
        <f t="shared" si="9"/>
        <v>1.5192960000000001E-38</v>
      </c>
      <c r="R315" s="67" t="s">
        <v>36</v>
      </c>
      <c r="S315" s="67" t="s">
        <v>36</v>
      </c>
      <c r="T315" s="68">
        <v>46246.75</v>
      </c>
      <c r="U315" s="69">
        <v>7.4671420000000003E-37</v>
      </c>
    </row>
    <row r="316" spans="1:21">
      <c r="A316" s="64">
        <v>46246.791666666664</v>
      </c>
      <c r="B316" s="65" t="s">
        <v>29</v>
      </c>
      <c r="C316" s="66">
        <v>0</v>
      </c>
      <c r="D316" s="66">
        <v>0</v>
      </c>
      <c r="E316" s="66">
        <v>238</v>
      </c>
      <c r="F316" s="66">
        <v>78.053250000000006</v>
      </c>
      <c r="G316" s="49">
        <f t="shared" si="8"/>
        <v>4.7528340000000002E-37</v>
      </c>
      <c r="H316" s="44">
        <f t="shared" si="9"/>
        <v>9.6703140000000006E-39</v>
      </c>
      <c r="R316" s="67" t="s">
        <v>36</v>
      </c>
      <c r="S316" s="67" t="s">
        <v>36</v>
      </c>
      <c r="T316" s="68">
        <v>46246.791666666664</v>
      </c>
      <c r="U316" s="69">
        <v>4.7528340000000002E-37</v>
      </c>
    </row>
    <row r="317" spans="1:21">
      <c r="A317" s="64">
        <v>46246.833333333336</v>
      </c>
      <c r="B317" s="65" t="s">
        <v>29</v>
      </c>
      <c r="C317" s="66">
        <v>0</v>
      </c>
      <c r="D317" s="66">
        <v>0</v>
      </c>
      <c r="E317" s="66">
        <v>238</v>
      </c>
      <c r="F317" s="66">
        <v>78.053250000000006</v>
      </c>
      <c r="G317" s="49">
        <f t="shared" si="8"/>
        <v>2.0385299999999998E-37</v>
      </c>
      <c r="H317" s="44">
        <f t="shared" si="9"/>
        <v>4.1476779999999999E-39</v>
      </c>
      <c r="R317" s="67" t="s">
        <v>36</v>
      </c>
      <c r="S317" s="67" t="s">
        <v>36</v>
      </c>
      <c r="T317" s="68">
        <v>46246.833333333336</v>
      </c>
      <c r="U317" s="69">
        <v>2.0385299999999998E-37</v>
      </c>
    </row>
    <row r="318" spans="1:21">
      <c r="A318" s="64">
        <v>46246.875</v>
      </c>
      <c r="B318" s="65" t="s">
        <v>29</v>
      </c>
      <c r="C318" s="66">
        <v>0</v>
      </c>
      <c r="D318" s="66">
        <v>0</v>
      </c>
      <c r="E318" s="66">
        <v>238</v>
      </c>
      <c r="F318" s="66">
        <v>78.053250000000006</v>
      </c>
      <c r="G318" s="49">
        <f t="shared" si="8"/>
        <v>1.2975240000000001E-37</v>
      </c>
      <c r="H318" s="44">
        <f t="shared" si="9"/>
        <v>2.6399959999999999E-39</v>
      </c>
      <c r="R318" s="67" t="s">
        <v>36</v>
      </c>
      <c r="S318" s="67" t="s">
        <v>36</v>
      </c>
      <c r="T318" s="68">
        <v>46246.875</v>
      </c>
      <c r="U318" s="69">
        <v>1.2975240000000001E-37</v>
      </c>
    </row>
    <row r="319" spans="1:21">
      <c r="A319" s="64">
        <v>46246.916666666664</v>
      </c>
      <c r="B319" s="65" t="s">
        <v>29</v>
      </c>
      <c r="C319" s="66">
        <v>0</v>
      </c>
      <c r="D319" s="66">
        <v>0</v>
      </c>
      <c r="E319" s="66">
        <v>238</v>
      </c>
      <c r="F319" s="66">
        <v>78.053250000000006</v>
      </c>
      <c r="G319" s="49">
        <f t="shared" si="8"/>
        <v>5.5651869999999996E-38</v>
      </c>
      <c r="H319" s="44">
        <f t="shared" si="9"/>
        <v>1.132316E-39</v>
      </c>
      <c r="R319" s="67" t="s">
        <v>36</v>
      </c>
      <c r="S319" s="67" t="s">
        <v>36</v>
      </c>
      <c r="T319" s="68">
        <v>46246.916666666664</v>
      </c>
      <c r="U319" s="69">
        <v>5.5651869999999996E-38</v>
      </c>
    </row>
    <row r="320" spans="1:21">
      <c r="A320" s="64">
        <v>46246.958333333336</v>
      </c>
      <c r="B320" s="65" t="s">
        <v>29</v>
      </c>
      <c r="C320" s="66">
        <v>0</v>
      </c>
      <c r="D320" s="66">
        <v>0</v>
      </c>
      <c r="E320" s="66">
        <v>238</v>
      </c>
      <c r="F320" s="66">
        <v>78.053250000000006</v>
      </c>
      <c r="G320" s="49">
        <f t="shared" si="8"/>
        <v>3.5422400000000002E-38</v>
      </c>
      <c r="H320" s="44">
        <f t="shared" si="9"/>
        <v>7.2071860000000003E-40</v>
      </c>
      <c r="R320" s="67" t="s">
        <v>36</v>
      </c>
      <c r="S320" s="67" t="s">
        <v>36</v>
      </c>
      <c r="T320" s="68">
        <v>46246.958333333336</v>
      </c>
      <c r="U320" s="69">
        <v>3.5422400000000002E-38</v>
      </c>
    </row>
    <row r="321" spans="1:21">
      <c r="A321" s="64">
        <v>46247</v>
      </c>
      <c r="B321" s="65" t="s">
        <v>29</v>
      </c>
      <c r="C321" s="66">
        <v>0</v>
      </c>
      <c r="D321" s="66">
        <v>0</v>
      </c>
      <c r="E321" s="66">
        <v>238</v>
      </c>
      <c r="F321" s="66">
        <v>78.053250000000006</v>
      </c>
      <c r="G321" s="49">
        <f t="shared" si="8"/>
        <v>1.5192960000000001E-38</v>
      </c>
      <c r="H321" s="44">
        <f t="shared" si="9"/>
        <v>3.0912220000000002E-40</v>
      </c>
      <c r="R321" s="67" t="s">
        <v>36</v>
      </c>
      <c r="S321" s="67" t="s">
        <v>36</v>
      </c>
      <c r="T321" s="68">
        <v>46247</v>
      </c>
      <c r="U321" s="69">
        <v>1.5192960000000001E-38</v>
      </c>
    </row>
    <row r="322" spans="1:21">
      <c r="A322" s="64">
        <v>46247.041666666664</v>
      </c>
      <c r="B322" s="65" t="s">
        <v>29</v>
      </c>
      <c r="C322" s="66">
        <v>0</v>
      </c>
      <c r="D322" s="66">
        <v>0</v>
      </c>
      <c r="E322" s="66">
        <v>238</v>
      </c>
      <c r="F322" s="66">
        <v>78.053250000000006</v>
      </c>
      <c r="G322" s="49">
        <f t="shared" si="8"/>
        <v>9.6703140000000006E-39</v>
      </c>
      <c r="H322" s="44">
        <f t="shared" si="9"/>
        <v>1.9675629999999998E-40</v>
      </c>
      <c r="R322" s="67" t="s">
        <v>36</v>
      </c>
      <c r="S322" s="67" t="s">
        <v>36</v>
      </c>
      <c r="T322" s="68">
        <v>46247.041666666664</v>
      </c>
      <c r="U322" s="69">
        <v>9.6703140000000006E-39</v>
      </c>
    </row>
    <row r="323" spans="1:21">
      <c r="A323" s="64">
        <v>46247.083333333336</v>
      </c>
      <c r="B323" s="65" t="s">
        <v>29</v>
      </c>
      <c r="C323" s="66">
        <v>0</v>
      </c>
      <c r="D323" s="66">
        <v>0</v>
      </c>
      <c r="E323" s="66">
        <v>238</v>
      </c>
      <c r="F323" s="66">
        <v>78.053250000000006</v>
      </c>
      <c r="G323" s="49">
        <f t="shared" ref="G323:G386" si="10">U323</f>
        <v>4.1476779999999999E-39</v>
      </c>
      <c r="H323" s="44">
        <f t="shared" ref="H323:H386" si="11">D323+G329</f>
        <v>8.4390399999999997E-41</v>
      </c>
      <c r="R323" s="67" t="s">
        <v>36</v>
      </c>
      <c r="S323" s="67" t="s">
        <v>36</v>
      </c>
      <c r="T323" s="68">
        <v>46247.083333333336</v>
      </c>
      <c r="U323" s="69">
        <v>4.1476779999999999E-39</v>
      </c>
    </row>
    <row r="324" spans="1:21">
      <c r="A324" s="64">
        <v>46247.125</v>
      </c>
      <c r="B324" s="65" t="s">
        <v>29</v>
      </c>
      <c r="C324" s="66">
        <v>0</v>
      </c>
      <c r="D324" s="66">
        <v>0</v>
      </c>
      <c r="E324" s="66">
        <v>238</v>
      </c>
      <c r="F324" s="66">
        <v>78.053250000000006</v>
      </c>
      <c r="G324" s="49">
        <f t="shared" si="10"/>
        <v>2.6399959999999999E-39</v>
      </c>
      <c r="H324" s="44">
        <f t="shared" si="11"/>
        <v>5.3714569999999995E-41</v>
      </c>
      <c r="R324" s="67" t="s">
        <v>36</v>
      </c>
      <c r="S324" s="67" t="s">
        <v>36</v>
      </c>
      <c r="T324" s="68">
        <v>46247.125</v>
      </c>
      <c r="U324" s="69">
        <v>2.6399959999999999E-39</v>
      </c>
    </row>
    <row r="325" spans="1:21">
      <c r="A325" s="64">
        <v>46247.166666666664</v>
      </c>
      <c r="B325" s="65" t="s">
        <v>29</v>
      </c>
      <c r="C325" s="66">
        <v>0</v>
      </c>
      <c r="D325" s="66">
        <v>0</v>
      </c>
      <c r="E325" s="66">
        <v>238</v>
      </c>
      <c r="F325" s="66">
        <v>78.053250000000006</v>
      </c>
      <c r="G325" s="49">
        <f t="shared" si="10"/>
        <v>1.132316E-39</v>
      </c>
      <c r="H325" s="44">
        <f t="shared" si="11"/>
        <v>2.3038750000000002E-41</v>
      </c>
      <c r="R325" s="67" t="s">
        <v>36</v>
      </c>
      <c r="S325" s="67" t="s">
        <v>36</v>
      </c>
      <c r="T325" s="68">
        <v>46247.166666666664</v>
      </c>
      <c r="U325" s="69">
        <v>1.132316E-39</v>
      </c>
    </row>
    <row r="326" spans="1:21">
      <c r="A326" s="64">
        <v>46247.208333333336</v>
      </c>
      <c r="B326" s="65" t="s">
        <v>29</v>
      </c>
      <c r="C326" s="66">
        <v>0</v>
      </c>
      <c r="D326" s="66">
        <v>0</v>
      </c>
      <c r="E326" s="66">
        <v>238</v>
      </c>
      <c r="F326" s="66">
        <v>78.053250000000006</v>
      </c>
      <c r="G326" s="49">
        <f t="shared" si="10"/>
        <v>7.2071860000000003E-40</v>
      </c>
      <c r="H326" s="44">
        <f t="shared" si="11"/>
        <v>1.4664589999999999E-41</v>
      </c>
      <c r="R326" s="67" t="s">
        <v>36</v>
      </c>
      <c r="S326" s="67" t="s">
        <v>36</v>
      </c>
      <c r="T326" s="68">
        <v>46247.208333333336</v>
      </c>
      <c r="U326" s="69">
        <v>7.2071860000000003E-40</v>
      </c>
    </row>
    <row r="327" spans="1:21">
      <c r="A327" s="64">
        <v>46247.25</v>
      </c>
      <c r="B327" s="65" t="s">
        <v>29</v>
      </c>
      <c r="C327" s="66">
        <v>0</v>
      </c>
      <c r="D327" s="66">
        <v>0</v>
      </c>
      <c r="E327" s="66">
        <v>238</v>
      </c>
      <c r="F327" s="66">
        <v>78.053250000000006</v>
      </c>
      <c r="G327" s="49">
        <f t="shared" si="10"/>
        <v>3.0912220000000002E-40</v>
      </c>
      <c r="H327" s="44">
        <f t="shared" si="11"/>
        <v>6.2890279999999997E-42</v>
      </c>
      <c r="R327" s="67" t="s">
        <v>36</v>
      </c>
      <c r="S327" s="67" t="s">
        <v>36</v>
      </c>
      <c r="T327" s="68">
        <v>46247.25</v>
      </c>
      <c r="U327" s="69">
        <v>3.0912220000000002E-40</v>
      </c>
    </row>
    <row r="328" spans="1:21">
      <c r="A328" s="64">
        <v>46247.291666666664</v>
      </c>
      <c r="B328" s="65" t="s">
        <v>29</v>
      </c>
      <c r="C328" s="66">
        <v>0</v>
      </c>
      <c r="D328" s="66">
        <v>0</v>
      </c>
      <c r="E328" s="66">
        <v>238</v>
      </c>
      <c r="F328" s="66">
        <v>78.053250000000006</v>
      </c>
      <c r="G328" s="49">
        <f t="shared" si="10"/>
        <v>1.9675629999999998E-40</v>
      </c>
      <c r="H328" s="44">
        <f t="shared" si="11"/>
        <v>4.0035100000000003E-42</v>
      </c>
      <c r="R328" s="67" t="s">
        <v>36</v>
      </c>
      <c r="S328" s="67" t="s">
        <v>36</v>
      </c>
      <c r="T328" s="68">
        <v>46247.291666666664</v>
      </c>
      <c r="U328" s="69">
        <v>1.9675629999999998E-40</v>
      </c>
    </row>
    <row r="329" spans="1:21">
      <c r="A329" s="64">
        <v>46247.333333333336</v>
      </c>
      <c r="B329" s="65" t="s">
        <v>29</v>
      </c>
      <c r="C329" s="66">
        <v>0</v>
      </c>
      <c r="D329" s="66">
        <v>0</v>
      </c>
      <c r="E329" s="66">
        <v>238</v>
      </c>
      <c r="F329" s="66">
        <v>78.053250000000006</v>
      </c>
      <c r="G329" s="49">
        <f t="shared" si="10"/>
        <v>8.4390399999999997E-41</v>
      </c>
      <c r="H329" s="44">
        <f t="shared" si="11"/>
        <v>1.716591E-42</v>
      </c>
      <c r="R329" s="67" t="s">
        <v>36</v>
      </c>
      <c r="S329" s="67" t="s">
        <v>36</v>
      </c>
      <c r="T329" s="68">
        <v>46247.333333333336</v>
      </c>
      <c r="U329" s="69">
        <v>8.4390399999999997E-41</v>
      </c>
    </row>
    <row r="330" spans="1:21">
      <c r="A330" s="64">
        <v>46247.375</v>
      </c>
      <c r="B330" s="65" t="s">
        <v>29</v>
      </c>
      <c r="C330" s="66">
        <v>0</v>
      </c>
      <c r="D330" s="66">
        <v>0</v>
      </c>
      <c r="E330" s="66">
        <v>238</v>
      </c>
      <c r="F330" s="66">
        <v>78.053250000000006</v>
      </c>
      <c r="G330" s="49">
        <f t="shared" si="10"/>
        <v>5.3714569999999995E-41</v>
      </c>
      <c r="H330" s="44">
        <f t="shared" si="11"/>
        <v>1.093013E-42</v>
      </c>
      <c r="R330" s="67" t="s">
        <v>36</v>
      </c>
      <c r="S330" s="67" t="s">
        <v>36</v>
      </c>
      <c r="T330" s="68">
        <v>46247.375</v>
      </c>
      <c r="U330" s="69">
        <v>5.3714569999999995E-41</v>
      </c>
    </row>
    <row r="331" spans="1:21">
      <c r="A331" s="64">
        <v>46247.416666666664</v>
      </c>
      <c r="B331" s="65" t="s">
        <v>29</v>
      </c>
      <c r="C331" s="66">
        <v>0</v>
      </c>
      <c r="D331" s="66">
        <v>0</v>
      </c>
      <c r="E331" s="66">
        <v>238</v>
      </c>
      <c r="F331" s="66">
        <v>78.053250000000006</v>
      </c>
      <c r="G331" s="49">
        <f t="shared" si="10"/>
        <v>2.3038750000000002E-41</v>
      </c>
      <c r="H331" s="44">
        <f t="shared" si="11"/>
        <v>4.6803369999999998E-43</v>
      </c>
      <c r="R331" s="67" t="s">
        <v>36</v>
      </c>
      <c r="S331" s="67" t="s">
        <v>36</v>
      </c>
      <c r="T331" s="68">
        <v>46247.416666666664</v>
      </c>
      <c r="U331" s="69">
        <v>2.3038750000000002E-41</v>
      </c>
    </row>
    <row r="332" spans="1:21">
      <c r="A332" s="64">
        <v>46247.458333333336</v>
      </c>
      <c r="B332" s="65" t="s">
        <v>29</v>
      </c>
      <c r="C332" s="66">
        <v>0</v>
      </c>
      <c r="D332" s="66">
        <v>0</v>
      </c>
      <c r="E332" s="66">
        <v>238</v>
      </c>
      <c r="F332" s="66">
        <v>78.053250000000006</v>
      </c>
      <c r="G332" s="49">
        <f t="shared" si="10"/>
        <v>1.4664589999999999E-41</v>
      </c>
      <c r="H332" s="44">
        <f t="shared" si="11"/>
        <v>2.9847660000000001E-43</v>
      </c>
      <c r="R332" s="67" t="s">
        <v>36</v>
      </c>
      <c r="S332" s="67" t="s">
        <v>36</v>
      </c>
      <c r="T332" s="68">
        <v>46247.458333333336</v>
      </c>
      <c r="U332" s="69">
        <v>1.4664589999999999E-41</v>
      </c>
    </row>
    <row r="333" spans="1:21">
      <c r="A333" s="64">
        <v>46247.5</v>
      </c>
      <c r="B333" s="65" t="s">
        <v>29</v>
      </c>
      <c r="C333" s="66">
        <v>0</v>
      </c>
      <c r="D333" s="66">
        <v>0</v>
      </c>
      <c r="E333" s="66">
        <v>238</v>
      </c>
      <c r="F333" s="66">
        <v>78.053250000000006</v>
      </c>
      <c r="G333" s="49">
        <f t="shared" si="10"/>
        <v>6.2890279999999997E-42</v>
      </c>
      <c r="H333" s="44">
        <f t="shared" si="11"/>
        <v>1.2751820000000001E-43</v>
      </c>
      <c r="R333" s="67" t="s">
        <v>36</v>
      </c>
      <c r="S333" s="67" t="s">
        <v>36</v>
      </c>
      <c r="T333" s="68">
        <v>46247.5</v>
      </c>
      <c r="U333" s="69">
        <v>6.2890279999999997E-42</v>
      </c>
    </row>
    <row r="334" spans="1:21">
      <c r="A334" s="64">
        <v>46247.541666666664</v>
      </c>
      <c r="B334" s="65" t="s">
        <v>29</v>
      </c>
      <c r="C334" s="66">
        <v>0</v>
      </c>
      <c r="D334" s="66">
        <v>0</v>
      </c>
      <c r="E334" s="66">
        <v>238</v>
      </c>
      <c r="F334" s="66">
        <v>78.053250000000006</v>
      </c>
      <c r="G334" s="49">
        <f t="shared" si="10"/>
        <v>4.0035100000000003E-42</v>
      </c>
      <c r="H334" s="44">
        <f t="shared" si="11"/>
        <v>8.1275309999999998E-44</v>
      </c>
      <c r="R334" s="67" t="s">
        <v>36</v>
      </c>
      <c r="S334" s="67" t="s">
        <v>36</v>
      </c>
      <c r="T334" s="68">
        <v>46247.541666666664</v>
      </c>
      <c r="U334" s="69">
        <v>4.0035100000000003E-42</v>
      </c>
    </row>
    <row r="335" spans="1:21">
      <c r="A335" s="64">
        <v>46247.583333333336</v>
      </c>
      <c r="B335" s="65" t="s">
        <v>29</v>
      </c>
      <c r="C335" s="66">
        <v>0</v>
      </c>
      <c r="D335" s="66">
        <v>0</v>
      </c>
      <c r="E335" s="66">
        <v>238</v>
      </c>
      <c r="F335" s="66">
        <v>78.053250000000006</v>
      </c>
      <c r="G335" s="49">
        <f t="shared" si="10"/>
        <v>1.716591E-42</v>
      </c>
      <c r="H335" s="44">
        <f t="shared" si="11"/>
        <v>3.5032459999999998E-44</v>
      </c>
      <c r="R335" s="67" t="s">
        <v>36</v>
      </c>
      <c r="S335" s="67" t="s">
        <v>36</v>
      </c>
      <c r="T335" s="68">
        <v>46247.583333333336</v>
      </c>
      <c r="U335" s="69">
        <v>1.716591E-42</v>
      </c>
    </row>
    <row r="336" spans="1:21">
      <c r="A336" s="64">
        <v>46247.625</v>
      </c>
      <c r="B336" s="65" t="s">
        <v>29</v>
      </c>
      <c r="C336" s="66">
        <v>0</v>
      </c>
      <c r="D336" s="66">
        <v>0</v>
      </c>
      <c r="E336" s="66">
        <v>238</v>
      </c>
      <c r="F336" s="66">
        <v>78.053250000000006</v>
      </c>
      <c r="G336" s="49">
        <f t="shared" si="10"/>
        <v>1.093013E-42</v>
      </c>
      <c r="H336" s="44">
        <f t="shared" si="11"/>
        <v>2.2420779999999998E-44</v>
      </c>
      <c r="R336" s="67" t="s">
        <v>36</v>
      </c>
      <c r="S336" s="67" t="s">
        <v>36</v>
      </c>
      <c r="T336" s="68">
        <v>46247.625</v>
      </c>
      <c r="U336" s="69">
        <v>1.093013E-42</v>
      </c>
    </row>
    <row r="337" spans="1:21">
      <c r="A337" s="64">
        <v>46247.666666666664</v>
      </c>
      <c r="B337" s="65" t="s">
        <v>29</v>
      </c>
      <c r="C337" s="66">
        <v>0</v>
      </c>
      <c r="D337" s="66">
        <v>0</v>
      </c>
      <c r="E337" s="66">
        <v>238</v>
      </c>
      <c r="F337" s="66">
        <v>78.053250000000006</v>
      </c>
      <c r="G337" s="49">
        <f t="shared" si="10"/>
        <v>4.6803369999999998E-43</v>
      </c>
      <c r="H337" s="44">
        <f t="shared" si="11"/>
        <v>9.8090889999999996E-45</v>
      </c>
      <c r="R337" s="67" t="s">
        <v>36</v>
      </c>
      <c r="S337" s="67" t="s">
        <v>36</v>
      </c>
      <c r="T337" s="68">
        <v>46247.666666666664</v>
      </c>
      <c r="U337" s="69">
        <v>4.6803369999999998E-43</v>
      </c>
    </row>
    <row r="338" spans="1:21">
      <c r="A338" s="64">
        <v>46247.708333333336</v>
      </c>
      <c r="B338" s="65" t="s">
        <v>29</v>
      </c>
      <c r="C338" s="66">
        <v>0</v>
      </c>
      <c r="D338" s="66">
        <v>0</v>
      </c>
      <c r="E338" s="66">
        <v>238</v>
      </c>
      <c r="F338" s="66">
        <v>78.053250000000006</v>
      </c>
      <c r="G338" s="49">
        <f t="shared" si="10"/>
        <v>2.9847660000000001E-43</v>
      </c>
      <c r="H338" s="44">
        <f t="shared" si="11"/>
        <v>5.6051939999999995E-45</v>
      </c>
      <c r="R338" s="67" t="s">
        <v>36</v>
      </c>
      <c r="S338" s="67" t="s">
        <v>36</v>
      </c>
      <c r="T338" s="68">
        <v>46247.708333333336</v>
      </c>
      <c r="U338" s="69">
        <v>2.9847660000000001E-43</v>
      </c>
    </row>
    <row r="339" spans="1:21">
      <c r="A339" s="64">
        <v>46247.75</v>
      </c>
      <c r="B339" s="65" t="s">
        <v>29</v>
      </c>
      <c r="C339" s="66">
        <v>0</v>
      </c>
      <c r="D339" s="66">
        <v>0</v>
      </c>
      <c r="E339" s="66">
        <v>238</v>
      </c>
      <c r="F339" s="66">
        <v>78.053250000000006</v>
      </c>
      <c r="G339" s="49">
        <f t="shared" si="10"/>
        <v>1.2751820000000001E-43</v>
      </c>
      <c r="H339" s="44">
        <f t="shared" si="11"/>
        <v>2.8025969999999998E-45</v>
      </c>
      <c r="R339" s="67" t="s">
        <v>36</v>
      </c>
      <c r="S339" s="67" t="s">
        <v>36</v>
      </c>
      <c r="T339" s="68">
        <v>46247.75</v>
      </c>
      <c r="U339" s="69">
        <v>1.2751820000000001E-43</v>
      </c>
    </row>
    <row r="340" spans="1:21">
      <c r="A340" s="64">
        <v>46247.791666666664</v>
      </c>
      <c r="B340" s="65" t="s">
        <v>29</v>
      </c>
      <c r="C340" s="66">
        <v>0</v>
      </c>
      <c r="D340" s="66">
        <v>0</v>
      </c>
      <c r="E340" s="66">
        <v>238</v>
      </c>
      <c r="F340" s="66">
        <v>78.053250000000006</v>
      </c>
      <c r="G340" s="49">
        <f t="shared" si="10"/>
        <v>8.1275309999999998E-44</v>
      </c>
      <c r="H340" s="44">
        <f t="shared" si="11"/>
        <v>1.401298E-45</v>
      </c>
      <c r="R340" s="67" t="s">
        <v>36</v>
      </c>
      <c r="S340" s="67" t="s">
        <v>36</v>
      </c>
      <c r="T340" s="68">
        <v>46247.791666666664</v>
      </c>
      <c r="U340" s="69">
        <v>8.1275309999999998E-44</v>
      </c>
    </row>
    <row r="341" spans="1:21">
      <c r="A341" s="64">
        <v>46247.833333333336</v>
      </c>
      <c r="B341" s="65" t="s">
        <v>29</v>
      </c>
      <c r="C341" s="66">
        <v>0</v>
      </c>
      <c r="D341" s="66">
        <v>0</v>
      </c>
      <c r="E341" s="66">
        <v>238</v>
      </c>
      <c r="F341" s="66">
        <v>78.053250000000006</v>
      </c>
      <c r="G341" s="49">
        <f t="shared" si="10"/>
        <v>3.5032459999999998E-44</v>
      </c>
      <c r="H341" s="44">
        <f t="shared" si="11"/>
        <v>1.401298E-45</v>
      </c>
      <c r="R341" s="67" t="s">
        <v>36</v>
      </c>
      <c r="S341" s="67" t="s">
        <v>36</v>
      </c>
      <c r="T341" s="68">
        <v>46247.833333333336</v>
      </c>
      <c r="U341" s="69">
        <v>3.5032459999999998E-44</v>
      </c>
    </row>
    <row r="342" spans="1:21">
      <c r="A342" s="64">
        <v>46247.875</v>
      </c>
      <c r="B342" s="65" t="s">
        <v>29</v>
      </c>
      <c r="C342" s="66">
        <v>0</v>
      </c>
      <c r="D342" s="66">
        <v>0</v>
      </c>
      <c r="E342" s="66">
        <v>238</v>
      </c>
      <c r="F342" s="66">
        <v>78.053250000000006</v>
      </c>
      <c r="G342" s="49">
        <f t="shared" si="10"/>
        <v>2.2420779999999998E-44</v>
      </c>
      <c r="H342" s="44">
        <f t="shared" si="11"/>
        <v>0</v>
      </c>
      <c r="R342" s="67" t="s">
        <v>36</v>
      </c>
      <c r="S342" s="67" t="s">
        <v>36</v>
      </c>
      <c r="T342" s="68">
        <v>46247.875</v>
      </c>
      <c r="U342" s="69">
        <v>2.2420779999999998E-44</v>
      </c>
    </row>
    <row r="343" spans="1:21">
      <c r="A343" s="64">
        <v>46247.916666666664</v>
      </c>
      <c r="B343" s="65" t="s">
        <v>29</v>
      </c>
      <c r="C343" s="66">
        <v>0</v>
      </c>
      <c r="D343" s="66">
        <v>0</v>
      </c>
      <c r="E343" s="66">
        <v>238</v>
      </c>
      <c r="F343" s="66">
        <v>78.053250000000006</v>
      </c>
      <c r="G343" s="49">
        <f t="shared" si="10"/>
        <v>9.8090889999999996E-45</v>
      </c>
      <c r="H343" s="44">
        <f t="shared" si="11"/>
        <v>0</v>
      </c>
      <c r="R343" s="67" t="s">
        <v>36</v>
      </c>
      <c r="S343" s="67" t="s">
        <v>36</v>
      </c>
      <c r="T343" s="68">
        <v>46247.916666666664</v>
      </c>
      <c r="U343" s="69">
        <v>9.8090889999999996E-45</v>
      </c>
    </row>
    <row r="344" spans="1:21">
      <c r="A344" s="64">
        <v>46247.958333333336</v>
      </c>
      <c r="B344" s="65" t="s">
        <v>29</v>
      </c>
      <c r="C344" s="66">
        <v>0</v>
      </c>
      <c r="D344" s="66">
        <v>0</v>
      </c>
      <c r="E344" s="66">
        <v>238</v>
      </c>
      <c r="F344" s="66">
        <v>78.053250000000006</v>
      </c>
      <c r="G344" s="49">
        <f t="shared" si="10"/>
        <v>5.6051939999999995E-45</v>
      </c>
      <c r="H344" s="44">
        <f t="shared" si="11"/>
        <v>0</v>
      </c>
      <c r="R344" s="67" t="s">
        <v>36</v>
      </c>
      <c r="S344" s="67" t="s">
        <v>36</v>
      </c>
      <c r="T344" s="68">
        <v>46247.958333333336</v>
      </c>
      <c r="U344" s="69">
        <v>5.6051939999999995E-45</v>
      </c>
    </row>
    <row r="345" spans="1:21">
      <c r="A345" s="64">
        <v>46248</v>
      </c>
      <c r="B345" s="65" t="s">
        <v>29</v>
      </c>
      <c r="C345" s="66">
        <v>0</v>
      </c>
      <c r="D345" s="66">
        <v>0</v>
      </c>
      <c r="E345" s="66">
        <v>238</v>
      </c>
      <c r="F345" s="66">
        <v>78.053250000000006</v>
      </c>
      <c r="G345" s="49">
        <f t="shared" si="10"/>
        <v>2.8025969999999998E-45</v>
      </c>
      <c r="H345" s="44">
        <f t="shared" si="11"/>
        <v>0</v>
      </c>
      <c r="R345" s="67" t="s">
        <v>36</v>
      </c>
      <c r="S345" s="67" t="s">
        <v>36</v>
      </c>
      <c r="T345" s="68">
        <v>46248</v>
      </c>
      <c r="U345" s="69">
        <v>2.8025969999999998E-45</v>
      </c>
    </row>
    <row r="346" spans="1:21">
      <c r="A346" s="64">
        <v>46248.041666666664</v>
      </c>
      <c r="B346" s="65" t="s">
        <v>29</v>
      </c>
      <c r="C346" s="66">
        <v>0</v>
      </c>
      <c r="D346" s="66">
        <v>0</v>
      </c>
      <c r="E346" s="66">
        <v>238</v>
      </c>
      <c r="F346" s="66">
        <v>78.053250000000006</v>
      </c>
      <c r="G346" s="49">
        <f t="shared" si="10"/>
        <v>1.401298E-45</v>
      </c>
      <c r="H346" s="44">
        <f t="shared" si="11"/>
        <v>0</v>
      </c>
      <c r="R346" s="67" t="s">
        <v>36</v>
      </c>
      <c r="S346" s="67" t="s">
        <v>36</v>
      </c>
      <c r="T346" s="68">
        <v>46248.041666666664</v>
      </c>
      <c r="U346" s="69">
        <v>1.401298E-45</v>
      </c>
    </row>
    <row r="347" spans="1:21">
      <c r="A347" s="64">
        <v>46248.083333333336</v>
      </c>
      <c r="B347" s="65" t="s">
        <v>29</v>
      </c>
      <c r="C347" s="66">
        <v>0</v>
      </c>
      <c r="D347" s="66">
        <v>0</v>
      </c>
      <c r="E347" s="66">
        <v>238</v>
      </c>
      <c r="F347" s="66">
        <v>78.053250000000006</v>
      </c>
      <c r="G347" s="49">
        <f t="shared" si="10"/>
        <v>1.401298E-45</v>
      </c>
      <c r="H347" s="44">
        <f t="shared" si="11"/>
        <v>0</v>
      </c>
      <c r="R347" s="67" t="s">
        <v>36</v>
      </c>
      <c r="S347" s="67" t="s">
        <v>36</v>
      </c>
      <c r="T347" s="68">
        <v>46248.083333333336</v>
      </c>
      <c r="U347" s="69">
        <v>1.401298E-45</v>
      </c>
    </row>
    <row r="348" spans="1:21">
      <c r="A348" s="64">
        <v>46248.125</v>
      </c>
      <c r="B348" s="65" t="s">
        <v>29</v>
      </c>
      <c r="C348" s="66">
        <v>0</v>
      </c>
      <c r="D348" s="66">
        <v>0</v>
      </c>
      <c r="E348" s="66">
        <v>238</v>
      </c>
      <c r="F348" s="66">
        <v>78.053250000000006</v>
      </c>
      <c r="G348" s="49">
        <f t="shared" si="10"/>
        <v>0</v>
      </c>
      <c r="H348" s="44">
        <f t="shared" si="11"/>
        <v>0</v>
      </c>
      <c r="R348" s="67" t="s">
        <v>36</v>
      </c>
      <c r="S348" s="67" t="s">
        <v>36</v>
      </c>
      <c r="T348" s="68">
        <v>46248.125</v>
      </c>
      <c r="U348" s="69">
        <v>0</v>
      </c>
    </row>
    <row r="349" spans="1:21">
      <c r="A349" s="64">
        <v>46248.166666666664</v>
      </c>
      <c r="B349" s="65" t="s">
        <v>29</v>
      </c>
      <c r="C349" s="66">
        <v>0</v>
      </c>
      <c r="D349" s="66">
        <v>0</v>
      </c>
      <c r="E349" s="66">
        <v>238</v>
      </c>
      <c r="F349" s="66">
        <v>78.053250000000006</v>
      </c>
      <c r="G349" s="49">
        <f t="shared" si="10"/>
        <v>0</v>
      </c>
      <c r="H349" s="44">
        <f t="shared" si="11"/>
        <v>0</v>
      </c>
      <c r="R349" s="67" t="s">
        <v>36</v>
      </c>
      <c r="S349" s="67" t="s">
        <v>36</v>
      </c>
      <c r="T349" s="68">
        <v>46248.166666666664</v>
      </c>
      <c r="U349" s="69">
        <v>0</v>
      </c>
    </row>
    <row r="350" spans="1:21">
      <c r="A350" s="64">
        <v>46248.208333333336</v>
      </c>
      <c r="B350" s="65" t="s">
        <v>29</v>
      </c>
      <c r="C350" s="66">
        <v>0</v>
      </c>
      <c r="D350" s="66">
        <v>0</v>
      </c>
      <c r="E350" s="66">
        <v>238</v>
      </c>
      <c r="F350" s="66">
        <v>78.053250000000006</v>
      </c>
      <c r="G350" s="49">
        <f t="shared" si="10"/>
        <v>0</v>
      </c>
      <c r="H350" s="44">
        <f t="shared" si="11"/>
        <v>0</v>
      </c>
      <c r="R350" s="67" t="s">
        <v>36</v>
      </c>
      <c r="S350" s="67" t="s">
        <v>36</v>
      </c>
      <c r="T350" s="68">
        <v>46248.208333333336</v>
      </c>
      <c r="U350" s="69">
        <v>0</v>
      </c>
    </row>
    <row r="351" spans="1:21">
      <c r="A351" s="64">
        <v>46248.25</v>
      </c>
      <c r="B351" s="65" t="s">
        <v>29</v>
      </c>
      <c r="C351" s="66">
        <v>0</v>
      </c>
      <c r="D351" s="66">
        <v>0</v>
      </c>
      <c r="E351" s="66">
        <v>238</v>
      </c>
      <c r="F351" s="66">
        <v>78.053250000000006</v>
      </c>
      <c r="G351" s="49">
        <f t="shared" si="10"/>
        <v>0</v>
      </c>
      <c r="H351" s="44">
        <f t="shared" si="11"/>
        <v>0</v>
      </c>
      <c r="R351" s="67" t="s">
        <v>36</v>
      </c>
      <c r="S351" s="67" t="s">
        <v>36</v>
      </c>
      <c r="T351" s="68">
        <v>46248.25</v>
      </c>
      <c r="U351" s="69">
        <v>0</v>
      </c>
    </row>
    <row r="352" spans="1:21">
      <c r="A352" s="64">
        <v>46248.291666666664</v>
      </c>
      <c r="B352" s="65" t="s">
        <v>29</v>
      </c>
      <c r="C352" s="66">
        <v>0</v>
      </c>
      <c r="D352" s="66">
        <v>0</v>
      </c>
      <c r="E352" s="66">
        <v>238</v>
      </c>
      <c r="F352" s="66">
        <v>78.053250000000006</v>
      </c>
      <c r="G352" s="49">
        <f t="shared" si="10"/>
        <v>0</v>
      </c>
      <c r="H352" s="44">
        <f t="shared" si="11"/>
        <v>0</v>
      </c>
      <c r="R352" s="67" t="s">
        <v>36</v>
      </c>
      <c r="S352" s="67" t="s">
        <v>36</v>
      </c>
      <c r="T352" s="68">
        <v>46248.291666666664</v>
      </c>
      <c r="U352" s="69">
        <v>0</v>
      </c>
    </row>
    <row r="353" spans="1:21">
      <c r="A353" s="64">
        <v>46248.333333333336</v>
      </c>
      <c r="B353" s="65" t="s">
        <v>29</v>
      </c>
      <c r="C353" s="66">
        <v>0</v>
      </c>
      <c r="D353" s="66">
        <v>0</v>
      </c>
      <c r="E353" s="66">
        <v>238</v>
      </c>
      <c r="F353" s="66">
        <v>78.053250000000006</v>
      </c>
      <c r="G353" s="49">
        <f t="shared" si="10"/>
        <v>0</v>
      </c>
      <c r="H353" s="44">
        <f t="shared" si="11"/>
        <v>0</v>
      </c>
      <c r="R353" s="67" t="s">
        <v>36</v>
      </c>
      <c r="S353" s="67" t="s">
        <v>36</v>
      </c>
      <c r="T353" s="68">
        <v>46248.333333333336</v>
      </c>
      <c r="U353" s="69">
        <v>0</v>
      </c>
    </row>
    <row r="354" spans="1:21">
      <c r="A354" s="64">
        <v>46248.375</v>
      </c>
      <c r="B354" s="65" t="s">
        <v>29</v>
      </c>
      <c r="C354" s="66">
        <v>0</v>
      </c>
      <c r="D354" s="66">
        <v>0</v>
      </c>
      <c r="E354" s="66">
        <v>238</v>
      </c>
      <c r="F354" s="66">
        <v>78.053250000000006</v>
      </c>
      <c r="G354" s="49">
        <f t="shared" si="10"/>
        <v>0</v>
      </c>
      <c r="H354" s="44">
        <f t="shared" si="11"/>
        <v>0</v>
      </c>
      <c r="R354" s="67" t="s">
        <v>36</v>
      </c>
      <c r="S354" s="67" t="s">
        <v>36</v>
      </c>
      <c r="T354" s="68">
        <v>46248.375</v>
      </c>
      <c r="U354" s="69">
        <v>0</v>
      </c>
    </row>
    <row r="355" spans="1:21">
      <c r="A355" s="64">
        <v>46248.416666666664</v>
      </c>
      <c r="B355" s="65" t="s">
        <v>29</v>
      </c>
      <c r="C355" s="66">
        <v>0</v>
      </c>
      <c r="D355" s="66">
        <v>0</v>
      </c>
      <c r="E355" s="66">
        <v>238</v>
      </c>
      <c r="F355" s="66">
        <v>78.053250000000006</v>
      </c>
      <c r="G355" s="49">
        <f t="shared" si="10"/>
        <v>0</v>
      </c>
      <c r="H355" s="44">
        <f t="shared" si="11"/>
        <v>0</v>
      </c>
      <c r="R355" s="67" t="s">
        <v>36</v>
      </c>
      <c r="S355" s="67" t="s">
        <v>36</v>
      </c>
      <c r="T355" s="68">
        <v>46248.416666666664</v>
      </c>
      <c r="U355" s="69">
        <v>0</v>
      </c>
    </row>
    <row r="356" spans="1:21">
      <c r="A356" s="64">
        <v>46248.458333333336</v>
      </c>
      <c r="B356" s="65" t="s">
        <v>29</v>
      </c>
      <c r="C356" s="66">
        <v>0</v>
      </c>
      <c r="D356" s="66">
        <v>0</v>
      </c>
      <c r="E356" s="66">
        <v>238</v>
      </c>
      <c r="F356" s="66">
        <v>78.053250000000006</v>
      </c>
      <c r="G356" s="49">
        <f t="shared" si="10"/>
        <v>0</v>
      </c>
      <c r="H356" s="44">
        <f t="shared" si="11"/>
        <v>0</v>
      </c>
      <c r="R356" s="67" t="s">
        <v>36</v>
      </c>
      <c r="S356" s="67" t="s">
        <v>36</v>
      </c>
      <c r="T356" s="68">
        <v>46248.458333333336</v>
      </c>
      <c r="U356" s="69">
        <v>0</v>
      </c>
    </row>
    <row r="357" spans="1:21">
      <c r="A357" s="64">
        <v>46248.5</v>
      </c>
      <c r="B357" s="65" t="s">
        <v>29</v>
      </c>
      <c r="C357" s="66">
        <v>0</v>
      </c>
      <c r="D357" s="66">
        <v>0</v>
      </c>
      <c r="E357" s="66">
        <v>238</v>
      </c>
      <c r="F357" s="66">
        <v>78.053250000000006</v>
      </c>
      <c r="G357" s="49">
        <f t="shared" si="10"/>
        <v>0</v>
      </c>
      <c r="H357" s="44">
        <f t="shared" si="11"/>
        <v>0</v>
      </c>
      <c r="R357" s="67" t="s">
        <v>36</v>
      </c>
      <c r="S357" s="67" t="s">
        <v>36</v>
      </c>
      <c r="T357" s="68">
        <v>46248.5</v>
      </c>
      <c r="U357" s="69">
        <v>0</v>
      </c>
    </row>
    <row r="358" spans="1:21">
      <c r="A358" s="64">
        <v>46248.541666666664</v>
      </c>
      <c r="B358" s="65" t="s">
        <v>29</v>
      </c>
      <c r="C358" s="66">
        <v>0</v>
      </c>
      <c r="D358" s="66">
        <v>0</v>
      </c>
      <c r="E358" s="66">
        <v>238</v>
      </c>
      <c r="F358" s="66">
        <v>78.053250000000006</v>
      </c>
      <c r="G358" s="49">
        <f t="shared" si="10"/>
        <v>0</v>
      </c>
      <c r="H358" s="44">
        <f t="shared" si="11"/>
        <v>0</v>
      </c>
      <c r="R358" s="67" t="s">
        <v>36</v>
      </c>
      <c r="S358" s="67" t="s">
        <v>36</v>
      </c>
      <c r="T358" s="68">
        <v>46248.541666666664</v>
      </c>
      <c r="U358" s="69">
        <v>0</v>
      </c>
    </row>
    <row r="359" spans="1:21">
      <c r="A359" s="64">
        <v>46248.583333333336</v>
      </c>
      <c r="B359" s="65" t="s">
        <v>29</v>
      </c>
      <c r="C359" s="66">
        <v>0</v>
      </c>
      <c r="D359" s="66">
        <v>0</v>
      </c>
      <c r="E359" s="66">
        <v>238</v>
      </c>
      <c r="F359" s="66">
        <v>78.053250000000006</v>
      </c>
      <c r="G359" s="49">
        <f t="shared" si="10"/>
        <v>0</v>
      </c>
      <c r="H359" s="44">
        <f t="shared" si="11"/>
        <v>0</v>
      </c>
      <c r="R359" s="67" t="s">
        <v>36</v>
      </c>
      <c r="S359" s="67" t="s">
        <v>36</v>
      </c>
      <c r="T359" s="68">
        <v>46248.583333333336</v>
      </c>
      <c r="U359" s="69">
        <v>0</v>
      </c>
    </row>
    <row r="360" spans="1:21">
      <c r="A360" s="64">
        <v>46248.625</v>
      </c>
      <c r="B360" s="65" t="s">
        <v>29</v>
      </c>
      <c r="C360" s="66">
        <v>0</v>
      </c>
      <c r="D360" s="66">
        <v>0</v>
      </c>
      <c r="E360" s="66">
        <v>238</v>
      </c>
      <c r="F360" s="66">
        <v>78.053250000000006</v>
      </c>
      <c r="G360" s="49">
        <f t="shared" si="10"/>
        <v>0</v>
      </c>
      <c r="H360" s="44">
        <f t="shared" si="11"/>
        <v>0</v>
      </c>
      <c r="R360" s="67" t="s">
        <v>36</v>
      </c>
      <c r="S360" s="67" t="s">
        <v>36</v>
      </c>
      <c r="T360" s="68">
        <v>46248.625</v>
      </c>
      <c r="U360" s="69">
        <v>0</v>
      </c>
    </row>
    <row r="361" spans="1:21">
      <c r="A361" s="64">
        <v>46248.666666666664</v>
      </c>
      <c r="B361" s="65" t="s">
        <v>29</v>
      </c>
      <c r="C361" s="66">
        <v>0</v>
      </c>
      <c r="D361" s="66">
        <v>0</v>
      </c>
      <c r="E361" s="66">
        <v>238</v>
      </c>
      <c r="F361" s="66">
        <v>78.053250000000006</v>
      </c>
      <c r="G361" s="49">
        <f t="shared" si="10"/>
        <v>0</v>
      </c>
      <c r="H361" s="44">
        <f t="shared" si="11"/>
        <v>0</v>
      </c>
      <c r="R361" s="67" t="s">
        <v>36</v>
      </c>
      <c r="S361" s="67" t="s">
        <v>36</v>
      </c>
      <c r="T361" s="68">
        <v>46248.666666666664</v>
      </c>
      <c r="U361" s="69">
        <v>0</v>
      </c>
    </row>
    <row r="362" spans="1:21">
      <c r="A362" s="64">
        <v>46248.708333333336</v>
      </c>
      <c r="B362" s="65" t="s">
        <v>29</v>
      </c>
      <c r="C362" s="66">
        <v>0</v>
      </c>
      <c r="D362" s="66">
        <v>0</v>
      </c>
      <c r="E362" s="66">
        <v>238</v>
      </c>
      <c r="F362" s="66">
        <v>78.053250000000006</v>
      </c>
      <c r="G362" s="49">
        <f t="shared" si="10"/>
        <v>0</v>
      </c>
      <c r="H362" s="44">
        <f t="shared" si="11"/>
        <v>0</v>
      </c>
      <c r="R362" s="67" t="s">
        <v>36</v>
      </c>
      <c r="S362" s="67" t="s">
        <v>36</v>
      </c>
      <c r="T362" s="68">
        <v>46248.708333333336</v>
      </c>
      <c r="U362" s="69">
        <v>0</v>
      </c>
    </row>
    <row r="363" spans="1:21">
      <c r="A363" s="64">
        <v>46248.75</v>
      </c>
      <c r="B363" s="65" t="s">
        <v>29</v>
      </c>
      <c r="C363" s="66">
        <v>0</v>
      </c>
      <c r="D363" s="66">
        <v>0</v>
      </c>
      <c r="E363" s="66">
        <v>238</v>
      </c>
      <c r="F363" s="66">
        <v>78.053250000000006</v>
      </c>
      <c r="G363" s="49">
        <f t="shared" si="10"/>
        <v>0</v>
      </c>
      <c r="H363" s="44">
        <f t="shared" si="11"/>
        <v>0</v>
      </c>
      <c r="R363" s="67" t="s">
        <v>36</v>
      </c>
      <c r="S363" s="67" t="s">
        <v>36</v>
      </c>
      <c r="T363" s="68">
        <v>46248.75</v>
      </c>
      <c r="U363" s="69">
        <v>0</v>
      </c>
    </row>
    <row r="364" spans="1:21">
      <c r="A364" s="64">
        <v>46248.791666666664</v>
      </c>
      <c r="B364" s="65" t="s">
        <v>29</v>
      </c>
      <c r="C364" s="66">
        <v>0</v>
      </c>
      <c r="D364" s="66">
        <v>0</v>
      </c>
      <c r="E364" s="66">
        <v>238</v>
      </c>
      <c r="F364" s="66">
        <v>78.053250000000006</v>
      </c>
      <c r="G364" s="49">
        <f t="shared" si="10"/>
        <v>0</v>
      </c>
      <c r="H364" s="44">
        <f t="shared" si="11"/>
        <v>0</v>
      </c>
      <c r="R364" s="67" t="s">
        <v>36</v>
      </c>
      <c r="S364" s="67" t="s">
        <v>36</v>
      </c>
      <c r="T364" s="68">
        <v>46248.791666666664</v>
      </c>
      <c r="U364" s="69">
        <v>0</v>
      </c>
    </row>
    <row r="365" spans="1:21">
      <c r="A365" s="64">
        <v>46248.833333333336</v>
      </c>
      <c r="B365" s="65" t="s">
        <v>29</v>
      </c>
      <c r="C365" s="66">
        <v>0</v>
      </c>
      <c r="D365" s="66">
        <v>0</v>
      </c>
      <c r="E365" s="66">
        <v>238</v>
      </c>
      <c r="F365" s="66">
        <v>78.053250000000006</v>
      </c>
      <c r="G365" s="49">
        <f t="shared" si="10"/>
        <v>0</v>
      </c>
      <c r="H365" s="44">
        <f t="shared" si="11"/>
        <v>0</v>
      </c>
      <c r="R365" s="67" t="s">
        <v>36</v>
      </c>
      <c r="S365" s="67" t="s">
        <v>36</v>
      </c>
      <c r="T365" s="68">
        <v>46248.833333333336</v>
      </c>
      <c r="U365" s="69">
        <v>0</v>
      </c>
    </row>
    <row r="366" spans="1:21">
      <c r="A366" s="64">
        <v>46248.875</v>
      </c>
      <c r="B366" s="65" t="s">
        <v>29</v>
      </c>
      <c r="C366" s="66">
        <v>0</v>
      </c>
      <c r="D366" s="66">
        <v>0</v>
      </c>
      <c r="E366" s="66">
        <v>238</v>
      </c>
      <c r="F366" s="66">
        <v>78.053250000000006</v>
      </c>
      <c r="G366" s="49">
        <f t="shared" si="10"/>
        <v>0</v>
      </c>
      <c r="H366" s="44">
        <f t="shared" si="11"/>
        <v>0</v>
      </c>
      <c r="R366" s="67" t="s">
        <v>36</v>
      </c>
      <c r="S366" s="67" t="s">
        <v>36</v>
      </c>
      <c r="T366" s="68">
        <v>46248.875</v>
      </c>
      <c r="U366" s="69">
        <v>0</v>
      </c>
    </row>
    <row r="367" spans="1:21">
      <c r="A367" s="64">
        <v>46248.916666666664</v>
      </c>
      <c r="B367" s="65" t="s">
        <v>29</v>
      </c>
      <c r="C367" s="66">
        <v>0</v>
      </c>
      <c r="D367" s="66">
        <v>0</v>
      </c>
      <c r="E367" s="66">
        <v>238</v>
      </c>
      <c r="F367" s="66">
        <v>78.053250000000006</v>
      </c>
      <c r="G367" s="49">
        <f t="shared" si="10"/>
        <v>0</v>
      </c>
      <c r="H367" s="44">
        <f t="shared" si="11"/>
        <v>0</v>
      </c>
      <c r="R367" s="67" t="s">
        <v>36</v>
      </c>
      <c r="S367" s="67" t="s">
        <v>36</v>
      </c>
      <c r="T367" s="68">
        <v>46248.916666666664</v>
      </c>
      <c r="U367" s="69">
        <v>0</v>
      </c>
    </row>
    <row r="368" spans="1:21">
      <c r="A368" s="64">
        <v>46248.958333333336</v>
      </c>
      <c r="B368" s="65" t="s">
        <v>29</v>
      </c>
      <c r="C368" s="66">
        <v>0</v>
      </c>
      <c r="D368" s="66">
        <v>0</v>
      </c>
      <c r="E368" s="66">
        <v>238</v>
      </c>
      <c r="F368" s="66">
        <v>78.053250000000006</v>
      </c>
      <c r="G368" s="49">
        <f t="shared" si="10"/>
        <v>0</v>
      </c>
      <c r="H368" s="44">
        <f t="shared" si="11"/>
        <v>0</v>
      </c>
      <c r="R368" s="67" t="s">
        <v>36</v>
      </c>
      <c r="S368" s="67" t="s">
        <v>36</v>
      </c>
      <c r="T368" s="68">
        <v>46248.958333333336</v>
      </c>
      <c r="U368" s="69">
        <v>0</v>
      </c>
    </row>
    <row r="369" spans="1:21">
      <c r="A369" s="64">
        <v>46249</v>
      </c>
      <c r="B369" s="65" t="s">
        <v>29</v>
      </c>
      <c r="C369" s="66">
        <v>0</v>
      </c>
      <c r="D369" s="66">
        <v>0</v>
      </c>
      <c r="E369" s="66">
        <v>238</v>
      </c>
      <c r="F369" s="66">
        <v>78.053250000000006</v>
      </c>
      <c r="G369" s="49">
        <f t="shared" si="10"/>
        <v>0</v>
      </c>
      <c r="H369" s="44">
        <f t="shared" si="11"/>
        <v>0</v>
      </c>
      <c r="R369" s="67" t="s">
        <v>36</v>
      </c>
      <c r="S369" s="67" t="s">
        <v>36</v>
      </c>
      <c r="T369" s="68">
        <v>46249</v>
      </c>
      <c r="U369" s="69">
        <v>0</v>
      </c>
    </row>
    <row r="370" spans="1:21">
      <c r="A370" s="64">
        <v>46249.041666666664</v>
      </c>
      <c r="B370" s="65" t="s">
        <v>29</v>
      </c>
      <c r="C370" s="66">
        <v>0</v>
      </c>
      <c r="D370" s="66">
        <v>0</v>
      </c>
      <c r="E370" s="66">
        <v>238</v>
      </c>
      <c r="F370" s="66">
        <v>78.053250000000006</v>
      </c>
      <c r="G370" s="49">
        <f t="shared" si="10"/>
        <v>0</v>
      </c>
      <c r="H370" s="44">
        <f t="shared" si="11"/>
        <v>0</v>
      </c>
      <c r="R370" s="67" t="s">
        <v>36</v>
      </c>
      <c r="S370" s="67" t="s">
        <v>36</v>
      </c>
      <c r="T370" s="68">
        <v>46249.041666666664</v>
      </c>
      <c r="U370" s="69">
        <v>0</v>
      </c>
    </row>
    <row r="371" spans="1:21">
      <c r="A371" s="64">
        <v>46249.083333333336</v>
      </c>
      <c r="B371" s="65" t="s">
        <v>29</v>
      </c>
      <c r="C371" s="66">
        <v>0</v>
      </c>
      <c r="D371" s="66">
        <v>0</v>
      </c>
      <c r="E371" s="66">
        <v>238</v>
      </c>
      <c r="F371" s="66">
        <v>78.053250000000006</v>
      </c>
      <c r="G371" s="49">
        <f t="shared" si="10"/>
        <v>0</v>
      </c>
      <c r="H371" s="44">
        <f t="shared" si="11"/>
        <v>0</v>
      </c>
      <c r="R371" s="67" t="s">
        <v>36</v>
      </c>
      <c r="S371" s="67" t="s">
        <v>36</v>
      </c>
      <c r="T371" s="68">
        <v>46249.083333333336</v>
      </c>
      <c r="U371" s="69">
        <v>0</v>
      </c>
    </row>
    <row r="372" spans="1:21">
      <c r="A372" s="64">
        <v>46249.125</v>
      </c>
      <c r="B372" s="65" t="s">
        <v>29</v>
      </c>
      <c r="C372" s="66">
        <v>0</v>
      </c>
      <c r="D372" s="66">
        <v>0</v>
      </c>
      <c r="E372" s="66">
        <v>238</v>
      </c>
      <c r="F372" s="66">
        <v>78.053250000000006</v>
      </c>
      <c r="G372" s="49">
        <f t="shared" si="10"/>
        <v>0</v>
      </c>
      <c r="H372" s="44">
        <f t="shared" si="11"/>
        <v>0</v>
      </c>
      <c r="R372" s="67" t="s">
        <v>36</v>
      </c>
      <c r="S372" s="67" t="s">
        <v>36</v>
      </c>
      <c r="T372" s="68">
        <v>46249.125</v>
      </c>
      <c r="U372" s="69">
        <v>0</v>
      </c>
    </row>
    <row r="373" spans="1:21">
      <c r="A373" s="64">
        <v>46249.166666666664</v>
      </c>
      <c r="B373" s="65" t="s">
        <v>29</v>
      </c>
      <c r="C373" s="66">
        <v>0</v>
      </c>
      <c r="D373" s="66">
        <v>0</v>
      </c>
      <c r="E373" s="66">
        <v>238</v>
      </c>
      <c r="F373" s="66">
        <v>78.053250000000006</v>
      </c>
      <c r="G373" s="49">
        <f t="shared" si="10"/>
        <v>0</v>
      </c>
      <c r="H373" s="44">
        <f t="shared" si="11"/>
        <v>0</v>
      </c>
      <c r="R373" s="67" t="s">
        <v>36</v>
      </c>
      <c r="S373" s="67" t="s">
        <v>36</v>
      </c>
      <c r="T373" s="68">
        <v>46249.166666666664</v>
      </c>
      <c r="U373" s="69">
        <v>0</v>
      </c>
    </row>
    <row r="374" spans="1:21">
      <c r="A374" s="64">
        <v>46249.208333333336</v>
      </c>
      <c r="B374" s="65" t="s">
        <v>29</v>
      </c>
      <c r="C374" s="66">
        <v>0</v>
      </c>
      <c r="D374" s="66">
        <v>0</v>
      </c>
      <c r="E374" s="66">
        <v>238</v>
      </c>
      <c r="F374" s="66">
        <v>78.053250000000006</v>
      </c>
      <c r="G374" s="49">
        <f t="shared" si="10"/>
        <v>0</v>
      </c>
      <c r="H374" s="44">
        <f t="shared" si="11"/>
        <v>0</v>
      </c>
      <c r="R374" s="67" t="s">
        <v>36</v>
      </c>
      <c r="S374" s="67" t="s">
        <v>36</v>
      </c>
      <c r="T374" s="68">
        <v>46249.208333333336</v>
      </c>
      <c r="U374" s="69">
        <v>0</v>
      </c>
    </row>
    <row r="375" spans="1:21">
      <c r="A375" s="64">
        <v>46249.25</v>
      </c>
      <c r="B375" s="65" t="s">
        <v>29</v>
      </c>
      <c r="C375" s="66">
        <v>0</v>
      </c>
      <c r="D375" s="66">
        <v>0</v>
      </c>
      <c r="E375" s="66">
        <v>238</v>
      </c>
      <c r="F375" s="66">
        <v>78.053250000000006</v>
      </c>
      <c r="G375" s="49">
        <f t="shared" si="10"/>
        <v>0</v>
      </c>
      <c r="H375" s="44">
        <f t="shared" si="11"/>
        <v>0</v>
      </c>
      <c r="R375" s="67" t="s">
        <v>36</v>
      </c>
      <c r="S375" s="67" t="s">
        <v>36</v>
      </c>
      <c r="T375" s="68">
        <v>46249.25</v>
      </c>
      <c r="U375" s="69">
        <v>0</v>
      </c>
    </row>
    <row r="376" spans="1:21">
      <c r="A376" s="64">
        <v>46249.291666666664</v>
      </c>
      <c r="B376" s="65" t="s">
        <v>29</v>
      </c>
      <c r="C376" s="66">
        <v>0</v>
      </c>
      <c r="D376" s="66">
        <v>0</v>
      </c>
      <c r="E376" s="66">
        <v>238</v>
      </c>
      <c r="F376" s="66">
        <v>78.053250000000006</v>
      </c>
      <c r="G376" s="49">
        <f t="shared" si="10"/>
        <v>0</v>
      </c>
      <c r="H376" s="44">
        <f t="shared" si="11"/>
        <v>0</v>
      </c>
      <c r="R376" s="67" t="s">
        <v>36</v>
      </c>
      <c r="S376" s="67" t="s">
        <v>36</v>
      </c>
      <c r="T376" s="68">
        <v>46249.291666666664</v>
      </c>
      <c r="U376" s="69">
        <v>0</v>
      </c>
    </row>
    <row r="377" spans="1:21">
      <c r="A377" s="64">
        <v>46249.333333333336</v>
      </c>
      <c r="B377" s="65" t="s">
        <v>29</v>
      </c>
      <c r="C377" s="66">
        <v>0</v>
      </c>
      <c r="D377" s="66">
        <v>0</v>
      </c>
      <c r="E377" s="66">
        <v>238</v>
      </c>
      <c r="F377" s="66">
        <v>78.053250000000006</v>
      </c>
      <c r="G377" s="49">
        <f t="shared" si="10"/>
        <v>0</v>
      </c>
      <c r="H377" s="44">
        <f t="shared" si="11"/>
        <v>0</v>
      </c>
      <c r="R377" s="67" t="s">
        <v>36</v>
      </c>
      <c r="S377" s="67" t="s">
        <v>36</v>
      </c>
      <c r="T377" s="68">
        <v>46249.333333333336</v>
      </c>
      <c r="U377" s="69">
        <v>0</v>
      </c>
    </row>
    <row r="378" spans="1:21">
      <c r="A378" s="64">
        <v>46249.375</v>
      </c>
      <c r="B378" s="65" t="s">
        <v>29</v>
      </c>
      <c r="C378" s="66">
        <v>0</v>
      </c>
      <c r="D378" s="66">
        <v>0</v>
      </c>
      <c r="E378" s="66">
        <v>238</v>
      </c>
      <c r="F378" s="66">
        <v>78.053250000000006</v>
      </c>
      <c r="G378" s="49">
        <f t="shared" si="10"/>
        <v>0</v>
      </c>
      <c r="H378" s="44">
        <f t="shared" si="11"/>
        <v>0</v>
      </c>
      <c r="R378" s="67" t="s">
        <v>36</v>
      </c>
      <c r="S378" s="67" t="s">
        <v>36</v>
      </c>
      <c r="T378" s="68">
        <v>46249.375</v>
      </c>
      <c r="U378" s="69">
        <v>0</v>
      </c>
    </row>
    <row r="379" spans="1:21">
      <c r="A379" s="64">
        <v>46249.416666666664</v>
      </c>
      <c r="B379" s="65" t="s">
        <v>29</v>
      </c>
      <c r="C379" s="66">
        <v>0</v>
      </c>
      <c r="D379" s="66">
        <v>0</v>
      </c>
      <c r="E379" s="66">
        <v>238</v>
      </c>
      <c r="F379" s="66">
        <v>78.053250000000006</v>
      </c>
      <c r="G379" s="49">
        <f t="shared" si="10"/>
        <v>0</v>
      </c>
      <c r="H379" s="44">
        <f t="shared" si="11"/>
        <v>0</v>
      </c>
      <c r="R379" s="67" t="s">
        <v>36</v>
      </c>
      <c r="S379" s="67" t="s">
        <v>36</v>
      </c>
      <c r="T379" s="68">
        <v>46249.416666666664</v>
      </c>
      <c r="U379" s="69">
        <v>0</v>
      </c>
    </row>
    <row r="380" spans="1:21">
      <c r="A380" s="64">
        <v>46249.458333333336</v>
      </c>
      <c r="B380" s="65" t="s">
        <v>29</v>
      </c>
      <c r="C380" s="66">
        <v>0</v>
      </c>
      <c r="D380" s="66">
        <v>0</v>
      </c>
      <c r="E380" s="66">
        <v>238</v>
      </c>
      <c r="F380" s="66">
        <v>78.053250000000006</v>
      </c>
      <c r="G380" s="49">
        <f t="shared" si="10"/>
        <v>0</v>
      </c>
      <c r="H380" s="44">
        <f t="shared" si="11"/>
        <v>0</v>
      </c>
      <c r="R380" s="67" t="s">
        <v>36</v>
      </c>
      <c r="S380" s="67" t="s">
        <v>36</v>
      </c>
      <c r="T380" s="68">
        <v>46249.458333333336</v>
      </c>
      <c r="U380" s="69">
        <v>0</v>
      </c>
    </row>
    <row r="381" spans="1:21">
      <c r="A381" s="64">
        <v>46249.5</v>
      </c>
      <c r="B381" s="65" t="s">
        <v>29</v>
      </c>
      <c r="C381" s="66">
        <v>0</v>
      </c>
      <c r="D381" s="66">
        <v>0</v>
      </c>
      <c r="E381" s="66">
        <v>238</v>
      </c>
      <c r="F381" s="66">
        <v>78.053250000000006</v>
      </c>
      <c r="G381" s="49">
        <f t="shared" si="10"/>
        <v>0</v>
      </c>
      <c r="H381" s="44">
        <f t="shared" si="11"/>
        <v>0</v>
      </c>
      <c r="R381" s="67" t="s">
        <v>36</v>
      </c>
      <c r="S381" s="67" t="s">
        <v>36</v>
      </c>
      <c r="T381" s="68">
        <v>46249.5</v>
      </c>
      <c r="U381" s="69">
        <v>0</v>
      </c>
    </row>
    <row r="382" spans="1:21">
      <c r="A382" s="64">
        <v>46249.541666666664</v>
      </c>
      <c r="B382" s="65" t="s">
        <v>29</v>
      </c>
      <c r="C382" s="66">
        <v>0</v>
      </c>
      <c r="D382" s="66">
        <v>0</v>
      </c>
      <c r="E382" s="66">
        <v>238</v>
      </c>
      <c r="F382" s="66">
        <v>78.053250000000006</v>
      </c>
      <c r="G382" s="49">
        <f t="shared" si="10"/>
        <v>0</v>
      </c>
      <c r="H382" s="44">
        <f t="shared" si="11"/>
        <v>0</v>
      </c>
      <c r="R382" s="67" t="s">
        <v>36</v>
      </c>
      <c r="S382" s="67" t="s">
        <v>36</v>
      </c>
      <c r="T382" s="68">
        <v>46249.541666666664</v>
      </c>
      <c r="U382" s="69">
        <v>0</v>
      </c>
    </row>
    <row r="383" spans="1:21">
      <c r="A383" s="64">
        <v>46249.583333333336</v>
      </c>
      <c r="B383" s="65" t="s">
        <v>29</v>
      </c>
      <c r="C383" s="66">
        <v>0</v>
      </c>
      <c r="D383" s="66">
        <v>0</v>
      </c>
      <c r="E383" s="66">
        <v>238</v>
      </c>
      <c r="F383" s="66">
        <v>78.053250000000006</v>
      </c>
      <c r="G383" s="49">
        <f t="shared" si="10"/>
        <v>0</v>
      </c>
      <c r="H383" s="44">
        <f t="shared" si="11"/>
        <v>0</v>
      </c>
      <c r="R383" s="67" t="s">
        <v>36</v>
      </c>
      <c r="S383" s="67" t="s">
        <v>36</v>
      </c>
      <c r="T383" s="68">
        <v>46249.583333333336</v>
      </c>
      <c r="U383" s="69">
        <v>0</v>
      </c>
    </row>
    <row r="384" spans="1:21">
      <c r="A384" s="64">
        <v>46249.625</v>
      </c>
      <c r="B384" s="65" t="s">
        <v>29</v>
      </c>
      <c r="C384" s="66">
        <v>0</v>
      </c>
      <c r="D384" s="66">
        <v>0</v>
      </c>
      <c r="E384" s="66">
        <v>238</v>
      </c>
      <c r="F384" s="66">
        <v>78.053250000000006</v>
      </c>
      <c r="G384" s="49">
        <f t="shared" si="10"/>
        <v>0</v>
      </c>
      <c r="H384" s="44">
        <f t="shared" si="11"/>
        <v>0</v>
      </c>
      <c r="R384" s="67" t="s">
        <v>36</v>
      </c>
      <c r="S384" s="67" t="s">
        <v>36</v>
      </c>
      <c r="T384" s="68">
        <v>46249.625</v>
      </c>
      <c r="U384" s="69">
        <v>0</v>
      </c>
    </row>
    <row r="385" spans="1:21">
      <c r="A385" s="64">
        <v>46249.666666666664</v>
      </c>
      <c r="B385" s="65" t="s">
        <v>29</v>
      </c>
      <c r="C385" s="66">
        <v>0</v>
      </c>
      <c r="D385" s="66">
        <v>0</v>
      </c>
      <c r="E385" s="66">
        <v>238</v>
      </c>
      <c r="F385" s="66">
        <v>78.053250000000006</v>
      </c>
      <c r="G385" s="49">
        <f t="shared" si="10"/>
        <v>0</v>
      </c>
      <c r="H385" s="44">
        <f t="shared" si="11"/>
        <v>0</v>
      </c>
      <c r="R385" s="67" t="s">
        <v>36</v>
      </c>
      <c r="S385" s="67" t="s">
        <v>36</v>
      </c>
      <c r="T385" s="68">
        <v>46249.666666666664</v>
      </c>
      <c r="U385" s="69">
        <v>0</v>
      </c>
    </row>
    <row r="386" spans="1:21">
      <c r="A386" s="64">
        <v>46249.708333333336</v>
      </c>
      <c r="B386" s="65" t="s">
        <v>29</v>
      </c>
      <c r="C386" s="66">
        <v>0</v>
      </c>
      <c r="D386" s="66">
        <v>0</v>
      </c>
      <c r="E386" s="66">
        <v>238</v>
      </c>
      <c r="F386" s="66">
        <v>78.053250000000006</v>
      </c>
      <c r="G386" s="49">
        <f t="shared" si="10"/>
        <v>0</v>
      </c>
      <c r="H386" s="44">
        <f t="shared" si="11"/>
        <v>0</v>
      </c>
      <c r="R386" s="67" t="s">
        <v>36</v>
      </c>
      <c r="S386" s="67" t="s">
        <v>36</v>
      </c>
      <c r="T386" s="68">
        <v>46249.708333333336</v>
      </c>
      <c r="U386" s="69">
        <v>0</v>
      </c>
    </row>
    <row r="387" spans="1:21">
      <c r="A387" s="64">
        <v>46249.75</v>
      </c>
      <c r="B387" s="65" t="s">
        <v>29</v>
      </c>
      <c r="C387" s="66">
        <v>0</v>
      </c>
      <c r="D387" s="66">
        <v>0</v>
      </c>
      <c r="E387" s="66">
        <v>238</v>
      </c>
      <c r="F387" s="66">
        <v>78.053250000000006</v>
      </c>
      <c r="G387" s="49">
        <f t="shared" ref="G387:G450" si="12">U387</f>
        <v>0</v>
      </c>
      <c r="H387" s="44">
        <f t="shared" ref="H387:H450" si="13">D387+G393</f>
        <v>0</v>
      </c>
      <c r="R387" s="67" t="s">
        <v>36</v>
      </c>
      <c r="S387" s="67" t="s">
        <v>36</v>
      </c>
      <c r="T387" s="68">
        <v>46249.75</v>
      </c>
      <c r="U387" s="69">
        <v>0</v>
      </c>
    </row>
    <row r="388" spans="1:21">
      <c r="A388" s="64">
        <v>46249.791666666664</v>
      </c>
      <c r="B388" s="65" t="s">
        <v>29</v>
      </c>
      <c r="C388" s="66">
        <v>0</v>
      </c>
      <c r="D388" s="66">
        <v>0</v>
      </c>
      <c r="E388" s="66">
        <v>238</v>
      </c>
      <c r="F388" s="66">
        <v>78.053250000000006</v>
      </c>
      <c r="G388" s="49">
        <f t="shared" si="12"/>
        <v>0</v>
      </c>
      <c r="H388" s="44">
        <f t="shared" si="13"/>
        <v>0</v>
      </c>
      <c r="R388" s="67" t="s">
        <v>36</v>
      </c>
      <c r="S388" s="67" t="s">
        <v>36</v>
      </c>
      <c r="T388" s="68">
        <v>46249.791666666664</v>
      </c>
      <c r="U388" s="69">
        <v>0</v>
      </c>
    </row>
    <row r="389" spans="1:21">
      <c r="A389" s="64">
        <v>46249.833333333336</v>
      </c>
      <c r="B389" s="65" t="s">
        <v>29</v>
      </c>
      <c r="C389" s="66">
        <v>0</v>
      </c>
      <c r="D389" s="66">
        <v>0</v>
      </c>
      <c r="E389" s="66">
        <v>238</v>
      </c>
      <c r="F389" s="66">
        <v>78.053250000000006</v>
      </c>
      <c r="G389" s="49">
        <f t="shared" si="12"/>
        <v>0</v>
      </c>
      <c r="H389" s="44">
        <f t="shared" si="13"/>
        <v>0</v>
      </c>
      <c r="R389" s="67" t="s">
        <v>36</v>
      </c>
      <c r="S389" s="67" t="s">
        <v>36</v>
      </c>
      <c r="T389" s="68">
        <v>46249.833333333336</v>
      </c>
      <c r="U389" s="69">
        <v>0</v>
      </c>
    </row>
    <row r="390" spans="1:21">
      <c r="A390" s="64">
        <v>46249.875</v>
      </c>
      <c r="B390" s="65" t="s">
        <v>29</v>
      </c>
      <c r="C390" s="66">
        <v>0</v>
      </c>
      <c r="D390" s="66">
        <v>0</v>
      </c>
      <c r="E390" s="66">
        <v>238</v>
      </c>
      <c r="F390" s="66">
        <v>78.053250000000006</v>
      </c>
      <c r="G390" s="49">
        <f t="shared" si="12"/>
        <v>0</v>
      </c>
      <c r="H390" s="44">
        <f t="shared" si="13"/>
        <v>0</v>
      </c>
      <c r="R390" s="67" t="s">
        <v>36</v>
      </c>
      <c r="S390" s="67" t="s">
        <v>36</v>
      </c>
      <c r="T390" s="68">
        <v>46249.875</v>
      </c>
      <c r="U390" s="69">
        <v>0</v>
      </c>
    </row>
    <row r="391" spans="1:21">
      <c r="A391" s="64">
        <v>46249.916666666664</v>
      </c>
      <c r="B391" s="65" t="s">
        <v>29</v>
      </c>
      <c r="C391" s="66">
        <v>0</v>
      </c>
      <c r="D391" s="66">
        <v>0</v>
      </c>
      <c r="E391" s="66">
        <v>238</v>
      </c>
      <c r="F391" s="66">
        <v>78.053250000000006</v>
      </c>
      <c r="G391" s="49">
        <f t="shared" si="12"/>
        <v>0</v>
      </c>
      <c r="H391" s="44">
        <f t="shared" si="13"/>
        <v>0</v>
      </c>
      <c r="R391" s="67" t="s">
        <v>36</v>
      </c>
      <c r="S391" s="67" t="s">
        <v>36</v>
      </c>
      <c r="T391" s="68">
        <v>46249.916666666664</v>
      </c>
      <c r="U391" s="69">
        <v>0</v>
      </c>
    </row>
    <row r="392" spans="1:21">
      <c r="A392" s="64">
        <v>46249.958333333336</v>
      </c>
      <c r="B392" s="65" t="s">
        <v>29</v>
      </c>
      <c r="C392" s="66">
        <v>0</v>
      </c>
      <c r="D392" s="66">
        <v>0</v>
      </c>
      <c r="E392" s="66">
        <v>238</v>
      </c>
      <c r="F392" s="66">
        <v>78.053250000000006</v>
      </c>
      <c r="G392" s="49">
        <f t="shared" si="12"/>
        <v>0</v>
      </c>
      <c r="H392" s="44">
        <f t="shared" si="13"/>
        <v>0</v>
      </c>
      <c r="R392" s="67" t="s">
        <v>36</v>
      </c>
      <c r="S392" s="67" t="s">
        <v>36</v>
      </c>
      <c r="T392" s="68">
        <v>46249.958333333336</v>
      </c>
      <c r="U392" s="69">
        <v>0</v>
      </c>
    </row>
    <row r="393" spans="1:21">
      <c r="A393" s="64">
        <v>46250</v>
      </c>
      <c r="B393" s="65" t="s">
        <v>29</v>
      </c>
      <c r="C393" s="66">
        <v>0</v>
      </c>
      <c r="D393" s="66">
        <v>0</v>
      </c>
      <c r="E393" s="66">
        <v>238</v>
      </c>
      <c r="F393" s="66">
        <v>78.053250000000006</v>
      </c>
      <c r="G393" s="49">
        <f t="shared" si="12"/>
        <v>0</v>
      </c>
      <c r="H393" s="44">
        <f t="shared" si="13"/>
        <v>0</v>
      </c>
      <c r="R393" s="67" t="s">
        <v>36</v>
      </c>
      <c r="S393" s="67" t="s">
        <v>36</v>
      </c>
      <c r="T393" s="68">
        <v>46250</v>
      </c>
      <c r="U393" s="69">
        <v>0</v>
      </c>
    </row>
    <row r="394" spans="1:21">
      <c r="A394" s="64">
        <v>46250.041666666664</v>
      </c>
      <c r="B394" s="65" t="s">
        <v>29</v>
      </c>
      <c r="C394" s="66">
        <v>0</v>
      </c>
      <c r="D394" s="66">
        <v>0</v>
      </c>
      <c r="E394" s="66">
        <v>238</v>
      </c>
      <c r="F394" s="66">
        <v>78.053250000000006</v>
      </c>
      <c r="G394" s="49">
        <f t="shared" si="12"/>
        <v>0</v>
      </c>
      <c r="H394" s="44">
        <f t="shared" si="13"/>
        <v>0</v>
      </c>
      <c r="R394" s="67" t="s">
        <v>36</v>
      </c>
      <c r="S394" s="67" t="s">
        <v>36</v>
      </c>
      <c r="T394" s="68">
        <v>46250.041666666664</v>
      </c>
      <c r="U394" s="69">
        <v>0</v>
      </c>
    </row>
    <row r="395" spans="1:21">
      <c r="A395" s="64">
        <v>46250.083333333336</v>
      </c>
      <c r="B395" s="65" t="s">
        <v>29</v>
      </c>
      <c r="C395" s="66">
        <v>0</v>
      </c>
      <c r="D395" s="66">
        <v>0</v>
      </c>
      <c r="E395" s="66">
        <v>238</v>
      </c>
      <c r="F395" s="66">
        <v>78.053250000000006</v>
      </c>
      <c r="G395" s="49">
        <f t="shared" si="12"/>
        <v>0</v>
      </c>
      <c r="H395" s="44">
        <f t="shared" si="13"/>
        <v>0</v>
      </c>
      <c r="R395" s="67" t="s">
        <v>36</v>
      </c>
      <c r="S395" s="67" t="s">
        <v>36</v>
      </c>
      <c r="T395" s="68">
        <v>46250.083333333336</v>
      </c>
      <c r="U395" s="69">
        <v>0</v>
      </c>
    </row>
    <row r="396" spans="1:21">
      <c r="A396" s="64">
        <v>46250.125</v>
      </c>
      <c r="B396" s="65" t="s">
        <v>29</v>
      </c>
      <c r="C396" s="66">
        <v>0</v>
      </c>
      <c r="D396" s="66">
        <v>0</v>
      </c>
      <c r="E396" s="66">
        <v>238</v>
      </c>
      <c r="F396" s="66">
        <v>78.053250000000006</v>
      </c>
      <c r="G396" s="49">
        <f t="shared" si="12"/>
        <v>0</v>
      </c>
      <c r="H396" s="44">
        <f t="shared" si="13"/>
        <v>0</v>
      </c>
      <c r="R396" s="67" t="s">
        <v>36</v>
      </c>
      <c r="S396" s="67" t="s">
        <v>36</v>
      </c>
      <c r="T396" s="68">
        <v>46250.125</v>
      </c>
      <c r="U396" s="69">
        <v>0</v>
      </c>
    </row>
    <row r="397" spans="1:21">
      <c r="A397" s="64">
        <v>46250.166666666664</v>
      </c>
      <c r="B397" s="65" t="s">
        <v>29</v>
      </c>
      <c r="C397" s="66">
        <v>0</v>
      </c>
      <c r="D397" s="66">
        <v>0</v>
      </c>
      <c r="E397" s="66">
        <v>238</v>
      </c>
      <c r="F397" s="66">
        <v>78.053250000000006</v>
      </c>
      <c r="G397" s="49">
        <f t="shared" si="12"/>
        <v>0</v>
      </c>
      <c r="H397" s="44">
        <f t="shared" si="13"/>
        <v>0</v>
      </c>
      <c r="R397" s="67" t="s">
        <v>36</v>
      </c>
      <c r="S397" s="67" t="s">
        <v>36</v>
      </c>
      <c r="T397" s="68">
        <v>46250.166666666664</v>
      </c>
      <c r="U397" s="69">
        <v>0</v>
      </c>
    </row>
    <row r="398" spans="1:21">
      <c r="A398" s="64">
        <v>46250.208333333336</v>
      </c>
      <c r="B398" s="65" t="s">
        <v>29</v>
      </c>
      <c r="C398" s="66">
        <v>0</v>
      </c>
      <c r="D398" s="66">
        <v>0</v>
      </c>
      <c r="E398" s="66">
        <v>238</v>
      </c>
      <c r="F398" s="66">
        <v>78.053250000000006</v>
      </c>
      <c r="G398" s="49">
        <f t="shared" si="12"/>
        <v>0</v>
      </c>
      <c r="H398" s="44">
        <f t="shared" si="13"/>
        <v>0</v>
      </c>
      <c r="R398" s="67" t="s">
        <v>36</v>
      </c>
      <c r="S398" s="67" t="s">
        <v>36</v>
      </c>
      <c r="T398" s="68">
        <v>46250.208333333336</v>
      </c>
      <c r="U398" s="69">
        <v>0</v>
      </c>
    </row>
    <row r="399" spans="1:21">
      <c r="A399" s="64">
        <v>46250.25</v>
      </c>
      <c r="B399" s="65" t="s">
        <v>29</v>
      </c>
      <c r="C399" s="66">
        <v>0</v>
      </c>
      <c r="D399" s="66">
        <v>0</v>
      </c>
      <c r="E399" s="66">
        <v>238</v>
      </c>
      <c r="F399" s="66">
        <v>78.053250000000006</v>
      </c>
      <c r="G399" s="49">
        <f t="shared" si="12"/>
        <v>0</v>
      </c>
      <c r="H399" s="44">
        <f t="shared" si="13"/>
        <v>0</v>
      </c>
      <c r="R399" s="67" t="s">
        <v>36</v>
      </c>
      <c r="S399" s="67" t="s">
        <v>36</v>
      </c>
      <c r="T399" s="68">
        <v>46250.25</v>
      </c>
      <c r="U399" s="69">
        <v>0</v>
      </c>
    </row>
    <row r="400" spans="1:21">
      <c r="A400" s="64">
        <v>46250.291666666664</v>
      </c>
      <c r="B400" s="65" t="s">
        <v>29</v>
      </c>
      <c r="C400" s="66">
        <v>0</v>
      </c>
      <c r="D400" s="66">
        <v>0</v>
      </c>
      <c r="E400" s="66">
        <v>238</v>
      </c>
      <c r="F400" s="66">
        <v>78.053250000000006</v>
      </c>
      <c r="G400" s="49">
        <f t="shared" si="12"/>
        <v>0</v>
      </c>
      <c r="H400" s="44">
        <f t="shared" si="13"/>
        <v>0</v>
      </c>
      <c r="R400" s="67" t="s">
        <v>36</v>
      </c>
      <c r="S400" s="67" t="s">
        <v>36</v>
      </c>
      <c r="T400" s="68">
        <v>46250.291666666664</v>
      </c>
      <c r="U400" s="69">
        <v>0</v>
      </c>
    </row>
    <row r="401" spans="1:21">
      <c r="A401" s="64">
        <v>46250.333333333336</v>
      </c>
      <c r="B401" s="65" t="s">
        <v>29</v>
      </c>
      <c r="C401" s="66">
        <v>0</v>
      </c>
      <c r="D401" s="66">
        <v>0</v>
      </c>
      <c r="E401" s="66">
        <v>238</v>
      </c>
      <c r="F401" s="66">
        <v>78.053250000000006</v>
      </c>
      <c r="G401" s="49">
        <f t="shared" si="12"/>
        <v>0</v>
      </c>
      <c r="H401" s="44">
        <f t="shared" si="13"/>
        <v>0</v>
      </c>
      <c r="R401" s="67" t="s">
        <v>36</v>
      </c>
      <c r="S401" s="67" t="s">
        <v>36</v>
      </c>
      <c r="T401" s="68">
        <v>46250.333333333336</v>
      </c>
      <c r="U401" s="69">
        <v>0</v>
      </c>
    </row>
    <row r="402" spans="1:21">
      <c r="A402" s="64">
        <v>46250.375</v>
      </c>
      <c r="B402" s="65" t="s">
        <v>29</v>
      </c>
      <c r="C402" s="66">
        <v>0</v>
      </c>
      <c r="D402" s="66">
        <v>0</v>
      </c>
      <c r="E402" s="66">
        <v>238</v>
      </c>
      <c r="F402" s="66">
        <v>78.053250000000006</v>
      </c>
      <c r="G402" s="49">
        <f t="shared" si="12"/>
        <v>0</v>
      </c>
      <c r="H402" s="44">
        <f t="shared" si="13"/>
        <v>0</v>
      </c>
      <c r="R402" s="67" t="s">
        <v>36</v>
      </c>
      <c r="S402" s="67" t="s">
        <v>36</v>
      </c>
      <c r="T402" s="68">
        <v>46250.375</v>
      </c>
      <c r="U402" s="69">
        <v>0</v>
      </c>
    </row>
    <row r="403" spans="1:21">
      <c r="A403" s="64">
        <v>46250.416666666664</v>
      </c>
      <c r="B403" s="65" t="s">
        <v>29</v>
      </c>
      <c r="C403" s="66">
        <v>0</v>
      </c>
      <c r="D403" s="66">
        <v>0</v>
      </c>
      <c r="E403" s="66">
        <v>238</v>
      </c>
      <c r="F403" s="66">
        <v>78.053250000000006</v>
      </c>
      <c r="G403" s="49">
        <f t="shared" si="12"/>
        <v>0</v>
      </c>
      <c r="H403" s="44">
        <f t="shared" si="13"/>
        <v>0</v>
      </c>
      <c r="R403" s="67" t="s">
        <v>36</v>
      </c>
      <c r="S403" s="67" t="s">
        <v>36</v>
      </c>
      <c r="T403" s="68">
        <v>46250.416666666664</v>
      </c>
      <c r="U403" s="69">
        <v>0</v>
      </c>
    </row>
    <row r="404" spans="1:21">
      <c r="A404" s="64">
        <v>46250.458333333336</v>
      </c>
      <c r="B404" s="65" t="s">
        <v>29</v>
      </c>
      <c r="C404" s="66">
        <v>0</v>
      </c>
      <c r="D404" s="66">
        <v>0</v>
      </c>
      <c r="E404" s="66">
        <v>238</v>
      </c>
      <c r="F404" s="66">
        <v>78.053250000000006</v>
      </c>
      <c r="G404" s="49">
        <f t="shared" si="12"/>
        <v>0</v>
      </c>
      <c r="H404" s="44">
        <f t="shared" si="13"/>
        <v>0</v>
      </c>
      <c r="R404" s="67" t="s">
        <v>36</v>
      </c>
      <c r="S404" s="67" t="s">
        <v>36</v>
      </c>
      <c r="T404" s="68">
        <v>46250.458333333336</v>
      </c>
      <c r="U404" s="69">
        <v>0</v>
      </c>
    </row>
    <row r="405" spans="1:21">
      <c r="A405" s="64">
        <v>46250.5</v>
      </c>
      <c r="B405" s="65" t="s">
        <v>29</v>
      </c>
      <c r="C405" s="66">
        <v>0</v>
      </c>
      <c r="D405" s="66">
        <v>0</v>
      </c>
      <c r="E405" s="66">
        <v>238</v>
      </c>
      <c r="F405" s="66">
        <v>78.053250000000006</v>
      </c>
      <c r="G405" s="49">
        <f t="shared" si="12"/>
        <v>0</v>
      </c>
      <c r="H405" s="44">
        <f t="shared" si="13"/>
        <v>0</v>
      </c>
      <c r="R405" s="67" t="s">
        <v>36</v>
      </c>
      <c r="S405" s="67" t="s">
        <v>36</v>
      </c>
      <c r="T405" s="68">
        <v>46250.5</v>
      </c>
      <c r="U405" s="69">
        <v>0</v>
      </c>
    </row>
    <row r="406" spans="1:21">
      <c r="A406" s="64">
        <v>46250.541666666664</v>
      </c>
      <c r="B406" s="65" t="s">
        <v>29</v>
      </c>
      <c r="C406" s="66">
        <v>0</v>
      </c>
      <c r="D406" s="66">
        <v>0</v>
      </c>
      <c r="E406" s="66">
        <v>238</v>
      </c>
      <c r="F406" s="66">
        <v>78.053250000000006</v>
      </c>
      <c r="G406" s="49">
        <f t="shared" si="12"/>
        <v>0</v>
      </c>
      <c r="H406" s="44">
        <f t="shared" si="13"/>
        <v>0</v>
      </c>
      <c r="R406" s="67" t="s">
        <v>36</v>
      </c>
      <c r="S406" s="67" t="s">
        <v>36</v>
      </c>
      <c r="T406" s="68">
        <v>46250.541666666664</v>
      </c>
      <c r="U406" s="69">
        <v>0</v>
      </c>
    </row>
    <row r="407" spans="1:21">
      <c r="A407" s="64">
        <v>46250.583333333336</v>
      </c>
      <c r="B407" s="65" t="s">
        <v>29</v>
      </c>
      <c r="C407" s="66">
        <v>0</v>
      </c>
      <c r="D407" s="66">
        <v>0</v>
      </c>
      <c r="E407" s="66">
        <v>238</v>
      </c>
      <c r="F407" s="66">
        <v>78.053250000000006</v>
      </c>
      <c r="G407" s="49">
        <f t="shared" si="12"/>
        <v>0</v>
      </c>
      <c r="H407" s="44">
        <f t="shared" si="13"/>
        <v>0</v>
      </c>
      <c r="R407" s="67" t="s">
        <v>36</v>
      </c>
      <c r="S407" s="67" t="s">
        <v>36</v>
      </c>
      <c r="T407" s="68">
        <v>46250.583333333336</v>
      </c>
      <c r="U407" s="69">
        <v>0</v>
      </c>
    </row>
    <row r="408" spans="1:21">
      <c r="A408" s="64">
        <v>46250.625</v>
      </c>
      <c r="B408" s="65" t="s">
        <v>29</v>
      </c>
      <c r="C408" s="66">
        <v>0</v>
      </c>
      <c r="D408" s="66">
        <v>0</v>
      </c>
      <c r="E408" s="66">
        <v>238</v>
      </c>
      <c r="F408" s="66">
        <v>78.053250000000006</v>
      </c>
      <c r="G408" s="49">
        <f t="shared" si="12"/>
        <v>0</v>
      </c>
      <c r="H408" s="44">
        <f t="shared" si="13"/>
        <v>0</v>
      </c>
      <c r="R408" s="67" t="s">
        <v>36</v>
      </c>
      <c r="S408" s="67" t="s">
        <v>36</v>
      </c>
      <c r="T408" s="68">
        <v>46250.625</v>
      </c>
      <c r="U408" s="69">
        <v>0</v>
      </c>
    </row>
    <row r="409" spans="1:21">
      <c r="A409" s="64">
        <v>46250.666666666664</v>
      </c>
      <c r="B409" s="65" t="s">
        <v>29</v>
      </c>
      <c r="C409" s="66">
        <v>0</v>
      </c>
      <c r="D409" s="66">
        <v>0</v>
      </c>
      <c r="E409" s="66">
        <v>238</v>
      </c>
      <c r="F409" s="66">
        <v>78.053250000000006</v>
      </c>
      <c r="G409" s="49">
        <f t="shared" si="12"/>
        <v>0</v>
      </c>
      <c r="H409" s="44">
        <f t="shared" si="13"/>
        <v>0</v>
      </c>
      <c r="R409" s="67" t="s">
        <v>36</v>
      </c>
      <c r="S409" s="67" t="s">
        <v>36</v>
      </c>
      <c r="T409" s="68">
        <v>46250.666666666664</v>
      </c>
      <c r="U409" s="69">
        <v>0</v>
      </c>
    </row>
    <row r="410" spans="1:21">
      <c r="A410" s="64">
        <v>46250.708333333336</v>
      </c>
      <c r="B410" s="65" t="s">
        <v>29</v>
      </c>
      <c r="C410" s="66">
        <v>0</v>
      </c>
      <c r="D410" s="66">
        <v>0</v>
      </c>
      <c r="E410" s="66">
        <v>238</v>
      </c>
      <c r="F410" s="66">
        <v>78.053250000000006</v>
      </c>
      <c r="G410" s="49">
        <f t="shared" si="12"/>
        <v>0</v>
      </c>
      <c r="H410" s="44">
        <f t="shared" si="13"/>
        <v>0</v>
      </c>
      <c r="R410" s="67" t="s">
        <v>36</v>
      </c>
      <c r="S410" s="67" t="s">
        <v>36</v>
      </c>
      <c r="T410" s="68">
        <v>46250.708333333336</v>
      </c>
      <c r="U410" s="69">
        <v>0</v>
      </c>
    </row>
    <row r="411" spans="1:21">
      <c r="A411" s="64">
        <v>46250.75</v>
      </c>
      <c r="B411" s="65" t="s">
        <v>29</v>
      </c>
      <c r="C411" s="66">
        <v>0</v>
      </c>
      <c r="D411" s="66">
        <v>0</v>
      </c>
      <c r="E411" s="66">
        <v>238</v>
      </c>
      <c r="F411" s="66">
        <v>78.053250000000006</v>
      </c>
      <c r="G411" s="49">
        <f t="shared" si="12"/>
        <v>0</v>
      </c>
      <c r="H411" s="44">
        <f t="shared" si="13"/>
        <v>0</v>
      </c>
      <c r="R411" s="67" t="s">
        <v>36</v>
      </c>
      <c r="S411" s="67" t="s">
        <v>36</v>
      </c>
      <c r="T411" s="68">
        <v>46250.75</v>
      </c>
      <c r="U411" s="69">
        <v>0</v>
      </c>
    </row>
    <row r="412" spans="1:21">
      <c r="A412" s="64">
        <v>46250.791666666664</v>
      </c>
      <c r="B412" s="65" t="s">
        <v>29</v>
      </c>
      <c r="C412" s="66">
        <v>0</v>
      </c>
      <c r="D412" s="66">
        <v>0</v>
      </c>
      <c r="E412" s="66">
        <v>238</v>
      </c>
      <c r="F412" s="66">
        <v>78.053250000000006</v>
      </c>
      <c r="G412" s="49">
        <f t="shared" si="12"/>
        <v>0</v>
      </c>
      <c r="H412" s="44">
        <f t="shared" si="13"/>
        <v>0</v>
      </c>
      <c r="R412" s="67" t="s">
        <v>36</v>
      </c>
      <c r="S412" s="67" t="s">
        <v>36</v>
      </c>
      <c r="T412" s="68">
        <v>46250.791666666664</v>
      </c>
      <c r="U412" s="69">
        <v>0</v>
      </c>
    </row>
    <row r="413" spans="1:21">
      <c r="A413" s="64">
        <v>46250.833333333336</v>
      </c>
      <c r="B413" s="65" t="s">
        <v>29</v>
      </c>
      <c r="C413" s="66">
        <v>0</v>
      </c>
      <c r="D413" s="66">
        <v>0</v>
      </c>
      <c r="E413" s="66">
        <v>238</v>
      </c>
      <c r="F413" s="66">
        <v>78.053250000000006</v>
      </c>
      <c r="G413" s="49">
        <f t="shared" si="12"/>
        <v>0</v>
      </c>
      <c r="H413" s="44">
        <f t="shared" si="13"/>
        <v>0</v>
      </c>
      <c r="R413" s="67" t="s">
        <v>36</v>
      </c>
      <c r="S413" s="67" t="s">
        <v>36</v>
      </c>
      <c r="T413" s="68">
        <v>46250.833333333336</v>
      </c>
      <c r="U413" s="69">
        <v>0</v>
      </c>
    </row>
    <row r="414" spans="1:21">
      <c r="A414" s="64">
        <v>46250.875</v>
      </c>
      <c r="B414" s="65" t="s">
        <v>29</v>
      </c>
      <c r="C414" s="66">
        <v>0</v>
      </c>
      <c r="D414" s="66">
        <v>0</v>
      </c>
      <c r="E414" s="66">
        <v>238</v>
      </c>
      <c r="F414" s="66">
        <v>78.053250000000006</v>
      </c>
      <c r="G414" s="49">
        <f t="shared" si="12"/>
        <v>0</v>
      </c>
      <c r="H414" s="44">
        <f t="shared" si="13"/>
        <v>0</v>
      </c>
      <c r="R414" s="67" t="s">
        <v>36</v>
      </c>
      <c r="S414" s="67" t="s">
        <v>36</v>
      </c>
      <c r="T414" s="68">
        <v>46250.875</v>
      </c>
      <c r="U414" s="69">
        <v>0</v>
      </c>
    </row>
    <row r="415" spans="1:21">
      <c r="A415" s="64">
        <v>46250.916666666664</v>
      </c>
      <c r="B415" s="65" t="s">
        <v>29</v>
      </c>
      <c r="C415" s="66">
        <v>0</v>
      </c>
      <c r="D415" s="66">
        <v>0</v>
      </c>
      <c r="E415" s="66">
        <v>238</v>
      </c>
      <c r="F415" s="66">
        <v>78.053250000000006</v>
      </c>
      <c r="G415" s="49">
        <f t="shared" si="12"/>
        <v>0</v>
      </c>
      <c r="H415" s="44">
        <f t="shared" si="13"/>
        <v>0</v>
      </c>
      <c r="R415" s="67" t="s">
        <v>36</v>
      </c>
      <c r="S415" s="67" t="s">
        <v>36</v>
      </c>
      <c r="T415" s="68">
        <v>46250.916666666664</v>
      </c>
      <c r="U415" s="69">
        <v>0</v>
      </c>
    </row>
    <row r="416" spans="1:21">
      <c r="A416" s="64">
        <v>46250.958333333336</v>
      </c>
      <c r="B416" s="65" t="s">
        <v>29</v>
      </c>
      <c r="C416" s="66">
        <v>0</v>
      </c>
      <c r="D416" s="66">
        <v>0</v>
      </c>
      <c r="E416" s="66">
        <v>238</v>
      </c>
      <c r="F416" s="66">
        <v>78.053250000000006</v>
      </c>
      <c r="G416" s="49">
        <f t="shared" si="12"/>
        <v>0</v>
      </c>
      <c r="H416" s="44">
        <f t="shared" si="13"/>
        <v>0</v>
      </c>
      <c r="R416" s="67" t="s">
        <v>36</v>
      </c>
      <c r="S416" s="67" t="s">
        <v>36</v>
      </c>
      <c r="T416" s="68">
        <v>46250.958333333336</v>
      </c>
      <c r="U416" s="69">
        <v>0</v>
      </c>
    </row>
    <row r="417" spans="1:21">
      <c r="A417" s="64">
        <v>46251</v>
      </c>
      <c r="B417" s="65" t="s">
        <v>29</v>
      </c>
      <c r="C417" s="66">
        <v>0</v>
      </c>
      <c r="D417" s="66">
        <v>0</v>
      </c>
      <c r="E417" s="66">
        <v>238</v>
      </c>
      <c r="F417" s="66">
        <v>78.053250000000006</v>
      </c>
      <c r="G417" s="49">
        <f t="shared" si="12"/>
        <v>0</v>
      </c>
      <c r="H417" s="44">
        <f t="shared" si="13"/>
        <v>0</v>
      </c>
      <c r="R417" s="67" t="s">
        <v>36</v>
      </c>
      <c r="S417" s="67" t="s">
        <v>36</v>
      </c>
      <c r="T417" s="68">
        <v>46251</v>
      </c>
      <c r="U417" s="69">
        <v>0</v>
      </c>
    </row>
    <row r="418" spans="1:21">
      <c r="A418" s="64">
        <v>46251.041666666664</v>
      </c>
      <c r="B418" s="65" t="s">
        <v>29</v>
      </c>
      <c r="C418" s="66">
        <v>0</v>
      </c>
      <c r="D418" s="66">
        <v>0</v>
      </c>
      <c r="E418" s="66">
        <v>238</v>
      </c>
      <c r="F418" s="66">
        <v>78.053250000000006</v>
      </c>
      <c r="G418" s="49">
        <f t="shared" si="12"/>
        <v>0</v>
      </c>
      <c r="H418" s="44">
        <f t="shared" si="13"/>
        <v>0</v>
      </c>
      <c r="R418" s="67" t="s">
        <v>36</v>
      </c>
      <c r="S418" s="67" t="s">
        <v>36</v>
      </c>
      <c r="T418" s="68">
        <v>46251.041666666664</v>
      </c>
      <c r="U418" s="69">
        <v>0</v>
      </c>
    </row>
    <row r="419" spans="1:21">
      <c r="A419" s="64">
        <v>46251.083333333336</v>
      </c>
      <c r="B419" s="65" t="s">
        <v>29</v>
      </c>
      <c r="C419" s="66">
        <v>0</v>
      </c>
      <c r="D419" s="66">
        <v>0</v>
      </c>
      <c r="E419" s="66">
        <v>238</v>
      </c>
      <c r="F419" s="66">
        <v>78.053250000000006</v>
      </c>
      <c r="G419" s="49">
        <f t="shared" si="12"/>
        <v>0</v>
      </c>
      <c r="H419" s="44">
        <f t="shared" si="13"/>
        <v>0</v>
      </c>
      <c r="R419" s="67" t="s">
        <v>36</v>
      </c>
      <c r="S419" s="67" t="s">
        <v>36</v>
      </c>
      <c r="T419" s="68">
        <v>46251.083333333336</v>
      </c>
      <c r="U419" s="69">
        <v>0</v>
      </c>
    </row>
    <row r="420" spans="1:21">
      <c r="A420" s="64">
        <v>46251.125</v>
      </c>
      <c r="B420" s="65" t="s">
        <v>29</v>
      </c>
      <c r="C420" s="66">
        <v>0</v>
      </c>
      <c r="D420" s="66">
        <v>0</v>
      </c>
      <c r="E420" s="66">
        <v>238</v>
      </c>
      <c r="F420" s="66">
        <v>78.053250000000006</v>
      </c>
      <c r="G420" s="49">
        <f t="shared" si="12"/>
        <v>0</v>
      </c>
      <c r="H420" s="44">
        <f t="shared" si="13"/>
        <v>0</v>
      </c>
      <c r="R420" s="67" t="s">
        <v>36</v>
      </c>
      <c r="S420" s="67" t="s">
        <v>36</v>
      </c>
      <c r="T420" s="68">
        <v>46251.125</v>
      </c>
      <c r="U420" s="69">
        <v>0</v>
      </c>
    </row>
    <row r="421" spans="1:21">
      <c r="A421" s="64">
        <v>46251.166666666664</v>
      </c>
      <c r="B421" s="65" t="s">
        <v>29</v>
      </c>
      <c r="C421" s="66">
        <v>0</v>
      </c>
      <c r="D421" s="66">
        <v>0</v>
      </c>
      <c r="E421" s="66">
        <v>238</v>
      </c>
      <c r="F421" s="66">
        <v>78.053250000000006</v>
      </c>
      <c r="G421" s="49">
        <f t="shared" si="12"/>
        <v>0</v>
      </c>
      <c r="H421" s="44">
        <f t="shared" si="13"/>
        <v>0</v>
      </c>
      <c r="R421" s="67" t="s">
        <v>36</v>
      </c>
      <c r="S421" s="67" t="s">
        <v>36</v>
      </c>
      <c r="T421" s="68">
        <v>46251.166666666664</v>
      </c>
      <c r="U421" s="69">
        <v>0</v>
      </c>
    </row>
    <row r="422" spans="1:21">
      <c r="A422" s="64">
        <v>46251.208333333336</v>
      </c>
      <c r="B422" s="65" t="s">
        <v>29</v>
      </c>
      <c r="C422" s="66">
        <v>0</v>
      </c>
      <c r="D422" s="66">
        <v>0</v>
      </c>
      <c r="E422" s="66">
        <v>238</v>
      </c>
      <c r="F422" s="66">
        <v>78.053250000000006</v>
      </c>
      <c r="G422" s="49">
        <f t="shared" si="12"/>
        <v>0</v>
      </c>
      <c r="H422" s="44">
        <f t="shared" si="13"/>
        <v>0</v>
      </c>
      <c r="R422" s="67" t="s">
        <v>36</v>
      </c>
      <c r="S422" s="67" t="s">
        <v>36</v>
      </c>
      <c r="T422" s="68">
        <v>46251.208333333336</v>
      </c>
      <c r="U422" s="69">
        <v>0</v>
      </c>
    </row>
    <row r="423" spans="1:21">
      <c r="A423" s="64">
        <v>46251.25</v>
      </c>
      <c r="B423" s="65" t="s">
        <v>29</v>
      </c>
      <c r="C423" s="66">
        <v>0</v>
      </c>
      <c r="D423" s="66">
        <v>0</v>
      </c>
      <c r="E423" s="66">
        <v>238</v>
      </c>
      <c r="F423" s="66">
        <v>78.053250000000006</v>
      </c>
      <c r="G423" s="49">
        <f t="shared" si="12"/>
        <v>0</v>
      </c>
      <c r="H423" s="44">
        <f t="shared" si="13"/>
        <v>0</v>
      </c>
      <c r="R423" s="67" t="s">
        <v>36</v>
      </c>
      <c r="S423" s="67" t="s">
        <v>36</v>
      </c>
      <c r="T423" s="68">
        <v>46251.25</v>
      </c>
      <c r="U423" s="69">
        <v>0</v>
      </c>
    </row>
    <row r="424" spans="1:21">
      <c r="A424" s="64">
        <v>46251.291666666664</v>
      </c>
      <c r="B424" s="65" t="s">
        <v>29</v>
      </c>
      <c r="C424" s="66">
        <v>0</v>
      </c>
      <c r="D424" s="66">
        <v>0</v>
      </c>
      <c r="E424" s="66">
        <v>238</v>
      </c>
      <c r="F424" s="66">
        <v>78.053250000000006</v>
      </c>
      <c r="G424" s="49">
        <f t="shared" si="12"/>
        <v>0</v>
      </c>
      <c r="H424" s="44">
        <f t="shared" si="13"/>
        <v>0</v>
      </c>
      <c r="R424" s="67" t="s">
        <v>36</v>
      </c>
      <c r="S424" s="67" t="s">
        <v>36</v>
      </c>
      <c r="T424" s="68">
        <v>46251.291666666664</v>
      </c>
      <c r="U424" s="69">
        <v>0</v>
      </c>
    </row>
    <row r="425" spans="1:21">
      <c r="A425" s="64">
        <v>46251.333333333336</v>
      </c>
      <c r="B425" s="65" t="s">
        <v>29</v>
      </c>
      <c r="C425" s="66">
        <v>0</v>
      </c>
      <c r="D425" s="66">
        <v>0</v>
      </c>
      <c r="E425" s="66">
        <v>238</v>
      </c>
      <c r="F425" s="66">
        <v>78.053250000000006</v>
      </c>
      <c r="G425" s="49">
        <f t="shared" si="12"/>
        <v>0</v>
      </c>
      <c r="H425" s="44">
        <f t="shared" si="13"/>
        <v>0</v>
      </c>
      <c r="R425" s="67" t="s">
        <v>36</v>
      </c>
      <c r="S425" s="67" t="s">
        <v>36</v>
      </c>
      <c r="T425" s="68">
        <v>46251.333333333336</v>
      </c>
      <c r="U425" s="69">
        <v>0</v>
      </c>
    </row>
    <row r="426" spans="1:21">
      <c r="A426" s="64">
        <v>46251.375</v>
      </c>
      <c r="B426" s="65" t="s">
        <v>29</v>
      </c>
      <c r="C426" s="66">
        <v>0</v>
      </c>
      <c r="D426" s="66">
        <v>0</v>
      </c>
      <c r="E426" s="66">
        <v>238</v>
      </c>
      <c r="F426" s="66">
        <v>78.053250000000006</v>
      </c>
      <c r="G426" s="49">
        <f t="shared" si="12"/>
        <v>0</v>
      </c>
      <c r="H426" s="44">
        <f t="shared" si="13"/>
        <v>0</v>
      </c>
      <c r="R426" s="67" t="s">
        <v>36</v>
      </c>
      <c r="S426" s="67" t="s">
        <v>36</v>
      </c>
      <c r="T426" s="68">
        <v>46251.375</v>
      </c>
      <c r="U426" s="69">
        <v>0</v>
      </c>
    </row>
    <row r="427" spans="1:21">
      <c r="A427" s="64">
        <v>46251.416666666664</v>
      </c>
      <c r="B427" s="65" t="s">
        <v>29</v>
      </c>
      <c r="C427" s="66">
        <v>0</v>
      </c>
      <c r="D427" s="66">
        <v>0</v>
      </c>
      <c r="E427" s="66">
        <v>238</v>
      </c>
      <c r="F427" s="66">
        <v>78.053250000000006</v>
      </c>
      <c r="G427" s="49">
        <f t="shared" si="12"/>
        <v>0</v>
      </c>
      <c r="H427" s="44">
        <f t="shared" si="13"/>
        <v>0</v>
      </c>
      <c r="R427" s="67" t="s">
        <v>36</v>
      </c>
      <c r="S427" s="67" t="s">
        <v>36</v>
      </c>
      <c r="T427" s="68">
        <v>46251.416666666664</v>
      </c>
      <c r="U427" s="69">
        <v>0</v>
      </c>
    </row>
    <row r="428" spans="1:21">
      <c r="A428" s="64">
        <v>46251.458333333336</v>
      </c>
      <c r="B428" s="65" t="s">
        <v>29</v>
      </c>
      <c r="C428" s="66">
        <v>0</v>
      </c>
      <c r="D428" s="66">
        <v>0</v>
      </c>
      <c r="E428" s="66">
        <v>238</v>
      </c>
      <c r="F428" s="66">
        <v>78.053250000000006</v>
      </c>
      <c r="G428" s="49">
        <f t="shared" si="12"/>
        <v>0</v>
      </c>
      <c r="H428" s="44">
        <f t="shared" si="13"/>
        <v>0</v>
      </c>
      <c r="R428" s="67" t="s">
        <v>36</v>
      </c>
      <c r="S428" s="67" t="s">
        <v>36</v>
      </c>
      <c r="T428" s="68">
        <v>46251.458333333336</v>
      </c>
      <c r="U428" s="69">
        <v>0</v>
      </c>
    </row>
    <row r="429" spans="1:21">
      <c r="A429" s="64">
        <v>46251.5</v>
      </c>
      <c r="B429" s="65" t="s">
        <v>29</v>
      </c>
      <c r="C429" s="66">
        <v>0</v>
      </c>
      <c r="D429" s="66">
        <v>0</v>
      </c>
      <c r="E429" s="66">
        <v>238</v>
      </c>
      <c r="F429" s="66">
        <v>78.053250000000006</v>
      </c>
      <c r="G429" s="49">
        <f t="shared" si="12"/>
        <v>0</v>
      </c>
      <c r="H429" s="44">
        <f t="shared" si="13"/>
        <v>0</v>
      </c>
      <c r="R429" s="67" t="s">
        <v>36</v>
      </c>
      <c r="S429" s="67" t="s">
        <v>36</v>
      </c>
      <c r="T429" s="68">
        <v>46251.5</v>
      </c>
      <c r="U429" s="69">
        <v>0</v>
      </c>
    </row>
    <row r="430" spans="1:21">
      <c r="A430" s="64">
        <v>46251.541666666664</v>
      </c>
      <c r="B430" s="65" t="s">
        <v>29</v>
      </c>
      <c r="C430" s="66">
        <v>0</v>
      </c>
      <c r="D430" s="66">
        <v>0</v>
      </c>
      <c r="E430" s="66">
        <v>238</v>
      </c>
      <c r="F430" s="66">
        <v>78.053250000000006</v>
      </c>
      <c r="G430" s="49">
        <f t="shared" si="12"/>
        <v>0</v>
      </c>
      <c r="H430" s="44">
        <f t="shared" si="13"/>
        <v>0</v>
      </c>
      <c r="R430" s="67" t="s">
        <v>36</v>
      </c>
      <c r="S430" s="67" t="s">
        <v>36</v>
      </c>
      <c r="T430" s="68">
        <v>46251.541666666664</v>
      </c>
      <c r="U430" s="69">
        <v>0</v>
      </c>
    </row>
    <row r="431" spans="1:21">
      <c r="A431" s="64">
        <v>46251.583333333336</v>
      </c>
      <c r="B431" s="65" t="s">
        <v>29</v>
      </c>
      <c r="C431" s="66">
        <v>0</v>
      </c>
      <c r="D431" s="66">
        <v>0</v>
      </c>
      <c r="E431" s="66">
        <v>238</v>
      </c>
      <c r="F431" s="66">
        <v>78.053250000000006</v>
      </c>
      <c r="G431" s="49">
        <f t="shared" si="12"/>
        <v>0</v>
      </c>
      <c r="H431" s="44">
        <f t="shared" si="13"/>
        <v>0</v>
      </c>
      <c r="R431" s="67" t="s">
        <v>36</v>
      </c>
      <c r="S431" s="67" t="s">
        <v>36</v>
      </c>
      <c r="T431" s="68">
        <v>46251.583333333336</v>
      </c>
      <c r="U431" s="69">
        <v>0</v>
      </c>
    </row>
    <row r="432" spans="1:21">
      <c r="A432" s="64">
        <v>46251.625</v>
      </c>
      <c r="B432" s="65" t="s">
        <v>29</v>
      </c>
      <c r="C432" s="66">
        <v>0</v>
      </c>
      <c r="D432" s="66">
        <v>0</v>
      </c>
      <c r="E432" s="66">
        <v>238</v>
      </c>
      <c r="F432" s="66">
        <v>78.053250000000006</v>
      </c>
      <c r="G432" s="49">
        <f t="shared" si="12"/>
        <v>0</v>
      </c>
      <c r="H432" s="44">
        <f t="shared" si="13"/>
        <v>0</v>
      </c>
      <c r="R432" s="67" t="s">
        <v>36</v>
      </c>
      <c r="S432" s="67" t="s">
        <v>36</v>
      </c>
      <c r="T432" s="68">
        <v>46251.625</v>
      </c>
      <c r="U432" s="69">
        <v>0</v>
      </c>
    </row>
    <row r="433" spans="1:21">
      <c r="A433" s="64">
        <v>46251.666666666664</v>
      </c>
      <c r="B433" s="65" t="s">
        <v>29</v>
      </c>
      <c r="C433" s="66">
        <v>0</v>
      </c>
      <c r="D433" s="66">
        <v>0</v>
      </c>
      <c r="E433" s="66">
        <v>238</v>
      </c>
      <c r="F433" s="66">
        <v>78.053250000000006</v>
      </c>
      <c r="G433" s="49">
        <f t="shared" si="12"/>
        <v>0</v>
      </c>
      <c r="H433" s="44">
        <f t="shared" si="13"/>
        <v>0</v>
      </c>
      <c r="R433" s="67" t="s">
        <v>36</v>
      </c>
      <c r="S433" s="67" t="s">
        <v>36</v>
      </c>
      <c r="T433" s="68">
        <v>46251.666666666664</v>
      </c>
      <c r="U433" s="69">
        <v>0</v>
      </c>
    </row>
    <row r="434" spans="1:21">
      <c r="A434" s="64">
        <v>46251.708333333336</v>
      </c>
      <c r="B434" s="65" t="s">
        <v>29</v>
      </c>
      <c r="C434" s="66">
        <v>0</v>
      </c>
      <c r="D434" s="66">
        <v>0</v>
      </c>
      <c r="E434" s="66">
        <v>238</v>
      </c>
      <c r="F434" s="66">
        <v>78.053250000000006</v>
      </c>
      <c r="G434" s="49">
        <f t="shared" si="12"/>
        <v>0</v>
      </c>
      <c r="H434" s="44">
        <f t="shared" si="13"/>
        <v>0</v>
      </c>
      <c r="R434" s="67" t="s">
        <v>36</v>
      </c>
      <c r="S434" s="67" t="s">
        <v>36</v>
      </c>
      <c r="T434" s="68">
        <v>46251.708333333336</v>
      </c>
      <c r="U434" s="69">
        <v>0</v>
      </c>
    </row>
    <row r="435" spans="1:21">
      <c r="A435" s="64">
        <v>46251.75</v>
      </c>
      <c r="B435" s="65" t="s">
        <v>29</v>
      </c>
      <c r="C435" s="66">
        <v>0</v>
      </c>
      <c r="D435" s="66">
        <v>0</v>
      </c>
      <c r="E435" s="66">
        <v>238</v>
      </c>
      <c r="F435" s="66">
        <v>78.053250000000006</v>
      </c>
      <c r="G435" s="49">
        <f t="shared" si="12"/>
        <v>0</v>
      </c>
      <c r="H435" s="44">
        <f t="shared" si="13"/>
        <v>0</v>
      </c>
      <c r="R435" s="67" t="s">
        <v>36</v>
      </c>
      <c r="S435" s="67" t="s">
        <v>36</v>
      </c>
      <c r="T435" s="68">
        <v>46251.75</v>
      </c>
      <c r="U435" s="69">
        <v>0</v>
      </c>
    </row>
    <row r="436" spans="1:21">
      <c r="A436" s="64">
        <v>46251.791666666664</v>
      </c>
      <c r="B436" s="65" t="s">
        <v>29</v>
      </c>
      <c r="C436" s="66">
        <v>0</v>
      </c>
      <c r="D436" s="66">
        <v>0</v>
      </c>
      <c r="E436" s="66">
        <v>238</v>
      </c>
      <c r="F436" s="66">
        <v>78.053250000000006</v>
      </c>
      <c r="G436" s="49">
        <f t="shared" si="12"/>
        <v>0</v>
      </c>
      <c r="H436" s="44">
        <f t="shared" si="13"/>
        <v>0</v>
      </c>
      <c r="R436" s="67" t="s">
        <v>36</v>
      </c>
      <c r="S436" s="67" t="s">
        <v>36</v>
      </c>
      <c r="T436" s="68">
        <v>46251.791666666664</v>
      </c>
      <c r="U436" s="69">
        <v>0</v>
      </c>
    </row>
    <row r="437" spans="1:21">
      <c r="A437" s="64">
        <v>46251.833333333336</v>
      </c>
      <c r="B437" s="65" t="s">
        <v>29</v>
      </c>
      <c r="C437" s="66">
        <v>0</v>
      </c>
      <c r="D437" s="66">
        <v>0</v>
      </c>
      <c r="E437" s="66">
        <v>238</v>
      </c>
      <c r="F437" s="66">
        <v>78.053250000000006</v>
      </c>
      <c r="G437" s="49">
        <f t="shared" si="12"/>
        <v>0</v>
      </c>
      <c r="H437" s="44">
        <f t="shared" si="13"/>
        <v>0</v>
      </c>
      <c r="R437" s="67" t="s">
        <v>36</v>
      </c>
      <c r="S437" s="67" t="s">
        <v>36</v>
      </c>
      <c r="T437" s="68">
        <v>46251.833333333336</v>
      </c>
      <c r="U437" s="69">
        <v>0</v>
      </c>
    </row>
    <row r="438" spans="1:21">
      <c r="A438" s="64">
        <v>46251.875</v>
      </c>
      <c r="B438" s="65" t="s">
        <v>29</v>
      </c>
      <c r="C438" s="66">
        <v>0</v>
      </c>
      <c r="D438" s="66">
        <v>0</v>
      </c>
      <c r="E438" s="66">
        <v>238</v>
      </c>
      <c r="F438" s="66">
        <v>78.053250000000006</v>
      </c>
      <c r="G438" s="49">
        <f t="shared" si="12"/>
        <v>0</v>
      </c>
      <c r="H438" s="44">
        <f t="shared" si="13"/>
        <v>0</v>
      </c>
      <c r="R438" s="67" t="s">
        <v>36</v>
      </c>
      <c r="S438" s="67" t="s">
        <v>36</v>
      </c>
      <c r="T438" s="68">
        <v>46251.875</v>
      </c>
      <c r="U438" s="69">
        <v>0</v>
      </c>
    </row>
    <row r="439" spans="1:21">
      <c r="A439" s="64">
        <v>46251.916666666664</v>
      </c>
      <c r="B439" s="65" t="s">
        <v>29</v>
      </c>
      <c r="C439" s="66">
        <v>0</v>
      </c>
      <c r="D439" s="66">
        <v>0</v>
      </c>
      <c r="E439" s="66">
        <v>238</v>
      </c>
      <c r="F439" s="66">
        <v>78.053250000000006</v>
      </c>
      <c r="G439" s="49">
        <f t="shared" si="12"/>
        <v>0</v>
      </c>
      <c r="H439" s="44">
        <f t="shared" si="13"/>
        <v>0</v>
      </c>
      <c r="R439" s="67" t="s">
        <v>36</v>
      </c>
      <c r="S439" s="67" t="s">
        <v>36</v>
      </c>
      <c r="T439" s="68">
        <v>46251.916666666664</v>
      </c>
      <c r="U439" s="69">
        <v>0</v>
      </c>
    </row>
    <row r="440" spans="1:21">
      <c r="A440" s="64">
        <v>46251.958333333336</v>
      </c>
      <c r="B440" s="65" t="s">
        <v>29</v>
      </c>
      <c r="C440" s="66">
        <v>0</v>
      </c>
      <c r="D440" s="66">
        <v>0</v>
      </c>
      <c r="E440" s="66">
        <v>238</v>
      </c>
      <c r="F440" s="66">
        <v>78.053250000000006</v>
      </c>
      <c r="G440" s="49">
        <f t="shared" si="12"/>
        <v>0</v>
      </c>
      <c r="H440" s="44">
        <f t="shared" si="13"/>
        <v>0</v>
      </c>
      <c r="R440" s="67" t="s">
        <v>36</v>
      </c>
      <c r="S440" s="67" t="s">
        <v>36</v>
      </c>
      <c r="T440" s="68">
        <v>46251.958333333336</v>
      </c>
      <c r="U440" s="69">
        <v>0</v>
      </c>
    </row>
    <row r="441" spans="1:21">
      <c r="A441" s="64">
        <v>46252</v>
      </c>
      <c r="B441" s="65" t="s">
        <v>29</v>
      </c>
      <c r="C441" s="66">
        <v>0</v>
      </c>
      <c r="D441" s="66">
        <v>0</v>
      </c>
      <c r="E441" s="66">
        <v>238</v>
      </c>
      <c r="F441" s="66">
        <v>78.053250000000006</v>
      </c>
      <c r="G441" s="49">
        <f t="shared" si="12"/>
        <v>0</v>
      </c>
      <c r="H441" s="44">
        <f t="shared" si="13"/>
        <v>0</v>
      </c>
      <c r="R441" s="67" t="s">
        <v>36</v>
      </c>
      <c r="S441" s="67" t="s">
        <v>36</v>
      </c>
      <c r="T441" s="68">
        <v>46252</v>
      </c>
      <c r="U441" s="69">
        <v>0</v>
      </c>
    </row>
    <row r="442" spans="1:21">
      <c r="A442" s="64">
        <v>46252.041666666664</v>
      </c>
      <c r="B442" s="65" t="s">
        <v>29</v>
      </c>
      <c r="C442" s="66">
        <v>0</v>
      </c>
      <c r="D442" s="66">
        <v>0</v>
      </c>
      <c r="E442" s="66">
        <v>238</v>
      </c>
      <c r="F442" s="66">
        <v>78.053250000000006</v>
      </c>
      <c r="G442" s="49">
        <f t="shared" si="12"/>
        <v>0</v>
      </c>
      <c r="H442" s="44">
        <f t="shared" si="13"/>
        <v>0</v>
      </c>
      <c r="R442" s="67" t="s">
        <v>36</v>
      </c>
      <c r="S442" s="67" t="s">
        <v>36</v>
      </c>
      <c r="T442" s="68">
        <v>46252.041666666664</v>
      </c>
      <c r="U442" s="69">
        <v>0</v>
      </c>
    </row>
    <row r="443" spans="1:21">
      <c r="A443" s="64">
        <v>46252.083333333336</v>
      </c>
      <c r="B443" s="65" t="s">
        <v>29</v>
      </c>
      <c r="C443" s="66">
        <v>0</v>
      </c>
      <c r="D443" s="66">
        <v>0</v>
      </c>
      <c r="E443" s="66">
        <v>238</v>
      </c>
      <c r="F443" s="66">
        <v>78.053250000000006</v>
      </c>
      <c r="G443" s="49">
        <f t="shared" si="12"/>
        <v>0</v>
      </c>
      <c r="H443" s="44">
        <f t="shared" si="13"/>
        <v>0</v>
      </c>
      <c r="R443" s="67" t="s">
        <v>36</v>
      </c>
      <c r="S443" s="67" t="s">
        <v>36</v>
      </c>
      <c r="T443" s="68">
        <v>46252.083333333336</v>
      </c>
      <c r="U443" s="69">
        <v>0</v>
      </c>
    </row>
    <row r="444" spans="1:21">
      <c r="A444" s="64">
        <v>46252.125</v>
      </c>
      <c r="B444" s="65" t="s">
        <v>29</v>
      </c>
      <c r="C444" s="66">
        <v>0</v>
      </c>
      <c r="D444" s="66">
        <v>0</v>
      </c>
      <c r="E444" s="66">
        <v>238</v>
      </c>
      <c r="F444" s="66">
        <v>78.053250000000006</v>
      </c>
      <c r="G444" s="49">
        <f t="shared" si="12"/>
        <v>0</v>
      </c>
      <c r="H444" s="44">
        <f t="shared" si="13"/>
        <v>0</v>
      </c>
      <c r="R444" s="67" t="s">
        <v>36</v>
      </c>
      <c r="S444" s="67" t="s">
        <v>36</v>
      </c>
      <c r="T444" s="68">
        <v>46252.125</v>
      </c>
      <c r="U444" s="69">
        <v>0</v>
      </c>
    </row>
    <row r="445" spans="1:21">
      <c r="A445" s="64">
        <v>46252.166666666664</v>
      </c>
      <c r="B445" s="65" t="s">
        <v>29</v>
      </c>
      <c r="C445" s="66">
        <v>0</v>
      </c>
      <c r="D445" s="66">
        <v>0</v>
      </c>
      <c r="E445" s="66">
        <v>238</v>
      </c>
      <c r="F445" s="66">
        <v>78.053250000000006</v>
      </c>
      <c r="G445" s="49">
        <f t="shared" si="12"/>
        <v>0</v>
      </c>
      <c r="H445" s="44">
        <f t="shared" si="13"/>
        <v>0</v>
      </c>
      <c r="R445" s="67" t="s">
        <v>36</v>
      </c>
      <c r="S445" s="67" t="s">
        <v>36</v>
      </c>
      <c r="T445" s="68">
        <v>46252.166666666664</v>
      </c>
      <c r="U445" s="69">
        <v>0</v>
      </c>
    </row>
    <row r="446" spans="1:21">
      <c r="A446" s="64">
        <v>46252.208333333336</v>
      </c>
      <c r="B446" s="65" t="s">
        <v>29</v>
      </c>
      <c r="C446" s="66">
        <v>0</v>
      </c>
      <c r="D446" s="66">
        <v>0</v>
      </c>
      <c r="E446" s="66">
        <v>238</v>
      </c>
      <c r="F446" s="66">
        <v>78.053250000000006</v>
      </c>
      <c r="G446" s="49">
        <f t="shared" si="12"/>
        <v>0</v>
      </c>
      <c r="H446" s="44">
        <f t="shared" si="13"/>
        <v>0</v>
      </c>
      <c r="R446" s="67" t="s">
        <v>36</v>
      </c>
      <c r="S446" s="67" t="s">
        <v>36</v>
      </c>
      <c r="T446" s="68">
        <v>46252.208333333336</v>
      </c>
      <c r="U446" s="69">
        <v>0</v>
      </c>
    </row>
    <row r="447" spans="1:21">
      <c r="A447" s="64">
        <v>46252.25</v>
      </c>
      <c r="B447" s="65" t="s">
        <v>29</v>
      </c>
      <c r="C447" s="66">
        <v>0</v>
      </c>
      <c r="D447" s="66">
        <v>0</v>
      </c>
      <c r="E447" s="66">
        <v>238</v>
      </c>
      <c r="F447" s="66">
        <v>78.053250000000006</v>
      </c>
      <c r="G447" s="49">
        <f t="shared" si="12"/>
        <v>0</v>
      </c>
      <c r="H447" s="44">
        <f t="shared" si="13"/>
        <v>0</v>
      </c>
      <c r="R447" s="67" t="s">
        <v>36</v>
      </c>
      <c r="S447" s="67" t="s">
        <v>36</v>
      </c>
      <c r="T447" s="68">
        <v>46252.25</v>
      </c>
      <c r="U447" s="69">
        <v>0</v>
      </c>
    </row>
    <row r="448" spans="1:21">
      <c r="A448" s="64">
        <v>46252.291666666664</v>
      </c>
      <c r="B448" s="65" t="s">
        <v>29</v>
      </c>
      <c r="C448" s="66">
        <v>0</v>
      </c>
      <c r="D448" s="66">
        <v>0</v>
      </c>
      <c r="E448" s="66">
        <v>238</v>
      </c>
      <c r="F448" s="66">
        <v>78.053250000000006</v>
      </c>
      <c r="G448" s="49">
        <f t="shared" si="12"/>
        <v>0</v>
      </c>
      <c r="H448" s="44">
        <f t="shared" si="13"/>
        <v>0</v>
      </c>
      <c r="R448" s="67" t="s">
        <v>36</v>
      </c>
      <c r="S448" s="67" t="s">
        <v>36</v>
      </c>
      <c r="T448" s="68">
        <v>46252.291666666664</v>
      </c>
      <c r="U448" s="69">
        <v>0</v>
      </c>
    </row>
    <row r="449" spans="1:21">
      <c r="A449" s="64">
        <v>46252.333333333336</v>
      </c>
      <c r="B449" s="65" t="s">
        <v>29</v>
      </c>
      <c r="C449" s="66">
        <v>0</v>
      </c>
      <c r="D449" s="66">
        <v>0</v>
      </c>
      <c r="E449" s="66">
        <v>238</v>
      </c>
      <c r="F449" s="66">
        <v>78.053250000000006</v>
      </c>
      <c r="G449" s="49">
        <f t="shared" si="12"/>
        <v>0</v>
      </c>
      <c r="H449" s="44">
        <f t="shared" si="13"/>
        <v>0</v>
      </c>
      <c r="R449" s="67" t="s">
        <v>36</v>
      </c>
      <c r="S449" s="67" t="s">
        <v>36</v>
      </c>
      <c r="T449" s="68">
        <v>46252.333333333336</v>
      </c>
      <c r="U449" s="69">
        <v>0</v>
      </c>
    </row>
    <row r="450" spans="1:21">
      <c r="A450" s="64">
        <v>46252.375</v>
      </c>
      <c r="B450" s="65" t="s">
        <v>29</v>
      </c>
      <c r="C450" s="66">
        <v>0</v>
      </c>
      <c r="D450" s="66">
        <v>0</v>
      </c>
      <c r="E450" s="66">
        <v>238</v>
      </c>
      <c r="F450" s="66">
        <v>78.053250000000006</v>
      </c>
      <c r="G450" s="49">
        <f t="shared" si="12"/>
        <v>0</v>
      </c>
      <c r="H450" s="44">
        <f t="shared" si="13"/>
        <v>0</v>
      </c>
      <c r="R450" s="67" t="s">
        <v>36</v>
      </c>
      <c r="S450" s="67" t="s">
        <v>36</v>
      </c>
      <c r="T450" s="68">
        <v>46252.375</v>
      </c>
      <c r="U450" s="69">
        <v>0</v>
      </c>
    </row>
    <row r="451" spans="1:21">
      <c r="A451" s="64">
        <v>46252.416666666664</v>
      </c>
      <c r="B451" s="65" t="s">
        <v>29</v>
      </c>
      <c r="C451" s="66">
        <v>0</v>
      </c>
      <c r="D451" s="66">
        <v>0</v>
      </c>
      <c r="E451" s="66">
        <v>238</v>
      </c>
      <c r="F451" s="66">
        <v>78.053250000000006</v>
      </c>
      <c r="G451" s="49">
        <f t="shared" ref="G451:G514" si="14">U451</f>
        <v>0</v>
      </c>
      <c r="H451" s="44">
        <f t="shared" ref="H451:H514" si="15">D451+G457</f>
        <v>0</v>
      </c>
      <c r="R451" s="67" t="s">
        <v>36</v>
      </c>
      <c r="S451" s="67" t="s">
        <v>36</v>
      </c>
      <c r="T451" s="68">
        <v>46252.416666666664</v>
      </c>
      <c r="U451" s="69">
        <v>0</v>
      </c>
    </row>
    <row r="452" spans="1:21">
      <c r="A452" s="64">
        <v>46252.458333333336</v>
      </c>
      <c r="B452" s="65" t="s">
        <v>29</v>
      </c>
      <c r="C452" s="66">
        <v>0</v>
      </c>
      <c r="D452" s="66">
        <v>0</v>
      </c>
      <c r="E452" s="66">
        <v>238</v>
      </c>
      <c r="F452" s="66">
        <v>78.053250000000006</v>
      </c>
      <c r="G452" s="49">
        <f t="shared" si="14"/>
        <v>0</v>
      </c>
      <c r="H452" s="44">
        <f t="shared" si="15"/>
        <v>0</v>
      </c>
      <c r="R452" s="67" t="s">
        <v>36</v>
      </c>
      <c r="S452" s="67" t="s">
        <v>36</v>
      </c>
      <c r="T452" s="68">
        <v>46252.458333333336</v>
      </c>
      <c r="U452" s="69">
        <v>0</v>
      </c>
    </row>
    <row r="453" spans="1:21">
      <c r="A453" s="64">
        <v>46252.5</v>
      </c>
      <c r="B453" s="65" t="s">
        <v>29</v>
      </c>
      <c r="C453" s="66">
        <v>0</v>
      </c>
      <c r="D453" s="66">
        <v>0</v>
      </c>
      <c r="E453" s="66">
        <v>238</v>
      </c>
      <c r="F453" s="66">
        <v>78.053250000000006</v>
      </c>
      <c r="G453" s="49">
        <f t="shared" si="14"/>
        <v>0</v>
      </c>
      <c r="H453" s="44">
        <f t="shared" si="15"/>
        <v>0</v>
      </c>
      <c r="R453" s="67" t="s">
        <v>36</v>
      </c>
      <c r="S453" s="67" t="s">
        <v>36</v>
      </c>
      <c r="T453" s="68">
        <v>46252.5</v>
      </c>
      <c r="U453" s="69">
        <v>0</v>
      </c>
    </row>
    <row r="454" spans="1:21">
      <c r="A454" s="64">
        <v>46252.541666666664</v>
      </c>
      <c r="B454" s="65" t="s">
        <v>29</v>
      </c>
      <c r="C454" s="66">
        <v>0</v>
      </c>
      <c r="D454" s="66">
        <v>0</v>
      </c>
      <c r="E454" s="66">
        <v>238</v>
      </c>
      <c r="F454" s="66">
        <v>78.053250000000006</v>
      </c>
      <c r="G454" s="49">
        <f t="shared" si="14"/>
        <v>0</v>
      </c>
      <c r="H454" s="44">
        <f t="shared" si="15"/>
        <v>0</v>
      </c>
      <c r="R454" s="67" t="s">
        <v>36</v>
      </c>
      <c r="S454" s="67" t="s">
        <v>36</v>
      </c>
      <c r="T454" s="68">
        <v>46252.541666666664</v>
      </c>
      <c r="U454" s="69">
        <v>0</v>
      </c>
    </row>
    <row r="455" spans="1:21">
      <c r="A455" s="64">
        <v>46252.583333333336</v>
      </c>
      <c r="B455" s="65" t="s">
        <v>29</v>
      </c>
      <c r="C455" s="66">
        <v>0</v>
      </c>
      <c r="D455" s="66">
        <v>0</v>
      </c>
      <c r="E455" s="66">
        <v>238</v>
      </c>
      <c r="F455" s="66">
        <v>78.053250000000006</v>
      </c>
      <c r="G455" s="49">
        <f t="shared" si="14"/>
        <v>0</v>
      </c>
      <c r="H455" s="44">
        <f t="shared" si="15"/>
        <v>0</v>
      </c>
      <c r="R455" s="67" t="s">
        <v>36</v>
      </c>
      <c r="S455" s="67" t="s">
        <v>36</v>
      </c>
      <c r="T455" s="68">
        <v>46252.583333333336</v>
      </c>
      <c r="U455" s="69">
        <v>0</v>
      </c>
    </row>
    <row r="456" spans="1:21">
      <c r="A456" s="64">
        <v>46252.625</v>
      </c>
      <c r="B456" s="65" t="s">
        <v>29</v>
      </c>
      <c r="C456" s="66">
        <v>0</v>
      </c>
      <c r="D456" s="66">
        <v>0</v>
      </c>
      <c r="E456" s="66">
        <v>238</v>
      </c>
      <c r="F456" s="66">
        <v>78.053250000000006</v>
      </c>
      <c r="G456" s="49">
        <f t="shared" si="14"/>
        <v>0</v>
      </c>
      <c r="H456" s="44">
        <f t="shared" si="15"/>
        <v>0</v>
      </c>
      <c r="R456" s="67" t="s">
        <v>36</v>
      </c>
      <c r="S456" s="67" t="s">
        <v>36</v>
      </c>
      <c r="T456" s="68">
        <v>46252.625</v>
      </c>
      <c r="U456" s="69">
        <v>0</v>
      </c>
    </row>
    <row r="457" spans="1:21">
      <c r="A457" s="64">
        <v>46252.666666666664</v>
      </c>
      <c r="B457" s="65" t="s">
        <v>29</v>
      </c>
      <c r="C457" s="66">
        <v>0</v>
      </c>
      <c r="D457" s="66">
        <v>0</v>
      </c>
      <c r="E457" s="66">
        <v>238</v>
      </c>
      <c r="F457" s="66">
        <v>78.053250000000006</v>
      </c>
      <c r="G457" s="49">
        <f t="shared" si="14"/>
        <v>0</v>
      </c>
      <c r="H457" s="44">
        <f t="shared" si="15"/>
        <v>0</v>
      </c>
      <c r="R457" s="67" t="s">
        <v>36</v>
      </c>
      <c r="S457" s="67" t="s">
        <v>36</v>
      </c>
      <c r="T457" s="68">
        <v>46252.666666666664</v>
      </c>
      <c r="U457" s="69">
        <v>0</v>
      </c>
    </row>
    <row r="458" spans="1:21">
      <c r="A458" s="64">
        <v>46252.708333333336</v>
      </c>
      <c r="B458" s="65" t="s">
        <v>29</v>
      </c>
      <c r="C458" s="66">
        <v>0</v>
      </c>
      <c r="D458" s="66">
        <v>0</v>
      </c>
      <c r="E458" s="66">
        <v>238</v>
      </c>
      <c r="F458" s="66">
        <v>78.053250000000006</v>
      </c>
      <c r="G458" s="49">
        <f t="shared" si="14"/>
        <v>0</v>
      </c>
      <c r="H458" s="44">
        <f t="shared" si="15"/>
        <v>0</v>
      </c>
      <c r="R458" s="67" t="s">
        <v>36</v>
      </c>
      <c r="S458" s="67" t="s">
        <v>36</v>
      </c>
      <c r="T458" s="68">
        <v>46252.708333333336</v>
      </c>
      <c r="U458" s="69">
        <v>0</v>
      </c>
    </row>
    <row r="459" spans="1:21">
      <c r="A459" s="64">
        <v>46252.75</v>
      </c>
      <c r="B459" s="65" t="s">
        <v>29</v>
      </c>
      <c r="C459" s="66">
        <v>0</v>
      </c>
      <c r="D459" s="66">
        <v>0</v>
      </c>
      <c r="E459" s="66">
        <v>238</v>
      </c>
      <c r="F459" s="66">
        <v>78.053250000000006</v>
      </c>
      <c r="G459" s="49">
        <f t="shared" si="14"/>
        <v>0</v>
      </c>
      <c r="H459" s="44">
        <f t="shared" si="15"/>
        <v>0</v>
      </c>
      <c r="R459" s="67" t="s">
        <v>36</v>
      </c>
      <c r="S459" s="67" t="s">
        <v>36</v>
      </c>
      <c r="T459" s="68">
        <v>46252.75</v>
      </c>
      <c r="U459" s="69">
        <v>0</v>
      </c>
    </row>
    <row r="460" spans="1:21">
      <c r="A460" s="64">
        <v>46252.791666666664</v>
      </c>
      <c r="B460" s="65" t="s">
        <v>29</v>
      </c>
      <c r="C460" s="66">
        <v>0</v>
      </c>
      <c r="D460" s="66">
        <v>0</v>
      </c>
      <c r="E460" s="66">
        <v>238</v>
      </c>
      <c r="F460" s="66">
        <v>78.053250000000006</v>
      </c>
      <c r="G460" s="49">
        <f t="shared" si="14"/>
        <v>0</v>
      </c>
      <c r="H460" s="44">
        <f t="shared" si="15"/>
        <v>0</v>
      </c>
      <c r="R460" s="67" t="s">
        <v>36</v>
      </c>
      <c r="S460" s="67" t="s">
        <v>36</v>
      </c>
      <c r="T460" s="68">
        <v>46252.791666666664</v>
      </c>
      <c r="U460" s="69">
        <v>0</v>
      </c>
    </row>
    <row r="461" spans="1:21">
      <c r="A461" s="64">
        <v>46252.833333333336</v>
      </c>
      <c r="B461" s="65" t="s">
        <v>29</v>
      </c>
      <c r="C461" s="66">
        <v>0</v>
      </c>
      <c r="D461" s="66">
        <v>0</v>
      </c>
      <c r="E461" s="66">
        <v>238</v>
      </c>
      <c r="F461" s="66">
        <v>78.053250000000006</v>
      </c>
      <c r="G461" s="49">
        <f t="shared" si="14"/>
        <v>0</v>
      </c>
      <c r="H461" s="44">
        <f t="shared" si="15"/>
        <v>0</v>
      </c>
      <c r="R461" s="67" t="s">
        <v>36</v>
      </c>
      <c r="S461" s="67" t="s">
        <v>36</v>
      </c>
      <c r="T461" s="68">
        <v>46252.833333333336</v>
      </c>
      <c r="U461" s="69">
        <v>0</v>
      </c>
    </row>
    <row r="462" spans="1:21">
      <c r="A462" s="64">
        <v>46252.875</v>
      </c>
      <c r="B462" s="65" t="s">
        <v>29</v>
      </c>
      <c r="C462" s="66">
        <v>0</v>
      </c>
      <c r="D462" s="66">
        <v>0</v>
      </c>
      <c r="E462" s="66">
        <v>238</v>
      </c>
      <c r="F462" s="66">
        <v>78.053250000000006</v>
      </c>
      <c r="G462" s="49">
        <f t="shared" si="14"/>
        <v>0</v>
      </c>
      <c r="H462" s="44">
        <f t="shared" si="15"/>
        <v>0</v>
      </c>
      <c r="R462" s="67" t="s">
        <v>36</v>
      </c>
      <c r="S462" s="67" t="s">
        <v>36</v>
      </c>
      <c r="T462" s="68">
        <v>46252.875</v>
      </c>
      <c r="U462" s="69">
        <v>0</v>
      </c>
    </row>
    <row r="463" spans="1:21">
      <c r="A463" s="64">
        <v>46252.916666666664</v>
      </c>
      <c r="B463" s="65" t="s">
        <v>29</v>
      </c>
      <c r="C463" s="66">
        <v>0</v>
      </c>
      <c r="D463" s="66">
        <v>0</v>
      </c>
      <c r="E463" s="66">
        <v>238</v>
      </c>
      <c r="F463" s="66">
        <v>78.053250000000006</v>
      </c>
      <c r="G463" s="49">
        <f t="shared" si="14"/>
        <v>0</v>
      </c>
      <c r="H463" s="44">
        <f t="shared" si="15"/>
        <v>0</v>
      </c>
      <c r="R463" s="67" t="s">
        <v>36</v>
      </c>
      <c r="S463" s="67" t="s">
        <v>36</v>
      </c>
      <c r="T463" s="68">
        <v>46252.916666666664</v>
      </c>
      <c r="U463" s="69">
        <v>0</v>
      </c>
    </row>
    <row r="464" spans="1:21">
      <c r="A464" s="64">
        <v>46252.958333333336</v>
      </c>
      <c r="B464" s="65" t="s">
        <v>29</v>
      </c>
      <c r="C464" s="66">
        <v>0</v>
      </c>
      <c r="D464" s="66">
        <v>0</v>
      </c>
      <c r="E464" s="66">
        <v>238</v>
      </c>
      <c r="F464" s="66">
        <v>78.053250000000006</v>
      </c>
      <c r="G464" s="49">
        <f t="shared" si="14"/>
        <v>0</v>
      </c>
      <c r="H464" s="44">
        <f t="shared" si="15"/>
        <v>0</v>
      </c>
      <c r="R464" s="67" t="s">
        <v>36</v>
      </c>
      <c r="S464" s="67" t="s">
        <v>36</v>
      </c>
      <c r="T464" s="68">
        <v>46252.958333333336</v>
      </c>
      <c r="U464" s="69">
        <v>0</v>
      </c>
    </row>
    <row r="465" spans="1:21">
      <c r="A465" s="64">
        <v>46253</v>
      </c>
      <c r="B465" s="65" t="s">
        <v>29</v>
      </c>
      <c r="C465" s="66">
        <v>0</v>
      </c>
      <c r="D465" s="66">
        <v>0</v>
      </c>
      <c r="E465" s="66">
        <v>238</v>
      </c>
      <c r="F465" s="66">
        <v>78.053250000000006</v>
      </c>
      <c r="G465" s="49">
        <f t="shared" si="14"/>
        <v>0</v>
      </c>
      <c r="H465" s="44">
        <f t="shared" si="15"/>
        <v>0</v>
      </c>
      <c r="R465" s="67" t="s">
        <v>36</v>
      </c>
      <c r="S465" s="67" t="s">
        <v>36</v>
      </c>
      <c r="T465" s="68">
        <v>46253</v>
      </c>
      <c r="U465" s="69">
        <v>0</v>
      </c>
    </row>
    <row r="466" spans="1:21">
      <c r="A466" s="64">
        <v>46253.041666666664</v>
      </c>
      <c r="B466" s="65" t="s">
        <v>29</v>
      </c>
      <c r="C466" s="66">
        <v>0</v>
      </c>
      <c r="D466" s="66">
        <v>0</v>
      </c>
      <c r="E466" s="66">
        <v>238</v>
      </c>
      <c r="F466" s="66">
        <v>78.053250000000006</v>
      </c>
      <c r="G466" s="49">
        <f t="shared" si="14"/>
        <v>0</v>
      </c>
      <c r="H466" s="44">
        <f t="shared" si="15"/>
        <v>0</v>
      </c>
      <c r="R466" s="67" t="s">
        <v>36</v>
      </c>
      <c r="S466" s="67" t="s">
        <v>36</v>
      </c>
      <c r="T466" s="68">
        <v>46253.041666666664</v>
      </c>
      <c r="U466" s="69">
        <v>0</v>
      </c>
    </row>
    <row r="467" spans="1:21">
      <c r="A467" s="64">
        <v>46253.083333333336</v>
      </c>
      <c r="B467" s="65" t="s">
        <v>29</v>
      </c>
      <c r="C467" s="66">
        <v>0</v>
      </c>
      <c r="D467" s="66">
        <v>0</v>
      </c>
      <c r="E467" s="66">
        <v>238</v>
      </c>
      <c r="F467" s="66">
        <v>78.053250000000006</v>
      </c>
      <c r="G467" s="49">
        <f t="shared" si="14"/>
        <v>0</v>
      </c>
      <c r="H467" s="44">
        <f t="shared" si="15"/>
        <v>0</v>
      </c>
      <c r="R467" s="67" t="s">
        <v>36</v>
      </c>
      <c r="S467" s="67" t="s">
        <v>36</v>
      </c>
      <c r="T467" s="68">
        <v>46253.083333333336</v>
      </c>
      <c r="U467" s="69">
        <v>0</v>
      </c>
    </row>
    <row r="468" spans="1:21">
      <c r="A468" s="64">
        <v>46253.125</v>
      </c>
      <c r="B468" s="65" t="s">
        <v>29</v>
      </c>
      <c r="C468" s="66">
        <v>0</v>
      </c>
      <c r="D468" s="66">
        <v>0</v>
      </c>
      <c r="E468" s="66">
        <v>238</v>
      </c>
      <c r="F468" s="66">
        <v>78.053250000000006</v>
      </c>
      <c r="G468" s="49">
        <f t="shared" si="14"/>
        <v>0</v>
      </c>
      <c r="H468" s="44">
        <f t="shared" si="15"/>
        <v>0</v>
      </c>
      <c r="R468" s="67" t="s">
        <v>36</v>
      </c>
      <c r="S468" s="67" t="s">
        <v>36</v>
      </c>
      <c r="T468" s="68">
        <v>46253.125</v>
      </c>
      <c r="U468" s="69">
        <v>0</v>
      </c>
    </row>
    <row r="469" spans="1:21">
      <c r="A469" s="64">
        <v>46253.166666666664</v>
      </c>
      <c r="B469" s="65" t="s">
        <v>29</v>
      </c>
      <c r="C469" s="66">
        <v>0</v>
      </c>
      <c r="D469" s="66">
        <v>0</v>
      </c>
      <c r="E469" s="66">
        <v>238</v>
      </c>
      <c r="F469" s="66">
        <v>78.053250000000006</v>
      </c>
      <c r="G469" s="49">
        <f t="shared" si="14"/>
        <v>0</v>
      </c>
      <c r="H469" s="44">
        <f t="shared" si="15"/>
        <v>0</v>
      </c>
      <c r="R469" s="67" t="s">
        <v>36</v>
      </c>
      <c r="S469" s="67" t="s">
        <v>36</v>
      </c>
      <c r="T469" s="68">
        <v>46253.166666666664</v>
      </c>
      <c r="U469" s="69">
        <v>0</v>
      </c>
    </row>
    <row r="470" spans="1:21">
      <c r="A470" s="64">
        <v>46253.208333333336</v>
      </c>
      <c r="B470" s="65" t="s">
        <v>29</v>
      </c>
      <c r="C470" s="66">
        <v>0</v>
      </c>
      <c r="D470" s="66">
        <v>0</v>
      </c>
      <c r="E470" s="66">
        <v>238</v>
      </c>
      <c r="F470" s="66">
        <v>78.053250000000006</v>
      </c>
      <c r="G470" s="49">
        <f t="shared" si="14"/>
        <v>0</v>
      </c>
      <c r="H470" s="44">
        <f t="shared" si="15"/>
        <v>0</v>
      </c>
      <c r="R470" s="67" t="s">
        <v>36</v>
      </c>
      <c r="S470" s="67" t="s">
        <v>36</v>
      </c>
      <c r="T470" s="68">
        <v>46253.208333333336</v>
      </c>
      <c r="U470" s="69">
        <v>0</v>
      </c>
    </row>
    <row r="471" spans="1:21">
      <c r="A471" s="64">
        <v>46253.25</v>
      </c>
      <c r="B471" s="65" t="s">
        <v>29</v>
      </c>
      <c r="C471" s="66">
        <v>0</v>
      </c>
      <c r="D471" s="66">
        <v>0</v>
      </c>
      <c r="E471" s="66">
        <v>238</v>
      </c>
      <c r="F471" s="66">
        <v>78.053250000000006</v>
      </c>
      <c r="G471" s="49">
        <f t="shared" si="14"/>
        <v>0</v>
      </c>
      <c r="H471" s="44">
        <f t="shared" si="15"/>
        <v>0</v>
      </c>
      <c r="R471" s="67" t="s">
        <v>36</v>
      </c>
      <c r="S471" s="67" t="s">
        <v>36</v>
      </c>
      <c r="T471" s="68">
        <v>46253.25</v>
      </c>
      <c r="U471" s="69">
        <v>0</v>
      </c>
    </row>
    <row r="472" spans="1:21">
      <c r="A472" s="64">
        <v>46253.291666666664</v>
      </c>
      <c r="B472" s="65" t="s">
        <v>29</v>
      </c>
      <c r="C472" s="66">
        <v>0</v>
      </c>
      <c r="D472" s="66">
        <v>0</v>
      </c>
      <c r="E472" s="66">
        <v>238</v>
      </c>
      <c r="F472" s="66">
        <v>78.053250000000006</v>
      </c>
      <c r="G472" s="49">
        <f t="shared" si="14"/>
        <v>0</v>
      </c>
      <c r="H472" s="44">
        <f t="shared" si="15"/>
        <v>0</v>
      </c>
      <c r="R472" s="67" t="s">
        <v>36</v>
      </c>
      <c r="S472" s="67" t="s">
        <v>36</v>
      </c>
      <c r="T472" s="68">
        <v>46253.291666666664</v>
      </c>
      <c r="U472" s="69">
        <v>0</v>
      </c>
    </row>
    <row r="473" spans="1:21">
      <c r="A473" s="64">
        <v>46253.333333333336</v>
      </c>
      <c r="B473" s="65" t="s">
        <v>29</v>
      </c>
      <c r="C473" s="66">
        <v>0</v>
      </c>
      <c r="D473" s="66">
        <v>0</v>
      </c>
      <c r="E473" s="66">
        <v>238</v>
      </c>
      <c r="F473" s="66">
        <v>78.053250000000006</v>
      </c>
      <c r="G473" s="49">
        <f t="shared" si="14"/>
        <v>0</v>
      </c>
      <c r="H473" s="44">
        <f t="shared" si="15"/>
        <v>0</v>
      </c>
      <c r="R473" s="67" t="s">
        <v>36</v>
      </c>
      <c r="S473" s="67" t="s">
        <v>36</v>
      </c>
      <c r="T473" s="68">
        <v>46253.333333333336</v>
      </c>
      <c r="U473" s="69">
        <v>0</v>
      </c>
    </row>
    <row r="474" spans="1:21">
      <c r="A474" s="64">
        <v>46253.375</v>
      </c>
      <c r="B474" s="65" t="s">
        <v>29</v>
      </c>
      <c r="C474" s="66">
        <v>0</v>
      </c>
      <c r="D474" s="66">
        <v>0</v>
      </c>
      <c r="E474" s="66">
        <v>238</v>
      </c>
      <c r="F474" s="66">
        <v>78.053250000000006</v>
      </c>
      <c r="G474" s="49">
        <f t="shared" si="14"/>
        <v>0</v>
      </c>
      <c r="H474" s="44">
        <f t="shared" si="15"/>
        <v>0</v>
      </c>
      <c r="R474" s="67" t="s">
        <v>36</v>
      </c>
      <c r="S474" s="67" t="s">
        <v>36</v>
      </c>
      <c r="T474" s="68">
        <v>46253.375</v>
      </c>
      <c r="U474" s="69">
        <v>0</v>
      </c>
    </row>
    <row r="475" spans="1:21">
      <c r="A475" s="64">
        <v>46253.416666666664</v>
      </c>
      <c r="B475" s="65" t="s">
        <v>29</v>
      </c>
      <c r="C475" s="66">
        <v>0</v>
      </c>
      <c r="D475" s="66">
        <v>0</v>
      </c>
      <c r="E475" s="66">
        <v>238</v>
      </c>
      <c r="F475" s="66">
        <v>78.053250000000006</v>
      </c>
      <c r="G475" s="49">
        <f t="shared" si="14"/>
        <v>0</v>
      </c>
      <c r="H475" s="44">
        <f t="shared" si="15"/>
        <v>0</v>
      </c>
      <c r="R475" s="67" t="s">
        <v>36</v>
      </c>
      <c r="S475" s="67" t="s">
        <v>36</v>
      </c>
      <c r="T475" s="68">
        <v>46253.416666666664</v>
      </c>
      <c r="U475" s="69">
        <v>0</v>
      </c>
    </row>
    <row r="476" spans="1:21">
      <c r="A476" s="64">
        <v>46253.458333333336</v>
      </c>
      <c r="B476" s="65" t="s">
        <v>29</v>
      </c>
      <c r="C476" s="66">
        <v>0</v>
      </c>
      <c r="D476" s="66">
        <v>0</v>
      </c>
      <c r="E476" s="66">
        <v>238</v>
      </c>
      <c r="F476" s="66">
        <v>78.053250000000006</v>
      </c>
      <c r="G476" s="49">
        <f t="shared" si="14"/>
        <v>0</v>
      </c>
      <c r="H476" s="44">
        <f t="shared" si="15"/>
        <v>0</v>
      </c>
      <c r="R476" s="67" t="s">
        <v>36</v>
      </c>
      <c r="S476" s="67" t="s">
        <v>36</v>
      </c>
      <c r="T476" s="68">
        <v>46253.458333333336</v>
      </c>
      <c r="U476" s="69">
        <v>0</v>
      </c>
    </row>
    <row r="477" spans="1:21">
      <c r="A477" s="64">
        <v>46253.5</v>
      </c>
      <c r="B477" s="65" t="s">
        <v>29</v>
      </c>
      <c r="C477" s="66">
        <v>0</v>
      </c>
      <c r="D477" s="66">
        <v>0</v>
      </c>
      <c r="E477" s="66">
        <v>238</v>
      </c>
      <c r="F477" s="66">
        <v>78.053250000000006</v>
      </c>
      <c r="G477" s="49">
        <f t="shared" si="14"/>
        <v>0</v>
      </c>
      <c r="H477" s="44">
        <f t="shared" si="15"/>
        <v>0</v>
      </c>
      <c r="R477" s="67" t="s">
        <v>36</v>
      </c>
      <c r="S477" s="67" t="s">
        <v>36</v>
      </c>
      <c r="T477" s="68">
        <v>46253.5</v>
      </c>
      <c r="U477" s="69">
        <v>0</v>
      </c>
    </row>
    <row r="478" spans="1:21">
      <c r="A478" s="64">
        <v>46253.541666666664</v>
      </c>
      <c r="B478" s="65" t="s">
        <v>29</v>
      </c>
      <c r="C478" s="66">
        <v>0</v>
      </c>
      <c r="D478" s="66">
        <v>0</v>
      </c>
      <c r="E478" s="66">
        <v>238</v>
      </c>
      <c r="F478" s="66">
        <v>78.053250000000006</v>
      </c>
      <c r="G478" s="49">
        <f t="shared" si="14"/>
        <v>0</v>
      </c>
      <c r="H478" s="44">
        <f t="shared" si="15"/>
        <v>0</v>
      </c>
      <c r="R478" s="67" t="s">
        <v>36</v>
      </c>
      <c r="S478" s="67" t="s">
        <v>36</v>
      </c>
      <c r="T478" s="68">
        <v>46253.541666666664</v>
      </c>
      <c r="U478" s="69">
        <v>0</v>
      </c>
    </row>
    <row r="479" spans="1:21">
      <c r="A479" s="64">
        <v>46253.583333333336</v>
      </c>
      <c r="B479" s="65" t="s">
        <v>29</v>
      </c>
      <c r="C479" s="66">
        <v>0</v>
      </c>
      <c r="D479" s="66">
        <v>0</v>
      </c>
      <c r="E479" s="66">
        <v>238</v>
      </c>
      <c r="F479" s="66">
        <v>78.053250000000006</v>
      </c>
      <c r="G479" s="49">
        <f t="shared" si="14"/>
        <v>0</v>
      </c>
      <c r="H479" s="44">
        <f t="shared" si="15"/>
        <v>0</v>
      </c>
      <c r="R479" s="67" t="s">
        <v>36</v>
      </c>
      <c r="S479" s="67" t="s">
        <v>36</v>
      </c>
      <c r="T479" s="68">
        <v>46253.583333333336</v>
      </c>
      <c r="U479" s="69">
        <v>0</v>
      </c>
    </row>
    <row r="480" spans="1:21">
      <c r="A480" s="64">
        <v>46253.625</v>
      </c>
      <c r="B480" s="65" t="s">
        <v>29</v>
      </c>
      <c r="C480" s="66">
        <v>0</v>
      </c>
      <c r="D480" s="66">
        <v>0</v>
      </c>
      <c r="E480" s="66">
        <v>238</v>
      </c>
      <c r="F480" s="66">
        <v>78.053250000000006</v>
      </c>
      <c r="G480" s="49">
        <f t="shared" si="14"/>
        <v>0</v>
      </c>
      <c r="H480" s="44">
        <f t="shared" si="15"/>
        <v>0</v>
      </c>
      <c r="R480" s="67" t="s">
        <v>36</v>
      </c>
      <c r="S480" s="67" t="s">
        <v>36</v>
      </c>
      <c r="T480" s="68">
        <v>46253.625</v>
      </c>
      <c r="U480" s="69">
        <v>0</v>
      </c>
    </row>
    <row r="481" spans="1:21">
      <c r="A481" s="64">
        <v>46253.666666666664</v>
      </c>
      <c r="B481" s="65" t="s">
        <v>29</v>
      </c>
      <c r="C481" s="66">
        <v>0</v>
      </c>
      <c r="D481" s="66">
        <v>0</v>
      </c>
      <c r="E481" s="66">
        <v>238</v>
      </c>
      <c r="F481" s="66">
        <v>78.053250000000006</v>
      </c>
      <c r="G481" s="49">
        <f t="shared" si="14"/>
        <v>0</v>
      </c>
      <c r="H481" s="44">
        <f t="shared" si="15"/>
        <v>0</v>
      </c>
      <c r="R481" s="67" t="s">
        <v>36</v>
      </c>
      <c r="S481" s="67" t="s">
        <v>36</v>
      </c>
      <c r="T481" s="68">
        <v>46253.666666666664</v>
      </c>
      <c r="U481" s="69">
        <v>0</v>
      </c>
    </row>
    <row r="482" spans="1:21">
      <c r="A482" s="64">
        <v>46253.708333333336</v>
      </c>
      <c r="B482" s="65" t="s">
        <v>29</v>
      </c>
      <c r="C482" s="66">
        <v>0</v>
      </c>
      <c r="D482" s="66">
        <v>0</v>
      </c>
      <c r="E482" s="66">
        <v>238</v>
      </c>
      <c r="F482" s="66">
        <v>78.053250000000006</v>
      </c>
      <c r="G482" s="49">
        <f t="shared" si="14"/>
        <v>0</v>
      </c>
      <c r="H482" s="44">
        <f t="shared" si="15"/>
        <v>0</v>
      </c>
      <c r="R482" s="67" t="s">
        <v>36</v>
      </c>
      <c r="S482" s="67" t="s">
        <v>36</v>
      </c>
      <c r="T482" s="68">
        <v>46253.708333333336</v>
      </c>
      <c r="U482" s="69">
        <v>0</v>
      </c>
    </row>
    <row r="483" spans="1:21">
      <c r="A483" s="64">
        <v>46253.75</v>
      </c>
      <c r="B483" s="65" t="s">
        <v>29</v>
      </c>
      <c r="C483" s="66">
        <v>0</v>
      </c>
      <c r="D483" s="66">
        <v>0</v>
      </c>
      <c r="E483" s="66">
        <v>238</v>
      </c>
      <c r="F483" s="66">
        <v>78.053250000000006</v>
      </c>
      <c r="G483" s="49">
        <f t="shared" si="14"/>
        <v>0</v>
      </c>
      <c r="H483" s="44">
        <f t="shared" si="15"/>
        <v>0</v>
      </c>
      <c r="R483" s="67" t="s">
        <v>36</v>
      </c>
      <c r="S483" s="67" t="s">
        <v>36</v>
      </c>
      <c r="T483" s="68">
        <v>46253.75</v>
      </c>
      <c r="U483" s="69">
        <v>0</v>
      </c>
    </row>
    <row r="484" spans="1:21">
      <c r="A484" s="64">
        <v>46253.791666666664</v>
      </c>
      <c r="B484" s="65" t="s">
        <v>29</v>
      </c>
      <c r="C484" s="66">
        <v>0</v>
      </c>
      <c r="D484" s="66">
        <v>0</v>
      </c>
      <c r="E484" s="66">
        <v>238</v>
      </c>
      <c r="F484" s="66">
        <v>78.053250000000006</v>
      </c>
      <c r="G484" s="49">
        <f t="shared" si="14"/>
        <v>0</v>
      </c>
      <c r="H484" s="44">
        <f t="shared" si="15"/>
        <v>0</v>
      </c>
      <c r="R484" s="67" t="s">
        <v>36</v>
      </c>
      <c r="S484" s="67" t="s">
        <v>36</v>
      </c>
      <c r="T484" s="68">
        <v>46253.791666666664</v>
      </c>
      <c r="U484" s="69">
        <v>0</v>
      </c>
    </row>
    <row r="485" spans="1:21">
      <c r="A485" s="64">
        <v>46253.833333333336</v>
      </c>
      <c r="B485" s="65" t="s">
        <v>29</v>
      </c>
      <c r="C485" s="66">
        <v>0</v>
      </c>
      <c r="D485" s="66">
        <v>0</v>
      </c>
      <c r="E485" s="66">
        <v>238</v>
      </c>
      <c r="F485" s="66">
        <v>78.053250000000006</v>
      </c>
      <c r="G485" s="49">
        <f t="shared" si="14"/>
        <v>0</v>
      </c>
      <c r="H485" s="44">
        <f t="shared" si="15"/>
        <v>0</v>
      </c>
      <c r="R485" s="67" t="s">
        <v>36</v>
      </c>
      <c r="S485" s="67" t="s">
        <v>36</v>
      </c>
      <c r="T485" s="68">
        <v>46253.833333333336</v>
      </c>
      <c r="U485" s="69">
        <v>0</v>
      </c>
    </row>
    <row r="486" spans="1:21">
      <c r="A486" s="64">
        <v>46253.875</v>
      </c>
      <c r="B486" s="65" t="s">
        <v>29</v>
      </c>
      <c r="C486" s="66">
        <v>0</v>
      </c>
      <c r="D486" s="66">
        <v>0</v>
      </c>
      <c r="E486" s="66">
        <v>238</v>
      </c>
      <c r="F486" s="66">
        <v>78.053250000000006</v>
      </c>
      <c r="G486" s="49">
        <f t="shared" si="14"/>
        <v>0</v>
      </c>
      <c r="H486" s="44">
        <f t="shared" si="15"/>
        <v>0</v>
      </c>
      <c r="R486" s="67" t="s">
        <v>36</v>
      </c>
      <c r="S486" s="67" t="s">
        <v>36</v>
      </c>
      <c r="T486" s="68">
        <v>46253.875</v>
      </c>
      <c r="U486" s="69">
        <v>0</v>
      </c>
    </row>
    <row r="487" spans="1:21">
      <c r="A487" s="64">
        <v>46253.916666666664</v>
      </c>
      <c r="B487" s="65" t="s">
        <v>29</v>
      </c>
      <c r="C487" s="66">
        <v>0</v>
      </c>
      <c r="D487" s="66">
        <v>0</v>
      </c>
      <c r="E487" s="66">
        <v>238</v>
      </c>
      <c r="F487" s="66">
        <v>78.053250000000006</v>
      </c>
      <c r="G487" s="49">
        <f t="shared" si="14"/>
        <v>0</v>
      </c>
      <c r="H487" s="44">
        <f t="shared" si="15"/>
        <v>0</v>
      </c>
      <c r="R487" s="67" t="s">
        <v>36</v>
      </c>
      <c r="S487" s="67" t="s">
        <v>36</v>
      </c>
      <c r="T487" s="68">
        <v>46253.916666666664</v>
      </c>
      <c r="U487" s="69">
        <v>0</v>
      </c>
    </row>
    <row r="488" spans="1:21">
      <c r="A488" s="64">
        <v>46253.958333333336</v>
      </c>
      <c r="B488" s="65" t="s">
        <v>29</v>
      </c>
      <c r="C488" s="66">
        <v>0</v>
      </c>
      <c r="D488" s="66">
        <v>0</v>
      </c>
      <c r="E488" s="66">
        <v>238</v>
      </c>
      <c r="F488" s="66">
        <v>78.053250000000006</v>
      </c>
      <c r="G488" s="49">
        <f t="shared" si="14"/>
        <v>0</v>
      </c>
      <c r="H488" s="44">
        <f t="shared" si="15"/>
        <v>0</v>
      </c>
      <c r="R488" s="67" t="s">
        <v>36</v>
      </c>
      <c r="S488" s="67" t="s">
        <v>36</v>
      </c>
      <c r="T488" s="68">
        <v>46253.958333333336</v>
      </c>
      <c r="U488" s="69">
        <v>0</v>
      </c>
    </row>
    <row r="489" spans="1:21">
      <c r="A489" s="64">
        <v>46254</v>
      </c>
      <c r="B489" s="65" t="s">
        <v>29</v>
      </c>
      <c r="C489" s="66">
        <v>0</v>
      </c>
      <c r="D489" s="66">
        <v>0</v>
      </c>
      <c r="E489" s="66">
        <v>238</v>
      </c>
      <c r="F489" s="66">
        <v>78.053250000000006</v>
      </c>
      <c r="G489" s="49">
        <f t="shared" si="14"/>
        <v>0</v>
      </c>
      <c r="H489" s="44">
        <f t="shared" si="15"/>
        <v>0</v>
      </c>
      <c r="R489" s="67" t="s">
        <v>36</v>
      </c>
      <c r="S489" s="67" t="s">
        <v>36</v>
      </c>
      <c r="T489" s="68">
        <v>46254</v>
      </c>
      <c r="U489" s="69">
        <v>0</v>
      </c>
    </row>
    <row r="490" spans="1:21">
      <c r="A490" s="64">
        <v>46254.041666666664</v>
      </c>
      <c r="B490" s="65" t="s">
        <v>29</v>
      </c>
      <c r="C490" s="66">
        <v>0</v>
      </c>
      <c r="D490" s="66">
        <v>0</v>
      </c>
      <c r="E490" s="66">
        <v>238</v>
      </c>
      <c r="F490" s="66">
        <v>78.053250000000006</v>
      </c>
      <c r="G490" s="49">
        <f t="shared" si="14"/>
        <v>0</v>
      </c>
      <c r="H490" s="44">
        <f t="shared" si="15"/>
        <v>0</v>
      </c>
      <c r="R490" s="67" t="s">
        <v>36</v>
      </c>
      <c r="S490" s="67" t="s">
        <v>36</v>
      </c>
      <c r="T490" s="68">
        <v>46254.041666666664</v>
      </c>
      <c r="U490" s="69">
        <v>0</v>
      </c>
    </row>
    <row r="491" spans="1:21">
      <c r="A491" s="64">
        <v>46254.083333333336</v>
      </c>
      <c r="B491" s="65" t="s">
        <v>29</v>
      </c>
      <c r="C491" s="66">
        <v>0</v>
      </c>
      <c r="D491" s="66">
        <v>0</v>
      </c>
      <c r="E491" s="66">
        <v>238</v>
      </c>
      <c r="F491" s="66">
        <v>78.053250000000006</v>
      </c>
      <c r="G491" s="49">
        <f t="shared" si="14"/>
        <v>0</v>
      </c>
      <c r="H491" s="44">
        <f t="shared" si="15"/>
        <v>0</v>
      </c>
      <c r="R491" s="67" t="s">
        <v>36</v>
      </c>
      <c r="S491" s="67" t="s">
        <v>36</v>
      </c>
      <c r="T491" s="68">
        <v>46254.083333333336</v>
      </c>
      <c r="U491" s="69">
        <v>0</v>
      </c>
    </row>
    <row r="492" spans="1:21">
      <c r="A492" s="64">
        <v>46254.125</v>
      </c>
      <c r="B492" s="65" t="s">
        <v>29</v>
      </c>
      <c r="C492" s="66">
        <v>0</v>
      </c>
      <c r="D492" s="66">
        <v>0</v>
      </c>
      <c r="E492" s="66">
        <v>238</v>
      </c>
      <c r="F492" s="66">
        <v>78.053250000000006</v>
      </c>
      <c r="G492" s="49">
        <f t="shared" si="14"/>
        <v>0</v>
      </c>
      <c r="H492" s="44">
        <f t="shared" si="15"/>
        <v>0</v>
      </c>
      <c r="R492" s="67" t="s">
        <v>36</v>
      </c>
      <c r="S492" s="67" t="s">
        <v>36</v>
      </c>
      <c r="T492" s="68">
        <v>46254.125</v>
      </c>
      <c r="U492" s="69">
        <v>0</v>
      </c>
    </row>
    <row r="493" spans="1:21">
      <c r="A493" s="64">
        <v>46254.166666666664</v>
      </c>
      <c r="B493" s="65" t="s">
        <v>29</v>
      </c>
      <c r="C493" s="66">
        <v>0</v>
      </c>
      <c r="D493" s="66">
        <v>0</v>
      </c>
      <c r="E493" s="66">
        <v>238</v>
      </c>
      <c r="F493" s="66">
        <v>78.053250000000006</v>
      </c>
      <c r="G493" s="49">
        <f t="shared" si="14"/>
        <v>0</v>
      </c>
      <c r="H493" s="44">
        <f t="shared" si="15"/>
        <v>0</v>
      </c>
      <c r="R493" s="67" t="s">
        <v>36</v>
      </c>
      <c r="S493" s="67" t="s">
        <v>36</v>
      </c>
      <c r="T493" s="68">
        <v>46254.166666666664</v>
      </c>
      <c r="U493" s="69">
        <v>0</v>
      </c>
    </row>
    <row r="494" spans="1:21">
      <c r="A494" s="64">
        <v>46254.208333333336</v>
      </c>
      <c r="B494" s="65" t="s">
        <v>29</v>
      </c>
      <c r="C494" s="66">
        <v>0</v>
      </c>
      <c r="D494" s="66">
        <v>0</v>
      </c>
      <c r="E494" s="66">
        <v>238</v>
      </c>
      <c r="F494" s="66">
        <v>78.053250000000006</v>
      </c>
      <c r="G494" s="49">
        <f t="shared" si="14"/>
        <v>0</v>
      </c>
      <c r="H494" s="44">
        <f t="shared" si="15"/>
        <v>0</v>
      </c>
      <c r="R494" s="67" t="s">
        <v>36</v>
      </c>
      <c r="S494" s="67" t="s">
        <v>36</v>
      </c>
      <c r="T494" s="68">
        <v>46254.208333333336</v>
      </c>
      <c r="U494" s="69">
        <v>0</v>
      </c>
    </row>
    <row r="495" spans="1:21">
      <c r="A495" s="64">
        <v>46254.25</v>
      </c>
      <c r="B495" s="65" t="s">
        <v>29</v>
      </c>
      <c r="C495" s="66">
        <v>0</v>
      </c>
      <c r="D495" s="66">
        <v>0</v>
      </c>
      <c r="E495" s="66">
        <v>238</v>
      </c>
      <c r="F495" s="66">
        <v>78.053250000000006</v>
      </c>
      <c r="G495" s="49">
        <f t="shared" si="14"/>
        <v>0</v>
      </c>
      <c r="H495" s="44">
        <f t="shared" si="15"/>
        <v>0</v>
      </c>
      <c r="R495" s="67" t="s">
        <v>36</v>
      </c>
      <c r="S495" s="67" t="s">
        <v>36</v>
      </c>
      <c r="T495" s="68">
        <v>46254.25</v>
      </c>
      <c r="U495" s="69">
        <v>0</v>
      </c>
    </row>
    <row r="496" spans="1:21">
      <c r="A496" s="64">
        <v>46254.291666666664</v>
      </c>
      <c r="B496" s="65" t="s">
        <v>29</v>
      </c>
      <c r="C496" s="66">
        <v>0</v>
      </c>
      <c r="D496" s="66">
        <v>0</v>
      </c>
      <c r="E496" s="66">
        <v>238</v>
      </c>
      <c r="F496" s="66">
        <v>78.053250000000006</v>
      </c>
      <c r="G496" s="49">
        <f t="shared" si="14"/>
        <v>0</v>
      </c>
      <c r="H496" s="44">
        <f t="shared" si="15"/>
        <v>0</v>
      </c>
      <c r="R496" s="67" t="s">
        <v>36</v>
      </c>
      <c r="S496" s="67" t="s">
        <v>36</v>
      </c>
      <c r="T496" s="68">
        <v>46254.291666666664</v>
      </c>
      <c r="U496" s="69">
        <v>0</v>
      </c>
    </row>
    <row r="497" spans="1:21">
      <c r="A497" s="64">
        <v>46254.333333333336</v>
      </c>
      <c r="B497" s="65" t="s">
        <v>29</v>
      </c>
      <c r="C497" s="66">
        <v>0</v>
      </c>
      <c r="D497" s="66">
        <v>0</v>
      </c>
      <c r="E497" s="66">
        <v>238</v>
      </c>
      <c r="F497" s="66">
        <v>78.053250000000006</v>
      </c>
      <c r="G497" s="49">
        <f t="shared" si="14"/>
        <v>0</v>
      </c>
      <c r="H497" s="44">
        <f t="shared" si="15"/>
        <v>0</v>
      </c>
      <c r="R497" s="67" t="s">
        <v>36</v>
      </c>
      <c r="S497" s="67" t="s">
        <v>36</v>
      </c>
      <c r="T497" s="68">
        <v>46254.333333333336</v>
      </c>
      <c r="U497" s="69">
        <v>0</v>
      </c>
    </row>
    <row r="498" spans="1:21">
      <c r="A498" s="64">
        <v>46254.375</v>
      </c>
      <c r="B498" s="65" t="s">
        <v>29</v>
      </c>
      <c r="C498" s="66">
        <v>0</v>
      </c>
      <c r="D498" s="66">
        <v>0</v>
      </c>
      <c r="E498" s="66">
        <v>238</v>
      </c>
      <c r="F498" s="66">
        <v>78.053250000000006</v>
      </c>
      <c r="G498" s="49">
        <f t="shared" si="14"/>
        <v>0</v>
      </c>
      <c r="H498" s="44">
        <f t="shared" si="15"/>
        <v>0</v>
      </c>
      <c r="R498" s="67" t="s">
        <v>36</v>
      </c>
      <c r="S498" s="67" t="s">
        <v>36</v>
      </c>
      <c r="T498" s="68">
        <v>46254.375</v>
      </c>
      <c r="U498" s="69">
        <v>0</v>
      </c>
    </row>
    <row r="499" spans="1:21">
      <c r="A499" s="64">
        <v>46254.416666666664</v>
      </c>
      <c r="B499" s="65" t="s">
        <v>29</v>
      </c>
      <c r="C499" s="66">
        <v>0</v>
      </c>
      <c r="D499" s="66">
        <v>0</v>
      </c>
      <c r="E499" s="66">
        <v>238</v>
      </c>
      <c r="F499" s="66">
        <v>78.053250000000006</v>
      </c>
      <c r="G499" s="49">
        <f t="shared" si="14"/>
        <v>0</v>
      </c>
      <c r="H499" s="44">
        <f t="shared" si="15"/>
        <v>0</v>
      </c>
      <c r="R499" s="67" t="s">
        <v>36</v>
      </c>
      <c r="S499" s="67" t="s">
        <v>36</v>
      </c>
      <c r="T499" s="68">
        <v>46254.416666666664</v>
      </c>
      <c r="U499" s="69">
        <v>0</v>
      </c>
    </row>
    <row r="500" spans="1:21">
      <c r="A500" s="64">
        <v>46254.458333333336</v>
      </c>
      <c r="B500" s="65" t="s">
        <v>29</v>
      </c>
      <c r="C500" s="66">
        <v>0</v>
      </c>
      <c r="D500" s="66">
        <v>0</v>
      </c>
      <c r="E500" s="66">
        <v>238</v>
      </c>
      <c r="F500" s="66">
        <v>78.053250000000006</v>
      </c>
      <c r="G500" s="49">
        <f t="shared" si="14"/>
        <v>0</v>
      </c>
      <c r="H500" s="44">
        <f t="shared" si="15"/>
        <v>0</v>
      </c>
      <c r="R500" s="67" t="s">
        <v>36</v>
      </c>
      <c r="S500" s="67" t="s">
        <v>36</v>
      </c>
      <c r="T500" s="68">
        <v>46254.458333333336</v>
      </c>
      <c r="U500" s="69">
        <v>0</v>
      </c>
    </row>
    <row r="501" spans="1:21">
      <c r="A501" s="64">
        <v>46254.5</v>
      </c>
      <c r="B501" s="65" t="s">
        <v>29</v>
      </c>
      <c r="C501" s="66">
        <v>0</v>
      </c>
      <c r="D501" s="66">
        <v>0</v>
      </c>
      <c r="E501" s="66">
        <v>238</v>
      </c>
      <c r="F501" s="66">
        <v>78.053250000000006</v>
      </c>
      <c r="G501" s="49">
        <f t="shared" si="14"/>
        <v>0</v>
      </c>
      <c r="H501" s="44">
        <f t="shared" si="15"/>
        <v>0</v>
      </c>
      <c r="R501" s="67" t="s">
        <v>36</v>
      </c>
      <c r="S501" s="67" t="s">
        <v>36</v>
      </c>
      <c r="T501" s="68">
        <v>46254.5</v>
      </c>
      <c r="U501" s="69">
        <v>0</v>
      </c>
    </row>
    <row r="502" spans="1:21">
      <c r="A502" s="64">
        <v>46254.541666666664</v>
      </c>
      <c r="B502" s="65" t="s">
        <v>29</v>
      </c>
      <c r="C502" s="66">
        <v>0</v>
      </c>
      <c r="D502" s="66">
        <v>0</v>
      </c>
      <c r="E502" s="66">
        <v>238</v>
      </c>
      <c r="F502" s="66">
        <v>78.053250000000006</v>
      </c>
      <c r="G502" s="49">
        <f t="shared" si="14"/>
        <v>0</v>
      </c>
      <c r="H502" s="44">
        <f t="shared" si="15"/>
        <v>0</v>
      </c>
      <c r="R502" s="67" t="s">
        <v>36</v>
      </c>
      <c r="S502" s="67" t="s">
        <v>36</v>
      </c>
      <c r="T502" s="68">
        <v>46254.541666666664</v>
      </c>
      <c r="U502" s="69">
        <v>0</v>
      </c>
    </row>
    <row r="503" spans="1:21">
      <c r="A503" s="64">
        <v>46254.583333333336</v>
      </c>
      <c r="B503" s="65" t="s">
        <v>29</v>
      </c>
      <c r="C503" s="66">
        <v>0</v>
      </c>
      <c r="D503" s="66">
        <v>0</v>
      </c>
      <c r="E503" s="66">
        <v>238</v>
      </c>
      <c r="F503" s="66">
        <v>78.053250000000006</v>
      </c>
      <c r="G503" s="49">
        <f t="shared" si="14"/>
        <v>0</v>
      </c>
      <c r="H503" s="44">
        <f t="shared" si="15"/>
        <v>0</v>
      </c>
      <c r="R503" s="67" t="s">
        <v>36</v>
      </c>
      <c r="S503" s="67" t="s">
        <v>36</v>
      </c>
      <c r="T503" s="68">
        <v>46254.583333333336</v>
      </c>
      <c r="U503" s="69">
        <v>0</v>
      </c>
    </row>
    <row r="504" spans="1:21">
      <c r="A504" s="64">
        <v>46254.625</v>
      </c>
      <c r="B504" s="65" t="s">
        <v>29</v>
      </c>
      <c r="C504" s="66">
        <v>0</v>
      </c>
      <c r="D504" s="66">
        <v>0</v>
      </c>
      <c r="E504" s="66">
        <v>238</v>
      </c>
      <c r="F504" s="66">
        <v>78.053250000000006</v>
      </c>
      <c r="G504" s="49">
        <f t="shared" si="14"/>
        <v>0</v>
      </c>
      <c r="H504" s="44">
        <f t="shared" si="15"/>
        <v>0</v>
      </c>
      <c r="R504" s="67" t="s">
        <v>36</v>
      </c>
      <c r="S504" s="67" t="s">
        <v>36</v>
      </c>
      <c r="T504" s="68">
        <v>46254.625</v>
      </c>
      <c r="U504" s="69">
        <v>0</v>
      </c>
    </row>
    <row r="505" spans="1:21">
      <c r="A505" s="64">
        <v>46254.666666666664</v>
      </c>
      <c r="B505" s="65" t="s">
        <v>29</v>
      </c>
      <c r="C505" s="66">
        <v>0</v>
      </c>
      <c r="D505" s="66">
        <v>0</v>
      </c>
      <c r="E505" s="66">
        <v>238</v>
      </c>
      <c r="F505" s="66">
        <v>78.053250000000006</v>
      </c>
      <c r="G505" s="49">
        <f t="shared" si="14"/>
        <v>0</v>
      </c>
      <c r="H505" s="44">
        <f t="shared" si="15"/>
        <v>0</v>
      </c>
      <c r="R505" s="67" t="s">
        <v>36</v>
      </c>
      <c r="S505" s="67" t="s">
        <v>36</v>
      </c>
      <c r="T505" s="68">
        <v>46254.666666666664</v>
      </c>
      <c r="U505" s="69">
        <v>0</v>
      </c>
    </row>
    <row r="506" spans="1:21">
      <c r="A506" s="64">
        <v>46254.708333333336</v>
      </c>
      <c r="B506" s="65" t="s">
        <v>29</v>
      </c>
      <c r="C506" s="66">
        <v>0</v>
      </c>
      <c r="D506" s="66">
        <v>0</v>
      </c>
      <c r="E506" s="66">
        <v>238</v>
      </c>
      <c r="F506" s="66">
        <v>78.053250000000006</v>
      </c>
      <c r="G506" s="49">
        <f t="shared" si="14"/>
        <v>0</v>
      </c>
      <c r="H506" s="44">
        <f t="shared" si="15"/>
        <v>0</v>
      </c>
      <c r="R506" s="67" t="s">
        <v>36</v>
      </c>
      <c r="S506" s="67" t="s">
        <v>36</v>
      </c>
      <c r="T506" s="68">
        <v>46254.708333333336</v>
      </c>
      <c r="U506" s="69">
        <v>0</v>
      </c>
    </row>
    <row r="507" spans="1:21">
      <c r="A507" s="64">
        <v>46254.75</v>
      </c>
      <c r="B507" s="65" t="s">
        <v>29</v>
      </c>
      <c r="C507" s="66">
        <v>0</v>
      </c>
      <c r="D507" s="66">
        <v>0</v>
      </c>
      <c r="E507" s="66">
        <v>238</v>
      </c>
      <c r="F507" s="66">
        <v>78.053250000000006</v>
      </c>
      <c r="G507" s="49">
        <f t="shared" si="14"/>
        <v>0</v>
      </c>
      <c r="H507" s="44">
        <f t="shared" si="15"/>
        <v>0</v>
      </c>
      <c r="R507" s="67" t="s">
        <v>36</v>
      </c>
      <c r="S507" s="67" t="s">
        <v>36</v>
      </c>
      <c r="T507" s="68">
        <v>46254.75</v>
      </c>
      <c r="U507" s="69">
        <v>0</v>
      </c>
    </row>
    <row r="508" spans="1:21">
      <c r="A508" s="64">
        <v>46254.791666666664</v>
      </c>
      <c r="B508" s="65" t="s">
        <v>29</v>
      </c>
      <c r="C508" s="66">
        <v>0</v>
      </c>
      <c r="D508" s="66">
        <v>0</v>
      </c>
      <c r="E508" s="66">
        <v>238</v>
      </c>
      <c r="F508" s="66">
        <v>78.053250000000006</v>
      </c>
      <c r="G508" s="49">
        <f t="shared" si="14"/>
        <v>0</v>
      </c>
      <c r="H508" s="44">
        <f t="shared" si="15"/>
        <v>0</v>
      </c>
      <c r="R508" s="67" t="s">
        <v>36</v>
      </c>
      <c r="S508" s="67" t="s">
        <v>36</v>
      </c>
      <c r="T508" s="68">
        <v>46254.791666666664</v>
      </c>
      <c r="U508" s="69">
        <v>0</v>
      </c>
    </row>
    <row r="509" spans="1:21">
      <c r="A509" s="64">
        <v>46254.833333333336</v>
      </c>
      <c r="B509" s="65" t="s">
        <v>29</v>
      </c>
      <c r="C509" s="66">
        <v>0</v>
      </c>
      <c r="D509" s="66">
        <v>0</v>
      </c>
      <c r="E509" s="66">
        <v>238</v>
      </c>
      <c r="F509" s="66">
        <v>78.053250000000006</v>
      </c>
      <c r="G509" s="49">
        <f t="shared" si="14"/>
        <v>0</v>
      </c>
      <c r="H509" s="44">
        <f t="shared" si="15"/>
        <v>0</v>
      </c>
      <c r="R509" s="67" t="s">
        <v>36</v>
      </c>
      <c r="S509" s="67" t="s">
        <v>36</v>
      </c>
      <c r="T509" s="68">
        <v>46254.833333333336</v>
      </c>
      <c r="U509" s="69">
        <v>0</v>
      </c>
    </row>
    <row r="510" spans="1:21">
      <c r="A510" s="64">
        <v>46254.875</v>
      </c>
      <c r="B510" s="65" t="s">
        <v>29</v>
      </c>
      <c r="C510" s="66">
        <v>0</v>
      </c>
      <c r="D510" s="66">
        <v>0</v>
      </c>
      <c r="E510" s="66">
        <v>238</v>
      </c>
      <c r="F510" s="66">
        <v>78.053250000000006</v>
      </c>
      <c r="G510" s="49">
        <f t="shared" si="14"/>
        <v>0</v>
      </c>
      <c r="H510" s="44">
        <f t="shared" si="15"/>
        <v>0</v>
      </c>
      <c r="R510" s="67" t="s">
        <v>36</v>
      </c>
      <c r="S510" s="67" t="s">
        <v>36</v>
      </c>
      <c r="T510" s="68">
        <v>46254.875</v>
      </c>
      <c r="U510" s="69">
        <v>0</v>
      </c>
    </row>
    <row r="511" spans="1:21">
      <c r="A511" s="64">
        <v>46254.916666666664</v>
      </c>
      <c r="B511" s="65" t="s">
        <v>29</v>
      </c>
      <c r="C511" s="66">
        <v>0</v>
      </c>
      <c r="D511" s="66">
        <v>0</v>
      </c>
      <c r="E511" s="66">
        <v>238</v>
      </c>
      <c r="F511" s="66">
        <v>78.053250000000006</v>
      </c>
      <c r="G511" s="49">
        <f t="shared" si="14"/>
        <v>0</v>
      </c>
      <c r="H511" s="44">
        <f t="shared" si="15"/>
        <v>0</v>
      </c>
      <c r="R511" s="67" t="s">
        <v>36</v>
      </c>
      <c r="S511" s="67" t="s">
        <v>36</v>
      </c>
      <c r="T511" s="68">
        <v>46254.916666666664</v>
      </c>
      <c r="U511" s="69">
        <v>0</v>
      </c>
    </row>
    <row r="512" spans="1:21">
      <c r="A512" s="64">
        <v>46254.958333333336</v>
      </c>
      <c r="B512" s="65" t="s">
        <v>29</v>
      </c>
      <c r="C512" s="66">
        <v>0</v>
      </c>
      <c r="D512" s="66">
        <v>0</v>
      </c>
      <c r="E512" s="66">
        <v>238</v>
      </c>
      <c r="F512" s="66">
        <v>78.053250000000006</v>
      </c>
      <c r="G512" s="49">
        <f t="shared" si="14"/>
        <v>0</v>
      </c>
      <c r="H512" s="44">
        <f t="shared" si="15"/>
        <v>0</v>
      </c>
      <c r="R512" s="67" t="s">
        <v>36</v>
      </c>
      <c r="S512" s="67" t="s">
        <v>36</v>
      </c>
      <c r="T512" s="68">
        <v>46254.958333333336</v>
      </c>
      <c r="U512" s="69">
        <v>0</v>
      </c>
    </row>
    <row r="513" spans="1:21">
      <c r="A513" s="64">
        <v>46255</v>
      </c>
      <c r="B513" s="65" t="s">
        <v>29</v>
      </c>
      <c r="C513" s="66">
        <v>0</v>
      </c>
      <c r="D513" s="66">
        <v>0</v>
      </c>
      <c r="E513" s="66">
        <v>238</v>
      </c>
      <c r="F513" s="66">
        <v>78.053250000000006</v>
      </c>
      <c r="G513" s="49">
        <f t="shared" si="14"/>
        <v>0</v>
      </c>
      <c r="H513" s="44">
        <f t="shared" si="15"/>
        <v>0</v>
      </c>
      <c r="R513" s="67" t="s">
        <v>36</v>
      </c>
      <c r="S513" s="67" t="s">
        <v>36</v>
      </c>
      <c r="T513" s="68">
        <v>46255</v>
      </c>
      <c r="U513" s="69">
        <v>0</v>
      </c>
    </row>
    <row r="514" spans="1:21">
      <c r="A514" s="64">
        <v>46255.041666666664</v>
      </c>
      <c r="B514" s="65" t="s">
        <v>29</v>
      </c>
      <c r="C514" s="66">
        <v>0</v>
      </c>
      <c r="D514" s="66">
        <v>0</v>
      </c>
      <c r="E514" s="66">
        <v>238</v>
      </c>
      <c r="F514" s="66">
        <v>78.053250000000006</v>
      </c>
      <c r="G514" s="49">
        <f t="shared" si="14"/>
        <v>0</v>
      </c>
      <c r="H514" s="44">
        <f t="shared" si="15"/>
        <v>0</v>
      </c>
      <c r="R514" s="67" t="s">
        <v>36</v>
      </c>
      <c r="S514" s="67" t="s">
        <v>36</v>
      </c>
      <c r="T514" s="68">
        <v>46255.041666666664</v>
      </c>
      <c r="U514" s="69">
        <v>0</v>
      </c>
    </row>
    <row r="515" spans="1:21">
      <c r="A515" s="64">
        <v>46255.083333333336</v>
      </c>
      <c r="B515" s="65" t="s">
        <v>29</v>
      </c>
      <c r="C515" s="66">
        <v>0</v>
      </c>
      <c r="D515" s="66">
        <v>0</v>
      </c>
      <c r="E515" s="66">
        <v>238</v>
      </c>
      <c r="F515" s="66">
        <v>78.053250000000006</v>
      </c>
      <c r="G515" s="49">
        <f t="shared" ref="G515:G578" si="16">U515</f>
        <v>0</v>
      </c>
      <c r="H515" s="44">
        <f t="shared" ref="H515:H578" si="17">D515+G521</f>
        <v>0</v>
      </c>
      <c r="R515" s="67" t="s">
        <v>36</v>
      </c>
      <c r="S515" s="67" t="s">
        <v>36</v>
      </c>
      <c r="T515" s="68">
        <v>46255.083333333336</v>
      </c>
      <c r="U515" s="69">
        <v>0</v>
      </c>
    </row>
    <row r="516" spans="1:21">
      <c r="A516" s="64">
        <v>46255.125</v>
      </c>
      <c r="B516" s="65" t="s">
        <v>29</v>
      </c>
      <c r="C516" s="66">
        <v>0</v>
      </c>
      <c r="D516" s="66">
        <v>0</v>
      </c>
      <c r="E516" s="66">
        <v>238</v>
      </c>
      <c r="F516" s="66">
        <v>78.053250000000006</v>
      </c>
      <c r="G516" s="49">
        <f t="shared" si="16"/>
        <v>0</v>
      </c>
      <c r="H516" s="44">
        <f t="shared" si="17"/>
        <v>0</v>
      </c>
      <c r="R516" s="67" t="s">
        <v>36</v>
      </c>
      <c r="S516" s="67" t="s">
        <v>36</v>
      </c>
      <c r="T516" s="68">
        <v>46255.125</v>
      </c>
      <c r="U516" s="69">
        <v>0</v>
      </c>
    </row>
    <row r="517" spans="1:21">
      <c r="A517" s="64">
        <v>46255.166666666664</v>
      </c>
      <c r="B517" s="65" t="s">
        <v>29</v>
      </c>
      <c r="C517" s="66">
        <v>0</v>
      </c>
      <c r="D517" s="66">
        <v>0</v>
      </c>
      <c r="E517" s="66">
        <v>238</v>
      </c>
      <c r="F517" s="66">
        <v>78.053250000000006</v>
      </c>
      <c r="G517" s="49">
        <f t="shared" si="16"/>
        <v>0</v>
      </c>
      <c r="H517" s="44">
        <f t="shared" si="17"/>
        <v>0</v>
      </c>
      <c r="R517" s="67" t="s">
        <v>36</v>
      </c>
      <c r="S517" s="67" t="s">
        <v>36</v>
      </c>
      <c r="T517" s="68">
        <v>46255.166666666664</v>
      </c>
      <c r="U517" s="69">
        <v>0</v>
      </c>
    </row>
    <row r="518" spans="1:21">
      <c r="A518" s="64">
        <v>46255.208333333336</v>
      </c>
      <c r="B518" s="65" t="s">
        <v>29</v>
      </c>
      <c r="C518" s="66">
        <v>0</v>
      </c>
      <c r="D518" s="66">
        <v>0</v>
      </c>
      <c r="E518" s="66">
        <v>238</v>
      </c>
      <c r="F518" s="66">
        <v>78.053250000000006</v>
      </c>
      <c r="G518" s="49">
        <f t="shared" si="16"/>
        <v>0</v>
      </c>
      <c r="H518" s="44">
        <f t="shared" si="17"/>
        <v>0</v>
      </c>
      <c r="R518" s="67" t="s">
        <v>36</v>
      </c>
      <c r="S518" s="67" t="s">
        <v>36</v>
      </c>
      <c r="T518" s="68">
        <v>46255.208333333336</v>
      </c>
      <c r="U518" s="69">
        <v>0</v>
      </c>
    </row>
    <row r="519" spans="1:21">
      <c r="A519" s="64">
        <v>46255.25</v>
      </c>
      <c r="B519" s="65" t="s">
        <v>29</v>
      </c>
      <c r="C519" s="66">
        <v>0</v>
      </c>
      <c r="D519" s="66">
        <v>0</v>
      </c>
      <c r="E519" s="66">
        <v>238</v>
      </c>
      <c r="F519" s="66">
        <v>78.053250000000006</v>
      </c>
      <c r="G519" s="49">
        <f t="shared" si="16"/>
        <v>0</v>
      </c>
      <c r="H519" s="44">
        <f t="shared" si="17"/>
        <v>0</v>
      </c>
      <c r="R519" s="67" t="s">
        <v>36</v>
      </c>
      <c r="S519" s="67" t="s">
        <v>36</v>
      </c>
      <c r="T519" s="68">
        <v>46255.25</v>
      </c>
      <c r="U519" s="69">
        <v>0</v>
      </c>
    </row>
    <row r="520" spans="1:21">
      <c r="A520" s="64">
        <v>46255.291666666664</v>
      </c>
      <c r="B520" s="65" t="s">
        <v>29</v>
      </c>
      <c r="C520" s="66">
        <v>0</v>
      </c>
      <c r="D520" s="66">
        <v>0</v>
      </c>
      <c r="E520" s="66">
        <v>238</v>
      </c>
      <c r="F520" s="66">
        <v>78.053250000000006</v>
      </c>
      <c r="G520" s="49">
        <f t="shared" si="16"/>
        <v>0</v>
      </c>
      <c r="H520" s="44">
        <f t="shared" si="17"/>
        <v>0</v>
      </c>
      <c r="R520" s="67" t="s">
        <v>36</v>
      </c>
      <c r="S520" s="67" t="s">
        <v>36</v>
      </c>
      <c r="T520" s="68">
        <v>46255.291666666664</v>
      </c>
      <c r="U520" s="69">
        <v>0</v>
      </c>
    </row>
    <row r="521" spans="1:21">
      <c r="A521" s="64">
        <v>46255.333333333336</v>
      </c>
      <c r="B521" s="65" t="s">
        <v>29</v>
      </c>
      <c r="C521" s="66">
        <v>0</v>
      </c>
      <c r="D521" s="66">
        <v>0</v>
      </c>
      <c r="E521" s="66">
        <v>238</v>
      </c>
      <c r="F521" s="66">
        <v>78.053250000000006</v>
      </c>
      <c r="G521" s="49">
        <f t="shared" si="16"/>
        <v>0</v>
      </c>
      <c r="H521" s="44">
        <f t="shared" si="17"/>
        <v>0</v>
      </c>
      <c r="R521" s="67" t="s">
        <v>36</v>
      </c>
      <c r="S521" s="67" t="s">
        <v>36</v>
      </c>
      <c r="T521" s="68">
        <v>46255.333333333336</v>
      </c>
      <c r="U521" s="69">
        <v>0</v>
      </c>
    </row>
    <row r="522" spans="1:21">
      <c r="A522" s="64">
        <v>46255.375</v>
      </c>
      <c r="B522" s="65" t="s">
        <v>29</v>
      </c>
      <c r="C522" s="66">
        <v>0</v>
      </c>
      <c r="D522" s="66">
        <v>0</v>
      </c>
      <c r="E522" s="66">
        <v>238</v>
      </c>
      <c r="F522" s="66">
        <v>78.053250000000006</v>
      </c>
      <c r="G522" s="49">
        <f t="shared" si="16"/>
        <v>0</v>
      </c>
      <c r="H522" s="44">
        <f t="shared" si="17"/>
        <v>0</v>
      </c>
      <c r="R522" s="67" t="s">
        <v>36</v>
      </c>
      <c r="S522" s="67" t="s">
        <v>36</v>
      </c>
      <c r="T522" s="68">
        <v>46255.375</v>
      </c>
      <c r="U522" s="69">
        <v>0</v>
      </c>
    </row>
    <row r="523" spans="1:21">
      <c r="A523" s="64">
        <v>46255.416666666664</v>
      </c>
      <c r="B523" s="65" t="s">
        <v>29</v>
      </c>
      <c r="C523" s="66">
        <v>0</v>
      </c>
      <c r="D523" s="66">
        <v>0</v>
      </c>
      <c r="E523" s="66">
        <v>238</v>
      </c>
      <c r="F523" s="66">
        <v>78.053250000000006</v>
      </c>
      <c r="G523" s="49">
        <f t="shared" si="16"/>
        <v>0</v>
      </c>
      <c r="H523" s="44">
        <f t="shared" si="17"/>
        <v>0</v>
      </c>
      <c r="R523" s="67" t="s">
        <v>36</v>
      </c>
      <c r="S523" s="67" t="s">
        <v>36</v>
      </c>
      <c r="T523" s="68">
        <v>46255.416666666664</v>
      </c>
      <c r="U523" s="69">
        <v>0</v>
      </c>
    </row>
    <row r="524" spans="1:21">
      <c r="A524" s="64">
        <v>46255.458333333336</v>
      </c>
      <c r="B524" s="65" t="s">
        <v>29</v>
      </c>
      <c r="C524" s="66">
        <v>0</v>
      </c>
      <c r="D524" s="66">
        <v>0</v>
      </c>
      <c r="E524" s="66">
        <v>238</v>
      </c>
      <c r="F524" s="66">
        <v>78.053250000000006</v>
      </c>
      <c r="G524" s="49">
        <f t="shared" si="16"/>
        <v>0</v>
      </c>
      <c r="H524" s="44">
        <f t="shared" si="17"/>
        <v>0</v>
      </c>
      <c r="R524" s="67" t="s">
        <v>36</v>
      </c>
      <c r="S524" s="67" t="s">
        <v>36</v>
      </c>
      <c r="T524" s="68">
        <v>46255.458333333336</v>
      </c>
      <c r="U524" s="69">
        <v>0</v>
      </c>
    </row>
    <row r="525" spans="1:21">
      <c r="A525" s="64">
        <v>46255.5</v>
      </c>
      <c r="B525" s="65" t="s">
        <v>29</v>
      </c>
      <c r="C525" s="66">
        <v>0</v>
      </c>
      <c r="D525" s="66">
        <v>0</v>
      </c>
      <c r="E525" s="66">
        <v>238</v>
      </c>
      <c r="F525" s="66">
        <v>78.053250000000006</v>
      </c>
      <c r="G525" s="49">
        <f t="shared" si="16"/>
        <v>0</v>
      </c>
      <c r="H525" s="44">
        <f t="shared" si="17"/>
        <v>0</v>
      </c>
      <c r="R525" s="67" t="s">
        <v>36</v>
      </c>
      <c r="S525" s="67" t="s">
        <v>36</v>
      </c>
      <c r="T525" s="68">
        <v>46255.5</v>
      </c>
      <c r="U525" s="69">
        <v>0</v>
      </c>
    </row>
    <row r="526" spans="1:21">
      <c r="A526" s="64">
        <v>46255.541666666664</v>
      </c>
      <c r="B526" s="65" t="s">
        <v>29</v>
      </c>
      <c r="C526" s="66">
        <v>0</v>
      </c>
      <c r="D526" s="66">
        <v>0</v>
      </c>
      <c r="E526" s="66">
        <v>238</v>
      </c>
      <c r="F526" s="66">
        <v>78.053250000000006</v>
      </c>
      <c r="G526" s="49">
        <f t="shared" si="16"/>
        <v>0</v>
      </c>
      <c r="H526" s="44">
        <f t="shared" si="17"/>
        <v>0</v>
      </c>
      <c r="R526" s="67" t="s">
        <v>36</v>
      </c>
      <c r="S526" s="67" t="s">
        <v>36</v>
      </c>
      <c r="T526" s="68">
        <v>46255.541666666664</v>
      </c>
      <c r="U526" s="69">
        <v>0</v>
      </c>
    </row>
    <row r="527" spans="1:21">
      <c r="A527" s="64">
        <v>46255.583333333336</v>
      </c>
      <c r="B527" s="65" t="s">
        <v>29</v>
      </c>
      <c r="C527" s="66">
        <v>0</v>
      </c>
      <c r="D527" s="66">
        <v>0</v>
      </c>
      <c r="E527" s="66">
        <v>238</v>
      </c>
      <c r="F527" s="66">
        <v>78.053250000000006</v>
      </c>
      <c r="G527" s="49">
        <f t="shared" si="16"/>
        <v>0</v>
      </c>
      <c r="H527" s="44">
        <f t="shared" si="17"/>
        <v>0</v>
      </c>
      <c r="R527" s="67" t="s">
        <v>36</v>
      </c>
      <c r="S527" s="67" t="s">
        <v>36</v>
      </c>
      <c r="T527" s="68">
        <v>46255.583333333336</v>
      </c>
      <c r="U527" s="69">
        <v>0</v>
      </c>
    </row>
    <row r="528" spans="1:21">
      <c r="A528" s="64">
        <v>46255.625</v>
      </c>
      <c r="B528" s="65" t="s">
        <v>29</v>
      </c>
      <c r="C528" s="66">
        <v>0</v>
      </c>
      <c r="D528" s="66">
        <v>0</v>
      </c>
      <c r="E528" s="66">
        <v>238</v>
      </c>
      <c r="F528" s="66">
        <v>78.053250000000006</v>
      </c>
      <c r="G528" s="49">
        <f t="shared" si="16"/>
        <v>0</v>
      </c>
      <c r="H528" s="44">
        <f t="shared" si="17"/>
        <v>0</v>
      </c>
      <c r="R528" s="67" t="s">
        <v>36</v>
      </c>
      <c r="S528" s="67" t="s">
        <v>36</v>
      </c>
      <c r="T528" s="68">
        <v>46255.625</v>
      </c>
      <c r="U528" s="69">
        <v>0</v>
      </c>
    </row>
    <row r="529" spans="1:21">
      <c r="A529" s="64">
        <v>46255.666666666664</v>
      </c>
      <c r="B529" s="65" t="s">
        <v>29</v>
      </c>
      <c r="C529" s="66">
        <v>0</v>
      </c>
      <c r="D529" s="66">
        <v>0</v>
      </c>
      <c r="E529" s="66">
        <v>238</v>
      </c>
      <c r="F529" s="66">
        <v>78.053250000000006</v>
      </c>
      <c r="G529" s="49">
        <f t="shared" si="16"/>
        <v>0</v>
      </c>
      <c r="H529" s="44">
        <f t="shared" si="17"/>
        <v>0</v>
      </c>
      <c r="R529" s="67" t="s">
        <v>36</v>
      </c>
      <c r="S529" s="67" t="s">
        <v>36</v>
      </c>
      <c r="T529" s="68">
        <v>46255.666666666664</v>
      </c>
      <c r="U529" s="69">
        <v>0</v>
      </c>
    </row>
    <row r="530" spans="1:21">
      <c r="A530" s="64">
        <v>46255.708333333336</v>
      </c>
      <c r="B530" s="65" t="s">
        <v>29</v>
      </c>
      <c r="C530" s="66">
        <v>0</v>
      </c>
      <c r="D530" s="66">
        <v>0</v>
      </c>
      <c r="E530" s="66">
        <v>238</v>
      </c>
      <c r="F530" s="66">
        <v>78.053250000000006</v>
      </c>
      <c r="G530" s="49">
        <f t="shared" si="16"/>
        <v>0</v>
      </c>
      <c r="H530" s="44">
        <f t="shared" si="17"/>
        <v>0</v>
      </c>
      <c r="R530" s="67" t="s">
        <v>36</v>
      </c>
      <c r="S530" s="67" t="s">
        <v>36</v>
      </c>
      <c r="T530" s="68">
        <v>46255.708333333336</v>
      </c>
      <c r="U530" s="69">
        <v>0</v>
      </c>
    </row>
    <row r="531" spans="1:21">
      <c r="A531" s="64">
        <v>46255.75</v>
      </c>
      <c r="B531" s="65" t="s">
        <v>29</v>
      </c>
      <c r="C531" s="66">
        <v>0</v>
      </c>
      <c r="D531" s="66">
        <v>0</v>
      </c>
      <c r="E531" s="66">
        <v>238</v>
      </c>
      <c r="F531" s="66">
        <v>78.053250000000006</v>
      </c>
      <c r="G531" s="49">
        <f t="shared" si="16"/>
        <v>0</v>
      </c>
      <c r="H531" s="44">
        <f t="shared" si="17"/>
        <v>0</v>
      </c>
      <c r="R531" s="67" t="s">
        <v>36</v>
      </c>
      <c r="S531" s="67" t="s">
        <v>36</v>
      </c>
      <c r="T531" s="68">
        <v>46255.75</v>
      </c>
      <c r="U531" s="69">
        <v>0</v>
      </c>
    </row>
    <row r="532" spans="1:21">
      <c r="A532" s="64">
        <v>46255.791666666664</v>
      </c>
      <c r="B532" s="65" t="s">
        <v>29</v>
      </c>
      <c r="C532" s="66">
        <v>0</v>
      </c>
      <c r="D532" s="66">
        <v>0</v>
      </c>
      <c r="E532" s="66">
        <v>238</v>
      </c>
      <c r="F532" s="66">
        <v>78.053250000000006</v>
      </c>
      <c r="G532" s="49">
        <f t="shared" si="16"/>
        <v>0</v>
      </c>
      <c r="H532" s="44">
        <f t="shared" si="17"/>
        <v>0</v>
      </c>
      <c r="R532" s="67" t="s">
        <v>36</v>
      </c>
      <c r="S532" s="67" t="s">
        <v>36</v>
      </c>
      <c r="T532" s="68">
        <v>46255.791666666664</v>
      </c>
      <c r="U532" s="69">
        <v>0</v>
      </c>
    </row>
    <row r="533" spans="1:21">
      <c r="A533" s="64">
        <v>46255.833333333336</v>
      </c>
      <c r="B533" s="65" t="s">
        <v>29</v>
      </c>
      <c r="C533" s="66">
        <v>0</v>
      </c>
      <c r="D533" s="66">
        <v>0</v>
      </c>
      <c r="E533" s="66">
        <v>238</v>
      </c>
      <c r="F533" s="66">
        <v>78.053250000000006</v>
      </c>
      <c r="G533" s="49">
        <f t="shared" si="16"/>
        <v>0</v>
      </c>
      <c r="H533" s="44">
        <f t="shared" si="17"/>
        <v>0</v>
      </c>
      <c r="R533" s="67" t="s">
        <v>36</v>
      </c>
      <c r="S533" s="67" t="s">
        <v>36</v>
      </c>
      <c r="T533" s="68">
        <v>46255.833333333336</v>
      </c>
      <c r="U533" s="69">
        <v>0</v>
      </c>
    </row>
    <row r="534" spans="1:21">
      <c r="A534" s="64">
        <v>46255.875</v>
      </c>
      <c r="B534" s="65" t="s">
        <v>29</v>
      </c>
      <c r="C534" s="66">
        <v>0</v>
      </c>
      <c r="D534" s="66">
        <v>0</v>
      </c>
      <c r="E534" s="66">
        <v>238</v>
      </c>
      <c r="F534" s="66">
        <v>78.053250000000006</v>
      </c>
      <c r="G534" s="49">
        <f t="shared" si="16"/>
        <v>0</v>
      </c>
      <c r="H534" s="44">
        <f t="shared" si="17"/>
        <v>0</v>
      </c>
      <c r="R534" s="67" t="s">
        <v>36</v>
      </c>
      <c r="S534" s="67" t="s">
        <v>36</v>
      </c>
      <c r="T534" s="68">
        <v>46255.875</v>
      </c>
      <c r="U534" s="69">
        <v>0</v>
      </c>
    </row>
    <row r="535" spans="1:21">
      <c r="A535" s="64">
        <v>46255.916666666664</v>
      </c>
      <c r="B535" s="65" t="s">
        <v>29</v>
      </c>
      <c r="C535" s="66">
        <v>0</v>
      </c>
      <c r="D535" s="66">
        <v>0</v>
      </c>
      <c r="E535" s="66">
        <v>238</v>
      </c>
      <c r="F535" s="66">
        <v>78.053250000000006</v>
      </c>
      <c r="G535" s="49">
        <f t="shared" si="16"/>
        <v>0</v>
      </c>
      <c r="H535" s="44">
        <f t="shared" si="17"/>
        <v>0</v>
      </c>
      <c r="R535" s="67" t="s">
        <v>36</v>
      </c>
      <c r="S535" s="67" t="s">
        <v>36</v>
      </c>
      <c r="T535" s="68">
        <v>46255.916666666664</v>
      </c>
      <c r="U535" s="69">
        <v>0</v>
      </c>
    </row>
    <row r="536" spans="1:21">
      <c r="A536" s="64">
        <v>46255.958333333336</v>
      </c>
      <c r="B536" s="65" t="s">
        <v>29</v>
      </c>
      <c r="C536" s="66">
        <v>0</v>
      </c>
      <c r="D536" s="66">
        <v>0</v>
      </c>
      <c r="E536" s="66">
        <v>238</v>
      </c>
      <c r="F536" s="66">
        <v>78.053250000000006</v>
      </c>
      <c r="G536" s="49">
        <f t="shared" si="16"/>
        <v>0</v>
      </c>
      <c r="H536" s="44">
        <f t="shared" si="17"/>
        <v>0</v>
      </c>
      <c r="R536" s="67" t="s">
        <v>36</v>
      </c>
      <c r="S536" s="67" t="s">
        <v>36</v>
      </c>
      <c r="T536" s="68">
        <v>46255.958333333336</v>
      </c>
      <c r="U536" s="69">
        <v>0</v>
      </c>
    </row>
    <row r="537" spans="1:21">
      <c r="A537" s="64">
        <v>46256</v>
      </c>
      <c r="B537" s="65" t="s">
        <v>29</v>
      </c>
      <c r="C537" s="66">
        <v>0</v>
      </c>
      <c r="D537" s="66">
        <v>0</v>
      </c>
      <c r="E537" s="66">
        <v>238</v>
      </c>
      <c r="F537" s="66">
        <v>78.053250000000006</v>
      </c>
      <c r="G537" s="49">
        <f t="shared" si="16"/>
        <v>0</v>
      </c>
      <c r="H537" s="44">
        <f t="shared" si="17"/>
        <v>0</v>
      </c>
      <c r="R537" s="67" t="s">
        <v>36</v>
      </c>
      <c r="S537" s="67" t="s">
        <v>36</v>
      </c>
      <c r="T537" s="68">
        <v>46256</v>
      </c>
      <c r="U537" s="69">
        <v>0</v>
      </c>
    </row>
    <row r="538" spans="1:21">
      <c r="A538" s="64">
        <v>46256.041666666664</v>
      </c>
      <c r="B538" s="65" t="s">
        <v>29</v>
      </c>
      <c r="C538" s="66">
        <v>0</v>
      </c>
      <c r="D538" s="66">
        <v>0</v>
      </c>
      <c r="E538" s="66">
        <v>238</v>
      </c>
      <c r="F538" s="66">
        <v>78.053250000000006</v>
      </c>
      <c r="G538" s="49">
        <f t="shared" si="16"/>
        <v>0</v>
      </c>
      <c r="H538" s="44">
        <f t="shared" si="17"/>
        <v>0</v>
      </c>
      <c r="R538" s="67" t="s">
        <v>36</v>
      </c>
      <c r="S538" s="67" t="s">
        <v>36</v>
      </c>
      <c r="T538" s="68">
        <v>46256.041666666664</v>
      </c>
      <c r="U538" s="69">
        <v>0</v>
      </c>
    </row>
    <row r="539" spans="1:21">
      <c r="A539" s="64">
        <v>46256.083333333336</v>
      </c>
      <c r="B539" s="65" t="s">
        <v>29</v>
      </c>
      <c r="C539" s="66">
        <v>0</v>
      </c>
      <c r="D539" s="66">
        <v>0</v>
      </c>
      <c r="E539" s="66">
        <v>238</v>
      </c>
      <c r="F539" s="66">
        <v>78.053250000000006</v>
      </c>
      <c r="G539" s="49">
        <f t="shared" si="16"/>
        <v>0</v>
      </c>
      <c r="H539" s="44">
        <f t="shared" si="17"/>
        <v>0</v>
      </c>
      <c r="R539" s="67" t="s">
        <v>36</v>
      </c>
      <c r="S539" s="67" t="s">
        <v>36</v>
      </c>
      <c r="T539" s="68">
        <v>46256.083333333336</v>
      </c>
      <c r="U539" s="69">
        <v>0</v>
      </c>
    </row>
    <row r="540" spans="1:21">
      <c r="A540" s="64">
        <v>46256.125</v>
      </c>
      <c r="B540" s="65" t="s">
        <v>29</v>
      </c>
      <c r="C540" s="66">
        <v>0</v>
      </c>
      <c r="D540" s="66">
        <v>0</v>
      </c>
      <c r="E540" s="66">
        <v>238</v>
      </c>
      <c r="F540" s="66">
        <v>78.053250000000006</v>
      </c>
      <c r="G540" s="49">
        <f t="shared" si="16"/>
        <v>0</v>
      </c>
      <c r="H540" s="44">
        <f t="shared" si="17"/>
        <v>0</v>
      </c>
      <c r="R540" s="67" t="s">
        <v>36</v>
      </c>
      <c r="S540" s="67" t="s">
        <v>36</v>
      </c>
      <c r="T540" s="68">
        <v>46256.125</v>
      </c>
      <c r="U540" s="69">
        <v>0</v>
      </c>
    </row>
    <row r="541" spans="1:21">
      <c r="A541" s="64">
        <v>46256.166666666664</v>
      </c>
      <c r="B541" s="65" t="s">
        <v>29</v>
      </c>
      <c r="C541" s="66">
        <v>0</v>
      </c>
      <c r="D541" s="66">
        <v>0</v>
      </c>
      <c r="E541" s="66">
        <v>238</v>
      </c>
      <c r="F541" s="66">
        <v>78.053250000000006</v>
      </c>
      <c r="G541" s="49">
        <f t="shared" si="16"/>
        <v>0</v>
      </c>
      <c r="H541" s="44">
        <f t="shared" si="17"/>
        <v>0</v>
      </c>
      <c r="R541" s="67" t="s">
        <v>36</v>
      </c>
      <c r="S541" s="67" t="s">
        <v>36</v>
      </c>
      <c r="T541" s="68">
        <v>46256.166666666664</v>
      </c>
      <c r="U541" s="69">
        <v>0</v>
      </c>
    </row>
    <row r="542" spans="1:21">
      <c r="A542" s="64">
        <v>46256.208333333336</v>
      </c>
      <c r="B542" s="65" t="s">
        <v>29</v>
      </c>
      <c r="C542" s="66">
        <v>0</v>
      </c>
      <c r="D542" s="66">
        <v>0</v>
      </c>
      <c r="E542" s="66">
        <v>238</v>
      </c>
      <c r="F542" s="66">
        <v>78.053250000000006</v>
      </c>
      <c r="G542" s="49">
        <f t="shared" si="16"/>
        <v>0</v>
      </c>
      <c r="H542" s="44">
        <f t="shared" si="17"/>
        <v>0</v>
      </c>
      <c r="R542" s="67" t="s">
        <v>36</v>
      </c>
      <c r="S542" s="67" t="s">
        <v>36</v>
      </c>
      <c r="T542" s="68">
        <v>46256.208333333336</v>
      </c>
      <c r="U542" s="69">
        <v>0</v>
      </c>
    </row>
    <row r="543" spans="1:21">
      <c r="A543" s="64">
        <v>46256.25</v>
      </c>
      <c r="B543" s="65" t="s">
        <v>29</v>
      </c>
      <c r="C543" s="66">
        <v>0</v>
      </c>
      <c r="D543" s="66">
        <v>0</v>
      </c>
      <c r="E543" s="66">
        <v>238</v>
      </c>
      <c r="F543" s="66">
        <v>78.053250000000006</v>
      </c>
      <c r="G543" s="49">
        <f t="shared" si="16"/>
        <v>0</v>
      </c>
      <c r="H543" s="44">
        <f t="shared" si="17"/>
        <v>0</v>
      </c>
      <c r="R543" s="67" t="s">
        <v>36</v>
      </c>
      <c r="S543" s="67" t="s">
        <v>36</v>
      </c>
      <c r="T543" s="68">
        <v>46256.25</v>
      </c>
      <c r="U543" s="69">
        <v>0</v>
      </c>
    </row>
    <row r="544" spans="1:21">
      <c r="A544" s="64">
        <v>46256.291666666664</v>
      </c>
      <c r="B544" s="65" t="s">
        <v>29</v>
      </c>
      <c r="C544" s="66">
        <v>0</v>
      </c>
      <c r="D544" s="66">
        <v>0</v>
      </c>
      <c r="E544" s="66">
        <v>238</v>
      </c>
      <c r="F544" s="66">
        <v>78.053250000000006</v>
      </c>
      <c r="G544" s="49">
        <f t="shared" si="16"/>
        <v>0</v>
      </c>
      <c r="H544" s="44">
        <f t="shared" si="17"/>
        <v>0</v>
      </c>
      <c r="R544" s="67" t="s">
        <v>36</v>
      </c>
      <c r="S544" s="67" t="s">
        <v>36</v>
      </c>
      <c r="T544" s="68">
        <v>46256.291666666664</v>
      </c>
      <c r="U544" s="69">
        <v>0</v>
      </c>
    </row>
    <row r="545" spans="1:21">
      <c r="A545" s="64">
        <v>46256.333333333336</v>
      </c>
      <c r="B545" s="65" t="s">
        <v>29</v>
      </c>
      <c r="C545" s="66">
        <v>0</v>
      </c>
      <c r="D545" s="66">
        <v>0</v>
      </c>
      <c r="E545" s="66">
        <v>238</v>
      </c>
      <c r="F545" s="66">
        <v>78.053250000000006</v>
      </c>
      <c r="G545" s="49">
        <f t="shared" si="16"/>
        <v>0</v>
      </c>
      <c r="H545" s="44">
        <f t="shared" si="17"/>
        <v>0</v>
      </c>
      <c r="R545" s="67" t="s">
        <v>36</v>
      </c>
      <c r="S545" s="67" t="s">
        <v>36</v>
      </c>
      <c r="T545" s="68">
        <v>46256.333333333336</v>
      </c>
      <c r="U545" s="69">
        <v>0</v>
      </c>
    </row>
    <row r="546" spans="1:21">
      <c r="A546" s="64">
        <v>46256.375</v>
      </c>
      <c r="B546" s="65" t="s">
        <v>29</v>
      </c>
      <c r="C546" s="66">
        <v>0</v>
      </c>
      <c r="D546" s="66">
        <v>0</v>
      </c>
      <c r="E546" s="66">
        <v>238</v>
      </c>
      <c r="F546" s="66">
        <v>78.053250000000006</v>
      </c>
      <c r="G546" s="49">
        <f t="shared" si="16"/>
        <v>0</v>
      </c>
      <c r="H546" s="44">
        <f t="shared" si="17"/>
        <v>0</v>
      </c>
      <c r="R546" s="67" t="s">
        <v>36</v>
      </c>
      <c r="S546" s="67" t="s">
        <v>36</v>
      </c>
      <c r="T546" s="68">
        <v>46256.375</v>
      </c>
      <c r="U546" s="69">
        <v>0</v>
      </c>
    </row>
    <row r="547" spans="1:21">
      <c r="A547" s="64">
        <v>46256.416666666664</v>
      </c>
      <c r="B547" s="65" t="s">
        <v>29</v>
      </c>
      <c r="C547" s="66">
        <v>0</v>
      </c>
      <c r="D547" s="66">
        <v>0</v>
      </c>
      <c r="E547" s="66">
        <v>238</v>
      </c>
      <c r="F547" s="66">
        <v>78.053250000000006</v>
      </c>
      <c r="G547" s="49">
        <f t="shared" si="16"/>
        <v>0</v>
      </c>
      <c r="H547" s="44">
        <f t="shared" si="17"/>
        <v>0</v>
      </c>
      <c r="R547" s="67" t="s">
        <v>36</v>
      </c>
      <c r="S547" s="67" t="s">
        <v>36</v>
      </c>
      <c r="T547" s="68">
        <v>46256.416666666664</v>
      </c>
      <c r="U547" s="69">
        <v>0</v>
      </c>
    </row>
    <row r="548" spans="1:21">
      <c r="A548" s="64">
        <v>46256.458333333336</v>
      </c>
      <c r="B548" s="65" t="s">
        <v>29</v>
      </c>
      <c r="C548" s="66">
        <v>0</v>
      </c>
      <c r="D548" s="66">
        <v>0</v>
      </c>
      <c r="E548" s="66">
        <v>238</v>
      </c>
      <c r="F548" s="66">
        <v>78.053250000000006</v>
      </c>
      <c r="G548" s="49">
        <f t="shared" si="16"/>
        <v>0</v>
      </c>
      <c r="H548" s="44">
        <f t="shared" si="17"/>
        <v>0</v>
      </c>
      <c r="R548" s="67" t="s">
        <v>36</v>
      </c>
      <c r="S548" s="67" t="s">
        <v>36</v>
      </c>
      <c r="T548" s="68">
        <v>46256.458333333336</v>
      </c>
      <c r="U548" s="69">
        <v>0</v>
      </c>
    </row>
    <row r="549" spans="1:21">
      <c r="A549" s="64">
        <v>46256.5</v>
      </c>
      <c r="B549" s="65" t="s">
        <v>29</v>
      </c>
      <c r="C549" s="66">
        <v>0</v>
      </c>
      <c r="D549" s="66">
        <v>0</v>
      </c>
      <c r="E549" s="66">
        <v>238</v>
      </c>
      <c r="F549" s="66">
        <v>78.053250000000006</v>
      </c>
      <c r="G549" s="49">
        <f t="shared" si="16"/>
        <v>0</v>
      </c>
      <c r="H549" s="44">
        <f t="shared" si="17"/>
        <v>0</v>
      </c>
      <c r="R549" s="67" t="s">
        <v>36</v>
      </c>
      <c r="S549" s="67" t="s">
        <v>36</v>
      </c>
      <c r="T549" s="68">
        <v>46256.5</v>
      </c>
      <c r="U549" s="69">
        <v>0</v>
      </c>
    </row>
    <row r="550" spans="1:21">
      <c r="A550" s="64">
        <v>46256.541666666664</v>
      </c>
      <c r="B550" s="65" t="s">
        <v>29</v>
      </c>
      <c r="C550" s="66">
        <v>0</v>
      </c>
      <c r="D550" s="66">
        <v>0</v>
      </c>
      <c r="E550" s="66">
        <v>238</v>
      </c>
      <c r="F550" s="66">
        <v>78.053250000000006</v>
      </c>
      <c r="G550" s="49">
        <f t="shared" si="16"/>
        <v>0</v>
      </c>
      <c r="H550" s="44">
        <f t="shared" si="17"/>
        <v>0</v>
      </c>
      <c r="R550" s="67" t="s">
        <v>36</v>
      </c>
      <c r="S550" s="67" t="s">
        <v>36</v>
      </c>
      <c r="T550" s="68">
        <v>46256.541666666664</v>
      </c>
      <c r="U550" s="69">
        <v>0</v>
      </c>
    </row>
    <row r="551" spans="1:21">
      <c r="A551" s="64">
        <v>46256.583333333336</v>
      </c>
      <c r="B551" s="65" t="s">
        <v>29</v>
      </c>
      <c r="C551" s="66">
        <v>0</v>
      </c>
      <c r="D551" s="66">
        <v>0</v>
      </c>
      <c r="E551" s="66">
        <v>238</v>
      </c>
      <c r="F551" s="66">
        <v>78.053250000000006</v>
      </c>
      <c r="G551" s="49">
        <f t="shared" si="16"/>
        <v>0</v>
      </c>
      <c r="H551" s="44">
        <f t="shared" si="17"/>
        <v>0</v>
      </c>
      <c r="R551" s="67" t="s">
        <v>36</v>
      </c>
      <c r="S551" s="67" t="s">
        <v>36</v>
      </c>
      <c r="T551" s="68">
        <v>46256.583333333336</v>
      </c>
      <c r="U551" s="69">
        <v>0</v>
      </c>
    </row>
    <row r="552" spans="1:21">
      <c r="A552" s="64">
        <v>46256.625</v>
      </c>
      <c r="B552" s="65" t="s">
        <v>29</v>
      </c>
      <c r="C552" s="66">
        <v>0</v>
      </c>
      <c r="D552" s="66">
        <v>0</v>
      </c>
      <c r="E552" s="66">
        <v>238</v>
      </c>
      <c r="F552" s="66">
        <v>78.053250000000006</v>
      </c>
      <c r="G552" s="49">
        <f t="shared" si="16"/>
        <v>0</v>
      </c>
      <c r="H552" s="44">
        <f t="shared" si="17"/>
        <v>0</v>
      </c>
      <c r="R552" s="67" t="s">
        <v>36</v>
      </c>
      <c r="S552" s="67" t="s">
        <v>36</v>
      </c>
      <c r="T552" s="68">
        <v>46256.625</v>
      </c>
      <c r="U552" s="69">
        <v>0</v>
      </c>
    </row>
    <row r="553" spans="1:21">
      <c r="A553" s="64">
        <v>46256.666666666664</v>
      </c>
      <c r="B553" s="65" t="s">
        <v>29</v>
      </c>
      <c r="C553" s="66">
        <v>0</v>
      </c>
      <c r="D553" s="66">
        <v>0</v>
      </c>
      <c r="E553" s="66">
        <v>238</v>
      </c>
      <c r="F553" s="66">
        <v>78.053250000000006</v>
      </c>
      <c r="G553" s="49">
        <f t="shared" si="16"/>
        <v>0</v>
      </c>
      <c r="H553" s="44">
        <f t="shared" si="17"/>
        <v>0</v>
      </c>
      <c r="R553" s="67" t="s">
        <v>36</v>
      </c>
      <c r="S553" s="67" t="s">
        <v>36</v>
      </c>
      <c r="T553" s="68">
        <v>46256.666666666664</v>
      </c>
      <c r="U553" s="69">
        <v>0</v>
      </c>
    </row>
    <row r="554" spans="1:21">
      <c r="A554" s="64">
        <v>46256.708333333336</v>
      </c>
      <c r="B554" s="65" t="s">
        <v>29</v>
      </c>
      <c r="C554" s="66">
        <v>0</v>
      </c>
      <c r="D554" s="66">
        <v>0</v>
      </c>
      <c r="E554" s="66">
        <v>238</v>
      </c>
      <c r="F554" s="66">
        <v>78.053250000000006</v>
      </c>
      <c r="G554" s="49">
        <f t="shared" si="16"/>
        <v>0</v>
      </c>
      <c r="H554" s="44">
        <f t="shared" si="17"/>
        <v>0</v>
      </c>
      <c r="R554" s="67" t="s">
        <v>36</v>
      </c>
      <c r="S554" s="67" t="s">
        <v>36</v>
      </c>
      <c r="T554" s="68">
        <v>46256.708333333336</v>
      </c>
      <c r="U554" s="69">
        <v>0</v>
      </c>
    </row>
    <row r="555" spans="1:21">
      <c r="A555" s="64">
        <v>46256.75</v>
      </c>
      <c r="B555" s="65" t="s">
        <v>29</v>
      </c>
      <c r="C555" s="66">
        <v>0</v>
      </c>
      <c r="D555" s="66">
        <v>0</v>
      </c>
      <c r="E555" s="66">
        <v>238</v>
      </c>
      <c r="F555" s="66">
        <v>78.053250000000006</v>
      </c>
      <c r="G555" s="49">
        <f t="shared" si="16"/>
        <v>0</v>
      </c>
      <c r="H555" s="44">
        <f t="shared" si="17"/>
        <v>0</v>
      </c>
      <c r="R555" s="67" t="s">
        <v>36</v>
      </c>
      <c r="S555" s="67" t="s">
        <v>36</v>
      </c>
      <c r="T555" s="68">
        <v>46256.75</v>
      </c>
      <c r="U555" s="69">
        <v>0</v>
      </c>
    </row>
    <row r="556" spans="1:21">
      <c r="A556" s="64">
        <v>46256.791666666664</v>
      </c>
      <c r="B556" s="65" t="s">
        <v>29</v>
      </c>
      <c r="C556" s="66">
        <v>0</v>
      </c>
      <c r="D556" s="66">
        <v>0</v>
      </c>
      <c r="E556" s="66">
        <v>238</v>
      </c>
      <c r="F556" s="66">
        <v>78.053250000000006</v>
      </c>
      <c r="G556" s="49">
        <f t="shared" si="16"/>
        <v>0</v>
      </c>
      <c r="H556" s="44">
        <f t="shared" si="17"/>
        <v>0</v>
      </c>
      <c r="R556" s="67" t="s">
        <v>36</v>
      </c>
      <c r="S556" s="67" t="s">
        <v>36</v>
      </c>
      <c r="T556" s="68">
        <v>46256.791666666664</v>
      </c>
      <c r="U556" s="69">
        <v>0</v>
      </c>
    </row>
    <row r="557" spans="1:21">
      <c r="A557" s="64">
        <v>46256.833333333336</v>
      </c>
      <c r="B557" s="65" t="s">
        <v>29</v>
      </c>
      <c r="C557" s="66">
        <v>0</v>
      </c>
      <c r="D557" s="66">
        <v>0</v>
      </c>
      <c r="E557" s="66">
        <v>238</v>
      </c>
      <c r="F557" s="66">
        <v>78.053250000000006</v>
      </c>
      <c r="G557" s="49">
        <f t="shared" si="16"/>
        <v>0</v>
      </c>
      <c r="H557" s="44">
        <f t="shared" si="17"/>
        <v>0</v>
      </c>
      <c r="R557" s="67" t="s">
        <v>36</v>
      </c>
      <c r="S557" s="67" t="s">
        <v>36</v>
      </c>
      <c r="T557" s="68">
        <v>46256.833333333336</v>
      </c>
      <c r="U557" s="69">
        <v>0</v>
      </c>
    </row>
    <row r="558" spans="1:21">
      <c r="A558" s="64">
        <v>46256.875</v>
      </c>
      <c r="B558" s="65" t="s">
        <v>29</v>
      </c>
      <c r="C558" s="66">
        <v>0</v>
      </c>
      <c r="D558" s="66">
        <v>0</v>
      </c>
      <c r="E558" s="66">
        <v>238</v>
      </c>
      <c r="F558" s="66">
        <v>78.053250000000006</v>
      </c>
      <c r="G558" s="49">
        <f t="shared" si="16"/>
        <v>0</v>
      </c>
      <c r="H558" s="44">
        <f t="shared" si="17"/>
        <v>0</v>
      </c>
      <c r="R558" s="67" t="s">
        <v>36</v>
      </c>
      <c r="S558" s="67" t="s">
        <v>36</v>
      </c>
      <c r="T558" s="68">
        <v>46256.875</v>
      </c>
      <c r="U558" s="69">
        <v>0</v>
      </c>
    </row>
    <row r="559" spans="1:21">
      <c r="A559" s="64">
        <v>46256.916666666664</v>
      </c>
      <c r="B559" s="65" t="s">
        <v>29</v>
      </c>
      <c r="C559" s="66">
        <v>0</v>
      </c>
      <c r="D559" s="66">
        <v>0</v>
      </c>
      <c r="E559" s="66">
        <v>238</v>
      </c>
      <c r="F559" s="66">
        <v>78.053250000000006</v>
      </c>
      <c r="G559" s="49">
        <f t="shared" si="16"/>
        <v>0</v>
      </c>
      <c r="H559" s="44">
        <f t="shared" si="17"/>
        <v>0</v>
      </c>
      <c r="R559" s="67" t="s">
        <v>36</v>
      </c>
      <c r="S559" s="67" t="s">
        <v>36</v>
      </c>
      <c r="T559" s="68">
        <v>46256.916666666664</v>
      </c>
      <c r="U559" s="69">
        <v>0</v>
      </c>
    </row>
    <row r="560" spans="1:21">
      <c r="A560" s="64">
        <v>46256.958333333336</v>
      </c>
      <c r="B560" s="65" t="s">
        <v>29</v>
      </c>
      <c r="C560" s="66">
        <v>0</v>
      </c>
      <c r="D560" s="66">
        <v>0</v>
      </c>
      <c r="E560" s="66">
        <v>238</v>
      </c>
      <c r="F560" s="66">
        <v>78.053250000000006</v>
      </c>
      <c r="G560" s="49">
        <f t="shared" si="16"/>
        <v>0</v>
      </c>
      <c r="H560" s="44">
        <f t="shared" si="17"/>
        <v>0</v>
      </c>
      <c r="R560" s="67" t="s">
        <v>36</v>
      </c>
      <c r="S560" s="67" t="s">
        <v>36</v>
      </c>
      <c r="T560" s="68">
        <v>46256.958333333336</v>
      </c>
      <c r="U560" s="69">
        <v>0</v>
      </c>
    </row>
    <row r="561" spans="1:21">
      <c r="A561" s="64">
        <v>46257</v>
      </c>
      <c r="B561" s="65" t="s">
        <v>29</v>
      </c>
      <c r="C561" s="66">
        <v>0</v>
      </c>
      <c r="D561" s="66">
        <v>0</v>
      </c>
      <c r="E561" s="66">
        <v>238</v>
      </c>
      <c r="F561" s="66">
        <v>78.053250000000006</v>
      </c>
      <c r="G561" s="49">
        <f t="shared" si="16"/>
        <v>0</v>
      </c>
      <c r="H561" s="44">
        <f t="shared" si="17"/>
        <v>0</v>
      </c>
      <c r="R561" s="67" t="s">
        <v>36</v>
      </c>
      <c r="S561" s="67" t="s">
        <v>36</v>
      </c>
      <c r="T561" s="68">
        <v>46257</v>
      </c>
      <c r="U561" s="69">
        <v>0</v>
      </c>
    </row>
    <row r="562" spans="1:21">
      <c r="A562" s="64">
        <v>46257.041666666664</v>
      </c>
      <c r="B562" s="65" t="s">
        <v>29</v>
      </c>
      <c r="C562" s="66">
        <v>0</v>
      </c>
      <c r="D562" s="66">
        <v>0</v>
      </c>
      <c r="E562" s="66">
        <v>238</v>
      </c>
      <c r="F562" s="66">
        <v>78.053250000000006</v>
      </c>
      <c r="G562" s="49">
        <f t="shared" si="16"/>
        <v>0</v>
      </c>
      <c r="H562" s="44">
        <f t="shared" si="17"/>
        <v>0</v>
      </c>
      <c r="R562" s="67" t="s">
        <v>36</v>
      </c>
      <c r="S562" s="67" t="s">
        <v>36</v>
      </c>
      <c r="T562" s="68">
        <v>46257.041666666664</v>
      </c>
      <c r="U562" s="69">
        <v>0</v>
      </c>
    </row>
    <row r="563" spans="1:21">
      <c r="A563" s="64">
        <v>46257.083333333336</v>
      </c>
      <c r="B563" s="65" t="s">
        <v>29</v>
      </c>
      <c r="C563" s="66">
        <v>0</v>
      </c>
      <c r="D563" s="66">
        <v>0</v>
      </c>
      <c r="E563" s="66">
        <v>238</v>
      </c>
      <c r="F563" s="66">
        <v>78.053250000000006</v>
      </c>
      <c r="G563" s="49">
        <f t="shared" si="16"/>
        <v>0</v>
      </c>
      <c r="H563" s="44">
        <f t="shared" si="17"/>
        <v>0</v>
      </c>
      <c r="R563" s="67" t="s">
        <v>36</v>
      </c>
      <c r="S563" s="67" t="s">
        <v>36</v>
      </c>
      <c r="T563" s="68">
        <v>46257.083333333336</v>
      </c>
      <c r="U563" s="69">
        <v>0</v>
      </c>
    </row>
    <row r="564" spans="1:21">
      <c r="A564" s="64">
        <v>46257.125</v>
      </c>
      <c r="B564" s="65" t="s">
        <v>29</v>
      </c>
      <c r="C564" s="66">
        <v>0</v>
      </c>
      <c r="D564" s="66">
        <v>0</v>
      </c>
      <c r="E564" s="66">
        <v>238</v>
      </c>
      <c r="F564" s="66">
        <v>78.053250000000006</v>
      </c>
      <c r="G564" s="49">
        <f t="shared" si="16"/>
        <v>0</v>
      </c>
      <c r="H564" s="44">
        <f t="shared" si="17"/>
        <v>0</v>
      </c>
      <c r="R564" s="67" t="s">
        <v>36</v>
      </c>
      <c r="S564" s="67" t="s">
        <v>36</v>
      </c>
      <c r="T564" s="68">
        <v>46257.125</v>
      </c>
      <c r="U564" s="69">
        <v>0</v>
      </c>
    </row>
    <row r="565" spans="1:21">
      <c r="A565" s="64">
        <v>46257.166666666664</v>
      </c>
      <c r="B565" s="65" t="s">
        <v>29</v>
      </c>
      <c r="C565" s="66">
        <v>0</v>
      </c>
      <c r="D565" s="66">
        <v>0</v>
      </c>
      <c r="E565" s="66">
        <v>238</v>
      </c>
      <c r="F565" s="66">
        <v>78.053250000000006</v>
      </c>
      <c r="G565" s="49">
        <f t="shared" si="16"/>
        <v>0</v>
      </c>
      <c r="H565" s="44">
        <f t="shared" si="17"/>
        <v>0</v>
      </c>
      <c r="R565" s="67" t="s">
        <v>36</v>
      </c>
      <c r="S565" s="67" t="s">
        <v>36</v>
      </c>
      <c r="T565" s="68">
        <v>46257.166666666664</v>
      </c>
      <c r="U565" s="69">
        <v>0</v>
      </c>
    </row>
    <row r="566" spans="1:21">
      <c r="A566" s="64">
        <v>46257.208333333336</v>
      </c>
      <c r="B566" s="65" t="s">
        <v>29</v>
      </c>
      <c r="C566" s="66">
        <v>0</v>
      </c>
      <c r="D566" s="66">
        <v>0</v>
      </c>
      <c r="E566" s="66">
        <v>238</v>
      </c>
      <c r="F566" s="66">
        <v>78.053250000000006</v>
      </c>
      <c r="G566" s="49">
        <f t="shared" si="16"/>
        <v>0</v>
      </c>
      <c r="H566" s="44">
        <f t="shared" si="17"/>
        <v>0</v>
      </c>
      <c r="R566" s="67" t="s">
        <v>36</v>
      </c>
      <c r="S566" s="67" t="s">
        <v>36</v>
      </c>
      <c r="T566" s="68">
        <v>46257.208333333336</v>
      </c>
      <c r="U566" s="69">
        <v>0</v>
      </c>
    </row>
    <row r="567" spans="1:21">
      <c r="A567" s="64">
        <v>46257.25</v>
      </c>
      <c r="B567" s="65" t="s">
        <v>29</v>
      </c>
      <c r="C567" s="66">
        <v>0</v>
      </c>
      <c r="D567" s="66">
        <v>0</v>
      </c>
      <c r="E567" s="66">
        <v>238</v>
      </c>
      <c r="F567" s="66">
        <v>78.053250000000006</v>
      </c>
      <c r="G567" s="49">
        <f t="shared" si="16"/>
        <v>0</v>
      </c>
      <c r="H567" s="44">
        <f t="shared" si="17"/>
        <v>0</v>
      </c>
      <c r="R567" s="67" t="s">
        <v>36</v>
      </c>
      <c r="S567" s="67" t="s">
        <v>36</v>
      </c>
      <c r="T567" s="68">
        <v>46257.25</v>
      </c>
      <c r="U567" s="69">
        <v>0</v>
      </c>
    </row>
    <row r="568" spans="1:21">
      <c r="A568" s="64">
        <v>46257.291666666664</v>
      </c>
      <c r="B568" s="65" t="s">
        <v>29</v>
      </c>
      <c r="C568" s="66">
        <v>0</v>
      </c>
      <c r="D568" s="66">
        <v>0</v>
      </c>
      <c r="E568" s="66">
        <v>238</v>
      </c>
      <c r="F568" s="66">
        <v>78.053250000000006</v>
      </c>
      <c r="G568" s="49">
        <f t="shared" si="16"/>
        <v>0</v>
      </c>
      <c r="H568" s="44">
        <f t="shared" si="17"/>
        <v>0</v>
      </c>
      <c r="R568" s="67" t="s">
        <v>36</v>
      </c>
      <c r="S568" s="67" t="s">
        <v>36</v>
      </c>
      <c r="T568" s="68">
        <v>46257.291666666664</v>
      </c>
      <c r="U568" s="69">
        <v>0</v>
      </c>
    </row>
    <row r="569" spans="1:21">
      <c r="A569" s="64">
        <v>46257.333333333336</v>
      </c>
      <c r="B569" s="65" t="s">
        <v>29</v>
      </c>
      <c r="C569" s="66">
        <v>0</v>
      </c>
      <c r="D569" s="66">
        <v>0</v>
      </c>
      <c r="E569" s="66">
        <v>238</v>
      </c>
      <c r="F569" s="66">
        <v>78.053250000000006</v>
      </c>
      <c r="G569" s="49">
        <f t="shared" si="16"/>
        <v>0</v>
      </c>
      <c r="H569" s="44">
        <f t="shared" si="17"/>
        <v>0</v>
      </c>
      <c r="R569" s="67" t="s">
        <v>36</v>
      </c>
      <c r="S569" s="67" t="s">
        <v>36</v>
      </c>
      <c r="T569" s="68">
        <v>46257.333333333336</v>
      </c>
      <c r="U569" s="69">
        <v>0</v>
      </c>
    </row>
    <row r="570" spans="1:21">
      <c r="A570" s="64">
        <v>46257.375</v>
      </c>
      <c r="B570" s="65" t="s">
        <v>29</v>
      </c>
      <c r="C570" s="66">
        <v>0</v>
      </c>
      <c r="D570" s="66">
        <v>0</v>
      </c>
      <c r="E570" s="66">
        <v>238</v>
      </c>
      <c r="F570" s="66">
        <v>78.053250000000006</v>
      </c>
      <c r="G570" s="49">
        <f t="shared" si="16"/>
        <v>0</v>
      </c>
      <c r="H570" s="44">
        <f t="shared" si="17"/>
        <v>0</v>
      </c>
      <c r="R570" s="67" t="s">
        <v>36</v>
      </c>
      <c r="S570" s="67" t="s">
        <v>36</v>
      </c>
      <c r="T570" s="68">
        <v>46257.375</v>
      </c>
      <c r="U570" s="69">
        <v>0</v>
      </c>
    </row>
    <row r="571" spans="1:21">
      <c r="A571" s="64">
        <v>46257.416666666664</v>
      </c>
      <c r="B571" s="65" t="s">
        <v>29</v>
      </c>
      <c r="C571" s="66">
        <v>0</v>
      </c>
      <c r="D571" s="66">
        <v>0</v>
      </c>
      <c r="E571" s="66">
        <v>238</v>
      </c>
      <c r="F571" s="66">
        <v>78.053250000000006</v>
      </c>
      <c r="G571" s="49">
        <f t="shared" si="16"/>
        <v>0</v>
      </c>
      <c r="H571" s="44">
        <f t="shared" si="17"/>
        <v>0</v>
      </c>
      <c r="R571" s="67" t="s">
        <v>36</v>
      </c>
      <c r="S571" s="67" t="s">
        <v>36</v>
      </c>
      <c r="T571" s="68">
        <v>46257.416666666664</v>
      </c>
      <c r="U571" s="69">
        <v>0</v>
      </c>
    </row>
    <row r="572" spans="1:21">
      <c r="A572" s="64">
        <v>46257.458333333336</v>
      </c>
      <c r="B572" s="65" t="s">
        <v>29</v>
      </c>
      <c r="C572" s="66">
        <v>0</v>
      </c>
      <c r="D572" s="66">
        <v>0</v>
      </c>
      <c r="E572" s="66">
        <v>238</v>
      </c>
      <c r="F572" s="66">
        <v>78.053250000000006</v>
      </c>
      <c r="G572" s="49">
        <f t="shared" si="16"/>
        <v>0</v>
      </c>
      <c r="H572" s="44">
        <f t="shared" si="17"/>
        <v>0</v>
      </c>
      <c r="R572" s="67" t="s">
        <v>36</v>
      </c>
      <c r="S572" s="67" t="s">
        <v>36</v>
      </c>
      <c r="T572" s="68">
        <v>46257.458333333336</v>
      </c>
      <c r="U572" s="69">
        <v>0</v>
      </c>
    </row>
    <row r="573" spans="1:21">
      <c r="A573" s="64">
        <v>46257.5</v>
      </c>
      <c r="B573" s="65" t="s">
        <v>29</v>
      </c>
      <c r="C573" s="66">
        <v>0</v>
      </c>
      <c r="D573" s="66">
        <v>0</v>
      </c>
      <c r="E573" s="66">
        <v>238</v>
      </c>
      <c r="F573" s="66">
        <v>78.053250000000006</v>
      </c>
      <c r="G573" s="49">
        <f t="shared" si="16"/>
        <v>0</v>
      </c>
      <c r="H573" s="44">
        <f t="shared" si="17"/>
        <v>0</v>
      </c>
      <c r="R573" s="67" t="s">
        <v>36</v>
      </c>
      <c r="S573" s="67" t="s">
        <v>36</v>
      </c>
      <c r="T573" s="68">
        <v>46257.5</v>
      </c>
      <c r="U573" s="69">
        <v>0</v>
      </c>
    </row>
    <row r="574" spans="1:21">
      <c r="A574" s="64">
        <v>46257.541666666664</v>
      </c>
      <c r="B574" s="65" t="s">
        <v>29</v>
      </c>
      <c r="C574" s="66">
        <v>0</v>
      </c>
      <c r="D574" s="66">
        <v>0</v>
      </c>
      <c r="E574" s="66">
        <v>238</v>
      </c>
      <c r="F574" s="66">
        <v>78.053250000000006</v>
      </c>
      <c r="G574" s="49">
        <f t="shared" si="16"/>
        <v>0</v>
      </c>
      <c r="H574" s="44">
        <f t="shared" si="17"/>
        <v>0</v>
      </c>
      <c r="R574" s="67" t="s">
        <v>36</v>
      </c>
      <c r="S574" s="67" t="s">
        <v>36</v>
      </c>
      <c r="T574" s="68">
        <v>46257.541666666664</v>
      </c>
      <c r="U574" s="69">
        <v>0</v>
      </c>
    </row>
    <row r="575" spans="1:21">
      <c r="A575" s="64">
        <v>46257.583333333336</v>
      </c>
      <c r="B575" s="65" t="s">
        <v>29</v>
      </c>
      <c r="C575" s="66">
        <v>0</v>
      </c>
      <c r="D575" s="66">
        <v>0</v>
      </c>
      <c r="E575" s="66">
        <v>238</v>
      </c>
      <c r="F575" s="66">
        <v>78.053250000000006</v>
      </c>
      <c r="G575" s="49">
        <f t="shared" si="16"/>
        <v>0</v>
      </c>
      <c r="H575" s="44">
        <f t="shared" si="17"/>
        <v>0</v>
      </c>
      <c r="R575" s="67" t="s">
        <v>36</v>
      </c>
      <c r="S575" s="67" t="s">
        <v>36</v>
      </c>
      <c r="T575" s="68">
        <v>46257.583333333336</v>
      </c>
      <c r="U575" s="69">
        <v>0</v>
      </c>
    </row>
    <row r="576" spans="1:21">
      <c r="A576" s="64">
        <v>46257.625</v>
      </c>
      <c r="B576" s="65" t="s">
        <v>29</v>
      </c>
      <c r="C576" s="66">
        <v>0</v>
      </c>
      <c r="D576" s="66">
        <v>0</v>
      </c>
      <c r="E576" s="66">
        <v>238</v>
      </c>
      <c r="F576" s="66">
        <v>78.053250000000006</v>
      </c>
      <c r="G576" s="49">
        <f t="shared" si="16"/>
        <v>0</v>
      </c>
      <c r="H576" s="44">
        <f t="shared" si="17"/>
        <v>0</v>
      </c>
      <c r="R576" s="67" t="s">
        <v>36</v>
      </c>
      <c r="S576" s="67" t="s">
        <v>36</v>
      </c>
      <c r="T576" s="68">
        <v>46257.625</v>
      </c>
      <c r="U576" s="69">
        <v>0</v>
      </c>
    </row>
    <row r="577" spans="1:21">
      <c r="A577" s="64">
        <v>46257.666666666664</v>
      </c>
      <c r="B577" s="65" t="s">
        <v>29</v>
      </c>
      <c r="C577" s="66">
        <v>0</v>
      </c>
      <c r="D577" s="66">
        <v>0</v>
      </c>
      <c r="E577" s="66">
        <v>238</v>
      </c>
      <c r="F577" s="66">
        <v>78.053250000000006</v>
      </c>
      <c r="G577" s="49">
        <f t="shared" si="16"/>
        <v>0</v>
      </c>
      <c r="H577" s="44">
        <f t="shared" si="17"/>
        <v>0</v>
      </c>
      <c r="R577" s="67" t="s">
        <v>36</v>
      </c>
      <c r="S577" s="67" t="s">
        <v>36</v>
      </c>
      <c r="T577" s="68">
        <v>46257.666666666664</v>
      </c>
      <c r="U577" s="69">
        <v>0</v>
      </c>
    </row>
    <row r="578" spans="1:21">
      <c r="A578" s="64">
        <v>46257.708333333336</v>
      </c>
      <c r="B578" s="65" t="s">
        <v>29</v>
      </c>
      <c r="C578" s="66">
        <v>0</v>
      </c>
      <c r="D578" s="66">
        <v>0</v>
      </c>
      <c r="E578" s="66">
        <v>238</v>
      </c>
      <c r="F578" s="66">
        <v>78.053250000000006</v>
      </c>
      <c r="G578" s="49">
        <f t="shared" si="16"/>
        <v>0</v>
      </c>
      <c r="H578" s="44">
        <f t="shared" si="17"/>
        <v>0</v>
      </c>
      <c r="R578" s="67" t="s">
        <v>36</v>
      </c>
      <c r="S578" s="67" t="s">
        <v>36</v>
      </c>
      <c r="T578" s="68">
        <v>46257.708333333336</v>
      </c>
      <c r="U578" s="69">
        <v>0</v>
      </c>
    </row>
    <row r="579" spans="1:21">
      <c r="A579" s="64">
        <v>46257.75</v>
      </c>
      <c r="B579" s="65" t="s">
        <v>29</v>
      </c>
      <c r="C579" s="66">
        <v>0</v>
      </c>
      <c r="D579" s="66">
        <v>0</v>
      </c>
      <c r="E579" s="66">
        <v>238</v>
      </c>
      <c r="F579" s="66">
        <v>78.053250000000006</v>
      </c>
      <c r="G579" s="49">
        <f t="shared" ref="G579:G642" si="18">U579</f>
        <v>0</v>
      </c>
      <c r="H579" s="44">
        <f t="shared" ref="H579:H642" si="19">D579+G585</f>
        <v>0</v>
      </c>
      <c r="R579" s="67" t="s">
        <v>36</v>
      </c>
      <c r="S579" s="67" t="s">
        <v>36</v>
      </c>
      <c r="T579" s="68">
        <v>46257.75</v>
      </c>
      <c r="U579" s="69">
        <v>0</v>
      </c>
    </row>
    <row r="580" spans="1:21">
      <c r="A580" s="64">
        <v>46257.791666666664</v>
      </c>
      <c r="B580" s="65" t="s">
        <v>29</v>
      </c>
      <c r="C580" s="66">
        <v>0</v>
      </c>
      <c r="D580" s="66">
        <v>0</v>
      </c>
      <c r="E580" s="66">
        <v>238</v>
      </c>
      <c r="F580" s="66">
        <v>78.053250000000006</v>
      </c>
      <c r="G580" s="49">
        <f t="shared" si="18"/>
        <v>0</v>
      </c>
      <c r="H580" s="44">
        <f t="shared" si="19"/>
        <v>0</v>
      </c>
      <c r="R580" s="67" t="s">
        <v>36</v>
      </c>
      <c r="S580" s="67" t="s">
        <v>36</v>
      </c>
      <c r="T580" s="68">
        <v>46257.791666666664</v>
      </c>
      <c r="U580" s="69">
        <v>0</v>
      </c>
    </row>
    <row r="581" spans="1:21">
      <c r="A581" s="64">
        <v>46257.833333333336</v>
      </c>
      <c r="B581" s="65" t="s">
        <v>29</v>
      </c>
      <c r="C581" s="66">
        <v>0</v>
      </c>
      <c r="D581" s="66">
        <v>0</v>
      </c>
      <c r="E581" s="66">
        <v>238</v>
      </c>
      <c r="F581" s="66">
        <v>78.053250000000006</v>
      </c>
      <c r="G581" s="49">
        <f t="shared" si="18"/>
        <v>0</v>
      </c>
      <c r="H581" s="44">
        <f t="shared" si="19"/>
        <v>0</v>
      </c>
      <c r="R581" s="67" t="s">
        <v>36</v>
      </c>
      <c r="S581" s="67" t="s">
        <v>36</v>
      </c>
      <c r="T581" s="68">
        <v>46257.833333333336</v>
      </c>
      <c r="U581" s="69">
        <v>0</v>
      </c>
    </row>
    <row r="582" spans="1:21">
      <c r="A582" s="64">
        <v>46257.875</v>
      </c>
      <c r="B582" s="65" t="s">
        <v>29</v>
      </c>
      <c r="C582" s="66">
        <v>0</v>
      </c>
      <c r="D582" s="66">
        <v>0</v>
      </c>
      <c r="E582" s="66">
        <v>238</v>
      </c>
      <c r="F582" s="66">
        <v>78.053250000000006</v>
      </c>
      <c r="G582" s="49">
        <f t="shared" si="18"/>
        <v>0</v>
      </c>
      <c r="H582" s="44">
        <f t="shared" si="19"/>
        <v>0</v>
      </c>
      <c r="R582" s="67" t="s">
        <v>36</v>
      </c>
      <c r="S582" s="67" t="s">
        <v>36</v>
      </c>
      <c r="T582" s="68">
        <v>46257.875</v>
      </c>
      <c r="U582" s="69">
        <v>0</v>
      </c>
    </row>
    <row r="583" spans="1:21">
      <c r="A583" s="64">
        <v>46257.916666666664</v>
      </c>
      <c r="B583" s="65" t="s">
        <v>29</v>
      </c>
      <c r="C583" s="66">
        <v>0</v>
      </c>
      <c r="D583" s="66">
        <v>0</v>
      </c>
      <c r="E583" s="66">
        <v>238</v>
      </c>
      <c r="F583" s="66">
        <v>78.053250000000006</v>
      </c>
      <c r="G583" s="49">
        <f t="shared" si="18"/>
        <v>0</v>
      </c>
      <c r="H583" s="44">
        <f t="shared" si="19"/>
        <v>0</v>
      </c>
      <c r="R583" s="67" t="s">
        <v>36</v>
      </c>
      <c r="S583" s="67" t="s">
        <v>36</v>
      </c>
      <c r="T583" s="68">
        <v>46257.916666666664</v>
      </c>
      <c r="U583" s="69">
        <v>0</v>
      </c>
    </row>
    <row r="584" spans="1:21">
      <c r="A584" s="64">
        <v>46257.958333333336</v>
      </c>
      <c r="B584" s="65" t="s">
        <v>29</v>
      </c>
      <c r="C584" s="66">
        <v>0</v>
      </c>
      <c r="D584" s="66">
        <v>0</v>
      </c>
      <c r="E584" s="66">
        <v>238</v>
      </c>
      <c r="F584" s="66">
        <v>78.053250000000006</v>
      </c>
      <c r="G584" s="49">
        <f t="shared" si="18"/>
        <v>0</v>
      </c>
      <c r="H584" s="44">
        <f t="shared" si="19"/>
        <v>0</v>
      </c>
      <c r="R584" s="67" t="s">
        <v>36</v>
      </c>
      <c r="S584" s="67" t="s">
        <v>36</v>
      </c>
      <c r="T584" s="68">
        <v>46257.958333333336</v>
      </c>
      <c r="U584" s="69">
        <v>0</v>
      </c>
    </row>
    <row r="585" spans="1:21">
      <c r="A585" s="64">
        <v>46258</v>
      </c>
      <c r="B585" s="65" t="s">
        <v>29</v>
      </c>
      <c r="C585" s="66">
        <v>0</v>
      </c>
      <c r="D585" s="66">
        <v>0</v>
      </c>
      <c r="E585" s="66">
        <v>238</v>
      </c>
      <c r="F585" s="66">
        <v>78.053250000000006</v>
      </c>
      <c r="G585" s="49">
        <f t="shared" si="18"/>
        <v>0</v>
      </c>
      <c r="H585" s="44">
        <f t="shared" si="19"/>
        <v>0</v>
      </c>
      <c r="R585" s="67" t="s">
        <v>36</v>
      </c>
      <c r="S585" s="67" t="s">
        <v>36</v>
      </c>
      <c r="T585" s="68">
        <v>46258</v>
      </c>
      <c r="U585" s="69">
        <v>0</v>
      </c>
    </row>
    <row r="586" spans="1:21">
      <c r="A586" s="64">
        <v>46258.041666666664</v>
      </c>
      <c r="B586" s="65" t="s">
        <v>29</v>
      </c>
      <c r="C586" s="66">
        <v>0</v>
      </c>
      <c r="D586" s="66">
        <v>0</v>
      </c>
      <c r="E586" s="66">
        <v>238</v>
      </c>
      <c r="F586" s="66">
        <v>78.053250000000006</v>
      </c>
      <c r="G586" s="49">
        <f t="shared" si="18"/>
        <v>0</v>
      </c>
      <c r="H586" s="44">
        <f t="shared" si="19"/>
        <v>0</v>
      </c>
      <c r="R586" s="67" t="s">
        <v>36</v>
      </c>
      <c r="S586" s="67" t="s">
        <v>36</v>
      </c>
      <c r="T586" s="68">
        <v>46258.041666666664</v>
      </c>
      <c r="U586" s="69">
        <v>0</v>
      </c>
    </row>
    <row r="587" spans="1:21">
      <c r="A587" s="64">
        <v>46258.083333333336</v>
      </c>
      <c r="B587" s="65" t="s">
        <v>29</v>
      </c>
      <c r="C587" s="66">
        <v>0</v>
      </c>
      <c r="D587" s="66">
        <v>0</v>
      </c>
      <c r="E587" s="66">
        <v>238</v>
      </c>
      <c r="F587" s="66">
        <v>78.053250000000006</v>
      </c>
      <c r="G587" s="49">
        <f t="shared" si="18"/>
        <v>0</v>
      </c>
      <c r="H587" s="44">
        <f t="shared" si="19"/>
        <v>0</v>
      </c>
      <c r="R587" s="67" t="s">
        <v>36</v>
      </c>
      <c r="S587" s="67" t="s">
        <v>36</v>
      </c>
      <c r="T587" s="68">
        <v>46258.083333333336</v>
      </c>
      <c r="U587" s="69">
        <v>0</v>
      </c>
    </row>
    <row r="588" spans="1:21">
      <c r="A588" s="64">
        <v>46258.125</v>
      </c>
      <c r="B588" s="65" t="s">
        <v>29</v>
      </c>
      <c r="C588" s="66">
        <v>0</v>
      </c>
      <c r="D588" s="66">
        <v>0</v>
      </c>
      <c r="E588" s="66">
        <v>238</v>
      </c>
      <c r="F588" s="66">
        <v>78.053250000000006</v>
      </c>
      <c r="G588" s="49">
        <f t="shared" si="18"/>
        <v>0</v>
      </c>
      <c r="H588" s="44">
        <f t="shared" si="19"/>
        <v>0</v>
      </c>
      <c r="R588" s="67" t="s">
        <v>36</v>
      </c>
      <c r="S588" s="67" t="s">
        <v>36</v>
      </c>
      <c r="T588" s="68">
        <v>46258.125</v>
      </c>
      <c r="U588" s="69">
        <v>0</v>
      </c>
    </row>
    <row r="589" spans="1:21">
      <c r="A589" s="64">
        <v>46258.166666666664</v>
      </c>
      <c r="B589" s="65" t="s">
        <v>29</v>
      </c>
      <c r="C589" s="66">
        <v>0</v>
      </c>
      <c r="D589" s="66">
        <v>0</v>
      </c>
      <c r="E589" s="66">
        <v>238</v>
      </c>
      <c r="F589" s="66">
        <v>78.053250000000006</v>
      </c>
      <c r="G589" s="49">
        <f t="shared" si="18"/>
        <v>0</v>
      </c>
      <c r="H589" s="44">
        <f t="shared" si="19"/>
        <v>0</v>
      </c>
      <c r="R589" s="67" t="s">
        <v>36</v>
      </c>
      <c r="S589" s="67" t="s">
        <v>36</v>
      </c>
      <c r="T589" s="68">
        <v>46258.166666666664</v>
      </c>
      <c r="U589" s="69">
        <v>0</v>
      </c>
    </row>
    <row r="590" spans="1:21">
      <c r="A590" s="64">
        <v>46258.208333333336</v>
      </c>
      <c r="B590" s="65" t="s">
        <v>29</v>
      </c>
      <c r="C590" s="66">
        <v>0</v>
      </c>
      <c r="D590" s="66">
        <v>0</v>
      </c>
      <c r="E590" s="66">
        <v>238</v>
      </c>
      <c r="F590" s="66">
        <v>78.053250000000006</v>
      </c>
      <c r="G590" s="49">
        <f t="shared" si="18"/>
        <v>0</v>
      </c>
      <c r="H590" s="44">
        <f t="shared" si="19"/>
        <v>0</v>
      </c>
      <c r="R590" s="67" t="s">
        <v>36</v>
      </c>
      <c r="S590" s="67" t="s">
        <v>36</v>
      </c>
      <c r="T590" s="68">
        <v>46258.208333333336</v>
      </c>
      <c r="U590" s="69">
        <v>0</v>
      </c>
    </row>
    <row r="591" spans="1:21">
      <c r="A591" s="64">
        <v>46258.25</v>
      </c>
      <c r="B591" s="65" t="s">
        <v>29</v>
      </c>
      <c r="C591" s="66">
        <v>0</v>
      </c>
      <c r="D591" s="66">
        <v>0</v>
      </c>
      <c r="E591" s="66">
        <v>238</v>
      </c>
      <c r="F591" s="66">
        <v>78.053250000000006</v>
      </c>
      <c r="G591" s="49">
        <f t="shared" si="18"/>
        <v>0</v>
      </c>
      <c r="H591" s="44">
        <f t="shared" si="19"/>
        <v>0</v>
      </c>
      <c r="R591" s="67" t="s">
        <v>36</v>
      </c>
      <c r="S591" s="67" t="s">
        <v>36</v>
      </c>
      <c r="T591" s="68">
        <v>46258.25</v>
      </c>
      <c r="U591" s="69">
        <v>0</v>
      </c>
    </row>
    <row r="592" spans="1:21">
      <c r="A592" s="64">
        <v>46258.291666666664</v>
      </c>
      <c r="B592" s="65" t="s">
        <v>29</v>
      </c>
      <c r="C592" s="66">
        <v>0</v>
      </c>
      <c r="D592" s="66">
        <v>0</v>
      </c>
      <c r="E592" s="66">
        <v>238</v>
      </c>
      <c r="F592" s="66">
        <v>78.053250000000006</v>
      </c>
      <c r="G592" s="49">
        <f t="shared" si="18"/>
        <v>0</v>
      </c>
      <c r="H592" s="44">
        <f t="shared" si="19"/>
        <v>0</v>
      </c>
      <c r="R592" s="67" t="s">
        <v>36</v>
      </c>
      <c r="S592" s="67" t="s">
        <v>36</v>
      </c>
      <c r="T592" s="68">
        <v>46258.291666666664</v>
      </c>
      <c r="U592" s="69">
        <v>0</v>
      </c>
    </row>
    <row r="593" spans="1:21">
      <c r="A593" s="64">
        <v>46258.333333333336</v>
      </c>
      <c r="B593" s="65" t="s">
        <v>29</v>
      </c>
      <c r="C593" s="66">
        <v>0</v>
      </c>
      <c r="D593" s="66">
        <v>0</v>
      </c>
      <c r="E593" s="66">
        <v>238</v>
      </c>
      <c r="F593" s="66">
        <v>78.053250000000006</v>
      </c>
      <c r="G593" s="49">
        <f t="shared" si="18"/>
        <v>0</v>
      </c>
      <c r="H593" s="44">
        <f t="shared" si="19"/>
        <v>0</v>
      </c>
      <c r="R593" s="67" t="s">
        <v>36</v>
      </c>
      <c r="S593" s="67" t="s">
        <v>36</v>
      </c>
      <c r="T593" s="68">
        <v>46258.333333333336</v>
      </c>
      <c r="U593" s="69">
        <v>0</v>
      </c>
    </row>
    <row r="594" spans="1:21">
      <c r="A594" s="64">
        <v>46258.375</v>
      </c>
      <c r="B594" s="65" t="s">
        <v>29</v>
      </c>
      <c r="C594" s="66">
        <v>0</v>
      </c>
      <c r="D594" s="66">
        <v>0</v>
      </c>
      <c r="E594" s="66">
        <v>238</v>
      </c>
      <c r="F594" s="66">
        <v>78.053250000000006</v>
      </c>
      <c r="G594" s="49">
        <f t="shared" si="18"/>
        <v>0</v>
      </c>
      <c r="H594" s="44">
        <f t="shared" si="19"/>
        <v>0</v>
      </c>
      <c r="R594" s="67" t="s">
        <v>36</v>
      </c>
      <c r="S594" s="67" t="s">
        <v>36</v>
      </c>
      <c r="T594" s="68">
        <v>46258.375</v>
      </c>
      <c r="U594" s="69">
        <v>0</v>
      </c>
    </row>
    <row r="595" spans="1:21">
      <c r="A595" s="64">
        <v>46258.416666666664</v>
      </c>
      <c r="B595" s="65" t="s">
        <v>29</v>
      </c>
      <c r="C595" s="66">
        <v>0</v>
      </c>
      <c r="D595" s="66">
        <v>0</v>
      </c>
      <c r="E595" s="66">
        <v>238</v>
      </c>
      <c r="F595" s="66">
        <v>78.053250000000006</v>
      </c>
      <c r="G595" s="49">
        <f t="shared" si="18"/>
        <v>0</v>
      </c>
      <c r="H595" s="44">
        <f t="shared" si="19"/>
        <v>0</v>
      </c>
      <c r="R595" s="67" t="s">
        <v>36</v>
      </c>
      <c r="S595" s="67" t="s">
        <v>36</v>
      </c>
      <c r="T595" s="68">
        <v>46258.416666666664</v>
      </c>
      <c r="U595" s="69">
        <v>0</v>
      </c>
    </row>
    <row r="596" spans="1:21">
      <c r="A596" s="64">
        <v>46258.458333333336</v>
      </c>
      <c r="B596" s="65" t="s">
        <v>29</v>
      </c>
      <c r="C596" s="66">
        <v>0</v>
      </c>
      <c r="D596" s="66">
        <v>0</v>
      </c>
      <c r="E596" s="66">
        <v>238</v>
      </c>
      <c r="F596" s="66">
        <v>78.053250000000006</v>
      </c>
      <c r="G596" s="49">
        <f t="shared" si="18"/>
        <v>0</v>
      </c>
      <c r="H596" s="44">
        <f t="shared" si="19"/>
        <v>0</v>
      </c>
      <c r="R596" s="67" t="s">
        <v>36</v>
      </c>
      <c r="S596" s="67" t="s">
        <v>36</v>
      </c>
      <c r="T596" s="68">
        <v>46258.458333333336</v>
      </c>
      <c r="U596" s="69">
        <v>0</v>
      </c>
    </row>
    <row r="597" spans="1:21">
      <c r="A597" s="64">
        <v>46258.5</v>
      </c>
      <c r="B597" s="65" t="s">
        <v>29</v>
      </c>
      <c r="C597" s="66">
        <v>0</v>
      </c>
      <c r="D597" s="66">
        <v>0</v>
      </c>
      <c r="E597" s="66">
        <v>238</v>
      </c>
      <c r="F597" s="66">
        <v>78.053250000000006</v>
      </c>
      <c r="G597" s="49">
        <f t="shared" si="18"/>
        <v>0</v>
      </c>
      <c r="H597" s="44">
        <f t="shared" si="19"/>
        <v>0</v>
      </c>
      <c r="R597" s="67" t="s">
        <v>36</v>
      </c>
      <c r="S597" s="67" t="s">
        <v>36</v>
      </c>
      <c r="T597" s="68">
        <v>46258.5</v>
      </c>
      <c r="U597" s="69">
        <v>0</v>
      </c>
    </row>
    <row r="598" spans="1:21">
      <c r="A598" s="64">
        <v>46258.541666666664</v>
      </c>
      <c r="B598" s="65" t="s">
        <v>29</v>
      </c>
      <c r="C598" s="66">
        <v>0</v>
      </c>
      <c r="D598" s="66">
        <v>0</v>
      </c>
      <c r="E598" s="66">
        <v>238</v>
      </c>
      <c r="F598" s="66">
        <v>78.053250000000006</v>
      </c>
      <c r="G598" s="49">
        <f t="shared" si="18"/>
        <v>0</v>
      </c>
      <c r="H598" s="44">
        <f t="shared" si="19"/>
        <v>0</v>
      </c>
      <c r="R598" s="67" t="s">
        <v>36</v>
      </c>
      <c r="S598" s="67" t="s">
        <v>36</v>
      </c>
      <c r="T598" s="68">
        <v>46258.541666666664</v>
      </c>
      <c r="U598" s="69">
        <v>0</v>
      </c>
    </row>
    <row r="599" spans="1:21">
      <c r="A599" s="64">
        <v>46258.583333333336</v>
      </c>
      <c r="B599" s="65" t="s">
        <v>29</v>
      </c>
      <c r="C599" s="66">
        <v>0</v>
      </c>
      <c r="D599" s="66">
        <v>0</v>
      </c>
      <c r="E599" s="66">
        <v>238</v>
      </c>
      <c r="F599" s="66">
        <v>78.053250000000006</v>
      </c>
      <c r="G599" s="49">
        <f t="shared" si="18"/>
        <v>0</v>
      </c>
      <c r="H599" s="44">
        <f t="shared" si="19"/>
        <v>0</v>
      </c>
      <c r="R599" s="67" t="s">
        <v>36</v>
      </c>
      <c r="S599" s="67" t="s">
        <v>36</v>
      </c>
      <c r="T599" s="68">
        <v>46258.583333333336</v>
      </c>
      <c r="U599" s="69">
        <v>0</v>
      </c>
    </row>
    <row r="600" spans="1:21">
      <c r="A600" s="64">
        <v>46258.625</v>
      </c>
      <c r="B600" s="65" t="s">
        <v>29</v>
      </c>
      <c r="C600" s="66">
        <v>0</v>
      </c>
      <c r="D600" s="66">
        <v>0</v>
      </c>
      <c r="E600" s="66">
        <v>238</v>
      </c>
      <c r="F600" s="66">
        <v>78.053250000000006</v>
      </c>
      <c r="G600" s="49">
        <f t="shared" si="18"/>
        <v>0</v>
      </c>
      <c r="H600" s="44">
        <f t="shared" si="19"/>
        <v>0</v>
      </c>
      <c r="R600" s="67" t="s">
        <v>36</v>
      </c>
      <c r="S600" s="67" t="s">
        <v>36</v>
      </c>
      <c r="T600" s="68">
        <v>46258.625</v>
      </c>
      <c r="U600" s="69">
        <v>0</v>
      </c>
    </row>
    <row r="601" spans="1:21">
      <c r="A601" s="64">
        <v>46258.666666666664</v>
      </c>
      <c r="B601" s="65" t="s">
        <v>29</v>
      </c>
      <c r="C601" s="66">
        <v>0</v>
      </c>
      <c r="D601" s="66">
        <v>0</v>
      </c>
      <c r="E601" s="66">
        <v>238</v>
      </c>
      <c r="F601" s="66">
        <v>78.053250000000006</v>
      </c>
      <c r="G601" s="49">
        <f t="shared" si="18"/>
        <v>0</v>
      </c>
      <c r="H601" s="44">
        <f t="shared" si="19"/>
        <v>0</v>
      </c>
      <c r="R601" s="67" t="s">
        <v>36</v>
      </c>
      <c r="S601" s="67" t="s">
        <v>36</v>
      </c>
      <c r="T601" s="68">
        <v>46258.666666666664</v>
      </c>
      <c r="U601" s="69">
        <v>0</v>
      </c>
    </row>
    <row r="602" spans="1:21">
      <c r="A602" s="64">
        <v>46258.708333333336</v>
      </c>
      <c r="B602" s="65" t="s">
        <v>29</v>
      </c>
      <c r="C602" s="66">
        <v>0</v>
      </c>
      <c r="D602" s="66">
        <v>0</v>
      </c>
      <c r="E602" s="66">
        <v>238</v>
      </c>
      <c r="F602" s="66">
        <v>78.053250000000006</v>
      </c>
      <c r="G602" s="49">
        <f t="shared" si="18"/>
        <v>0</v>
      </c>
      <c r="H602" s="44">
        <f t="shared" si="19"/>
        <v>0</v>
      </c>
      <c r="R602" s="67" t="s">
        <v>36</v>
      </c>
      <c r="S602" s="67" t="s">
        <v>36</v>
      </c>
      <c r="T602" s="68">
        <v>46258.708333333336</v>
      </c>
      <c r="U602" s="69">
        <v>0</v>
      </c>
    </row>
    <row r="603" spans="1:21">
      <c r="A603" s="64">
        <v>46258.75</v>
      </c>
      <c r="B603" s="65" t="s">
        <v>29</v>
      </c>
      <c r="C603" s="66">
        <v>0</v>
      </c>
      <c r="D603" s="66">
        <v>0</v>
      </c>
      <c r="E603" s="66">
        <v>238</v>
      </c>
      <c r="F603" s="66">
        <v>78.053250000000006</v>
      </c>
      <c r="G603" s="49">
        <f t="shared" si="18"/>
        <v>0</v>
      </c>
      <c r="H603" s="44">
        <f t="shared" si="19"/>
        <v>0</v>
      </c>
      <c r="R603" s="67" t="s">
        <v>36</v>
      </c>
      <c r="S603" s="67" t="s">
        <v>36</v>
      </c>
      <c r="T603" s="68">
        <v>46258.75</v>
      </c>
      <c r="U603" s="69">
        <v>0</v>
      </c>
    </row>
    <row r="604" spans="1:21">
      <c r="A604" s="64">
        <v>46258.791666666664</v>
      </c>
      <c r="B604" s="65" t="s">
        <v>29</v>
      </c>
      <c r="C604" s="66">
        <v>0</v>
      </c>
      <c r="D604" s="66">
        <v>0</v>
      </c>
      <c r="E604" s="66">
        <v>238</v>
      </c>
      <c r="F604" s="66">
        <v>78.053250000000006</v>
      </c>
      <c r="G604" s="49">
        <f t="shared" si="18"/>
        <v>0</v>
      </c>
      <c r="H604" s="44">
        <f t="shared" si="19"/>
        <v>0</v>
      </c>
      <c r="R604" s="67" t="s">
        <v>36</v>
      </c>
      <c r="S604" s="67" t="s">
        <v>36</v>
      </c>
      <c r="T604" s="68">
        <v>46258.791666666664</v>
      </c>
      <c r="U604" s="69">
        <v>0</v>
      </c>
    </row>
    <row r="605" spans="1:21">
      <c r="A605" s="64">
        <v>46258.833333333336</v>
      </c>
      <c r="B605" s="65" t="s">
        <v>29</v>
      </c>
      <c r="C605" s="66">
        <v>0</v>
      </c>
      <c r="D605" s="66">
        <v>0</v>
      </c>
      <c r="E605" s="66">
        <v>238</v>
      </c>
      <c r="F605" s="66">
        <v>78.053250000000006</v>
      </c>
      <c r="G605" s="49">
        <f t="shared" si="18"/>
        <v>0</v>
      </c>
      <c r="H605" s="44">
        <f t="shared" si="19"/>
        <v>0</v>
      </c>
      <c r="R605" s="67" t="s">
        <v>36</v>
      </c>
      <c r="S605" s="67" t="s">
        <v>36</v>
      </c>
      <c r="T605" s="68">
        <v>46258.833333333336</v>
      </c>
      <c r="U605" s="69">
        <v>0</v>
      </c>
    </row>
    <row r="606" spans="1:21">
      <c r="A606" s="64">
        <v>46258.875</v>
      </c>
      <c r="B606" s="65" t="s">
        <v>29</v>
      </c>
      <c r="C606" s="66">
        <v>0</v>
      </c>
      <c r="D606" s="66">
        <v>0</v>
      </c>
      <c r="E606" s="66">
        <v>238</v>
      </c>
      <c r="F606" s="66">
        <v>78.053250000000006</v>
      </c>
      <c r="G606" s="49">
        <f t="shared" si="18"/>
        <v>0</v>
      </c>
      <c r="H606" s="44">
        <f t="shared" si="19"/>
        <v>0</v>
      </c>
      <c r="R606" s="67" t="s">
        <v>36</v>
      </c>
      <c r="S606" s="67" t="s">
        <v>36</v>
      </c>
      <c r="T606" s="68">
        <v>46258.875</v>
      </c>
      <c r="U606" s="69">
        <v>0</v>
      </c>
    </row>
    <row r="607" spans="1:21">
      <c r="A607" s="64">
        <v>46258.916666666664</v>
      </c>
      <c r="B607" s="65" t="s">
        <v>29</v>
      </c>
      <c r="C607" s="66">
        <v>0</v>
      </c>
      <c r="D607" s="66">
        <v>0</v>
      </c>
      <c r="E607" s="66">
        <v>238</v>
      </c>
      <c r="F607" s="66">
        <v>78.053250000000006</v>
      </c>
      <c r="G607" s="49">
        <f t="shared" si="18"/>
        <v>0</v>
      </c>
      <c r="H607" s="44">
        <f t="shared" si="19"/>
        <v>0</v>
      </c>
      <c r="R607" s="67" t="s">
        <v>36</v>
      </c>
      <c r="S607" s="67" t="s">
        <v>36</v>
      </c>
      <c r="T607" s="68">
        <v>46258.916666666664</v>
      </c>
      <c r="U607" s="69">
        <v>0</v>
      </c>
    </row>
    <row r="608" spans="1:21">
      <c r="A608" s="64">
        <v>46258.958333333336</v>
      </c>
      <c r="B608" s="65" t="s">
        <v>29</v>
      </c>
      <c r="C608" s="66">
        <v>0</v>
      </c>
      <c r="D608" s="66">
        <v>0</v>
      </c>
      <c r="E608" s="66">
        <v>238</v>
      </c>
      <c r="F608" s="66">
        <v>78.053250000000006</v>
      </c>
      <c r="G608" s="49">
        <f t="shared" si="18"/>
        <v>0</v>
      </c>
      <c r="H608" s="44">
        <f t="shared" si="19"/>
        <v>0</v>
      </c>
      <c r="R608" s="67" t="s">
        <v>36</v>
      </c>
      <c r="S608" s="67" t="s">
        <v>36</v>
      </c>
      <c r="T608" s="68">
        <v>46258.958333333336</v>
      </c>
      <c r="U608" s="69">
        <v>0</v>
      </c>
    </row>
    <row r="609" spans="1:21">
      <c r="A609" s="64">
        <v>46259</v>
      </c>
      <c r="B609" s="65" t="s">
        <v>29</v>
      </c>
      <c r="C609" s="66">
        <v>0</v>
      </c>
      <c r="D609" s="66">
        <v>0</v>
      </c>
      <c r="E609" s="66">
        <v>238</v>
      </c>
      <c r="F609" s="66">
        <v>78.053250000000006</v>
      </c>
      <c r="G609" s="49">
        <f t="shared" si="18"/>
        <v>0</v>
      </c>
      <c r="H609" s="44">
        <f t="shared" si="19"/>
        <v>0</v>
      </c>
      <c r="R609" s="67" t="s">
        <v>36</v>
      </c>
      <c r="S609" s="67" t="s">
        <v>36</v>
      </c>
      <c r="T609" s="68">
        <v>46259</v>
      </c>
      <c r="U609" s="69">
        <v>0</v>
      </c>
    </row>
    <row r="610" spans="1:21">
      <c r="A610" s="64">
        <v>46259.041666666664</v>
      </c>
      <c r="B610" s="65" t="s">
        <v>29</v>
      </c>
      <c r="C610" s="66">
        <v>0</v>
      </c>
      <c r="D610" s="66">
        <v>0</v>
      </c>
      <c r="E610" s="66">
        <v>238</v>
      </c>
      <c r="F610" s="66">
        <v>78.053250000000006</v>
      </c>
      <c r="G610" s="49">
        <f t="shared" si="18"/>
        <v>0</v>
      </c>
      <c r="H610" s="44">
        <f t="shared" si="19"/>
        <v>0</v>
      </c>
      <c r="R610" s="67" t="s">
        <v>36</v>
      </c>
      <c r="S610" s="67" t="s">
        <v>36</v>
      </c>
      <c r="T610" s="68">
        <v>46259.041666666664</v>
      </c>
      <c r="U610" s="69">
        <v>0</v>
      </c>
    </row>
    <row r="611" spans="1:21">
      <c r="A611" s="64">
        <v>46259.083333333336</v>
      </c>
      <c r="B611" s="65" t="s">
        <v>29</v>
      </c>
      <c r="C611" s="66">
        <v>0</v>
      </c>
      <c r="D611" s="66">
        <v>0</v>
      </c>
      <c r="E611" s="66">
        <v>238</v>
      </c>
      <c r="F611" s="66">
        <v>78.053250000000006</v>
      </c>
      <c r="G611" s="49">
        <f t="shared" si="18"/>
        <v>0</v>
      </c>
      <c r="H611" s="44">
        <f t="shared" si="19"/>
        <v>0</v>
      </c>
      <c r="R611" s="67" t="s">
        <v>36</v>
      </c>
      <c r="S611" s="67" t="s">
        <v>36</v>
      </c>
      <c r="T611" s="68">
        <v>46259.083333333336</v>
      </c>
      <c r="U611" s="69">
        <v>0</v>
      </c>
    </row>
    <row r="612" spans="1:21">
      <c r="A612" s="64">
        <v>46259.125</v>
      </c>
      <c r="B612" s="65" t="s">
        <v>29</v>
      </c>
      <c r="C612" s="66">
        <v>0</v>
      </c>
      <c r="D612" s="66">
        <v>0</v>
      </c>
      <c r="E612" s="66">
        <v>238</v>
      </c>
      <c r="F612" s="66">
        <v>78.053250000000006</v>
      </c>
      <c r="G612" s="49">
        <f t="shared" si="18"/>
        <v>0</v>
      </c>
      <c r="H612" s="44">
        <f t="shared" si="19"/>
        <v>0</v>
      </c>
      <c r="R612" s="67" t="s">
        <v>36</v>
      </c>
      <c r="S612" s="67" t="s">
        <v>36</v>
      </c>
      <c r="T612" s="68">
        <v>46259.125</v>
      </c>
      <c r="U612" s="69">
        <v>0</v>
      </c>
    </row>
    <row r="613" spans="1:21">
      <c r="A613" s="64">
        <v>46259.166666666664</v>
      </c>
      <c r="B613" s="65" t="s">
        <v>29</v>
      </c>
      <c r="C613" s="66">
        <v>0</v>
      </c>
      <c r="D613" s="66">
        <v>0</v>
      </c>
      <c r="E613" s="66">
        <v>238</v>
      </c>
      <c r="F613" s="66">
        <v>78.053250000000006</v>
      </c>
      <c r="G613" s="49">
        <f t="shared" si="18"/>
        <v>0</v>
      </c>
      <c r="H613" s="44">
        <f t="shared" si="19"/>
        <v>0</v>
      </c>
      <c r="R613" s="67" t="s">
        <v>36</v>
      </c>
      <c r="S613" s="67" t="s">
        <v>36</v>
      </c>
      <c r="T613" s="68">
        <v>46259.166666666664</v>
      </c>
      <c r="U613" s="69">
        <v>0</v>
      </c>
    </row>
    <row r="614" spans="1:21">
      <c r="A614" s="64">
        <v>46259.208333333336</v>
      </c>
      <c r="B614" s="65" t="s">
        <v>29</v>
      </c>
      <c r="C614" s="66">
        <v>0</v>
      </c>
      <c r="D614" s="66">
        <v>0</v>
      </c>
      <c r="E614" s="66">
        <v>238</v>
      </c>
      <c r="F614" s="66">
        <v>78.053250000000006</v>
      </c>
      <c r="G614" s="49">
        <f t="shared" si="18"/>
        <v>0</v>
      </c>
      <c r="H614" s="44">
        <f t="shared" si="19"/>
        <v>0</v>
      </c>
      <c r="R614" s="67" t="s">
        <v>36</v>
      </c>
      <c r="S614" s="67" t="s">
        <v>36</v>
      </c>
      <c r="T614" s="68">
        <v>46259.208333333336</v>
      </c>
      <c r="U614" s="69">
        <v>0</v>
      </c>
    </row>
    <row r="615" spans="1:21">
      <c r="A615" s="64">
        <v>46259.25</v>
      </c>
      <c r="B615" s="65" t="s">
        <v>29</v>
      </c>
      <c r="C615" s="66">
        <v>0</v>
      </c>
      <c r="D615" s="66">
        <v>0</v>
      </c>
      <c r="E615" s="66">
        <v>238</v>
      </c>
      <c r="F615" s="66">
        <v>78.053250000000006</v>
      </c>
      <c r="G615" s="49">
        <f t="shared" si="18"/>
        <v>0</v>
      </c>
      <c r="H615" s="44">
        <f t="shared" si="19"/>
        <v>0</v>
      </c>
      <c r="R615" s="67" t="s">
        <v>36</v>
      </c>
      <c r="S615" s="67" t="s">
        <v>36</v>
      </c>
      <c r="T615" s="68">
        <v>46259.25</v>
      </c>
      <c r="U615" s="69">
        <v>0</v>
      </c>
    </row>
    <row r="616" spans="1:21">
      <c r="A616" s="64">
        <v>46259.291666666664</v>
      </c>
      <c r="B616" s="65" t="s">
        <v>29</v>
      </c>
      <c r="C616" s="66">
        <v>0</v>
      </c>
      <c r="D616" s="66">
        <v>0</v>
      </c>
      <c r="E616" s="66">
        <v>238</v>
      </c>
      <c r="F616" s="66">
        <v>78.053250000000006</v>
      </c>
      <c r="G616" s="49">
        <f t="shared" si="18"/>
        <v>0</v>
      </c>
      <c r="H616" s="44">
        <f t="shared" si="19"/>
        <v>0</v>
      </c>
      <c r="R616" s="67" t="s">
        <v>36</v>
      </c>
      <c r="S616" s="67" t="s">
        <v>36</v>
      </c>
      <c r="T616" s="68">
        <v>46259.291666666664</v>
      </c>
      <c r="U616" s="69">
        <v>0</v>
      </c>
    </row>
    <row r="617" spans="1:21">
      <c r="A617" s="64">
        <v>46259.333333333336</v>
      </c>
      <c r="B617" s="65" t="s">
        <v>29</v>
      </c>
      <c r="C617" s="66">
        <v>0</v>
      </c>
      <c r="D617" s="66">
        <v>0</v>
      </c>
      <c r="E617" s="66">
        <v>238</v>
      </c>
      <c r="F617" s="66">
        <v>78.053250000000006</v>
      </c>
      <c r="G617" s="49">
        <f t="shared" si="18"/>
        <v>0</v>
      </c>
      <c r="H617" s="44">
        <f t="shared" si="19"/>
        <v>0</v>
      </c>
      <c r="R617" s="67" t="s">
        <v>36</v>
      </c>
      <c r="S617" s="67" t="s">
        <v>36</v>
      </c>
      <c r="T617" s="68">
        <v>46259.333333333336</v>
      </c>
      <c r="U617" s="69">
        <v>0</v>
      </c>
    </row>
    <row r="618" spans="1:21">
      <c r="A618" s="64">
        <v>46259.375</v>
      </c>
      <c r="B618" s="65" t="s">
        <v>29</v>
      </c>
      <c r="C618" s="66">
        <v>0</v>
      </c>
      <c r="D618" s="66">
        <v>0</v>
      </c>
      <c r="E618" s="66">
        <v>238</v>
      </c>
      <c r="F618" s="66">
        <v>78.053250000000006</v>
      </c>
      <c r="G618" s="49">
        <f t="shared" si="18"/>
        <v>0</v>
      </c>
      <c r="H618" s="44">
        <f t="shared" si="19"/>
        <v>0</v>
      </c>
      <c r="R618" s="67" t="s">
        <v>36</v>
      </c>
      <c r="S618" s="67" t="s">
        <v>36</v>
      </c>
      <c r="T618" s="68">
        <v>46259.375</v>
      </c>
      <c r="U618" s="69">
        <v>0</v>
      </c>
    </row>
    <row r="619" spans="1:21">
      <c r="A619" s="64">
        <v>46259.416666666664</v>
      </c>
      <c r="B619" s="65" t="s">
        <v>29</v>
      </c>
      <c r="C619" s="66">
        <v>0</v>
      </c>
      <c r="D619" s="66">
        <v>0</v>
      </c>
      <c r="E619" s="66">
        <v>238</v>
      </c>
      <c r="F619" s="66">
        <v>78.053250000000006</v>
      </c>
      <c r="G619" s="49">
        <f t="shared" si="18"/>
        <v>0</v>
      </c>
      <c r="H619" s="44">
        <f t="shared" si="19"/>
        <v>0</v>
      </c>
      <c r="R619" s="67" t="s">
        <v>36</v>
      </c>
      <c r="S619" s="67" t="s">
        <v>36</v>
      </c>
      <c r="T619" s="68">
        <v>46259.416666666664</v>
      </c>
      <c r="U619" s="69">
        <v>0</v>
      </c>
    </row>
    <row r="620" spans="1:21">
      <c r="A620" s="64">
        <v>46259.458333333336</v>
      </c>
      <c r="B620" s="65" t="s">
        <v>29</v>
      </c>
      <c r="C620" s="66">
        <v>0</v>
      </c>
      <c r="D620" s="66">
        <v>0</v>
      </c>
      <c r="E620" s="66">
        <v>238</v>
      </c>
      <c r="F620" s="66">
        <v>78.053250000000006</v>
      </c>
      <c r="G620" s="49">
        <f t="shared" si="18"/>
        <v>0</v>
      </c>
      <c r="H620" s="44">
        <f t="shared" si="19"/>
        <v>0</v>
      </c>
      <c r="R620" s="67" t="s">
        <v>36</v>
      </c>
      <c r="S620" s="67" t="s">
        <v>36</v>
      </c>
      <c r="T620" s="68">
        <v>46259.458333333336</v>
      </c>
      <c r="U620" s="69">
        <v>0</v>
      </c>
    </row>
    <row r="621" spans="1:21">
      <c r="A621" s="64">
        <v>46259.5</v>
      </c>
      <c r="B621" s="65" t="s">
        <v>29</v>
      </c>
      <c r="C621" s="66">
        <v>0</v>
      </c>
      <c r="D621" s="66">
        <v>0</v>
      </c>
      <c r="E621" s="66">
        <v>238</v>
      </c>
      <c r="F621" s="66">
        <v>78.053250000000006</v>
      </c>
      <c r="G621" s="49">
        <f t="shared" si="18"/>
        <v>0</v>
      </c>
      <c r="H621" s="44">
        <f t="shared" si="19"/>
        <v>0</v>
      </c>
      <c r="R621" s="67" t="s">
        <v>36</v>
      </c>
      <c r="S621" s="67" t="s">
        <v>36</v>
      </c>
      <c r="T621" s="68">
        <v>46259.5</v>
      </c>
      <c r="U621" s="69">
        <v>0</v>
      </c>
    </row>
    <row r="622" spans="1:21">
      <c r="A622" s="64">
        <v>46259.541666666664</v>
      </c>
      <c r="B622" s="65" t="s">
        <v>29</v>
      </c>
      <c r="C622" s="66">
        <v>0</v>
      </c>
      <c r="D622" s="66">
        <v>0</v>
      </c>
      <c r="E622" s="66">
        <v>238</v>
      </c>
      <c r="F622" s="66">
        <v>78.053250000000006</v>
      </c>
      <c r="G622" s="49">
        <f t="shared" si="18"/>
        <v>0</v>
      </c>
      <c r="H622" s="44">
        <f t="shared" si="19"/>
        <v>0</v>
      </c>
      <c r="R622" s="67" t="s">
        <v>36</v>
      </c>
      <c r="S622" s="67" t="s">
        <v>36</v>
      </c>
      <c r="T622" s="68">
        <v>46259.541666666664</v>
      </c>
      <c r="U622" s="69">
        <v>0</v>
      </c>
    </row>
    <row r="623" spans="1:21">
      <c r="A623" s="64">
        <v>46259.583333333336</v>
      </c>
      <c r="B623" s="65" t="s">
        <v>29</v>
      </c>
      <c r="C623" s="66">
        <v>0</v>
      </c>
      <c r="D623" s="66">
        <v>0</v>
      </c>
      <c r="E623" s="66">
        <v>238</v>
      </c>
      <c r="F623" s="66">
        <v>78.053250000000006</v>
      </c>
      <c r="G623" s="49">
        <f t="shared" si="18"/>
        <v>0</v>
      </c>
      <c r="H623" s="44">
        <f t="shared" si="19"/>
        <v>0</v>
      </c>
      <c r="R623" s="67" t="s">
        <v>36</v>
      </c>
      <c r="S623" s="67" t="s">
        <v>36</v>
      </c>
      <c r="T623" s="68">
        <v>46259.583333333336</v>
      </c>
      <c r="U623" s="69">
        <v>0</v>
      </c>
    </row>
    <row r="624" spans="1:21">
      <c r="A624" s="64">
        <v>46259.625</v>
      </c>
      <c r="B624" s="65" t="s">
        <v>29</v>
      </c>
      <c r="C624" s="66">
        <v>0</v>
      </c>
      <c r="D624" s="66">
        <v>0</v>
      </c>
      <c r="E624" s="66">
        <v>238</v>
      </c>
      <c r="F624" s="66">
        <v>78.053250000000006</v>
      </c>
      <c r="G624" s="49">
        <f t="shared" si="18"/>
        <v>0</v>
      </c>
      <c r="H624" s="44">
        <f t="shared" si="19"/>
        <v>0</v>
      </c>
      <c r="R624" s="67" t="s">
        <v>36</v>
      </c>
      <c r="S624" s="67" t="s">
        <v>36</v>
      </c>
      <c r="T624" s="68">
        <v>46259.625</v>
      </c>
      <c r="U624" s="69">
        <v>0</v>
      </c>
    </row>
    <row r="625" spans="1:21">
      <c r="A625" s="64">
        <v>46259.666666666664</v>
      </c>
      <c r="B625" s="65" t="s">
        <v>29</v>
      </c>
      <c r="C625" s="66">
        <v>0</v>
      </c>
      <c r="D625" s="66">
        <v>0</v>
      </c>
      <c r="E625" s="66">
        <v>238</v>
      </c>
      <c r="F625" s="66">
        <v>78.053250000000006</v>
      </c>
      <c r="G625" s="49">
        <f t="shared" si="18"/>
        <v>0</v>
      </c>
      <c r="H625" s="44">
        <f t="shared" si="19"/>
        <v>0</v>
      </c>
      <c r="R625" s="67" t="s">
        <v>36</v>
      </c>
      <c r="S625" s="67" t="s">
        <v>36</v>
      </c>
      <c r="T625" s="68">
        <v>46259.666666666664</v>
      </c>
      <c r="U625" s="69">
        <v>0</v>
      </c>
    </row>
    <row r="626" spans="1:21">
      <c r="A626" s="64">
        <v>46259.708333333336</v>
      </c>
      <c r="B626" s="65" t="s">
        <v>29</v>
      </c>
      <c r="C626" s="66">
        <v>0</v>
      </c>
      <c r="D626" s="66">
        <v>0</v>
      </c>
      <c r="E626" s="66">
        <v>238</v>
      </c>
      <c r="F626" s="66">
        <v>78.053250000000006</v>
      </c>
      <c r="G626" s="49">
        <f t="shared" si="18"/>
        <v>0</v>
      </c>
      <c r="H626" s="44">
        <f t="shared" si="19"/>
        <v>0</v>
      </c>
      <c r="R626" s="67" t="s">
        <v>36</v>
      </c>
      <c r="S626" s="67" t="s">
        <v>36</v>
      </c>
      <c r="T626" s="68">
        <v>46259.708333333336</v>
      </c>
      <c r="U626" s="69">
        <v>0</v>
      </c>
    </row>
    <row r="627" spans="1:21">
      <c r="A627" s="64">
        <v>46259.75</v>
      </c>
      <c r="B627" s="65" t="s">
        <v>29</v>
      </c>
      <c r="C627" s="66">
        <v>0</v>
      </c>
      <c r="D627" s="66">
        <v>0</v>
      </c>
      <c r="E627" s="66">
        <v>238</v>
      </c>
      <c r="F627" s="66">
        <v>78.053250000000006</v>
      </c>
      <c r="G627" s="49">
        <f t="shared" si="18"/>
        <v>0</v>
      </c>
      <c r="H627" s="44">
        <f t="shared" si="19"/>
        <v>0</v>
      </c>
      <c r="R627" s="67" t="s">
        <v>36</v>
      </c>
      <c r="S627" s="67" t="s">
        <v>36</v>
      </c>
      <c r="T627" s="68">
        <v>46259.75</v>
      </c>
      <c r="U627" s="69">
        <v>0</v>
      </c>
    </row>
    <row r="628" spans="1:21">
      <c r="A628" s="64">
        <v>46259.791666666664</v>
      </c>
      <c r="B628" s="65" t="s">
        <v>29</v>
      </c>
      <c r="C628" s="66">
        <v>0</v>
      </c>
      <c r="D628" s="66">
        <v>0</v>
      </c>
      <c r="E628" s="66">
        <v>238</v>
      </c>
      <c r="F628" s="66">
        <v>78.053250000000006</v>
      </c>
      <c r="G628" s="49">
        <f t="shared" si="18"/>
        <v>0</v>
      </c>
      <c r="H628" s="44">
        <f t="shared" si="19"/>
        <v>0</v>
      </c>
      <c r="R628" s="67" t="s">
        <v>36</v>
      </c>
      <c r="S628" s="67" t="s">
        <v>36</v>
      </c>
      <c r="T628" s="68">
        <v>46259.791666666664</v>
      </c>
      <c r="U628" s="69">
        <v>0</v>
      </c>
    </row>
    <row r="629" spans="1:21">
      <c r="A629" s="64">
        <v>46259.833333333336</v>
      </c>
      <c r="B629" s="65" t="s">
        <v>29</v>
      </c>
      <c r="C629" s="66">
        <v>0</v>
      </c>
      <c r="D629" s="66">
        <v>0</v>
      </c>
      <c r="E629" s="66">
        <v>238</v>
      </c>
      <c r="F629" s="66">
        <v>78.053250000000006</v>
      </c>
      <c r="G629" s="49">
        <f t="shared" si="18"/>
        <v>0</v>
      </c>
      <c r="H629" s="44">
        <f t="shared" si="19"/>
        <v>0</v>
      </c>
      <c r="R629" s="67" t="s">
        <v>36</v>
      </c>
      <c r="S629" s="67" t="s">
        <v>36</v>
      </c>
      <c r="T629" s="68">
        <v>46259.833333333336</v>
      </c>
      <c r="U629" s="69">
        <v>0</v>
      </c>
    </row>
    <row r="630" spans="1:21">
      <c r="A630" s="64">
        <v>46259.875</v>
      </c>
      <c r="B630" s="65" t="s">
        <v>29</v>
      </c>
      <c r="C630" s="66">
        <v>0</v>
      </c>
      <c r="D630" s="66">
        <v>0</v>
      </c>
      <c r="E630" s="66">
        <v>238</v>
      </c>
      <c r="F630" s="66">
        <v>78.053250000000006</v>
      </c>
      <c r="G630" s="49">
        <f t="shared" si="18"/>
        <v>0</v>
      </c>
      <c r="H630" s="44">
        <f t="shared" si="19"/>
        <v>0</v>
      </c>
      <c r="R630" s="67" t="s">
        <v>36</v>
      </c>
      <c r="S630" s="67" t="s">
        <v>36</v>
      </c>
      <c r="T630" s="68">
        <v>46259.875</v>
      </c>
      <c r="U630" s="69">
        <v>0</v>
      </c>
    </row>
    <row r="631" spans="1:21">
      <c r="A631" s="64">
        <v>46259.916666666664</v>
      </c>
      <c r="B631" s="65" t="s">
        <v>29</v>
      </c>
      <c r="C631" s="66">
        <v>0</v>
      </c>
      <c r="D631" s="66">
        <v>0</v>
      </c>
      <c r="E631" s="66">
        <v>238</v>
      </c>
      <c r="F631" s="66">
        <v>78.053250000000006</v>
      </c>
      <c r="G631" s="49">
        <f t="shared" si="18"/>
        <v>0</v>
      </c>
      <c r="H631" s="44">
        <f t="shared" si="19"/>
        <v>0</v>
      </c>
      <c r="R631" s="67" t="s">
        <v>36</v>
      </c>
      <c r="S631" s="67" t="s">
        <v>36</v>
      </c>
      <c r="T631" s="68">
        <v>46259.916666666664</v>
      </c>
      <c r="U631" s="69">
        <v>0</v>
      </c>
    </row>
    <row r="632" spans="1:21">
      <c r="A632" s="64">
        <v>46259.958333333336</v>
      </c>
      <c r="B632" s="65" t="s">
        <v>29</v>
      </c>
      <c r="C632" s="66">
        <v>0</v>
      </c>
      <c r="D632" s="66">
        <v>0</v>
      </c>
      <c r="E632" s="66">
        <v>238</v>
      </c>
      <c r="F632" s="66">
        <v>78.053250000000006</v>
      </c>
      <c r="G632" s="49">
        <f t="shared" si="18"/>
        <v>0</v>
      </c>
      <c r="H632" s="44">
        <f t="shared" si="19"/>
        <v>0</v>
      </c>
      <c r="R632" s="67" t="s">
        <v>36</v>
      </c>
      <c r="S632" s="67" t="s">
        <v>36</v>
      </c>
      <c r="T632" s="68">
        <v>46259.958333333336</v>
      </c>
      <c r="U632" s="69">
        <v>0</v>
      </c>
    </row>
    <row r="633" spans="1:21">
      <c r="A633" s="64">
        <v>46260</v>
      </c>
      <c r="B633" s="65" t="s">
        <v>29</v>
      </c>
      <c r="C633" s="66">
        <v>0</v>
      </c>
      <c r="D633" s="66">
        <v>0</v>
      </c>
      <c r="E633" s="66">
        <v>238</v>
      </c>
      <c r="F633" s="66">
        <v>78.053250000000006</v>
      </c>
      <c r="G633" s="49">
        <f t="shared" si="18"/>
        <v>0</v>
      </c>
      <c r="H633" s="44">
        <f t="shared" si="19"/>
        <v>0</v>
      </c>
      <c r="R633" s="67" t="s">
        <v>36</v>
      </c>
      <c r="S633" s="67" t="s">
        <v>36</v>
      </c>
      <c r="T633" s="68">
        <v>46260</v>
      </c>
      <c r="U633" s="69">
        <v>0</v>
      </c>
    </row>
    <row r="634" spans="1:21">
      <c r="A634" s="64">
        <v>46260.041666666664</v>
      </c>
      <c r="B634" s="65" t="s">
        <v>29</v>
      </c>
      <c r="C634" s="66">
        <v>0</v>
      </c>
      <c r="D634" s="66">
        <v>0</v>
      </c>
      <c r="E634" s="66">
        <v>238</v>
      </c>
      <c r="F634" s="66">
        <v>78.053250000000006</v>
      </c>
      <c r="G634" s="49">
        <f t="shared" si="18"/>
        <v>0</v>
      </c>
      <c r="H634" s="44">
        <f t="shared" si="19"/>
        <v>0</v>
      </c>
      <c r="R634" s="67" t="s">
        <v>36</v>
      </c>
      <c r="S634" s="67" t="s">
        <v>36</v>
      </c>
      <c r="T634" s="68">
        <v>46260.041666666664</v>
      </c>
      <c r="U634" s="69">
        <v>0</v>
      </c>
    </row>
    <row r="635" spans="1:21">
      <c r="A635" s="64">
        <v>46260.083333333336</v>
      </c>
      <c r="B635" s="65" t="s">
        <v>29</v>
      </c>
      <c r="C635" s="66">
        <v>0</v>
      </c>
      <c r="D635" s="66">
        <v>0</v>
      </c>
      <c r="E635" s="66">
        <v>238</v>
      </c>
      <c r="F635" s="66">
        <v>78.053250000000006</v>
      </c>
      <c r="G635" s="49">
        <f t="shared" si="18"/>
        <v>0</v>
      </c>
      <c r="H635" s="44">
        <f t="shared" si="19"/>
        <v>0</v>
      </c>
      <c r="R635" s="67" t="s">
        <v>36</v>
      </c>
      <c r="S635" s="67" t="s">
        <v>36</v>
      </c>
      <c r="T635" s="68">
        <v>46260.083333333336</v>
      </c>
      <c r="U635" s="69">
        <v>0</v>
      </c>
    </row>
    <row r="636" spans="1:21">
      <c r="A636" s="64">
        <v>46260.125</v>
      </c>
      <c r="B636" s="65" t="s">
        <v>29</v>
      </c>
      <c r="C636" s="66">
        <v>0</v>
      </c>
      <c r="D636" s="66">
        <v>0</v>
      </c>
      <c r="E636" s="66">
        <v>238</v>
      </c>
      <c r="F636" s="66">
        <v>78.053250000000006</v>
      </c>
      <c r="G636" s="49">
        <f t="shared" si="18"/>
        <v>0</v>
      </c>
      <c r="H636" s="44">
        <f t="shared" si="19"/>
        <v>0</v>
      </c>
      <c r="R636" s="67" t="s">
        <v>36</v>
      </c>
      <c r="S636" s="67" t="s">
        <v>36</v>
      </c>
      <c r="T636" s="68">
        <v>46260.125</v>
      </c>
      <c r="U636" s="69">
        <v>0</v>
      </c>
    </row>
    <row r="637" spans="1:21">
      <c r="A637" s="64">
        <v>46260.166666666664</v>
      </c>
      <c r="B637" s="65" t="s">
        <v>29</v>
      </c>
      <c r="C637" s="66">
        <v>0</v>
      </c>
      <c r="D637" s="66">
        <v>0</v>
      </c>
      <c r="E637" s="66">
        <v>238</v>
      </c>
      <c r="F637" s="66">
        <v>78.053250000000006</v>
      </c>
      <c r="G637" s="49">
        <f t="shared" si="18"/>
        <v>0</v>
      </c>
      <c r="H637" s="44">
        <f t="shared" si="19"/>
        <v>0</v>
      </c>
      <c r="R637" s="67" t="s">
        <v>36</v>
      </c>
      <c r="S637" s="67" t="s">
        <v>36</v>
      </c>
      <c r="T637" s="68">
        <v>46260.166666666664</v>
      </c>
      <c r="U637" s="69">
        <v>0</v>
      </c>
    </row>
    <row r="638" spans="1:21">
      <c r="A638" s="64">
        <v>46260.208333333336</v>
      </c>
      <c r="B638" s="65" t="s">
        <v>29</v>
      </c>
      <c r="C638" s="66">
        <v>0</v>
      </c>
      <c r="D638" s="66">
        <v>0</v>
      </c>
      <c r="E638" s="66">
        <v>238</v>
      </c>
      <c r="F638" s="66">
        <v>78.053250000000006</v>
      </c>
      <c r="G638" s="49">
        <f t="shared" si="18"/>
        <v>0</v>
      </c>
      <c r="H638" s="44">
        <f t="shared" si="19"/>
        <v>0</v>
      </c>
      <c r="R638" s="67" t="s">
        <v>36</v>
      </c>
      <c r="S638" s="67" t="s">
        <v>36</v>
      </c>
      <c r="T638" s="68">
        <v>46260.208333333336</v>
      </c>
      <c r="U638" s="69">
        <v>0</v>
      </c>
    </row>
    <row r="639" spans="1:21">
      <c r="A639" s="64">
        <v>46260.25</v>
      </c>
      <c r="B639" s="65" t="s">
        <v>29</v>
      </c>
      <c r="C639" s="66">
        <v>0</v>
      </c>
      <c r="D639" s="66">
        <v>0</v>
      </c>
      <c r="E639" s="66">
        <v>238</v>
      </c>
      <c r="F639" s="66">
        <v>78.053250000000006</v>
      </c>
      <c r="G639" s="49">
        <f t="shared" si="18"/>
        <v>0</v>
      </c>
      <c r="H639" s="44">
        <f t="shared" si="19"/>
        <v>0</v>
      </c>
      <c r="R639" s="67" t="s">
        <v>36</v>
      </c>
      <c r="S639" s="67" t="s">
        <v>36</v>
      </c>
      <c r="T639" s="68">
        <v>46260.25</v>
      </c>
      <c r="U639" s="69">
        <v>0</v>
      </c>
    </row>
    <row r="640" spans="1:21">
      <c r="A640" s="64">
        <v>46260.291666666664</v>
      </c>
      <c r="B640" s="65" t="s">
        <v>29</v>
      </c>
      <c r="C640" s="66">
        <v>0</v>
      </c>
      <c r="D640" s="66">
        <v>0</v>
      </c>
      <c r="E640" s="66">
        <v>238</v>
      </c>
      <c r="F640" s="66">
        <v>78.053250000000006</v>
      </c>
      <c r="G640" s="49">
        <f t="shared" si="18"/>
        <v>0</v>
      </c>
      <c r="H640" s="44">
        <f t="shared" si="19"/>
        <v>0</v>
      </c>
      <c r="R640" s="67" t="s">
        <v>36</v>
      </c>
      <c r="S640" s="67" t="s">
        <v>36</v>
      </c>
      <c r="T640" s="68">
        <v>46260.291666666664</v>
      </c>
      <c r="U640" s="69">
        <v>0</v>
      </c>
    </row>
    <row r="641" spans="1:21">
      <c r="A641" s="64">
        <v>46260.333333333336</v>
      </c>
      <c r="B641" s="65" t="s">
        <v>29</v>
      </c>
      <c r="C641" s="66">
        <v>0</v>
      </c>
      <c r="D641" s="66">
        <v>0</v>
      </c>
      <c r="E641" s="66">
        <v>238</v>
      </c>
      <c r="F641" s="66">
        <v>78.053250000000006</v>
      </c>
      <c r="G641" s="49">
        <f t="shared" si="18"/>
        <v>0</v>
      </c>
      <c r="H641" s="44">
        <f t="shared" si="19"/>
        <v>0</v>
      </c>
      <c r="R641" s="67" t="s">
        <v>36</v>
      </c>
      <c r="S641" s="67" t="s">
        <v>36</v>
      </c>
      <c r="T641" s="68">
        <v>46260.333333333336</v>
      </c>
      <c r="U641" s="69">
        <v>0</v>
      </c>
    </row>
    <row r="642" spans="1:21">
      <c r="A642" s="64">
        <v>46260.375</v>
      </c>
      <c r="B642" s="65" t="s">
        <v>29</v>
      </c>
      <c r="C642" s="66">
        <v>0</v>
      </c>
      <c r="D642" s="66">
        <v>0</v>
      </c>
      <c r="E642" s="66">
        <v>238</v>
      </c>
      <c r="F642" s="66">
        <v>78.053250000000006</v>
      </c>
      <c r="G642" s="49">
        <f t="shared" si="18"/>
        <v>0</v>
      </c>
      <c r="H642" s="44">
        <f t="shared" si="19"/>
        <v>0</v>
      </c>
      <c r="R642" s="67" t="s">
        <v>36</v>
      </c>
      <c r="S642" s="67" t="s">
        <v>36</v>
      </c>
      <c r="T642" s="68">
        <v>46260.375</v>
      </c>
      <c r="U642" s="69">
        <v>0</v>
      </c>
    </row>
    <row r="643" spans="1:21">
      <c r="A643" s="64">
        <v>46260.416666666664</v>
      </c>
      <c r="B643" s="65" t="s">
        <v>29</v>
      </c>
      <c r="C643" s="66">
        <v>0</v>
      </c>
      <c r="D643" s="66">
        <v>0</v>
      </c>
      <c r="E643" s="66">
        <v>238</v>
      </c>
      <c r="F643" s="66">
        <v>78.053250000000006</v>
      </c>
      <c r="G643" s="49">
        <f t="shared" ref="G643" si="20">U643</f>
        <v>0</v>
      </c>
      <c r="H643" s="44">
        <f t="shared" ref="H643" si="21">D643+G649</f>
        <v>0</v>
      </c>
      <c r="R643" s="67" t="s">
        <v>36</v>
      </c>
      <c r="S643" s="67" t="s">
        <v>36</v>
      </c>
      <c r="T643" s="68">
        <v>46260.416666666664</v>
      </c>
      <c r="U643" s="69">
        <v>0</v>
      </c>
    </row>
    <row r="644" spans="1:21">
      <c r="H644" s="44"/>
    </row>
    <row r="645" spans="1:21">
      <c r="H645" s="44"/>
    </row>
    <row r="646" spans="1:21">
      <c r="H646" s="44"/>
    </row>
    <row r="647" spans="1:21">
      <c r="H647" s="44"/>
    </row>
    <row r="648" spans="1:21">
      <c r="H648" s="44"/>
    </row>
    <row r="649" spans="1:21">
      <c r="H649" s="44"/>
    </row>
    <row r="650" spans="1:21">
      <c r="H650" s="44"/>
    </row>
    <row r="651" spans="1:21">
      <c r="H651" s="44"/>
    </row>
    <row r="652" spans="1:21">
      <c r="H652" s="44"/>
    </row>
    <row r="653" spans="1:21">
      <c r="H653" s="44"/>
    </row>
    <row r="654" spans="1:21">
      <c r="H654" s="44"/>
    </row>
    <row r="655" spans="1:21">
      <c r="H655" s="44"/>
    </row>
    <row r="656" spans="1:21">
      <c r="H656" s="44"/>
    </row>
    <row r="657" spans="8:8">
      <c r="H657" s="44"/>
    </row>
    <row r="658" spans="8:8">
      <c r="H658" s="44"/>
    </row>
    <row r="659" spans="8:8">
      <c r="H659" s="44"/>
    </row>
    <row r="660" spans="8:8">
      <c r="H660" s="44"/>
    </row>
    <row r="661" spans="8:8">
      <c r="H661" s="44"/>
    </row>
    <row r="662" spans="8:8">
      <c r="H662" s="44"/>
    </row>
    <row r="663" spans="8:8">
      <c r="H663" s="44"/>
    </row>
    <row r="664" spans="8:8">
      <c r="H664" s="44"/>
    </row>
    <row r="665" spans="8:8">
      <c r="H665" s="44"/>
    </row>
    <row r="666" spans="8:8">
      <c r="H666" s="44"/>
    </row>
    <row r="667" spans="8:8">
      <c r="H667" s="44"/>
    </row>
    <row r="668" spans="8:8">
      <c r="H668" s="44"/>
    </row>
    <row r="669" spans="8:8">
      <c r="H669" s="44"/>
    </row>
    <row r="670" spans="8:8">
      <c r="H670" s="44"/>
    </row>
    <row r="671" spans="8:8">
      <c r="H671" s="44"/>
    </row>
    <row r="672" spans="8:8">
      <c r="H672" s="44"/>
    </row>
    <row r="673" spans="8:8">
      <c r="H673" s="44"/>
    </row>
    <row r="674" spans="8:8">
      <c r="H674" s="44"/>
    </row>
    <row r="675" spans="8:8">
      <c r="H675" s="44"/>
    </row>
    <row r="676" spans="8:8">
      <c r="H676" s="44"/>
    </row>
    <row r="677" spans="8:8">
      <c r="H677" s="44"/>
    </row>
    <row r="678" spans="8:8">
      <c r="H678" s="44"/>
    </row>
    <row r="679" spans="8:8">
      <c r="H679" s="44"/>
    </row>
    <row r="680" spans="8:8">
      <c r="H680" s="44"/>
    </row>
    <row r="681" spans="8:8">
      <c r="H681" s="44"/>
    </row>
    <row r="682" spans="8:8">
      <c r="H682" s="44"/>
    </row>
    <row r="683" spans="8:8">
      <c r="H683" s="44"/>
    </row>
    <row r="684" spans="8:8">
      <c r="H684" s="44"/>
    </row>
    <row r="685" spans="8:8">
      <c r="H685" s="44"/>
    </row>
    <row r="686" spans="8:8">
      <c r="H686" s="44"/>
    </row>
    <row r="687" spans="8:8">
      <c r="H687" s="44"/>
    </row>
    <row r="688" spans="8:8">
      <c r="H688" s="44"/>
    </row>
    <row r="689" spans="8:8">
      <c r="H689" s="44"/>
    </row>
    <row r="690" spans="8:8">
      <c r="H690" s="44"/>
    </row>
    <row r="691" spans="8:8">
      <c r="H691" s="44"/>
    </row>
    <row r="692" spans="8:8">
      <c r="H692" s="44"/>
    </row>
    <row r="693" spans="8:8">
      <c r="H693" s="44"/>
    </row>
    <row r="694" spans="8:8">
      <c r="H694" s="44"/>
    </row>
    <row r="695" spans="8:8">
      <c r="H695" s="44"/>
    </row>
    <row r="696" spans="8:8">
      <c r="H696" s="44"/>
    </row>
    <row r="697" spans="8:8">
      <c r="H697" s="44"/>
    </row>
    <row r="698" spans="8:8">
      <c r="H698" s="44"/>
    </row>
    <row r="699" spans="8:8">
      <c r="H699" s="44"/>
    </row>
    <row r="700" spans="8:8">
      <c r="H700" s="44"/>
    </row>
    <row r="701" spans="8:8">
      <c r="H701" s="44"/>
    </row>
    <row r="702" spans="8:8">
      <c r="H702" s="44"/>
    </row>
    <row r="703" spans="8:8">
      <c r="H703" s="44"/>
    </row>
    <row r="704" spans="8:8">
      <c r="H704" s="44"/>
    </row>
    <row r="705" spans="8:8">
      <c r="H705" s="44"/>
    </row>
    <row r="706" spans="8:8">
      <c r="H706" s="44"/>
    </row>
    <row r="707" spans="8:8">
      <c r="H707" s="44"/>
    </row>
    <row r="708" spans="8:8">
      <c r="H708" s="44"/>
    </row>
    <row r="709" spans="8:8">
      <c r="H709" s="44"/>
    </row>
    <row r="710" spans="8:8">
      <c r="H710" s="44"/>
    </row>
    <row r="711" spans="8:8">
      <c r="H711" s="44"/>
    </row>
    <row r="712" spans="8:8">
      <c r="H712" s="44"/>
    </row>
    <row r="713" spans="8:8">
      <c r="H713" s="44"/>
    </row>
    <row r="714" spans="8:8">
      <c r="H714" s="44"/>
    </row>
    <row r="715" spans="8:8">
      <c r="H715" s="44"/>
    </row>
    <row r="716" spans="8:8">
      <c r="H716" s="44"/>
    </row>
    <row r="717" spans="8:8">
      <c r="H717" s="44"/>
    </row>
    <row r="718" spans="8:8">
      <c r="H718" s="44"/>
    </row>
    <row r="719" spans="8:8">
      <c r="H719" s="44"/>
    </row>
    <row r="720" spans="8:8">
      <c r="H720" s="44"/>
    </row>
    <row r="721" spans="8:8">
      <c r="H721" s="44"/>
    </row>
    <row r="722" spans="8:8">
      <c r="H722" s="44"/>
    </row>
    <row r="723" spans="8:8">
      <c r="H723" s="44"/>
    </row>
    <row r="724" spans="8:8">
      <c r="H724" s="44"/>
    </row>
    <row r="725" spans="8:8">
      <c r="H725" s="44"/>
    </row>
    <row r="726" spans="8:8">
      <c r="H726" s="44"/>
    </row>
    <row r="727" spans="8:8">
      <c r="H727" s="44"/>
    </row>
    <row r="728" spans="8:8">
      <c r="H728" s="44"/>
    </row>
    <row r="729" spans="8:8">
      <c r="H729" s="44"/>
    </row>
    <row r="730" spans="8:8">
      <c r="H730" s="44"/>
    </row>
    <row r="731" spans="8:8">
      <c r="H731" s="44"/>
    </row>
    <row r="732" spans="8:8">
      <c r="H732" s="44"/>
    </row>
    <row r="733" spans="8:8">
      <c r="H733" s="44"/>
    </row>
    <row r="734" spans="8:8">
      <c r="H734" s="44"/>
    </row>
    <row r="735" spans="8:8">
      <c r="H735" s="44"/>
    </row>
    <row r="736" spans="8:8">
      <c r="H736" s="44"/>
    </row>
    <row r="737" spans="8:8">
      <c r="H737" s="44"/>
    </row>
    <row r="738" spans="8:8">
      <c r="H738" s="44"/>
    </row>
    <row r="739" spans="8:8">
      <c r="H739" s="44"/>
    </row>
    <row r="740" spans="8:8">
      <c r="H740" s="44"/>
    </row>
    <row r="741" spans="8:8">
      <c r="H741" s="44"/>
    </row>
    <row r="742" spans="8:8">
      <c r="H742" s="44"/>
    </row>
    <row r="743" spans="8:8">
      <c r="H743" s="44"/>
    </row>
    <row r="744" spans="8:8">
      <c r="H744" s="44"/>
    </row>
    <row r="745" spans="8:8">
      <c r="H745" s="44"/>
    </row>
    <row r="746" spans="8:8">
      <c r="H746" s="44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P746"/>
  <sheetViews>
    <sheetView topLeftCell="E1" workbookViewId="0">
      <pane ySplit="1" topLeftCell="A630" activePane="bottomLeft" state="frozen"/>
      <selection activeCell="P1" sqref="P1:AB374"/>
      <selection pane="bottomLeft" activeCell="E644" sqref="E644:J1285"/>
    </sheetView>
  </sheetViews>
  <sheetFormatPr defaultRowHeight="13.5"/>
  <cols>
    <col min="1" max="4" width="0" hidden="1" customWidth="1"/>
    <col min="5" max="5" width="18.875" style="19" customWidth="1"/>
    <col min="11" max="11" width="9" style="12"/>
    <col min="27" max="56" width="9" style="15"/>
    <col min="99" max="110" width="9" style="15"/>
  </cols>
  <sheetData>
    <row r="1" spans="1:120">
      <c r="E1" s="38" t="s">
        <v>30</v>
      </c>
      <c r="F1" s="37" t="s">
        <v>12</v>
      </c>
      <c r="G1" s="37" t="s">
        <v>14</v>
      </c>
      <c r="H1" s="37" t="s">
        <v>15</v>
      </c>
      <c r="I1" s="37" t="s">
        <v>31</v>
      </c>
      <c r="J1" s="37" t="s">
        <v>16</v>
      </c>
      <c r="K1" s="37" t="s">
        <v>17</v>
      </c>
      <c r="M1">
        <f>MAX(F:F)</f>
        <v>5964.9440000000004</v>
      </c>
      <c r="N1" s="8">
        <f t="shared" ref="N1:R1" si="0">MAX(G:G)</f>
        <v>6762.1980000000003</v>
      </c>
      <c r="O1" s="8">
        <f t="shared" si="0"/>
        <v>9000</v>
      </c>
      <c r="P1" s="8">
        <f t="shared" si="0"/>
        <v>1676</v>
      </c>
      <c r="Q1" s="8">
        <f t="shared" si="0"/>
        <v>4000</v>
      </c>
      <c r="R1" s="11">
        <f t="shared" si="0"/>
        <v>13946.59</v>
      </c>
      <c r="S1">
        <v>5519</v>
      </c>
      <c r="T1">
        <v>11715</v>
      </c>
      <c r="U1">
        <v>9000</v>
      </c>
      <c r="V1">
        <v>830</v>
      </c>
      <c r="W1">
        <v>4141</v>
      </c>
      <c r="X1">
        <v>17356</v>
      </c>
    </row>
    <row r="2" spans="1:120">
      <c r="A2" s="8">
        <f>AC2</f>
        <v>0</v>
      </c>
      <c r="B2" s="15">
        <f t="shared" ref="B2:D2" si="1">AD2</f>
        <v>0</v>
      </c>
      <c r="C2" s="15">
        <f t="shared" si="1"/>
        <v>0</v>
      </c>
      <c r="D2" s="15">
        <f t="shared" si="1"/>
        <v>0</v>
      </c>
      <c r="E2" s="70">
        <v>46233.708333333336</v>
      </c>
      <c r="F2" s="71">
        <v>302</v>
      </c>
      <c r="G2" s="71">
        <v>300</v>
      </c>
      <c r="H2" s="71">
        <v>602</v>
      </c>
      <c r="I2" s="71">
        <v>0</v>
      </c>
      <c r="J2" s="71">
        <v>100</v>
      </c>
      <c r="K2" s="71">
        <v>4496.7889999999998</v>
      </c>
      <c r="L2" s="8">
        <f>IF(K2&gt;10000,K2-10000,0)</f>
        <v>0</v>
      </c>
      <c r="M2">
        <f>SUM(L:L)</f>
        <v>98318.28</v>
      </c>
      <c r="N2">
        <f>COUNTIF(K:K,"&gt;=5000")</f>
        <v>101</v>
      </c>
    </row>
    <row r="3" spans="1:120">
      <c r="A3" s="15">
        <f t="shared" ref="A3:A66" si="2">AC3</f>
        <v>0</v>
      </c>
      <c r="B3" s="15">
        <f t="shared" ref="B3:B66" si="3">AD3</f>
        <v>0</v>
      </c>
      <c r="C3" s="15">
        <f t="shared" ref="C3:C66" si="4">AE3</f>
        <v>0</v>
      </c>
      <c r="D3" s="15">
        <f t="shared" ref="D3:D66" si="5">AF3</f>
        <v>0</v>
      </c>
      <c r="E3" s="70">
        <v>46233.75</v>
      </c>
      <c r="F3" s="71">
        <v>303</v>
      </c>
      <c r="G3" s="71">
        <v>300</v>
      </c>
      <c r="H3" s="71">
        <v>603</v>
      </c>
      <c r="I3" s="71">
        <v>0</v>
      </c>
      <c r="J3" s="71">
        <v>100</v>
      </c>
      <c r="K3" s="71">
        <v>4493.5950000000003</v>
      </c>
      <c r="L3" s="8">
        <f t="shared" ref="L3:L66" si="6">IF(K3&gt;10000,K3-10000,0)</f>
        <v>0</v>
      </c>
      <c r="M3">
        <f>M2*3600*2/10^8</f>
        <v>7.0789161600000003</v>
      </c>
      <c r="N3" s="22">
        <f>N2*2/24</f>
        <v>8.4166666666666661</v>
      </c>
      <c r="T3" s="13"/>
      <c r="DP3" s="15"/>
    </row>
    <row r="4" spans="1:120">
      <c r="A4" s="15">
        <f t="shared" si="2"/>
        <v>0</v>
      </c>
      <c r="B4" s="15">
        <f t="shared" si="3"/>
        <v>0</v>
      </c>
      <c r="C4" s="15">
        <f t="shared" si="4"/>
        <v>0</v>
      </c>
      <c r="D4" s="15">
        <f t="shared" si="5"/>
        <v>0</v>
      </c>
      <c r="E4" s="70">
        <v>46233.791666666664</v>
      </c>
      <c r="F4" s="71">
        <v>305</v>
      </c>
      <c r="G4" s="71">
        <v>300</v>
      </c>
      <c r="H4" s="71">
        <v>602.00009999999997</v>
      </c>
      <c r="I4" s="71">
        <v>0</v>
      </c>
      <c r="J4" s="71">
        <v>100</v>
      </c>
      <c r="K4" s="71">
        <v>4485.3440000000001</v>
      </c>
      <c r="L4" s="8">
        <f t="shared" si="6"/>
        <v>0</v>
      </c>
      <c r="T4" s="13"/>
      <c r="DP4" s="15"/>
    </row>
    <row r="5" spans="1:120">
      <c r="A5" s="15">
        <f t="shared" si="2"/>
        <v>0</v>
      </c>
      <c r="B5" s="15">
        <f t="shared" si="3"/>
        <v>0</v>
      </c>
      <c r="C5" s="15">
        <f t="shared" si="4"/>
        <v>0</v>
      </c>
      <c r="D5" s="15">
        <f t="shared" si="5"/>
        <v>0</v>
      </c>
      <c r="E5" s="70">
        <v>46233.833333333336</v>
      </c>
      <c r="F5" s="71">
        <v>307</v>
      </c>
      <c r="G5" s="71">
        <v>300</v>
      </c>
      <c r="H5" s="71">
        <v>603.00009999999997</v>
      </c>
      <c r="I5" s="71">
        <v>0</v>
      </c>
      <c r="J5" s="71">
        <v>100</v>
      </c>
      <c r="K5" s="71">
        <v>4477.0950000000003</v>
      </c>
      <c r="L5" s="8">
        <f t="shared" si="6"/>
        <v>0</v>
      </c>
      <c r="T5" s="13"/>
      <c r="U5">
        <v>7495.1857187405294</v>
      </c>
      <c r="V5">
        <v>9237.0547163180545</v>
      </c>
      <c r="W5">
        <v>9000</v>
      </c>
      <c r="X5">
        <v>1988.9999925970333</v>
      </c>
      <c r="Y5">
        <v>4000</v>
      </c>
      <c r="Z5">
        <v>19531</v>
      </c>
      <c r="DP5" s="15"/>
    </row>
    <row r="6" spans="1:120">
      <c r="A6" s="15">
        <f t="shared" si="2"/>
        <v>0</v>
      </c>
      <c r="B6" s="15">
        <f t="shared" si="3"/>
        <v>0</v>
      </c>
      <c r="C6" s="15">
        <f t="shared" si="4"/>
        <v>0</v>
      </c>
      <c r="D6" s="15">
        <f t="shared" si="5"/>
        <v>0</v>
      </c>
      <c r="E6" s="70">
        <v>46233.875</v>
      </c>
      <c r="F6" s="71">
        <v>309.5</v>
      </c>
      <c r="G6" s="71">
        <v>300</v>
      </c>
      <c r="H6" s="71">
        <v>605.50509999999997</v>
      </c>
      <c r="I6" s="71">
        <v>0</v>
      </c>
      <c r="J6" s="71">
        <v>100</v>
      </c>
      <c r="K6" s="71">
        <v>4496.7280000000001</v>
      </c>
      <c r="L6" s="8">
        <f t="shared" si="6"/>
        <v>0</v>
      </c>
      <c r="T6" s="13"/>
      <c r="DP6" s="15"/>
    </row>
    <row r="7" spans="1:120">
      <c r="A7" s="15">
        <f t="shared" si="2"/>
        <v>0</v>
      </c>
      <c r="B7" s="15">
        <f t="shared" si="3"/>
        <v>0</v>
      </c>
      <c r="C7" s="15">
        <f t="shared" si="4"/>
        <v>0</v>
      </c>
      <c r="D7" s="15">
        <f t="shared" si="5"/>
        <v>0</v>
      </c>
      <c r="E7" s="70">
        <v>46233.916666666664</v>
      </c>
      <c r="F7" s="71">
        <v>312</v>
      </c>
      <c r="G7" s="71">
        <v>300</v>
      </c>
      <c r="H7" s="71">
        <v>610.0068</v>
      </c>
      <c r="I7" s="71">
        <v>0</v>
      </c>
      <c r="J7" s="71">
        <v>100</v>
      </c>
      <c r="K7" s="71">
        <v>4493.5150000000003</v>
      </c>
      <c r="L7" s="8">
        <f t="shared" si="6"/>
        <v>0</v>
      </c>
      <c r="T7" s="13"/>
      <c r="DP7" s="15"/>
    </row>
    <row r="8" spans="1:120">
      <c r="A8" s="15">
        <f t="shared" si="2"/>
        <v>0</v>
      </c>
      <c r="B8" s="15">
        <f t="shared" si="3"/>
        <v>0</v>
      </c>
      <c r="C8" s="15">
        <f t="shared" si="4"/>
        <v>0</v>
      </c>
      <c r="D8" s="15">
        <f t="shared" si="5"/>
        <v>0</v>
      </c>
      <c r="E8" s="70">
        <v>46233.958333333336</v>
      </c>
      <c r="F8" s="71">
        <v>316</v>
      </c>
      <c r="G8" s="71">
        <v>300.00009999999997</v>
      </c>
      <c r="H8" s="71">
        <v>613.58240000000001</v>
      </c>
      <c r="I8" s="71">
        <v>0</v>
      </c>
      <c r="J8" s="71">
        <v>100</v>
      </c>
      <c r="K8" s="71">
        <v>4485.2439999999997</v>
      </c>
      <c r="L8" s="8">
        <f t="shared" si="6"/>
        <v>0</v>
      </c>
      <c r="U8" s="15">
        <v>6662</v>
      </c>
      <c r="W8" s="29">
        <v>7495.1857187405294</v>
      </c>
      <c r="DP8" s="15"/>
    </row>
    <row r="9" spans="1:120">
      <c r="A9" s="15">
        <f t="shared" si="2"/>
        <v>0</v>
      </c>
      <c r="B9" s="15">
        <f t="shared" si="3"/>
        <v>0</v>
      </c>
      <c r="C9" s="15">
        <f t="shared" si="4"/>
        <v>0</v>
      </c>
      <c r="D9" s="15">
        <f t="shared" si="5"/>
        <v>0</v>
      </c>
      <c r="E9" s="70">
        <v>46234</v>
      </c>
      <c r="F9" s="71">
        <v>320</v>
      </c>
      <c r="G9" s="71">
        <v>300.00020000000001</v>
      </c>
      <c r="H9" s="71">
        <v>619.10820000000001</v>
      </c>
      <c r="I9" s="71">
        <v>0</v>
      </c>
      <c r="J9" s="71">
        <v>100</v>
      </c>
      <c r="K9" s="71">
        <v>4476.9780000000001</v>
      </c>
      <c r="L9" s="8">
        <f t="shared" si="6"/>
        <v>0</v>
      </c>
      <c r="U9" s="15">
        <v>9784</v>
      </c>
      <c r="W9" s="29">
        <v>9237.0547163180545</v>
      </c>
      <c r="DP9" s="15"/>
    </row>
    <row r="10" spans="1:120">
      <c r="A10" s="15">
        <f t="shared" si="2"/>
        <v>0</v>
      </c>
      <c r="B10" s="15">
        <f t="shared" si="3"/>
        <v>0</v>
      </c>
      <c r="C10" s="15">
        <f t="shared" si="4"/>
        <v>0</v>
      </c>
      <c r="D10" s="15">
        <f t="shared" si="5"/>
        <v>0</v>
      </c>
      <c r="E10" s="70">
        <v>46234.041666666664</v>
      </c>
      <c r="F10" s="71">
        <v>325.5</v>
      </c>
      <c r="G10" s="71">
        <v>300.00290000000001</v>
      </c>
      <c r="H10" s="71">
        <v>623.57600000000002</v>
      </c>
      <c r="I10" s="71">
        <v>0.5</v>
      </c>
      <c r="J10" s="71">
        <v>100</v>
      </c>
      <c r="K10" s="71">
        <v>4498.7079999999996</v>
      </c>
      <c r="L10" s="8">
        <f t="shared" si="6"/>
        <v>0</v>
      </c>
      <c r="U10" s="15">
        <v>8000</v>
      </c>
      <c r="W10" s="29">
        <v>9000</v>
      </c>
      <c r="DP10" s="15"/>
    </row>
    <row r="11" spans="1:120">
      <c r="A11" s="15">
        <f t="shared" si="2"/>
        <v>0</v>
      </c>
      <c r="B11" s="15">
        <f t="shared" si="3"/>
        <v>0</v>
      </c>
      <c r="C11" s="15">
        <f t="shared" si="4"/>
        <v>0</v>
      </c>
      <c r="D11" s="15">
        <f t="shared" si="5"/>
        <v>0</v>
      </c>
      <c r="E11" s="70">
        <v>46234.083333333336</v>
      </c>
      <c r="F11" s="71">
        <v>331.09230000000002</v>
      </c>
      <c r="G11" s="71">
        <v>300.00560000000002</v>
      </c>
      <c r="H11" s="71">
        <v>629.74210000000005</v>
      </c>
      <c r="I11" s="71">
        <v>1</v>
      </c>
      <c r="J11" s="71">
        <v>100</v>
      </c>
      <c r="K11" s="71">
        <v>4498.2719999999999</v>
      </c>
      <c r="L11" s="8">
        <f t="shared" si="6"/>
        <v>0</v>
      </c>
      <c r="U11" s="15">
        <v>4000</v>
      </c>
      <c r="W11" s="29">
        <v>4000</v>
      </c>
      <c r="DP11" s="15"/>
    </row>
    <row r="12" spans="1:120">
      <c r="A12" s="15">
        <f t="shared" si="2"/>
        <v>0</v>
      </c>
      <c r="B12" s="15">
        <f t="shared" si="3"/>
        <v>0</v>
      </c>
      <c r="C12" s="15">
        <f t="shared" si="4"/>
        <v>0</v>
      </c>
      <c r="D12" s="15">
        <f t="shared" si="5"/>
        <v>0</v>
      </c>
      <c r="E12" s="70">
        <v>46234.125</v>
      </c>
      <c r="F12" s="71">
        <v>352.5027</v>
      </c>
      <c r="G12" s="71">
        <v>300.06299999999999</v>
      </c>
      <c r="H12" s="71">
        <v>634.67899999999997</v>
      </c>
      <c r="I12" s="71">
        <v>2.5</v>
      </c>
      <c r="J12" s="71">
        <v>100</v>
      </c>
      <c r="K12" s="71">
        <v>4497.848</v>
      </c>
      <c r="L12" s="8">
        <f t="shared" si="6"/>
        <v>0</v>
      </c>
      <c r="U12" s="15">
        <v>19531</v>
      </c>
      <c r="DP12" s="15"/>
    </row>
    <row r="13" spans="1:120">
      <c r="A13" s="15">
        <f t="shared" si="2"/>
        <v>0</v>
      </c>
      <c r="B13" s="15">
        <f t="shared" si="3"/>
        <v>0</v>
      </c>
      <c r="C13" s="15">
        <f t="shared" si="4"/>
        <v>0</v>
      </c>
      <c r="D13" s="15">
        <f t="shared" si="5"/>
        <v>0</v>
      </c>
      <c r="E13" s="70">
        <v>46234.166666666664</v>
      </c>
      <c r="F13" s="71">
        <v>374.28829999999999</v>
      </c>
      <c r="G13" s="71">
        <v>300.12040000000002</v>
      </c>
      <c r="H13" s="71">
        <v>640.73540000000003</v>
      </c>
      <c r="I13" s="71">
        <v>4</v>
      </c>
      <c r="J13" s="71">
        <v>100</v>
      </c>
      <c r="K13" s="71">
        <v>4497.4269999999997</v>
      </c>
      <c r="L13" s="8">
        <f t="shared" si="6"/>
        <v>0</v>
      </c>
      <c r="U13" s="15"/>
      <c r="DP13" s="15"/>
    </row>
    <row r="14" spans="1:120">
      <c r="A14" s="15">
        <f t="shared" si="2"/>
        <v>0</v>
      </c>
      <c r="B14" s="15">
        <f t="shared" si="3"/>
        <v>0</v>
      </c>
      <c r="C14" s="15">
        <f t="shared" si="4"/>
        <v>0</v>
      </c>
      <c r="D14" s="15">
        <f t="shared" si="5"/>
        <v>0</v>
      </c>
      <c r="E14" s="70">
        <v>46234.208333333336</v>
      </c>
      <c r="F14" s="71">
        <v>560.57100000000003</v>
      </c>
      <c r="G14" s="71">
        <v>307.4511</v>
      </c>
      <c r="H14" s="71">
        <v>645.83519999999999</v>
      </c>
      <c r="I14" s="71">
        <v>6.5</v>
      </c>
      <c r="J14" s="71">
        <v>101.0455</v>
      </c>
      <c r="K14" s="71">
        <v>4526.1459999999997</v>
      </c>
      <c r="L14" s="8">
        <f t="shared" si="6"/>
        <v>0</v>
      </c>
      <c r="U14" s="15"/>
      <c r="DP14" s="15"/>
    </row>
    <row r="15" spans="1:120">
      <c r="A15" s="15">
        <f t="shared" si="2"/>
        <v>0</v>
      </c>
      <c r="B15" s="15">
        <f t="shared" si="3"/>
        <v>0</v>
      </c>
      <c r="C15" s="15">
        <f t="shared" si="4"/>
        <v>0</v>
      </c>
      <c r="D15" s="15">
        <f t="shared" si="5"/>
        <v>0</v>
      </c>
      <c r="E15" s="70">
        <v>46234.25</v>
      </c>
      <c r="F15" s="71">
        <v>731.1653</v>
      </c>
      <c r="G15" s="71">
        <v>314.78179999999998</v>
      </c>
      <c r="H15" s="71">
        <v>651.55050000000006</v>
      </c>
      <c r="I15" s="71">
        <v>9</v>
      </c>
      <c r="J15" s="71">
        <v>102.09099999999999</v>
      </c>
      <c r="K15" s="71">
        <v>4536.643</v>
      </c>
      <c r="L15" s="8">
        <f t="shared" si="6"/>
        <v>0</v>
      </c>
      <c r="DP15" s="15"/>
    </row>
    <row r="16" spans="1:120">
      <c r="A16" s="15">
        <f t="shared" si="2"/>
        <v>0</v>
      </c>
      <c r="B16" s="15">
        <f t="shared" si="3"/>
        <v>0</v>
      </c>
      <c r="C16" s="15">
        <f t="shared" si="4"/>
        <v>0</v>
      </c>
      <c r="D16" s="15">
        <f t="shared" si="5"/>
        <v>0</v>
      </c>
      <c r="E16" s="70">
        <v>46234.291666666664</v>
      </c>
      <c r="F16" s="71">
        <v>1595.8150000000001</v>
      </c>
      <c r="G16" s="71">
        <v>418.06880000000001</v>
      </c>
      <c r="H16" s="71">
        <v>658.77970000000005</v>
      </c>
      <c r="I16" s="71">
        <v>11.5</v>
      </c>
      <c r="J16" s="71">
        <v>104.0579</v>
      </c>
      <c r="K16" s="71">
        <v>4546.9880000000003</v>
      </c>
      <c r="L16" s="8">
        <f t="shared" si="6"/>
        <v>0</v>
      </c>
      <c r="DP16" s="15"/>
    </row>
    <row r="17" spans="1:120">
      <c r="A17" s="15">
        <f t="shared" si="2"/>
        <v>0</v>
      </c>
      <c r="B17" s="15">
        <f t="shared" si="3"/>
        <v>0</v>
      </c>
      <c r="C17" s="15">
        <f t="shared" si="4"/>
        <v>0</v>
      </c>
      <c r="D17" s="15">
        <f t="shared" si="5"/>
        <v>0</v>
      </c>
      <c r="E17" s="70">
        <v>46234.333333333336</v>
      </c>
      <c r="F17" s="71">
        <v>2309.1019999999999</v>
      </c>
      <c r="G17" s="71">
        <v>521.35569999999996</v>
      </c>
      <c r="H17" s="71">
        <v>666.29859999999996</v>
      </c>
      <c r="I17" s="71">
        <v>14</v>
      </c>
      <c r="J17" s="71">
        <v>106.0248</v>
      </c>
      <c r="K17" s="71">
        <v>4557.2939999999999</v>
      </c>
      <c r="L17" s="8">
        <f t="shared" si="6"/>
        <v>0</v>
      </c>
      <c r="DP17" s="15"/>
    </row>
    <row r="18" spans="1:120">
      <c r="A18" s="15">
        <f t="shared" si="2"/>
        <v>0</v>
      </c>
      <c r="B18" s="15">
        <f t="shared" si="3"/>
        <v>0</v>
      </c>
      <c r="C18" s="15">
        <f t="shared" si="4"/>
        <v>0</v>
      </c>
      <c r="D18" s="15">
        <f t="shared" si="5"/>
        <v>0</v>
      </c>
      <c r="E18" s="70">
        <v>46234.375</v>
      </c>
      <c r="F18" s="71">
        <v>3913.6109999999999</v>
      </c>
      <c r="G18" s="71">
        <v>1041.4090000000001</v>
      </c>
      <c r="H18" s="71">
        <v>693.09270000000004</v>
      </c>
      <c r="I18" s="71">
        <v>15.5</v>
      </c>
      <c r="J18" s="71">
        <v>108.8338</v>
      </c>
      <c r="K18" s="71">
        <v>4577.5039999999999</v>
      </c>
      <c r="L18" s="8">
        <f t="shared" si="6"/>
        <v>0</v>
      </c>
      <c r="DP18" s="15"/>
    </row>
    <row r="19" spans="1:120">
      <c r="A19" s="15">
        <f t="shared" si="2"/>
        <v>0</v>
      </c>
      <c r="B19" s="15">
        <f t="shared" si="3"/>
        <v>0</v>
      </c>
      <c r="C19" s="15">
        <f t="shared" si="4"/>
        <v>0</v>
      </c>
      <c r="D19" s="15">
        <f t="shared" si="5"/>
        <v>0</v>
      </c>
      <c r="E19" s="70">
        <v>46234.416666666664</v>
      </c>
      <c r="F19" s="71">
        <v>5127.5209999999997</v>
      </c>
      <c r="G19" s="71">
        <v>1561.462</v>
      </c>
      <c r="H19" s="71">
        <v>719.47109999999998</v>
      </c>
      <c r="I19" s="71">
        <v>17</v>
      </c>
      <c r="J19" s="71">
        <v>111.64279999999999</v>
      </c>
      <c r="K19" s="71">
        <v>4588.1769999999997</v>
      </c>
      <c r="L19" s="8">
        <f t="shared" si="6"/>
        <v>0</v>
      </c>
      <c r="DP19" s="15"/>
    </row>
    <row r="20" spans="1:120">
      <c r="A20" s="15">
        <f t="shared" si="2"/>
        <v>0</v>
      </c>
      <c r="B20" s="15">
        <f t="shared" si="3"/>
        <v>0</v>
      </c>
      <c r="C20" s="15">
        <f t="shared" si="4"/>
        <v>0</v>
      </c>
      <c r="D20" s="15">
        <f t="shared" si="5"/>
        <v>0</v>
      </c>
      <c r="E20" s="70">
        <v>46234.458333333336</v>
      </c>
      <c r="F20" s="71">
        <v>5572.1390000000001</v>
      </c>
      <c r="G20" s="71">
        <v>2650.1640000000002</v>
      </c>
      <c r="H20" s="71">
        <v>852.03070000000002</v>
      </c>
      <c r="I20" s="71">
        <v>18.5</v>
      </c>
      <c r="J20" s="71">
        <v>114.8176</v>
      </c>
      <c r="K20" s="71">
        <v>4596.8270000000002</v>
      </c>
      <c r="L20" s="8">
        <f t="shared" si="6"/>
        <v>0</v>
      </c>
      <c r="DP20" s="15"/>
    </row>
    <row r="21" spans="1:120">
      <c r="A21" s="15">
        <f t="shared" si="2"/>
        <v>0</v>
      </c>
      <c r="B21" s="15">
        <f t="shared" si="3"/>
        <v>0</v>
      </c>
      <c r="C21" s="15">
        <f t="shared" si="4"/>
        <v>0</v>
      </c>
      <c r="D21" s="15">
        <f t="shared" si="5"/>
        <v>0</v>
      </c>
      <c r="E21" s="70">
        <v>46234.5</v>
      </c>
      <c r="F21" s="71">
        <v>5964.9440000000004</v>
      </c>
      <c r="G21" s="71">
        <v>3738.866</v>
      </c>
      <c r="H21" s="71">
        <v>978.6377</v>
      </c>
      <c r="I21" s="71">
        <v>20</v>
      </c>
      <c r="J21" s="71">
        <v>117.99250000000001</v>
      </c>
      <c r="K21" s="71">
        <v>4605.009</v>
      </c>
      <c r="L21" s="8">
        <f t="shared" si="6"/>
        <v>0</v>
      </c>
      <c r="DP21" s="15"/>
    </row>
    <row r="22" spans="1:120">
      <c r="A22" s="15">
        <f t="shared" si="2"/>
        <v>0</v>
      </c>
      <c r="B22" s="15">
        <f t="shared" si="3"/>
        <v>0</v>
      </c>
      <c r="C22" s="15">
        <f t="shared" si="4"/>
        <v>0</v>
      </c>
      <c r="D22" s="15">
        <f t="shared" si="5"/>
        <v>0</v>
      </c>
      <c r="E22" s="70">
        <v>46234.541666666664</v>
      </c>
      <c r="F22" s="71">
        <v>5473.1030000000001</v>
      </c>
      <c r="G22" s="71">
        <v>4988.41</v>
      </c>
      <c r="H22" s="71">
        <v>1495.981</v>
      </c>
      <c r="I22" s="71">
        <v>23</v>
      </c>
      <c r="J22" s="71">
        <v>121.81270000000001</v>
      </c>
      <c r="K22" s="71">
        <v>4617.1850000000004</v>
      </c>
      <c r="L22" s="8">
        <f t="shared" si="6"/>
        <v>0</v>
      </c>
      <c r="DP22" s="15"/>
    </row>
    <row r="23" spans="1:120">
      <c r="A23" s="15">
        <f t="shared" si="2"/>
        <v>0</v>
      </c>
      <c r="B23" s="15">
        <f t="shared" si="3"/>
        <v>0</v>
      </c>
      <c r="C23" s="15">
        <f t="shared" si="4"/>
        <v>0</v>
      </c>
      <c r="D23" s="15">
        <f t="shared" si="5"/>
        <v>0</v>
      </c>
      <c r="E23" s="70">
        <v>46234.583333333336</v>
      </c>
      <c r="F23" s="71">
        <v>4976.625</v>
      </c>
      <c r="G23" s="71">
        <v>6237.9539999999997</v>
      </c>
      <c r="H23" s="71">
        <v>1980.684</v>
      </c>
      <c r="I23" s="71">
        <v>26</v>
      </c>
      <c r="J23" s="71">
        <v>125.63290000000001</v>
      </c>
      <c r="K23" s="71">
        <v>4624.8500000000004</v>
      </c>
      <c r="L23" s="8">
        <f t="shared" si="6"/>
        <v>0</v>
      </c>
      <c r="DP23" s="15"/>
    </row>
    <row r="24" spans="1:120">
      <c r="A24" s="15">
        <f t="shared" si="2"/>
        <v>0</v>
      </c>
      <c r="B24" s="15">
        <f t="shared" si="3"/>
        <v>0</v>
      </c>
      <c r="C24" s="15">
        <f t="shared" si="4"/>
        <v>0</v>
      </c>
      <c r="D24" s="15">
        <f t="shared" si="5"/>
        <v>0</v>
      </c>
      <c r="E24" s="70">
        <v>46234.625</v>
      </c>
      <c r="F24" s="71">
        <v>4301.973</v>
      </c>
      <c r="G24" s="71">
        <v>6265.8490000000002</v>
      </c>
      <c r="H24" s="71">
        <v>3196.4140000000002</v>
      </c>
      <c r="I24" s="71">
        <v>31</v>
      </c>
      <c r="J24" s="71">
        <v>128.3569</v>
      </c>
      <c r="K24" s="71">
        <v>4631.2269999999999</v>
      </c>
      <c r="L24" s="8">
        <f t="shared" si="6"/>
        <v>0</v>
      </c>
      <c r="DP24" s="15"/>
    </row>
    <row r="25" spans="1:120">
      <c r="A25" s="15">
        <f t="shared" si="2"/>
        <v>0</v>
      </c>
      <c r="B25" s="15">
        <f t="shared" si="3"/>
        <v>0</v>
      </c>
      <c r="C25" s="15">
        <f t="shared" si="4"/>
        <v>0</v>
      </c>
      <c r="D25" s="15">
        <f t="shared" si="5"/>
        <v>0</v>
      </c>
      <c r="E25" s="70">
        <v>46234.666666666664</v>
      </c>
      <c r="F25" s="71">
        <v>3626.9749999999999</v>
      </c>
      <c r="G25" s="71">
        <v>6293.7449999999999</v>
      </c>
      <c r="H25" s="71">
        <v>4313.9960000000001</v>
      </c>
      <c r="I25" s="71">
        <v>36</v>
      </c>
      <c r="J25" s="71">
        <v>131.08080000000001</v>
      </c>
      <c r="K25" s="71">
        <v>4637.3559999999998</v>
      </c>
      <c r="L25" s="8">
        <f t="shared" si="6"/>
        <v>0</v>
      </c>
      <c r="DP25" s="15"/>
    </row>
    <row r="26" spans="1:120">
      <c r="A26" s="15">
        <f t="shared" si="2"/>
        <v>0</v>
      </c>
      <c r="B26" s="15">
        <f t="shared" si="3"/>
        <v>0</v>
      </c>
      <c r="C26" s="15">
        <f t="shared" si="4"/>
        <v>0</v>
      </c>
      <c r="D26" s="15">
        <f t="shared" si="5"/>
        <v>0</v>
      </c>
      <c r="E26" s="70">
        <v>46234.708333333336</v>
      </c>
      <c r="F26" s="71">
        <v>3161.998</v>
      </c>
      <c r="G26" s="71">
        <v>6066.3909999999996</v>
      </c>
      <c r="H26" s="71">
        <v>6037.915</v>
      </c>
      <c r="I26" s="71">
        <v>42</v>
      </c>
      <c r="J26" s="71">
        <v>134.28190000000001</v>
      </c>
      <c r="K26" s="71">
        <v>4657.5619999999999</v>
      </c>
      <c r="L26" s="8">
        <f t="shared" si="6"/>
        <v>0</v>
      </c>
      <c r="DP26" s="15"/>
    </row>
    <row r="27" spans="1:120">
      <c r="A27" s="15">
        <f t="shared" si="2"/>
        <v>0</v>
      </c>
      <c r="B27" s="15">
        <f t="shared" si="3"/>
        <v>0</v>
      </c>
      <c r="C27" s="15">
        <f t="shared" si="4"/>
        <v>0</v>
      </c>
      <c r="D27" s="15">
        <f t="shared" si="5"/>
        <v>0</v>
      </c>
      <c r="E27" s="70">
        <v>46234.75</v>
      </c>
      <c r="F27" s="71">
        <v>2696.998</v>
      </c>
      <c r="G27" s="71">
        <v>5839.0379999999996</v>
      </c>
      <c r="H27" s="71">
        <v>7601.4170000000004</v>
      </c>
      <c r="I27" s="71">
        <v>48</v>
      </c>
      <c r="J27" s="71">
        <v>137.48320000000001</v>
      </c>
      <c r="K27" s="71">
        <v>4674.5889999999999</v>
      </c>
      <c r="L27" s="8">
        <f t="shared" si="6"/>
        <v>0</v>
      </c>
      <c r="DP27" s="15"/>
    </row>
    <row r="28" spans="1:120">
      <c r="A28" s="15">
        <f t="shared" si="2"/>
        <v>0</v>
      </c>
      <c r="B28" s="15">
        <f t="shared" si="3"/>
        <v>0</v>
      </c>
      <c r="C28" s="15">
        <f t="shared" si="4"/>
        <v>0</v>
      </c>
      <c r="D28" s="15">
        <f t="shared" si="5"/>
        <v>0</v>
      </c>
      <c r="E28" s="70">
        <v>46234.791666666664</v>
      </c>
      <c r="F28" s="71">
        <v>2468.5</v>
      </c>
      <c r="G28" s="71">
        <v>5859.78</v>
      </c>
      <c r="H28" s="71">
        <v>8770.3919999999998</v>
      </c>
      <c r="I28" s="71">
        <v>52.5</v>
      </c>
      <c r="J28" s="71">
        <v>144.9238</v>
      </c>
      <c r="K28" s="71">
        <v>4763.799</v>
      </c>
      <c r="L28" s="8">
        <f t="shared" si="6"/>
        <v>0</v>
      </c>
      <c r="DP28" s="15"/>
    </row>
    <row r="29" spans="1:120">
      <c r="A29" s="15">
        <f t="shared" si="2"/>
        <v>0</v>
      </c>
      <c r="B29" s="15">
        <f t="shared" si="3"/>
        <v>0</v>
      </c>
      <c r="C29" s="15">
        <f t="shared" si="4"/>
        <v>0</v>
      </c>
      <c r="D29" s="15">
        <f t="shared" si="5"/>
        <v>0</v>
      </c>
      <c r="E29" s="70">
        <v>46234.833333333336</v>
      </c>
      <c r="F29" s="71">
        <v>2240</v>
      </c>
      <c r="G29" s="71">
        <v>5880.5230000000001</v>
      </c>
      <c r="H29" s="71">
        <v>9000</v>
      </c>
      <c r="I29" s="71">
        <v>57</v>
      </c>
      <c r="J29" s="71">
        <v>152.36789999999999</v>
      </c>
      <c r="K29" s="71">
        <v>4854.7460000000001</v>
      </c>
      <c r="L29" s="8">
        <f t="shared" si="6"/>
        <v>0</v>
      </c>
      <c r="DP29" s="15"/>
    </row>
    <row r="30" spans="1:120">
      <c r="A30" s="15">
        <f t="shared" si="2"/>
        <v>0</v>
      </c>
      <c r="B30" s="15">
        <f t="shared" si="3"/>
        <v>0</v>
      </c>
      <c r="C30" s="15">
        <f t="shared" si="4"/>
        <v>0</v>
      </c>
      <c r="D30" s="15">
        <f t="shared" si="5"/>
        <v>0</v>
      </c>
      <c r="E30" s="70">
        <v>46234.875</v>
      </c>
      <c r="F30" s="71">
        <v>2143</v>
      </c>
      <c r="G30" s="71">
        <v>6321.36</v>
      </c>
      <c r="H30" s="71">
        <v>9000</v>
      </c>
      <c r="I30" s="71">
        <v>750.5</v>
      </c>
      <c r="J30" s="71">
        <v>169.358</v>
      </c>
      <c r="K30" s="71">
        <v>5231.491</v>
      </c>
      <c r="L30" s="8">
        <f t="shared" si="6"/>
        <v>0</v>
      </c>
      <c r="DP30" s="15"/>
    </row>
    <row r="31" spans="1:120">
      <c r="A31" s="15">
        <f t="shared" si="2"/>
        <v>0</v>
      </c>
      <c r="B31" s="15">
        <f t="shared" si="3"/>
        <v>0</v>
      </c>
      <c r="C31" s="15">
        <f t="shared" si="4"/>
        <v>0</v>
      </c>
      <c r="D31" s="15">
        <f t="shared" si="5"/>
        <v>0</v>
      </c>
      <c r="E31" s="70">
        <v>46234.916666666664</v>
      </c>
      <c r="F31" s="71">
        <v>2043.8530000000001</v>
      </c>
      <c r="G31" s="71">
        <v>6762.1980000000003</v>
      </c>
      <c r="H31" s="71">
        <v>9000</v>
      </c>
      <c r="I31" s="71">
        <v>1444</v>
      </c>
      <c r="J31" s="71">
        <v>186.33949999999999</v>
      </c>
      <c r="K31" s="71">
        <v>5582.8339999999998</v>
      </c>
      <c r="L31" s="8">
        <f t="shared" si="6"/>
        <v>0</v>
      </c>
      <c r="DP31" s="15"/>
    </row>
    <row r="32" spans="1:120">
      <c r="A32" s="15">
        <f t="shared" si="2"/>
        <v>0</v>
      </c>
      <c r="B32" s="15">
        <f t="shared" si="3"/>
        <v>0</v>
      </c>
      <c r="C32" s="15">
        <f t="shared" si="4"/>
        <v>0</v>
      </c>
      <c r="D32" s="15">
        <f t="shared" si="5"/>
        <v>0</v>
      </c>
      <c r="E32" s="70">
        <v>46234.958333333336</v>
      </c>
      <c r="F32" s="71">
        <v>1988.3530000000001</v>
      </c>
      <c r="G32" s="71">
        <v>6215.6310000000003</v>
      </c>
      <c r="H32" s="71">
        <v>9000</v>
      </c>
      <c r="I32" s="71">
        <v>1560</v>
      </c>
      <c r="J32" s="71">
        <v>236.72929999999999</v>
      </c>
      <c r="K32" s="71">
        <v>6376.7690000000002</v>
      </c>
      <c r="L32" s="8">
        <f t="shared" si="6"/>
        <v>0</v>
      </c>
      <c r="DP32" s="15"/>
    </row>
    <row r="33" spans="1:120">
      <c r="A33" s="15">
        <f t="shared" si="2"/>
        <v>0</v>
      </c>
      <c r="B33" s="15">
        <f t="shared" si="3"/>
        <v>0</v>
      </c>
      <c r="C33" s="15">
        <f t="shared" si="4"/>
        <v>0</v>
      </c>
      <c r="D33" s="15">
        <f t="shared" si="5"/>
        <v>0</v>
      </c>
      <c r="E33" s="70">
        <v>46235</v>
      </c>
      <c r="F33" s="71">
        <v>1891.327</v>
      </c>
      <c r="G33" s="71">
        <v>5669.0519999999997</v>
      </c>
      <c r="H33" s="71">
        <v>9000</v>
      </c>
      <c r="I33" s="71">
        <v>1676</v>
      </c>
      <c r="J33" s="71">
        <v>285.86189999999999</v>
      </c>
      <c r="K33" s="71">
        <v>7119.8990000000003</v>
      </c>
      <c r="L33" s="8">
        <f t="shared" si="6"/>
        <v>0</v>
      </c>
      <c r="DP33" s="15"/>
    </row>
    <row r="34" spans="1:120">
      <c r="A34" s="15">
        <f t="shared" si="2"/>
        <v>0</v>
      </c>
      <c r="B34" s="15">
        <f t="shared" si="3"/>
        <v>0</v>
      </c>
      <c r="C34" s="15">
        <f t="shared" si="4"/>
        <v>0</v>
      </c>
      <c r="D34" s="15">
        <f t="shared" si="5"/>
        <v>0</v>
      </c>
      <c r="E34" s="70">
        <v>46235.041666666664</v>
      </c>
      <c r="F34" s="71">
        <v>1849.327</v>
      </c>
      <c r="G34" s="71">
        <v>4940.5309999999999</v>
      </c>
      <c r="H34" s="71">
        <v>9000</v>
      </c>
      <c r="I34" s="71">
        <v>1601</v>
      </c>
      <c r="J34" s="71">
        <v>476.87279999999998</v>
      </c>
      <c r="K34" s="71">
        <v>8458.4750000000004</v>
      </c>
      <c r="L34" s="8">
        <f t="shared" si="6"/>
        <v>0</v>
      </c>
      <c r="DP34" s="15"/>
    </row>
    <row r="35" spans="1:120">
      <c r="A35" s="15">
        <f t="shared" si="2"/>
        <v>0</v>
      </c>
      <c r="B35" s="15">
        <f t="shared" si="3"/>
        <v>0</v>
      </c>
      <c r="C35" s="15">
        <f t="shared" si="4"/>
        <v>0</v>
      </c>
      <c r="D35" s="15">
        <f t="shared" si="5"/>
        <v>0</v>
      </c>
      <c r="E35" s="70">
        <v>46235.083333333336</v>
      </c>
      <c r="F35" s="71">
        <v>1537.693</v>
      </c>
      <c r="G35" s="71">
        <v>4211.7110000000002</v>
      </c>
      <c r="H35" s="71">
        <v>9000</v>
      </c>
      <c r="I35" s="71">
        <v>1526</v>
      </c>
      <c r="J35" s="71">
        <v>651.14480000000003</v>
      </c>
      <c r="K35" s="71">
        <v>9694.1170000000002</v>
      </c>
      <c r="L35" s="8">
        <f t="shared" si="6"/>
        <v>0</v>
      </c>
      <c r="DP35" s="15"/>
    </row>
    <row r="36" spans="1:120">
      <c r="A36" s="15">
        <f t="shared" si="2"/>
        <v>0</v>
      </c>
      <c r="B36" s="15">
        <f t="shared" si="3"/>
        <v>0</v>
      </c>
      <c r="C36" s="15">
        <f t="shared" si="4"/>
        <v>0</v>
      </c>
      <c r="D36" s="15">
        <f t="shared" si="5"/>
        <v>0</v>
      </c>
      <c r="E36" s="70">
        <v>46235.125</v>
      </c>
      <c r="F36" s="71">
        <v>1507.693</v>
      </c>
      <c r="G36" s="71">
        <v>3723.326</v>
      </c>
      <c r="H36" s="71">
        <v>9000</v>
      </c>
      <c r="I36" s="71">
        <v>1422.5</v>
      </c>
      <c r="J36" s="71">
        <v>1325.894</v>
      </c>
      <c r="K36" s="71">
        <v>10662.86</v>
      </c>
      <c r="L36" s="8">
        <f t="shared" si="6"/>
        <v>662.86000000000058</v>
      </c>
      <c r="DP36" s="15"/>
    </row>
    <row r="37" spans="1:120">
      <c r="A37" s="15">
        <f t="shared" si="2"/>
        <v>0</v>
      </c>
      <c r="B37" s="15">
        <f t="shared" si="3"/>
        <v>0</v>
      </c>
      <c r="C37" s="15">
        <f t="shared" si="4"/>
        <v>0</v>
      </c>
      <c r="D37" s="15">
        <f t="shared" si="5"/>
        <v>0</v>
      </c>
      <c r="E37" s="70">
        <v>46235.166666666664</v>
      </c>
      <c r="F37" s="71">
        <v>877.98490000000004</v>
      </c>
      <c r="G37" s="71">
        <v>3231.7959999999998</v>
      </c>
      <c r="H37" s="71">
        <v>9000</v>
      </c>
      <c r="I37" s="71">
        <v>1319</v>
      </c>
      <c r="J37" s="71">
        <v>1905.924</v>
      </c>
      <c r="K37" s="71">
        <v>11120.88</v>
      </c>
      <c r="L37" s="8">
        <f t="shared" si="6"/>
        <v>1120.8799999999992</v>
      </c>
      <c r="DP37" s="15"/>
    </row>
    <row r="38" spans="1:120">
      <c r="A38" s="15">
        <f t="shared" si="2"/>
        <v>0</v>
      </c>
      <c r="B38" s="15">
        <f t="shared" si="3"/>
        <v>0</v>
      </c>
      <c r="C38" s="15">
        <f t="shared" si="4"/>
        <v>0</v>
      </c>
      <c r="D38" s="15">
        <f t="shared" si="5"/>
        <v>0</v>
      </c>
      <c r="E38" s="70">
        <v>46235.208333333336</v>
      </c>
      <c r="F38" s="71">
        <v>862.48490000000004</v>
      </c>
      <c r="G38" s="71">
        <v>2948.92</v>
      </c>
      <c r="H38" s="71">
        <v>8607.3529999999992</v>
      </c>
      <c r="I38" s="71">
        <v>1191.5</v>
      </c>
      <c r="J38" s="71">
        <v>2296.4490000000001</v>
      </c>
      <c r="K38" s="71">
        <v>11780.82</v>
      </c>
      <c r="L38" s="8">
        <f t="shared" si="6"/>
        <v>1780.8199999999997</v>
      </c>
      <c r="U38" s="7"/>
      <c r="DP38" s="15"/>
    </row>
    <row r="39" spans="1:120">
      <c r="A39" s="15">
        <f t="shared" si="2"/>
        <v>0</v>
      </c>
      <c r="B39" s="15">
        <f t="shared" si="3"/>
        <v>0</v>
      </c>
      <c r="C39" s="15">
        <f t="shared" si="4"/>
        <v>0</v>
      </c>
      <c r="D39" s="15">
        <f t="shared" si="5"/>
        <v>0</v>
      </c>
      <c r="E39" s="70">
        <v>46235.25</v>
      </c>
      <c r="F39" s="71">
        <v>767.65840000000003</v>
      </c>
      <c r="G39" s="71">
        <v>2648.643</v>
      </c>
      <c r="H39" s="71">
        <v>7953.48</v>
      </c>
      <c r="I39" s="71">
        <v>1064</v>
      </c>
      <c r="J39" s="71">
        <v>2448.453</v>
      </c>
      <c r="K39" s="71">
        <v>12388.99</v>
      </c>
      <c r="L39" s="8">
        <f t="shared" si="6"/>
        <v>2388.9899999999998</v>
      </c>
      <c r="DP39" s="15"/>
    </row>
    <row r="40" spans="1:120">
      <c r="A40" s="15">
        <f t="shared" si="2"/>
        <v>0</v>
      </c>
      <c r="B40" s="15">
        <f t="shared" si="3"/>
        <v>0</v>
      </c>
      <c r="C40" s="15">
        <f t="shared" si="4"/>
        <v>0</v>
      </c>
      <c r="D40" s="15">
        <f t="shared" si="5"/>
        <v>0</v>
      </c>
      <c r="E40" s="70">
        <v>46235.291666666664</v>
      </c>
      <c r="F40" s="71">
        <v>779.15840000000003</v>
      </c>
      <c r="G40" s="71">
        <v>2480.2759999999998</v>
      </c>
      <c r="H40" s="71">
        <v>7334.0439999999999</v>
      </c>
      <c r="I40" s="71">
        <v>909</v>
      </c>
      <c r="J40" s="71">
        <v>2525.9760000000001</v>
      </c>
      <c r="K40" s="71">
        <v>13058.17</v>
      </c>
      <c r="L40" s="8">
        <f t="shared" si="6"/>
        <v>3058.17</v>
      </c>
      <c r="DP40" s="15"/>
    </row>
    <row r="41" spans="1:120">
      <c r="A41" s="15">
        <f t="shared" si="2"/>
        <v>0</v>
      </c>
      <c r="B41" s="15">
        <f t="shared" si="3"/>
        <v>0</v>
      </c>
      <c r="C41" s="15">
        <f t="shared" si="4"/>
        <v>0</v>
      </c>
      <c r="D41" s="15">
        <f t="shared" si="5"/>
        <v>0</v>
      </c>
      <c r="E41" s="70">
        <v>46235.333333333336</v>
      </c>
      <c r="F41" s="71">
        <v>783.56809999999996</v>
      </c>
      <c r="G41" s="71">
        <v>2257.5650000000001</v>
      </c>
      <c r="H41" s="71">
        <v>6650.2380000000003</v>
      </c>
      <c r="I41" s="71">
        <v>754</v>
      </c>
      <c r="J41" s="71">
        <v>2380.1</v>
      </c>
      <c r="K41" s="71">
        <v>13525.06</v>
      </c>
      <c r="L41" s="8">
        <f t="shared" si="6"/>
        <v>3525.0599999999995</v>
      </c>
      <c r="DP41" s="15"/>
    </row>
    <row r="42" spans="1:120">
      <c r="A42" s="15">
        <f t="shared" si="2"/>
        <v>0</v>
      </c>
      <c r="B42" s="15">
        <f t="shared" si="3"/>
        <v>0</v>
      </c>
      <c r="C42" s="15">
        <f t="shared" si="4"/>
        <v>0</v>
      </c>
      <c r="D42" s="15">
        <f t="shared" si="5"/>
        <v>0</v>
      </c>
      <c r="E42" s="70">
        <v>46235.375</v>
      </c>
      <c r="F42" s="71">
        <v>823.56809999999996</v>
      </c>
      <c r="G42" s="71">
        <v>2144.4989999999998</v>
      </c>
      <c r="H42" s="71">
        <v>6161.7470000000003</v>
      </c>
      <c r="I42" s="71">
        <v>614.5</v>
      </c>
      <c r="J42" s="71">
        <v>2281.0349999999999</v>
      </c>
      <c r="K42" s="71">
        <v>13830.54</v>
      </c>
      <c r="L42" s="8">
        <f t="shared" si="6"/>
        <v>3830.5400000000009</v>
      </c>
      <c r="DP42" s="15"/>
    </row>
    <row r="43" spans="1:120">
      <c r="A43" s="15">
        <f t="shared" si="2"/>
        <v>0</v>
      </c>
      <c r="B43" s="15">
        <f t="shared" si="3"/>
        <v>0</v>
      </c>
      <c r="C43" s="15">
        <f t="shared" si="4"/>
        <v>0</v>
      </c>
      <c r="D43" s="15">
        <f t="shared" si="5"/>
        <v>0</v>
      </c>
      <c r="E43" s="70">
        <v>46235.416666666664</v>
      </c>
      <c r="F43" s="71">
        <v>863.03809999999999</v>
      </c>
      <c r="G43" s="71">
        <v>1936.7929999999999</v>
      </c>
      <c r="H43" s="71">
        <v>5496.0209999999997</v>
      </c>
      <c r="I43" s="71">
        <v>475</v>
      </c>
      <c r="J43" s="71">
        <v>2035.925</v>
      </c>
      <c r="K43" s="71">
        <v>13914.53</v>
      </c>
      <c r="L43" s="8">
        <f t="shared" si="6"/>
        <v>3914.5300000000007</v>
      </c>
      <c r="W43" s="7"/>
      <c r="DP43" s="15"/>
    </row>
    <row r="44" spans="1:120" s="7" customFormat="1">
      <c r="A44" s="7">
        <f t="shared" si="2"/>
        <v>0</v>
      </c>
      <c r="B44" s="7">
        <f t="shared" si="3"/>
        <v>0</v>
      </c>
      <c r="C44" s="7">
        <f t="shared" si="4"/>
        <v>0</v>
      </c>
      <c r="D44" s="7">
        <f t="shared" si="5"/>
        <v>0</v>
      </c>
      <c r="E44" s="70">
        <v>46235.458333333336</v>
      </c>
      <c r="F44" s="71">
        <v>910.03809999999999</v>
      </c>
      <c r="G44" s="71">
        <v>1856.0219999999999</v>
      </c>
      <c r="H44" s="71">
        <v>5152.7960000000003</v>
      </c>
      <c r="I44" s="71">
        <v>392</v>
      </c>
      <c r="J44" s="71">
        <v>1856.0319999999999</v>
      </c>
      <c r="K44" s="71">
        <v>13857.6</v>
      </c>
      <c r="L44" s="7">
        <f t="shared" si="6"/>
        <v>3857.6000000000004</v>
      </c>
      <c r="U44"/>
      <c r="W44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P44" s="15"/>
    </row>
    <row r="45" spans="1:120">
      <c r="A45" s="15">
        <f t="shared" si="2"/>
        <v>0</v>
      </c>
      <c r="B45" s="15">
        <f t="shared" si="3"/>
        <v>0</v>
      </c>
      <c r="C45" s="15">
        <f t="shared" si="4"/>
        <v>0</v>
      </c>
      <c r="D45" s="15">
        <f t="shared" si="5"/>
        <v>0</v>
      </c>
      <c r="E45" s="70">
        <v>46235.5</v>
      </c>
      <c r="F45" s="71">
        <v>957.00239999999997</v>
      </c>
      <c r="G45" s="71">
        <v>1690.759</v>
      </c>
      <c r="H45" s="71">
        <v>4518.424</v>
      </c>
      <c r="I45" s="71">
        <v>309</v>
      </c>
      <c r="J45" s="71">
        <v>1597.3409999999999</v>
      </c>
      <c r="K45" s="71">
        <v>13590.62</v>
      </c>
      <c r="L45" s="8">
        <f t="shared" si="6"/>
        <v>3590.6200000000008</v>
      </c>
      <c r="DP45" s="15"/>
    </row>
    <row r="46" spans="1:120">
      <c r="A46" s="15">
        <f t="shared" si="2"/>
        <v>0</v>
      </c>
      <c r="B46" s="15">
        <f t="shared" si="3"/>
        <v>0</v>
      </c>
      <c r="C46" s="15">
        <f t="shared" si="4"/>
        <v>0</v>
      </c>
      <c r="D46" s="15">
        <f t="shared" si="5"/>
        <v>0</v>
      </c>
      <c r="E46" s="70">
        <v>46235.541666666664</v>
      </c>
      <c r="F46" s="71">
        <v>987.50239999999997</v>
      </c>
      <c r="G46" s="71">
        <v>1635.115</v>
      </c>
      <c r="H46" s="71">
        <v>4289.2809999999999</v>
      </c>
      <c r="I46" s="71">
        <v>264</v>
      </c>
      <c r="J46" s="71">
        <v>1390.7719999999999</v>
      </c>
      <c r="K46" s="71">
        <v>13116.51</v>
      </c>
      <c r="L46" s="8">
        <f t="shared" si="6"/>
        <v>3116.51</v>
      </c>
      <c r="DP46" s="15"/>
    </row>
    <row r="47" spans="1:120">
      <c r="A47" s="15">
        <f t="shared" si="2"/>
        <v>0</v>
      </c>
      <c r="B47" s="15">
        <f t="shared" si="3"/>
        <v>0</v>
      </c>
      <c r="C47" s="15">
        <f t="shared" si="4"/>
        <v>0</v>
      </c>
      <c r="D47" s="15">
        <f t="shared" si="5"/>
        <v>0</v>
      </c>
      <c r="E47" s="70">
        <v>46235.583333333336</v>
      </c>
      <c r="F47" s="71">
        <v>1018</v>
      </c>
      <c r="G47" s="71">
        <v>1545.9179999999999</v>
      </c>
      <c r="H47" s="71">
        <v>3775.9780000000001</v>
      </c>
      <c r="I47" s="71">
        <v>219</v>
      </c>
      <c r="J47" s="71">
        <v>1146.5119999999999</v>
      </c>
      <c r="K47" s="71">
        <v>12307.2</v>
      </c>
      <c r="L47" s="8">
        <f t="shared" si="6"/>
        <v>2307.2000000000007</v>
      </c>
      <c r="DP47" s="15"/>
    </row>
    <row r="48" spans="1:120">
      <c r="A48" s="15">
        <f t="shared" si="2"/>
        <v>0</v>
      </c>
      <c r="B48" s="15">
        <f t="shared" si="3"/>
        <v>0</v>
      </c>
      <c r="C48" s="15">
        <f t="shared" si="4"/>
        <v>0</v>
      </c>
      <c r="D48" s="15">
        <f t="shared" si="5"/>
        <v>0</v>
      </c>
      <c r="E48" s="70">
        <v>46235.625</v>
      </c>
      <c r="F48" s="71">
        <v>1021</v>
      </c>
      <c r="G48" s="71">
        <v>1510.8679999999999</v>
      </c>
      <c r="H48" s="71">
        <v>3630.4920000000002</v>
      </c>
      <c r="I48" s="71">
        <v>190.5</v>
      </c>
      <c r="J48" s="71">
        <v>962.43769999999995</v>
      </c>
      <c r="K48" s="71">
        <v>11557.83</v>
      </c>
      <c r="L48" s="8">
        <f t="shared" si="6"/>
        <v>1557.83</v>
      </c>
      <c r="CU48" s="7"/>
      <c r="CV48" s="7"/>
      <c r="CW48" s="7"/>
      <c r="CX48" s="7"/>
      <c r="CY48" s="7"/>
      <c r="CZ48" s="7"/>
      <c r="DA48" s="7"/>
      <c r="DC48" s="7"/>
      <c r="DD48" s="7"/>
      <c r="DE48" s="7"/>
      <c r="DF48" s="7"/>
      <c r="DP48" s="15"/>
    </row>
    <row r="49" spans="1:120">
      <c r="A49" s="15">
        <f t="shared" si="2"/>
        <v>0</v>
      </c>
      <c r="B49" s="15">
        <f t="shared" si="3"/>
        <v>0</v>
      </c>
      <c r="C49" s="15">
        <f t="shared" si="4"/>
        <v>0</v>
      </c>
      <c r="D49" s="15">
        <f t="shared" si="5"/>
        <v>0</v>
      </c>
      <c r="E49" s="70">
        <v>46235.666666666664</v>
      </c>
      <c r="F49" s="71">
        <v>1024</v>
      </c>
      <c r="G49" s="71">
        <v>1466.424</v>
      </c>
      <c r="H49" s="71">
        <v>3270.607</v>
      </c>
      <c r="I49" s="71">
        <v>162</v>
      </c>
      <c r="J49" s="71">
        <v>761.76940000000002</v>
      </c>
      <c r="K49" s="71">
        <v>10659.8</v>
      </c>
      <c r="L49" s="8">
        <f t="shared" si="6"/>
        <v>659.79999999999927</v>
      </c>
      <c r="DP49" s="15"/>
    </row>
    <row r="50" spans="1:120">
      <c r="A50" s="15">
        <f t="shared" si="2"/>
        <v>0</v>
      </c>
      <c r="B50" s="15">
        <f t="shared" si="3"/>
        <v>0</v>
      </c>
      <c r="C50" s="15">
        <f t="shared" si="4"/>
        <v>0</v>
      </c>
      <c r="D50" s="15">
        <f t="shared" si="5"/>
        <v>0</v>
      </c>
      <c r="E50" s="70">
        <v>46235.708333333336</v>
      </c>
      <c r="F50" s="71">
        <v>1012</v>
      </c>
      <c r="G50" s="71">
        <v>1459.2570000000001</v>
      </c>
      <c r="H50" s="71">
        <v>3222.47</v>
      </c>
      <c r="I50" s="71">
        <v>144</v>
      </c>
      <c r="J50" s="71">
        <v>635.88710000000003</v>
      </c>
      <c r="K50" s="71">
        <v>9910.7189999999991</v>
      </c>
      <c r="L50" s="8">
        <f t="shared" si="6"/>
        <v>0</v>
      </c>
      <c r="CU50" s="7"/>
      <c r="CV50" s="7"/>
      <c r="CW50" s="7"/>
      <c r="CX50" s="7"/>
      <c r="CY50" s="7"/>
      <c r="CZ50" s="7"/>
      <c r="DA50" s="7"/>
      <c r="DC50" s="7"/>
      <c r="DD50" s="7"/>
      <c r="DE50" s="7"/>
      <c r="DF50" s="7"/>
      <c r="DP50" s="15"/>
    </row>
    <row r="51" spans="1:120">
      <c r="A51" s="15">
        <f t="shared" si="2"/>
        <v>0</v>
      </c>
      <c r="B51" s="15">
        <f t="shared" si="3"/>
        <v>0</v>
      </c>
      <c r="C51" s="15">
        <f t="shared" si="4"/>
        <v>0</v>
      </c>
      <c r="D51" s="15">
        <f t="shared" si="5"/>
        <v>0</v>
      </c>
      <c r="E51" s="70">
        <v>46235.75</v>
      </c>
      <c r="F51" s="71">
        <v>1000</v>
      </c>
      <c r="G51" s="71">
        <v>1449.9179999999999</v>
      </c>
      <c r="H51" s="71">
        <v>3043.4859999999999</v>
      </c>
      <c r="I51" s="71">
        <v>126</v>
      </c>
      <c r="J51" s="71">
        <v>503.12819999999999</v>
      </c>
      <c r="K51" s="71">
        <v>8918.7880000000005</v>
      </c>
      <c r="L51" s="8">
        <f t="shared" si="6"/>
        <v>0</v>
      </c>
      <c r="DP51" s="15"/>
    </row>
    <row r="52" spans="1:120">
      <c r="A52" s="15">
        <f t="shared" si="2"/>
        <v>0</v>
      </c>
      <c r="B52" s="15">
        <f t="shared" si="3"/>
        <v>0</v>
      </c>
      <c r="C52" s="15">
        <f t="shared" si="4"/>
        <v>0</v>
      </c>
      <c r="D52" s="15">
        <f t="shared" si="5"/>
        <v>0</v>
      </c>
      <c r="E52" s="70">
        <v>46235.791666666664</v>
      </c>
      <c r="F52" s="71">
        <v>990.5</v>
      </c>
      <c r="G52" s="71">
        <v>1480.087</v>
      </c>
      <c r="H52" s="71">
        <v>3042.0680000000002</v>
      </c>
      <c r="I52" s="71">
        <v>115.5</v>
      </c>
      <c r="J52" s="71">
        <v>426.06180000000001</v>
      </c>
      <c r="K52" s="71">
        <v>8245.2690000000002</v>
      </c>
      <c r="L52" s="8">
        <f t="shared" si="6"/>
        <v>0</v>
      </c>
      <c r="DP52" s="15"/>
    </row>
    <row r="53" spans="1:120">
      <c r="A53" s="15">
        <f t="shared" si="2"/>
        <v>0</v>
      </c>
      <c r="B53" s="15">
        <f t="shared" si="3"/>
        <v>0</v>
      </c>
      <c r="C53" s="15">
        <f t="shared" si="4"/>
        <v>0</v>
      </c>
      <c r="D53" s="15">
        <f t="shared" si="5"/>
        <v>0</v>
      </c>
      <c r="E53" s="70">
        <v>46235.833333333336</v>
      </c>
      <c r="F53" s="71">
        <v>985.88170000000002</v>
      </c>
      <c r="G53" s="71">
        <v>1509.81</v>
      </c>
      <c r="H53" s="71">
        <v>2972.0369999999998</v>
      </c>
      <c r="I53" s="71">
        <v>105</v>
      </c>
      <c r="J53" s="71">
        <v>346.27480000000003</v>
      </c>
      <c r="K53" s="71">
        <v>7327.134</v>
      </c>
      <c r="L53" s="8">
        <f t="shared" si="6"/>
        <v>0</v>
      </c>
      <c r="DP53" s="15"/>
    </row>
    <row r="54" spans="1:120">
      <c r="A54" s="15">
        <f t="shared" si="2"/>
        <v>0</v>
      </c>
      <c r="B54" s="15">
        <f t="shared" si="3"/>
        <v>0</v>
      </c>
      <c r="C54" s="15">
        <f t="shared" si="4"/>
        <v>0</v>
      </c>
      <c r="D54" s="15">
        <f t="shared" si="5"/>
        <v>0</v>
      </c>
      <c r="E54" s="70">
        <v>46235.875</v>
      </c>
      <c r="F54" s="71">
        <v>996.1123</v>
      </c>
      <c r="G54" s="71">
        <v>1577.325</v>
      </c>
      <c r="H54" s="71">
        <v>2994.0059999999999</v>
      </c>
      <c r="I54" s="71">
        <v>129.5</v>
      </c>
      <c r="J54" s="71">
        <v>299.2851</v>
      </c>
      <c r="K54" s="71">
        <v>6828.9369999999999</v>
      </c>
      <c r="L54" s="8">
        <f t="shared" si="6"/>
        <v>0</v>
      </c>
      <c r="DP54" s="15"/>
    </row>
    <row r="55" spans="1:120">
      <c r="A55" s="15">
        <f t="shared" si="2"/>
        <v>0</v>
      </c>
      <c r="B55" s="15">
        <f t="shared" si="3"/>
        <v>0</v>
      </c>
      <c r="C55" s="15">
        <f t="shared" si="4"/>
        <v>0</v>
      </c>
      <c r="D55" s="15">
        <f t="shared" si="5"/>
        <v>0</v>
      </c>
      <c r="E55" s="70">
        <v>46235.916666666664</v>
      </c>
      <c r="F55" s="71">
        <v>1100.335</v>
      </c>
      <c r="G55" s="71">
        <v>1644.7560000000001</v>
      </c>
      <c r="H55" s="71">
        <v>2983.5079999999998</v>
      </c>
      <c r="I55" s="71">
        <v>154</v>
      </c>
      <c r="J55" s="71">
        <v>251.2576</v>
      </c>
      <c r="K55" s="71">
        <v>6069.1989999999996</v>
      </c>
      <c r="L55" s="8">
        <f t="shared" si="6"/>
        <v>0</v>
      </c>
      <c r="DP55" s="15"/>
    </row>
    <row r="56" spans="1:120">
      <c r="A56" s="15">
        <f t="shared" si="2"/>
        <v>0</v>
      </c>
      <c r="B56" s="15">
        <f t="shared" si="3"/>
        <v>0</v>
      </c>
      <c r="C56" s="15">
        <f t="shared" si="4"/>
        <v>0</v>
      </c>
      <c r="D56" s="15">
        <f t="shared" si="5"/>
        <v>0</v>
      </c>
      <c r="E56" s="70">
        <v>46235.958333333336</v>
      </c>
      <c r="F56" s="71">
        <v>1143.2909999999999</v>
      </c>
      <c r="G56" s="71">
        <v>1751.9359999999999</v>
      </c>
      <c r="H56" s="71">
        <v>3026.7530000000002</v>
      </c>
      <c r="I56" s="71">
        <v>265.5</v>
      </c>
      <c r="J56" s="71">
        <v>223.82929999999999</v>
      </c>
      <c r="K56" s="71">
        <v>5726.63</v>
      </c>
      <c r="L56" s="8">
        <f t="shared" si="6"/>
        <v>0</v>
      </c>
      <c r="DP56" s="15"/>
    </row>
    <row r="57" spans="1:120">
      <c r="A57" s="15">
        <f t="shared" si="2"/>
        <v>0</v>
      </c>
      <c r="B57" s="15">
        <f t="shared" si="3"/>
        <v>0</v>
      </c>
      <c r="C57" s="15">
        <f t="shared" si="4"/>
        <v>0</v>
      </c>
      <c r="D57" s="15">
        <f t="shared" si="5"/>
        <v>0</v>
      </c>
      <c r="E57" s="70">
        <v>46236</v>
      </c>
      <c r="F57" s="71">
        <v>1790.866</v>
      </c>
      <c r="G57" s="71">
        <v>1859.1</v>
      </c>
      <c r="H57" s="71">
        <v>3055.922</v>
      </c>
      <c r="I57" s="71">
        <v>377</v>
      </c>
      <c r="J57" s="71">
        <v>196.01660000000001</v>
      </c>
      <c r="K57" s="71">
        <v>5167.8119999999999</v>
      </c>
      <c r="L57" s="8">
        <f t="shared" si="6"/>
        <v>0</v>
      </c>
      <c r="DP57" s="15"/>
    </row>
    <row r="58" spans="1:120">
      <c r="A58" s="15">
        <f t="shared" si="2"/>
        <v>0</v>
      </c>
      <c r="B58" s="15">
        <f t="shared" si="3"/>
        <v>0</v>
      </c>
      <c r="C58" s="15">
        <f t="shared" si="4"/>
        <v>0</v>
      </c>
      <c r="D58" s="15">
        <f t="shared" si="5"/>
        <v>0</v>
      </c>
      <c r="E58" s="70">
        <v>46236.041666666664</v>
      </c>
      <c r="F58" s="71">
        <v>1925.4580000000001</v>
      </c>
      <c r="G58" s="71">
        <v>1952.5229999999999</v>
      </c>
      <c r="H58" s="71">
        <v>3137.4360000000001</v>
      </c>
      <c r="I58" s="71">
        <v>486.5</v>
      </c>
      <c r="J58" s="71">
        <v>186.5909</v>
      </c>
      <c r="K58" s="71">
        <v>4992.2290000000003</v>
      </c>
      <c r="L58" s="8">
        <f t="shared" si="6"/>
        <v>0</v>
      </c>
      <c r="DP58" s="15"/>
    </row>
    <row r="59" spans="1:120">
      <c r="A59" s="15">
        <f t="shared" si="2"/>
        <v>0</v>
      </c>
      <c r="B59" s="15">
        <f t="shared" si="3"/>
        <v>0</v>
      </c>
      <c r="C59" s="15">
        <f t="shared" si="4"/>
        <v>0</v>
      </c>
      <c r="D59" s="15">
        <f t="shared" si="5"/>
        <v>0</v>
      </c>
      <c r="E59" s="70">
        <v>46236.083333333336</v>
      </c>
      <c r="F59" s="71">
        <v>3368.3150000000001</v>
      </c>
      <c r="G59" s="71">
        <v>2045.943</v>
      </c>
      <c r="H59" s="71">
        <v>3216.7139999999999</v>
      </c>
      <c r="I59" s="71">
        <v>596</v>
      </c>
      <c r="J59" s="71">
        <v>177.02619999999999</v>
      </c>
      <c r="K59" s="71">
        <v>4653.4110000000001</v>
      </c>
      <c r="L59" s="8">
        <f t="shared" si="6"/>
        <v>0</v>
      </c>
      <c r="DP59" s="15"/>
    </row>
    <row r="60" spans="1:120">
      <c r="A60" s="15">
        <f t="shared" si="2"/>
        <v>0</v>
      </c>
      <c r="B60" s="15">
        <f t="shared" si="3"/>
        <v>0</v>
      </c>
      <c r="C60" s="15">
        <f t="shared" si="4"/>
        <v>0</v>
      </c>
      <c r="D60" s="15">
        <f t="shared" si="5"/>
        <v>0</v>
      </c>
      <c r="E60" s="70">
        <v>46236.125</v>
      </c>
      <c r="F60" s="71">
        <v>3662.4340000000002</v>
      </c>
      <c r="G60" s="71">
        <v>2109.748</v>
      </c>
      <c r="H60" s="71">
        <v>3504.3789999999999</v>
      </c>
      <c r="I60" s="71">
        <v>631</v>
      </c>
      <c r="J60" s="71">
        <v>210.41159999999999</v>
      </c>
      <c r="K60" s="71">
        <v>4613.1629999999996</v>
      </c>
      <c r="L60" s="8">
        <f t="shared" si="6"/>
        <v>0</v>
      </c>
      <c r="DP60" s="15"/>
    </row>
    <row r="61" spans="1:120">
      <c r="A61" s="15">
        <f t="shared" si="2"/>
        <v>0</v>
      </c>
      <c r="B61" s="15">
        <f t="shared" si="3"/>
        <v>0</v>
      </c>
      <c r="C61" s="15">
        <f t="shared" si="4"/>
        <v>0</v>
      </c>
      <c r="D61" s="15">
        <f t="shared" si="5"/>
        <v>0</v>
      </c>
      <c r="E61" s="70">
        <v>46236.166666666664</v>
      </c>
      <c r="F61" s="71">
        <v>4013.1909999999998</v>
      </c>
      <c r="G61" s="71">
        <v>2173.5509999999999</v>
      </c>
      <c r="H61" s="71">
        <v>3819.0329999999999</v>
      </c>
      <c r="I61" s="71">
        <v>666</v>
      </c>
      <c r="J61" s="71">
        <v>243.74770000000001</v>
      </c>
      <c r="K61" s="71">
        <v>4470.8140000000003</v>
      </c>
      <c r="L61" s="8">
        <f t="shared" si="6"/>
        <v>0</v>
      </c>
      <c r="DP61" s="15"/>
    </row>
    <row r="62" spans="1:120">
      <c r="A62" s="15">
        <f t="shared" si="2"/>
        <v>0</v>
      </c>
      <c r="B62" s="15">
        <f t="shared" si="3"/>
        <v>0</v>
      </c>
      <c r="C62" s="15">
        <f t="shared" si="4"/>
        <v>0</v>
      </c>
      <c r="D62" s="15">
        <f t="shared" si="5"/>
        <v>0</v>
      </c>
      <c r="E62" s="70">
        <v>46236.208333333336</v>
      </c>
      <c r="F62" s="71">
        <v>4323.2969999999996</v>
      </c>
      <c r="G62" s="71">
        <v>2291.2199999999998</v>
      </c>
      <c r="H62" s="71">
        <v>4029.76</v>
      </c>
      <c r="I62" s="71">
        <v>724.5</v>
      </c>
      <c r="J62" s="71">
        <v>359.87490000000003</v>
      </c>
      <c r="K62" s="71">
        <v>4583.13</v>
      </c>
      <c r="L62" s="8">
        <f t="shared" si="6"/>
        <v>0</v>
      </c>
      <c r="DP62" s="15"/>
    </row>
    <row r="63" spans="1:120">
      <c r="A63" s="15">
        <f t="shared" si="2"/>
        <v>0</v>
      </c>
      <c r="B63" s="15">
        <f t="shared" si="3"/>
        <v>0</v>
      </c>
      <c r="C63" s="15">
        <f t="shared" si="4"/>
        <v>0</v>
      </c>
      <c r="D63" s="15">
        <f t="shared" si="5"/>
        <v>0</v>
      </c>
      <c r="E63" s="70">
        <v>46236.25</v>
      </c>
      <c r="F63" s="71">
        <v>4628</v>
      </c>
      <c r="G63" s="71">
        <v>2408.8890000000001</v>
      </c>
      <c r="H63" s="71">
        <v>4374.6059999999998</v>
      </c>
      <c r="I63" s="71">
        <v>783</v>
      </c>
      <c r="J63" s="71">
        <v>475.98489999999998</v>
      </c>
      <c r="K63" s="71">
        <v>4634.8959999999997</v>
      </c>
      <c r="L63" s="8">
        <f t="shared" si="6"/>
        <v>0</v>
      </c>
      <c r="DP63" s="15"/>
    </row>
    <row r="64" spans="1:120">
      <c r="A64" s="15">
        <f t="shared" si="2"/>
        <v>0</v>
      </c>
      <c r="B64" s="15">
        <f t="shared" si="3"/>
        <v>0</v>
      </c>
      <c r="C64" s="15">
        <f t="shared" si="4"/>
        <v>0</v>
      </c>
      <c r="D64" s="15">
        <f t="shared" si="5"/>
        <v>0</v>
      </c>
      <c r="E64" s="70">
        <v>46236.291666666664</v>
      </c>
      <c r="F64" s="71">
        <v>5091.0879999999997</v>
      </c>
      <c r="G64" s="71">
        <v>2621.393</v>
      </c>
      <c r="H64" s="71">
        <v>4496.1369999999997</v>
      </c>
      <c r="I64" s="71">
        <v>782.5</v>
      </c>
      <c r="J64" s="71">
        <v>642.09799999999996</v>
      </c>
      <c r="K64" s="71">
        <v>4900.0439999999999</v>
      </c>
      <c r="L64" s="8">
        <f t="shared" si="6"/>
        <v>0</v>
      </c>
      <c r="DP64" s="15"/>
    </row>
    <row r="65" spans="1:120">
      <c r="A65" s="15">
        <f t="shared" si="2"/>
        <v>0</v>
      </c>
      <c r="B65" s="15">
        <f t="shared" si="3"/>
        <v>0</v>
      </c>
      <c r="C65" s="15">
        <f t="shared" si="4"/>
        <v>0</v>
      </c>
      <c r="D65" s="15">
        <f t="shared" si="5"/>
        <v>0</v>
      </c>
      <c r="E65" s="70">
        <v>46236.333333333336</v>
      </c>
      <c r="F65" s="71">
        <v>5520.2470000000003</v>
      </c>
      <c r="G65" s="71">
        <v>2833.8980000000001</v>
      </c>
      <c r="H65" s="71">
        <v>4983.0330000000004</v>
      </c>
      <c r="I65" s="71">
        <v>782</v>
      </c>
      <c r="J65" s="71">
        <v>808.20510000000002</v>
      </c>
      <c r="K65" s="71">
        <v>5143.1440000000002</v>
      </c>
      <c r="L65" s="8">
        <f t="shared" si="6"/>
        <v>0</v>
      </c>
      <c r="DP65" s="15"/>
    </row>
    <row r="66" spans="1:120">
      <c r="A66" s="15">
        <f t="shared" si="2"/>
        <v>0</v>
      </c>
      <c r="B66" s="15">
        <f t="shared" si="3"/>
        <v>0</v>
      </c>
      <c r="C66" s="15">
        <f t="shared" si="4"/>
        <v>0</v>
      </c>
      <c r="D66" s="15">
        <f t="shared" si="5"/>
        <v>0</v>
      </c>
      <c r="E66" s="70">
        <v>46236.375</v>
      </c>
      <c r="F66" s="71">
        <v>5724.0060000000003</v>
      </c>
      <c r="G66" s="71">
        <v>3083.3580000000002</v>
      </c>
      <c r="H66" s="71">
        <v>5154.4790000000003</v>
      </c>
      <c r="I66" s="71">
        <v>700.5</v>
      </c>
      <c r="J66" s="71">
        <v>993.66409999999996</v>
      </c>
      <c r="K66" s="71">
        <v>5467.1120000000001</v>
      </c>
      <c r="L66" s="8">
        <f t="shared" si="6"/>
        <v>0</v>
      </c>
      <c r="DP66" s="15"/>
    </row>
    <row r="67" spans="1:120">
      <c r="A67" s="15">
        <f t="shared" ref="A67:A130" si="7">AC67</f>
        <v>0</v>
      </c>
      <c r="B67" s="15">
        <f t="shared" ref="B67:B130" si="8">AD67</f>
        <v>0</v>
      </c>
      <c r="C67" s="15">
        <f t="shared" ref="C67:C130" si="9">AE67</f>
        <v>0</v>
      </c>
      <c r="D67" s="15">
        <f t="shared" ref="D67:D130" si="10">AF67</f>
        <v>0</v>
      </c>
      <c r="E67" s="70">
        <v>46236.416666666664</v>
      </c>
      <c r="F67" s="71">
        <v>5854.4530000000004</v>
      </c>
      <c r="G67" s="71">
        <v>3332.82</v>
      </c>
      <c r="H67" s="71">
        <v>5879.5410000000002</v>
      </c>
      <c r="I67" s="71">
        <v>619</v>
      </c>
      <c r="J67" s="71">
        <v>1179.1210000000001</v>
      </c>
      <c r="K67" s="71">
        <v>5794.558</v>
      </c>
      <c r="L67" s="8">
        <f t="shared" ref="L67:L130" si="11">IF(K67&gt;10000,K67-10000,0)</f>
        <v>0</v>
      </c>
      <c r="DP67" s="15"/>
    </row>
    <row r="68" spans="1:120">
      <c r="A68" s="15">
        <f t="shared" si="7"/>
        <v>0</v>
      </c>
      <c r="B68" s="15">
        <f t="shared" si="8"/>
        <v>0</v>
      </c>
      <c r="C68" s="15">
        <f t="shared" si="9"/>
        <v>0</v>
      </c>
      <c r="D68" s="15">
        <f t="shared" si="10"/>
        <v>0</v>
      </c>
      <c r="E68" s="70">
        <v>46236.458333333336</v>
      </c>
      <c r="F68" s="71">
        <v>5706.7020000000002</v>
      </c>
      <c r="G68" s="71">
        <v>3607.4169999999999</v>
      </c>
      <c r="H68" s="71">
        <v>6175.143</v>
      </c>
      <c r="I68" s="71">
        <v>526</v>
      </c>
      <c r="J68" s="71">
        <v>1397.5119999999999</v>
      </c>
      <c r="K68" s="71">
        <v>6220.3469999999998</v>
      </c>
      <c r="L68" s="8">
        <f t="shared" si="11"/>
        <v>0</v>
      </c>
      <c r="DP68" s="15"/>
    </row>
    <row r="69" spans="1:120">
      <c r="A69" s="15">
        <f t="shared" si="7"/>
        <v>0</v>
      </c>
      <c r="B69" s="15">
        <f t="shared" si="8"/>
        <v>0</v>
      </c>
      <c r="C69" s="15">
        <f t="shared" si="9"/>
        <v>0</v>
      </c>
      <c r="D69" s="15">
        <f t="shared" si="10"/>
        <v>0</v>
      </c>
      <c r="E69" s="70">
        <v>46236.5</v>
      </c>
      <c r="F69" s="71">
        <v>5562.9809999999998</v>
      </c>
      <c r="G69" s="71">
        <v>3882.0160000000001</v>
      </c>
      <c r="H69" s="71">
        <v>6919.4939999999997</v>
      </c>
      <c r="I69" s="71">
        <v>433</v>
      </c>
      <c r="J69" s="71">
        <v>1615.903</v>
      </c>
      <c r="K69" s="71">
        <v>6683.7510000000002</v>
      </c>
      <c r="L69" s="8">
        <f t="shared" si="11"/>
        <v>0</v>
      </c>
      <c r="DP69" s="15"/>
    </row>
    <row r="70" spans="1:120">
      <c r="A70" s="15">
        <f t="shared" si="7"/>
        <v>0</v>
      </c>
      <c r="B70" s="15">
        <f t="shared" si="8"/>
        <v>0</v>
      </c>
      <c r="C70" s="15">
        <f t="shared" si="9"/>
        <v>0</v>
      </c>
      <c r="D70" s="15">
        <f t="shared" si="10"/>
        <v>0</v>
      </c>
      <c r="E70" s="70">
        <v>46236.541666666664</v>
      </c>
      <c r="F70" s="71">
        <v>5221.4520000000002</v>
      </c>
      <c r="G70" s="71">
        <v>4327.9920000000002</v>
      </c>
      <c r="H70" s="71">
        <v>7337.1229999999996</v>
      </c>
      <c r="I70" s="71">
        <v>366</v>
      </c>
      <c r="J70" s="71">
        <v>1730.835</v>
      </c>
      <c r="K70" s="71">
        <v>6975.0110000000004</v>
      </c>
      <c r="L70" s="8">
        <f t="shared" si="11"/>
        <v>0</v>
      </c>
      <c r="DP70" s="15"/>
    </row>
    <row r="71" spans="1:120">
      <c r="A71" s="15">
        <f t="shared" si="7"/>
        <v>0</v>
      </c>
      <c r="B71" s="15">
        <f t="shared" si="8"/>
        <v>0</v>
      </c>
      <c r="C71" s="15">
        <f t="shared" si="9"/>
        <v>0</v>
      </c>
      <c r="D71" s="15">
        <f t="shared" si="10"/>
        <v>0</v>
      </c>
      <c r="E71" s="70">
        <v>46236.583333333336</v>
      </c>
      <c r="F71" s="71">
        <v>4913.7820000000002</v>
      </c>
      <c r="G71" s="71">
        <v>4773.9679999999998</v>
      </c>
      <c r="H71" s="71">
        <v>8020.3379999999997</v>
      </c>
      <c r="I71" s="71">
        <v>299</v>
      </c>
      <c r="J71" s="71">
        <v>1846.097</v>
      </c>
      <c r="K71" s="71">
        <v>7390.5910000000003</v>
      </c>
      <c r="L71" s="8">
        <f t="shared" si="11"/>
        <v>0</v>
      </c>
      <c r="DP71" s="15"/>
    </row>
    <row r="72" spans="1:120">
      <c r="A72" s="15">
        <f t="shared" si="7"/>
        <v>0</v>
      </c>
      <c r="B72" s="15">
        <f t="shared" si="8"/>
        <v>0</v>
      </c>
      <c r="C72" s="15">
        <f t="shared" si="9"/>
        <v>0</v>
      </c>
      <c r="D72" s="15">
        <f t="shared" si="10"/>
        <v>0</v>
      </c>
      <c r="E72" s="70">
        <v>46236.625</v>
      </c>
      <c r="F72" s="71">
        <v>4584.2809999999999</v>
      </c>
      <c r="G72" s="71">
        <v>4918.4210000000003</v>
      </c>
      <c r="H72" s="71">
        <v>8515.232</v>
      </c>
      <c r="I72" s="71">
        <v>262.5</v>
      </c>
      <c r="J72" s="71">
        <v>1776.0709999999999</v>
      </c>
      <c r="K72" s="71">
        <v>7635.5249999999996</v>
      </c>
      <c r="L72" s="8">
        <f t="shared" si="11"/>
        <v>0</v>
      </c>
      <c r="DP72" s="15"/>
    </row>
    <row r="73" spans="1:120">
      <c r="A73" s="15">
        <f t="shared" si="7"/>
        <v>0</v>
      </c>
      <c r="B73" s="15">
        <f t="shared" si="8"/>
        <v>0</v>
      </c>
      <c r="C73" s="15">
        <f t="shared" si="9"/>
        <v>0</v>
      </c>
      <c r="D73" s="15">
        <f t="shared" si="10"/>
        <v>0</v>
      </c>
      <c r="E73" s="70">
        <v>46236.666666666664</v>
      </c>
      <c r="F73" s="71">
        <v>4259.32</v>
      </c>
      <c r="G73" s="71">
        <v>5062.875</v>
      </c>
      <c r="H73" s="71">
        <v>9000</v>
      </c>
      <c r="I73" s="71">
        <v>226</v>
      </c>
      <c r="J73" s="71">
        <v>1714.7929999999999</v>
      </c>
      <c r="K73" s="71">
        <v>8156.7340000000004</v>
      </c>
      <c r="L73" s="8">
        <f t="shared" si="11"/>
        <v>0</v>
      </c>
      <c r="DP73" s="15"/>
    </row>
    <row r="74" spans="1:120">
      <c r="A74" s="15">
        <f t="shared" si="7"/>
        <v>0</v>
      </c>
      <c r="B74" s="15">
        <f t="shared" si="8"/>
        <v>0</v>
      </c>
      <c r="C74" s="15">
        <f t="shared" si="9"/>
        <v>0</v>
      </c>
      <c r="D74" s="15">
        <f t="shared" si="10"/>
        <v>0</v>
      </c>
      <c r="E74" s="70">
        <v>46236.708333333336</v>
      </c>
      <c r="F74" s="71">
        <v>3922.6089999999999</v>
      </c>
      <c r="G74" s="71">
        <v>4926.3450000000003</v>
      </c>
      <c r="H74" s="71">
        <v>9000</v>
      </c>
      <c r="I74" s="71">
        <v>217.5</v>
      </c>
      <c r="J74" s="71">
        <v>1536.992</v>
      </c>
      <c r="K74" s="71">
        <v>8310.6730000000007</v>
      </c>
      <c r="L74" s="8">
        <f t="shared" si="11"/>
        <v>0</v>
      </c>
      <c r="DP74" s="15"/>
    </row>
    <row r="75" spans="1:120">
      <c r="A75" s="15">
        <f t="shared" si="7"/>
        <v>0</v>
      </c>
      <c r="B75" s="15">
        <f t="shared" si="8"/>
        <v>0</v>
      </c>
      <c r="C75" s="15">
        <f t="shared" si="9"/>
        <v>0</v>
      </c>
      <c r="D75" s="15">
        <f t="shared" si="10"/>
        <v>0</v>
      </c>
      <c r="E75" s="70">
        <v>46236.75</v>
      </c>
      <c r="F75" s="71">
        <v>3586.3049999999998</v>
      </c>
      <c r="G75" s="71">
        <v>4789.8140000000003</v>
      </c>
      <c r="H75" s="71">
        <v>9000</v>
      </c>
      <c r="I75" s="71">
        <v>209</v>
      </c>
      <c r="J75" s="71">
        <v>1447.577</v>
      </c>
      <c r="K75" s="71">
        <v>8884.2790000000005</v>
      </c>
      <c r="L75" s="8">
        <f t="shared" si="11"/>
        <v>0</v>
      </c>
      <c r="DP75" s="15"/>
    </row>
    <row r="76" spans="1:120">
      <c r="A76" s="15">
        <f t="shared" si="7"/>
        <v>0</v>
      </c>
      <c r="B76" s="15">
        <f t="shared" si="8"/>
        <v>0</v>
      </c>
      <c r="C76" s="15">
        <f t="shared" si="9"/>
        <v>0</v>
      </c>
      <c r="D76" s="15">
        <f t="shared" si="10"/>
        <v>0</v>
      </c>
      <c r="E76" s="70">
        <v>46236.791666666664</v>
      </c>
      <c r="F76" s="71">
        <v>3265.9560000000001</v>
      </c>
      <c r="G76" s="71">
        <v>4590.24</v>
      </c>
      <c r="H76" s="71">
        <v>9000</v>
      </c>
      <c r="I76" s="71">
        <v>216.5</v>
      </c>
      <c r="J76" s="71">
        <v>1265.3920000000001</v>
      </c>
      <c r="K76" s="71">
        <v>8983.6409999999996</v>
      </c>
      <c r="L76" s="8">
        <f t="shared" si="11"/>
        <v>0</v>
      </c>
      <c r="DP76" s="15"/>
    </row>
    <row r="77" spans="1:120">
      <c r="A77" s="15">
        <f t="shared" si="7"/>
        <v>0</v>
      </c>
      <c r="B77" s="15">
        <f t="shared" si="8"/>
        <v>0</v>
      </c>
      <c r="C77" s="15">
        <f t="shared" si="9"/>
        <v>0</v>
      </c>
      <c r="D77" s="15">
        <f t="shared" si="10"/>
        <v>0</v>
      </c>
      <c r="E77" s="70">
        <v>46236.833333333336</v>
      </c>
      <c r="F77" s="71">
        <v>2945.6370000000002</v>
      </c>
      <c r="G77" s="71">
        <v>4390.6670000000004</v>
      </c>
      <c r="H77" s="71">
        <v>9000</v>
      </c>
      <c r="I77" s="71">
        <v>224</v>
      </c>
      <c r="J77" s="71">
        <v>1500.9010000000001</v>
      </c>
      <c r="K77" s="71">
        <v>9486.3320000000003</v>
      </c>
      <c r="L77" s="8">
        <f t="shared" si="11"/>
        <v>0</v>
      </c>
      <c r="DP77" s="15"/>
    </row>
    <row r="78" spans="1:120">
      <c r="A78" s="15">
        <f t="shared" si="7"/>
        <v>0</v>
      </c>
      <c r="B78" s="15">
        <f t="shared" si="8"/>
        <v>0</v>
      </c>
      <c r="C78" s="15">
        <f t="shared" si="9"/>
        <v>0</v>
      </c>
      <c r="D78" s="15">
        <f t="shared" si="10"/>
        <v>0</v>
      </c>
      <c r="E78" s="70">
        <v>46236.875</v>
      </c>
      <c r="F78" s="71">
        <v>2681.9920000000002</v>
      </c>
      <c r="G78" s="71">
        <v>4187.7</v>
      </c>
      <c r="H78" s="71">
        <v>9000</v>
      </c>
      <c r="I78" s="71">
        <v>235</v>
      </c>
      <c r="J78" s="71">
        <v>1379.3230000000001</v>
      </c>
      <c r="K78" s="71">
        <v>9577.9279999999999</v>
      </c>
      <c r="L78" s="8">
        <f t="shared" si="11"/>
        <v>0</v>
      </c>
      <c r="DP78" s="15"/>
    </row>
    <row r="79" spans="1:120">
      <c r="A79" s="15">
        <f t="shared" si="7"/>
        <v>0</v>
      </c>
      <c r="B79" s="15">
        <f t="shared" si="8"/>
        <v>0</v>
      </c>
      <c r="C79" s="15">
        <f t="shared" si="9"/>
        <v>0</v>
      </c>
      <c r="D79" s="15">
        <f t="shared" si="10"/>
        <v>0</v>
      </c>
      <c r="E79" s="70">
        <v>46236.916666666664</v>
      </c>
      <c r="F79" s="71">
        <v>2418.35</v>
      </c>
      <c r="G79" s="71">
        <v>3984.7339999999999</v>
      </c>
      <c r="H79" s="71">
        <v>9000</v>
      </c>
      <c r="I79" s="71">
        <v>246</v>
      </c>
      <c r="J79" s="71">
        <v>2165.3589999999999</v>
      </c>
      <c r="K79" s="71">
        <v>10081.14</v>
      </c>
      <c r="L79" s="8">
        <f t="shared" si="11"/>
        <v>81.139999999999418</v>
      </c>
      <c r="DP79" s="15"/>
    </row>
    <row r="80" spans="1:120">
      <c r="A80" s="15">
        <f t="shared" si="7"/>
        <v>0</v>
      </c>
      <c r="B80" s="15">
        <f t="shared" si="8"/>
        <v>0</v>
      </c>
      <c r="C80" s="15">
        <f t="shared" si="9"/>
        <v>0</v>
      </c>
      <c r="D80" s="15">
        <f t="shared" si="10"/>
        <v>0</v>
      </c>
      <c r="E80" s="70">
        <v>46236.958333333336</v>
      </c>
      <c r="F80" s="71">
        <v>2235.3330000000001</v>
      </c>
      <c r="G80" s="71">
        <v>3794.7910000000002</v>
      </c>
      <c r="H80" s="71">
        <v>9000</v>
      </c>
      <c r="I80" s="71">
        <v>255.5</v>
      </c>
      <c r="J80" s="71">
        <v>2130.1210000000001</v>
      </c>
      <c r="K80" s="71">
        <v>10260.32</v>
      </c>
      <c r="L80" s="8">
        <f t="shared" si="11"/>
        <v>260.31999999999971</v>
      </c>
      <c r="DP80" s="15"/>
    </row>
    <row r="81" spans="1:120">
      <c r="A81" s="15">
        <f t="shared" si="7"/>
        <v>0</v>
      </c>
      <c r="B81" s="15">
        <f t="shared" si="8"/>
        <v>0</v>
      </c>
      <c r="C81" s="15">
        <f t="shared" si="9"/>
        <v>0</v>
      </c>
      <c r="D81" s="15">
        <f t="shared" si="10"/>
        <v>0</v>
      </c>
      <c r="E81" s="70">
        <v>46237</v>
      </c>
      <c r="F81" s="71">
        <v>2052.3159999999998</v>
      </c>
      <c r="G81" s="71">
        <v>3604.848</v>
      </c>
      <c r="H81" s="71">
        <v>9000</v>
      </c>
      <c r="I81" s="71">
        <v>265</v>
      </c>
      <c r="J81" s="71">
        <v>2903.9389999999999</v>
      </c>
      <c r="K81" s="71">
        <v>10920.89</v>
      </c>
      <c r="L81" s="8">
        <f t="shared" si="11"/>
        <v>920.88999999999942</v>
      </c>
      <c r="DP81" s="15"/>
    </row>
    <row r="82" spans="1:120">
      <c r="A82" s="15">
        <f t="shared" si="7"/>
        <v>0</v>
      </c>
      <c r="B82" s="15">
        <f t="shared" si="8"/>
        <v>0</v>
      </c>
      <c r="C82" s="15">
        <f t="shared" si="9"/>
        <v>0</v>
      </c>
      <c r="D82" s="15">
        <f t="shared" si="10"/>
        <v>0</v>
      </c>
      <c r="E82" s="70">
        <v>46237.041666666664</v>
      </c>
      <c r="F82" s="71">
        <v>1930.0419999999999</v>
      </c>
      <c r="G82" s="71">
        <v>3482.1210000000001</v>
      </c>
      <c r="H82" s="71">
        <v>9000</v>
      </c>
      <c r="I82" s="71">
        <v>268.5</v>
      </c>
      <c r="J82" s="71">
        <v>2924.0810000000001</v>
      </c>
      <c r="K82" s="71">
        <v>10864.89</v>
      </c>
      <c r="L82" s="8">
        <f t="shared" si="11"/>
        <v>864.88999999999942</v>
      </c>
      <c r="DP82" s="15"/>
    </row>
    <row r="83" spans="1:120">
      <c r="A83" s="15">
        <f t="shared" si="7"/>
        <v>0</v>
      </c>
      <c r="B83" s="15">
        <f t="shared" si="8"/>
        <v>0</v>
      </c>
      <c r="C83" s="15">
        <f t="shared" si="9"/>
        <v>0</v>
      </c>
      <c r="D83" s="15">
        <f t="shared" si="10"/>
        <v>0</v>
      </c>
      <c r="E83" s="70">
        <v>46237.083333333336</v>
      </c>
      <c r="F83" s="71">
        <v>1807.768</v>
      </c>
      <c r="G83" s="71">
        <v>3359.3939999999998</v>
      </c>
      <c r="H83" s="71">
        <v>8948.9339999999993</v>
      </c>
      <c r="I83" s="71">
        <v>272</v>
      </c>
      <c r="J83" s="71">
        <v>3408.8539999999998</v>
      </c>
      <c r="K83" s="71">
        <v>11663.77</v>
      </c>
      <c r="L83" s="8">
        <f t="shared" si="11"/>
        <v>1663.7700000000004</v>
      </c>
      <c r="DP83" s="15"/>
    </row>
    <row r="84" spans="1:120">
      <c r="A84" s="15">
        <f t="shared" si="7"/>
        <v>0</v>
      </c>
      <c r="B84" s="15">
        <f t="shared" si="8"/>
        <v>0</v>
      </c>
      <c r="C84" s="15">
        <f t="shared" si="9"/>
        <v>0</v>
      </c>
      <c r="D84" s="15">
        <f t="shared" si="10"/>
        <v>0</v>
      </c>
      <c r="E84" s="70">
        <v>46237.125</v>
      </c>
      <c r="F84" s="71">
        <v>1885.2660000000001</v>
      </c>
      <c r="G84" s="71">
        <v>3397.3850000000002</v>
      </c>
      <c r="H84" s="71">
        <v>8444.7180000000008</v>
      </c>
      <c r="I84" s="71">
        <v>272.5</v>
      </c>
      <c r="J84" s="71">
        <v>3447.3</v>
      </c>
      <c r="K84" s="71">
        <v>11735.58</v>
      </c>
      <c r="L84" s="8">
        <f t="shared" si="11"/>
        <v>1735.58</v>
      </c>
      <c r="DP84" s="15"/>
    </row>
    <row r="85" spans="1:120">
      <c r="A85" s="15">
        <f t="shared" si="7"/>
        <v>0</v>
      </c>
      <c r="B85" s="15">
        <f t="shared" si="8"/>
        <v>0</v>
      </c>
      <c r="C85" s="15">
        <f t="shared" si="9"/>
        <v>0</v>
      </c>
      <c r="D85" s="15">
        <f t="shared" si="10"/>
        <v>0</v>
      </c>
      <c r="E85" s="70">
        <v>46237.166666666664</v>
      </c>
      <c r="F85" s="71">
        <v>1962.7639999999999</v>
      </c>
      <c r="G85" s="71">
        <v>3435.377</v>
      </c>
      <c r="H85" s="71">
        <v>7943.549</v>
      </c>
      <c r="I85" s="71">
        <v>273</v>
      </c>
      <c r="J85" s="71">
        <v>3707.2750000000001</v>
      </c>
      <c r="K85" s="71">
        <v>12551.6</v>
      </c>
      <c r="L85" s="8">
        <f t="shared" si="11"/>
        <v>2551.6000000000004</v>
      </c>
      <c r="DP85" s="15"/>
    </row>
    <row r="86" spans="1:120">
      <c r="A86" s="15">
        <f t="shared" si="7"/>
        <v>0</v>
      </c>
      <c r="B86" s="15">
        <f t="shared" si="8"/>
        <v>0</v>
      </c>
      <c r="C86" s="15">
        <f t="shared" si="9"/>
        <v>0</v>
      </c>
      <c r="D86" s="15">
        <f t="shared" si="10"/>
        <v>0</v>
      </c>
      <c r="E86" s="70">
        <v>46237.208333333336</v>
      </c>
      <c r="F86" s="71">
        <v>2038.654</v>
      </c>
      <c r="G86" s="71">
        <v>3590.48</v>
      </c>
      <c r="H86" s="71">
        <v>7511.62</v>
      </c>
      <c r="I86" s="71">
        <v>274</v>
      </c>
      <c r="J86" s="71">
        <v>3742.4569999999999</v>
      </c>
      <c r="K86" s="71">
        <v>12611.9</v>
      </c>
      <c r="L86" s="8">
        <f t="shared" si="11"/>
        <v>2611.8999999999996</v>
      </c>
      <c r="DP86" s="15"/>
    </row>
    <row r="87" spans="1:120">
      <c r="A87" s="15">
        <f t="shared" si="7"/>
        <v>0</v>
      </c>
      <c r="B87" s="15">
        <f t="shared" si="8"/>
        <v>0</v>
      </c>
      <c r="C87" s="15">
        <f t="shared" si="9"/>
        <v>0</v>
      </c>
      <c r="D87" s="15">
        <f t="shared" si="10"/>
        <v>0</v>
      </c>
      <c r="E87" s="70">
        <v>46237.25</v>
      </c>
      <c r="F87" s="71">
        <v>2114.5430000000001</v>
      </c>
      <c r="G87" s="71">
        <v>3745.5830000000001</v>
      </c>
      <c r="H87" s="71">
        <v>7081.1880000000001</v>
      </c>
      <c r="I87" s="71">
        <v>275</v>
      </c>
      <c r="J87" s="71">
        <v>3872.2179999999998</v>
      </c>
      <c r="K87" s="71">
        <v>13185.44</v>
      </c>
      <c r="L87" s="8">
        <f t="shared" si="11"/>
        <v>3185.4400000000005</v>
      </c>
      <c r="DP87" s="15"/>
    </row>
    <row r="88" spans="1:120">
      <c r="A88" s="15">
        <f t="shared" si="7"/>
        <v>0</v>
      </c>
      <c r="B88" s="15">
        <f t="shared" si="8"/>
        <v>0</v>
      </c>
      <c r="C88" s="15">
        <f t="shared" si="9"/>
        <v>0</v>
      </c>
      <c r="D88" s="15">
        <f t="shared" si="10"/>
        <v>0</v>
      </c>
      <c r="E88" s="70">
        <v>46237.291666666664</v>
      </c>
      <c r="F88" s="71">
        <v>2026.1110000000001</v>
      </c>
      <c r="G88" s="71">
        <v>3728.1120000000001</v>
      </c>
      <c r="H88" s="71">
        <v>6838.8630000000003</v>
      </c>
      <c r="I88" s="71">
        <v>269.5</v>
      </c>
      <c r="J88" s="71">
        <v>3892.9749999999999</v>
      </c>
      <c r="K88" s="71">
        <v>13273.17</v>
      </c>
      <c r="L88" s="8">
        <f t="shared" si="11"/>
        <v>3273.17</v>
      </c>
      <c r="DP88" s="15"/>
    </row>
    <row r="89" spans="1:120">
      <c r="A89" s="15">
        <f t="shared" si="7"/>
        <v>0</v>
      </c>
      <c r="B89" s="15">
        <f t="shared" si="8"/>
        <v>0</v>
      </c>
      <c r="C89" s="15">
        <f t="shared" si="9"/>
        <v>0</v>
      </c>
      <c r="D89" s="15">
        <f t="shared" si="10"/>
        <v>0</v>
      </c>
      <c r="E89" s="70">
        <v>46237.333333333336</v>
      </c>
      <c r="F89" s="71">
        <v>1937.6780000000001</v>
      </c>
      <c r="G89" s="71">
        <v>3710.6419999999998</v>
      </c>
      <c r="H89" s="71">
        <v>6597.22</v>
      </c>
      <c r="I89" s="71">
        <v>264</v>
      </c>
      <c r="J89" s="71">
        <v>3951.1909999999998</v>
      </c>
      <c r="K89" s="71">
        <v>13656.1</v>
      </c>
      <c r="L89" s="8">
        <f t="shared" si="11"/>
        <v>3656.1000000000004</v>
      </c>
      <c r="DP89" s="15"/>
    </row>
    <row r="90" spans="1:120">
      <c r="A90" s="15">
        <f t="shared" si="7"/>
        <v>0</v>
      </c>
      <c r="B90" s="15">
        <f t="shared" si="8"/>
        <v>0</v>
      </c>
      <c r="C90" s="15">
        <f t="shared" si="9"/>
        <v>0</v>
      </c>
      <c r="D90" s="15">
        <f t="shared" si="10"/>
        <v>0</v>
      </c>
      <c r="E90" s="70">
        <v>46237.375</v>
      </c>
      <c r="F90" s="71">
        <v>1768.1089999999999</v>
      </c>
      <c r="G90" s="71">
        <v>3492.752</v>
      </c>
      <c r="H90" s="71">
        <v>6578.9570000000003</v>
      </c>
      <c r="I90" s="71">
        <v>253.5</v>
      </c>
      <c r="J90" s="71">
        <v>3959.2849999999999</v>
      </c>
      <c r="K90" s="71">
        <v>13740.09</v>
      </c>
      <c r="L90" s="8">
        <f t="shared" si="11"/>
        <v>3740.09</v>
      </c>
      <c r="DP90" s="15"/>
    </row>
    <row r="91" spans="1:120">
      <c r="A91" s="15">
        <f t="shared" si="7"/>
        <v>0</v>
      </c>
      <c r="B91" s="15">
        <f t="shared" si="8"/>
        <v>0</v>
      </c>
      <c r="C91" s="15">
        <f t="shared" si="9"/>
        <v>0</v>
      </c>
      <c r="D91" s="15">
        <f t="shared" si="10"/>
        <v>0</v>
      </c>
      <c r="E91" s="70">
        <v>46237.416666666664</v>
      </c>
      <c r="F91" s="71">
        <v>1598.539</v>
      </c>
      <c r="G91" s="71">
        <v>3274.8629999999998</v>
      </c>
      <c r="H91" s="71">
        <v>6560.9880000000003</v>
      </c>
      <c r="I91" s="71">
        <v>243</v>
      </c>
      <c r="J91" s="71">
        <v>3981.422</v>
      </c>
      <c r="K91" s="71">
        <v>13946.59</v>
      </c>
      <c r="L91" s="8">
        <f t="shared" si="11"/>
        <v>3946.59</v>
      </c>
      <c r="DP91" s="15"/>
    </row>
    <row r="92" spans="1:120">
      <c r="A92" s="15">
        <f t="shared" si="7"/>
        <v>0</v>
      </c>
      <c r="B92" s="15">
        <f t="shared" si="8"/>
        <v>0</v>
      </c>
      <c r="C92" s="15">
        <f t="shared" si="9"/>
        <v>0</v>
      </c>
      <c r="D92" s="15">
        <f t="shared" si="10"/>
        <v>0</v>
      </c>
      <c r="E92" s="70">
        <v>46237.458333333336</v>
      </c>
      <c r="F92" s="71">
        <v>1429.56</v>
      </c>
      <c r="G92" s="71">
        <v>2999.692</v>
      </c>
      <c r="H92" s="71">
        <v>6609.9650000000001</v>
      </c>
      <c r="I92" s="71">
        <v>242</v>
      </c>
      <c r="J92" s="71">
        <v>3983.8589999999999</v>
      </c>
      <c r="K92" s="71">
        <v>13688.79</v>
      </c>
      <c r="L92" s="8">
        <f t="shared" si="11"/>
        <v>3688.7900000000009</v>
      </c>
      <c r="DP92" s="15"/>
    </row>
    <row r="93" spans="1:120">
      <c r="A93" s="15">
        <f t="shared" si="7"/>
        <v>0</v>
      </c>
      <c r="B93" s="15">
        <f t="shared" si="8"/>
        <v>0</v>
      </c>
      <c r="C93" s="15">
        <f t="shared" si="9"/>
        <v>0</v>
      </c>
      <c r="D93" s="15">
        <f t="shared" si="10"/>
        <v>0</v>
      </c>
      <c r="E93" s="70">
        <v>46237.5</v>
      </c>
      <c r="F93" s="71">
        <v>1260.5820000000001</v>
      </c>
      <c r="G93" s="71">
        <v>2724.5210000000002</v>
      </c>
      <c r="H93" s="71">
        <v>6659.0630000000001</v>
      </c>
      <c r="I93" s="71">
        <v>241</v>
      </c>
      <c r="J93" s="71">
        <v>3991.3429999999998</v>
      </c>
      <c r="K93" s="71">
        <v>13508.61</v>
      </c>
      <c r="L93" s="8">
        <f t="shared" si="11"/>
        <v>3508.6100000000006</v>
      </c>
      <c r="DP93" s="15"/>
    </row>
    <row r="94" spans="1:120">
      <c r="A94" s="15">
        <f t="shared" si="7"/>
        <v>0</v>
      </c>
      <c r="B94" s="15">
        <f t="shared" si="8"/>
        <v>0</v>
      </c>
      <c r="C94" s="15">
        <f t="shared" si="9"/>
        <v>0</v>
      </c>
      <c r="D94" s="15">
        <f t="shared" si="10"/>
        <v>0</v>
      </c>
      <c r="E94" s="70">
        <v>46237.541666666664</v>
      </c>
      <c r="F94" s="71">
        <v>1121.174</v>
      </c>
      <c r="G94" s="71">
        <v>2456.2080000000001</v>
      </c>
      <c r="H94" s="71">
        <v>6581.7709999999997</v>
      </c>
      <c r="I94" s="71">
        <v>660</v>
      </c>
      <c r="J94" s="71">
        <v>3992.0569999999998</v>
      </c>
      <c r="K94" s="71">
        <v>13262.27</v>
      </c>
      <c r="L94" s="8">
        <f t="shared" si="11"/>
        <v>3262.2700000000004</v>
      </c>
      <c r="DP94" s="15"/>
    </row>
    <row r="95" spans="1:120">
      <c r="A95" s="15">
        <f t="shared" si="7"/>
        <v>0</v>
      </c>
      <c r="B95" s="15">
        <f t="shared" si="8"/>
        <v>0</v>
      </c>
      <c r="C95" s="15">
        <f t="shared" si="9"/>
        <v>0</v>
      </c>
      <c r="D95" s="15">
        <f t="shared" si="10"/>
        <v>0</v>
      </c>
      <c r="E95" s="70">
        <v>46237.583333333336</v>
      </c>
      <c r="F95" s="71">
        <v>981.76700000000005</v>
      </c>
      <c r="G95" s="71">
        <v>2187.8960000000002</v>
      </c>
      <c r="H95" s="71">
        <v>6504.5280000000002</v>
      </c>
      <c r="I95" s="71">
        <v>1079</v>
      </c>
      <c r="J95" s="71">
        <v>3994.6709999999998</v>
      </c>
      <c r="K95" s="71">
        <v>13041.5</v>
      </c>
      <c r="L95" s="8">
        <f t="shared" si="11"/>
        <v>3041.5</v>
      </c>
      <c r="DP95" s="15"/>
    </row>
    <row r="96" spans="1:120">
      <c r="A96" s="15">
        <f t="shared" si="7"/>
        <v>0</v>
      </c>
      <c r="B96" s="15">
        <f t="shared" si="8"/>
        <v>0</v>
      </c>
      <c r="C96" s="15">
        <f t="shared" si="9"/>
        <v>0</v>
      </c>
      <c r="D96" s="15">
        <f t="shared" si="10"/>
        <v>0</v>
      </c>
      <c r="E96" s="70">
        <v>46237.625</v>
      </c>
      <c r="F96" s="71">
        <v>876.47799999999995</v>
      </c>
      <c r="G96" s="71">
        <v>1951.8150000000001</v>
      </c>
      <c r="H96" s="71">
        <v>6235.5079999999998</v>
      </c>
      <c r="I96" s="71">
        <v>1138</v>
      </c>
      <c r="J96" s="71">
        <v>4000</v>
      </c>
      <c r="K96" s="71">
        <v>12765.74</v>
      </c>
      <c r="L96" s="8">
        <f t="shared" si="11"/>
        <v>2765.74</v>
      </c>
      <c r="DP96" s="15"/>
    </row>
    <row r="97" spans="1:120">
      <c r="A97" s="15">
        <f t="shared" si="7"/>
        <v>0</v>
      </c>
      <c r="B97" s="15">
        <f t="shared" si="8"/>
        <v>0</v>
      </c>
      <c r="C97" s="15">
        <f t="shared" si="9"/>
        <v>0</v>
      </c>
      <c r="D97" s="15">
        <f t="shared" si="10"/>
        <v>0</v>
      </c>
      <c r="E97" s="70">
        <v>46237.666666666664</v>
      </c>
      <c r="F97" s="71">
        <v>771.18910000000005</v>
      </c>
      <c r="G97" s="71">
        <v>1715.7349999999999</v>
      </c>
      <c r="H97" s="71">
        <v>5966.5079999999998</v>
      </c>
      <c r="I97" s="71">
        <v>1197</v>
      </c>
      <c r="J97" s="71">
        <v>4000</v>
      </c>
      <c r="K97" s="71">
        <v>12506.47</v>
      </c>
      <c r="L97" s="8">
        <f t="shared" si="11"/>
        <v>2506.4699999999993</v>
      </c>
      <c r="DP97" s="15"/>
    </row>
    <row r="98" spans="1:120">
      <c r="A98" s="15">
        <f t="shared" si="7"/>
        <v>0</v>
      </c>
      <c r="B98" s="15">
        <f t="shared" si="8"/>
        <v>0</v>
      </c>
      <c r="C98" s="15">
        <f t="shared" si="9"/>
        <v>0</v>
      </c>
      <c r="D98" s="15">
        <f t="shared" si="10"/>
        <v>0</v>
      </c>
      <c r="E98" s="70">
        <v>46237.708333333336</v>
      </c>
      <c r="F98" s="71">
        <v>710.38170000000002</v>
      </c>
      <c r="G98" s="71">
        <v>1537.1959999999999</v>
      </c>
      <c r="H98" s="71">
        <v>5605.1019999999999</v>
      </c>
      <c r="I98" s="71">
        <v>1085</v>
      </c>
      <c r="J98" s="71">
        <v>4000</v>
      </c>
      <c r="K98" s="71">
        <v>12348.87</v>
      </c>
      <c r="L98" s="8">
        <f t="shared" si="11"/>
        <v>2348.8700000000008</v>
      </c>
      <c r="DP98" s="15"/>
    </row>
    <row r="99" spans="1:120">
      <c r="A99" s="15">
        <f t="shared" si="7"/>
        <v>0</v>
      </c>
      <c r="B99" s="15">
        <f t="shared" si="8"/>
        <v>0</v>
      </c>
      <c r="C99" s="15">
        <f t="shared" si="9"/>
        <v>0</v>
      </c>
      <c r="D99" s="15">
        <f t="shared" si="10"/>
        <v>0</v>
      </c>
      <c r="E99" s="70">
        <v>46237.75</v>
      </c>
      <c r="F99" s="71">
        <v>649.57439999999997</v>
      </c>
      <c r="G99" s="71">
        <v>1358.6569999999999</v>
      </c>
      <c r="H99" s="71">
        <v>5243.7030000000004</v>
      </c>
      <c r="I99" s="71">
        <v>973</v>
      </c>
      <c r="J99" s="71">
        <v>4000</v>
      </c>
      <c r="K99" s="71">
        <v>12196.13</v>
      </c>
      <c r="L99" s="8">
        <f t="shared" si="11"/>
        <v>2196.1299999999992</v>
      </c>
      <c r="DP99" s="15"/>
    </row>
    <row r="100" spans="1:120">
      <c r="A100" s="15">
        <f t="shared" si="7"/>
        <v>0</v>
      </c>
      <c r="B100" s="15">
        <f t="shared" si="8"/>
        <v>0</v>
      </c>
      <c r="C100" s="15">
        <f t="shared" si="9"/>
        <v>0</v>
      </c>
      <c r="D100" s="15">
        <f t="shared" si="10"/>
        <v>0</v>
      </c>
      <c r="E100" s="70">
        <v>46237.791666666664</v>
      </c>
      <c r="F100" s="71">
        <v>676.00900000000001</v>
      </c>
      <c r="G100" s="71">
        <v>1251.9390000000001</v>
      </c>
      <c r="H100" s="71">
        <v>4850.79</v>
      </c>
      <c r="I100" s="71">
        <v>844.5</v>
      </c>
      <c r="J100" s="71">
        <v>4000</v>
      </c>
      <c r="K100" s="71">
        <v>12077.7</v>
      </c>
      <c r="L100" s="8">
        <f t="shared" si="11"/>
        <v>2077.7000000000007</v>
      </c>
      <c r="DP100" s="15"/>
    </row>
    <row r="101" spans="1:120">
      <c r="A101" s="15">
        <f t="shared" si="7"/>
        <v>0</v>
      </c>
      <c r="B101" s="15">
        <f t="shared" si="8"/>
        <v>0</v>
      </c>
      <c r="C101" s="15">
        <f t="shared" si="9"/>
        <v>0</v>
      </c>
      <c r="D101" s="15">
        <f t="shared" si="10"/>
        <v>0</v>
      </c>
      <c r="E101" s="70">
        <v>46237.833333333336</v>
      </c>
      <c r="F101" s="71">
        <v>702.44370000000004</v>
      </c>
      <c r="G101" s="71">
        <v>1145.221</v>
      </c>
      <c r="H101" s="71">
        <v>4457.8789999999999</v>
      </c>
      <c r="I101" s="71">
        <v>716</v>
      </c>
      <c r="J101" s="71">
        <v>4000</v>
      </c>
      <c r="K101" s="71">
        <v>11957.7</v>
      </c>
      <c r="L101" s="8">
        <f t="shared" si="11"/>
        <v>1957.7000000000007</v>
      </c>
      <c r="DP101" s="15"/>
    </row>
    <row r="102" spans="1:120">
      <c r="A102" s="15">
        <f t="shared" si="7"/>
        <v>0</v>
      </c>
      <c r="B102" s="15">
        <f t="shared" si="8"/>
        <v>0</v>
      </c>
      <c r="C102" s="15">
        <f t="shared" si="9"/>
        <v>0</v>
      </c>
      <c r="D102" s="15">
        <f t="shared" si="10"/>
        <v>0</v>
      </c>
      <c r="E102" s="70">
        <v>46237.875</v>
      </c>
      <c r="F102" s="71">
        <v>826.76469999999995</v>
      </c>
      <c r="G102" s="71">
        <v>1106.1279999999999</v>
      </c>
      <c r="H102" s="71">
        <v>4078.1120000000001</v>
      </c>
      <c r="I102" s="71">
        <v>601.5</v>
      </c>
      <c r="J102" s="71">
        <v>4000</v>
      </c>
      <c r="K102" s="71">
        <v>11797.76</v>
      </c>
      <c r="L102" s="8">
        <f t="shared" si="11"/>
        <v>1797.7600000000002</v>
      </c>
      <c r="DP102" s="15"/>
    </row>
    <row r="103" spans="1:120">
      <c r="A103" s="15">
        <f t="shared" si="7"/>
        <v>0</v>
      </c>
      <c r="B103" s="15">
        <f t="shared" si="8"/>
        <v>0</v>
      </c>
      <c r="C103" s="15">
        <f t="shared" si="9"/>
        <v>0</v>
      </c>
      <c r="D103" s="15">
        <f t="shared" si="10"/>
        <v>0</v>
      </c>
      <c r="E103" s="70">
        <v>46237.916666666664</v>
      </c>
      <c r="F103" s="71">
        <v>951.08579999999995</v>
      </c>
      <c r="G103" s="71">
        <v>1067.0350000000001</v>
      </c>
      <c r="H103" s="71">
        <v>3698.3449999999998</v>
      </c>
      <c r="I103" s="71">
        <v>487</v>
      </c>
      <c r="J103" s="71">
        <v>4000</v>
      </c>
      <c r="K103" s="71">
        <v>11638.5</v>
      </c>
      <c r="L103" s="8">
        <f t="shared" si="11"/>
        <v>1638.5</v>
      </c>
      <c r="DP103" s="15"/>
    </row>
    <row r="104" spans="1:120">
      <c r="A104" s="15">
        <f t="shared" si="7"/>
        <v>0</v>
      </c>
      <c r="B104" s="15">
        <f t="shared" si="8"/>
        <v>0</v>
      </c>
      <c r="C104" s="15">
        <f t="shared" si="9"/>
        <v>0</v>
      </c>
      <c r="D104" s="15">
        <f t="shared" si="10"/>
        <v>0</v>
      </c>
      <c r="E104" s="70">
        <v>46237.958333333336</v>
      </c>
      <c r="F104" s="71">
        <v>1061.9960000000001</v>
      </c>
      <c r="G104" s="71">
        <v>1078.828</v>
      </c>
      <c r="H104" s="71">
        <v>3372.2280000000001</v>
      </c>
      <c r="I104" s="71">
        <v>404.5</v>
      </c>
      <c r="J104" s="71">
        <v>4000</v>
      </c>
      <c r="K104" s="71">
        <v>11370.7</v>
      </c>
      <c r="L104" s="8">
        <f t="shared" si="11"/>
        <v>1370.7000000000007</v>
      </c>
      <c r="DP104" s="15"/>
    </row>
    <row r="105" spans="1:120">
      <c r="A105" s="15">
        <f t="shared" si="7"/>
        <v>0</v>
      </c>
      <c r="B105" s="15">
        <f t="shared" si="8"/>
        <v>0</v>
      </c>
      <c r="C105" s="15">
        <f t="shared" si="9"/>
        <v>0</v>
      </c>
      <c r="D105" s="15">
        <f t="shared" si="10"/>
        <v>0</v>
      </c>
      <c r="E105" s="70">
        <v>46238</v>
      </c>
      <c r="F105" s="71">
        <v>1172.9059999999999</v>
      </c>
      <c r="G105" s="71">
        <v>1090.6210000000001</v>
      </c>
      <c r="H105" s="71">
        <v>3046.1109999999999</v>
      </c>
      <c r="I105" s="71">
        <v>322</v>
      </c>
      <c r="J105" s="71">
        <v>4000</v>
      </c>
      <c r="K105" s="71">
        <v>11102.71</v>
      </c>
      <c r="L105" s="8">
        <f t="shared" si="11"/>
        <v>1102.7099999999991</v>
      </c>
      <c r="DP105" s="15"/>
    </row>
    <row r="106" spans="1:120">
      <c r="A106" s="15">
        <f t="shared" si="7"/>
        <v>0</v>
      </c>
      <c r="B106" s="15">
        <f t="shared" si="8"/>
        <v>0</v>
      </c>
      <c r="C106" s="15">
        <f t="shared" si="9"/>
        <v>0</v>
      </c>
      <c r="D106" s="15">
        <f t="shared" si="10"/>
        <v>0</v>
      </c>
      <c r="E106" s="70">
        <v>46238.041666666664</v>
      </c>
      <c r="F106" s="71">
        <v>1145.9169999999999</v>
      </c>
      <c r="G106" s="71">
        <v>1112.617</v>
      </c>
      <c r="H106" s="71">
        <v>2805.2310000000002</v>
      </c>
      <c r="I106" s="71">
        <v>268</v>
      </c>
      <c r="J106" s="71">
        <v>4000</v>
      </c>
      <c r="K106" s="71">
        <v>10760.56</v>
      </c>
      <c r="L106" s="8">
        <f t="shared" si="11"/>
        <v>760.55999999999949</v>
      </c>
      <c r="DP106" s="15"/>
    </row>
    <row r="107" spans="1:120">
      <c r="A107" s="15">
        <f t="shared" si="7"/>
        <v>0</v>
      </c>
      <c r="B107" s="15">
        <f t="shared" si="8"/>
        <v>0</v>
      </c>
      <c r="C107" s="15">
        <f t="shared" si="9"/>
        <v>0</v>
      </c>
      <c r="D107" s="15">
        <f t="shared" si="10"/>
        <v>0</v>
      </c>
      <c r="E107" s="70">
        <v>46238.083333333336</v>
      </c>
      <c r="F107" s="71">
        <v>1118.9280000000001</v>
      </c>
      <c r="G107" s="71">
        <v>1134.614</v>
      </c>
      <c r="H107" s="71">
        <v>2564.3519999999999</v>
      </c>
      <c r="I107" s="71">
        <v>214</v>
      </c>
      <c r="J107" s="71">
        <v>3857.2809999999999</v>
      </c>
      <c r="K107" s="71">
        <v>10412.790000000001</v>
      </c>
      <c r="L107" s="8">
        <f t="shared" si="11"/>
        <v>412.79000000000087</v>
      </c>
      <c r="DP107" s="15"/>
    </row>
    <row r="108" spans="1:120">
      <c r="A108" s="15">
        <f t="shared" si="7"/>
        <v>0</v>
      </c>
      <c r="B108" s="15">
        <f t="shared" si="8"/>
        <v>0</v>
      </c>
      <c r="C108" s="15">
        <f t="shared" si="9"/>
        <v>0</v>
      </c>
      <c r="D108" s="15">
        <f t="shared" si="10"/>
        <v>0</v>
      </c>
      <c r="E108" s="70">
        <v>46238.125</v>
      </c>
      <c r="F108" s="71">
        <v>1012.174</v>
      </c>
      <c r="G108" s="71">
        <v>1127.5730000000001</v>
      </c>
      <c r="H108" s="71">
        <v>2440.7600000000002</v>
      </c>
      <c r="I108" s="71">
        <v>179.5</v>
      </c>
      <c r="J108" s="71">
        <v>3777.5569999999998</v>
      </c>
      <c r="K108" s="71">
        <v>10018.59</v>
      </c>
      <c r="L108" s="8">
        <f t="shared" si="11"/>
        <v>18.590000000000146</v>
      </c>
      <c r="DP108" s="15"/>
    </row>
    <row r="109" spans="1:120">
      <c r="A109" s="15">
        <f t="shared" si="7"/>
        <v>0</v>
      </c>
      <c r="B109" s="15">
        <f t="shared" si="8"/>
        <v>0</v>
      </c>
      <c r="C109" s="15">
        <f t="shared" si="9"/>
        <v>0</v>
      </c>
      <c r="D109" s="15">
        <f t="shared" si="10"/>
        <v>0</v>
      </c>
      <c r="E109" s="70">
        <v>46238.166666666664</v>
      </c>
      <c r="F109" s="71">
        <v>905.41899999999998</v>
      </c>
      <c r="G109" s="71">
        <v>1120.5309999999999</v>
      </c>
      <c r="H109" s="71">
        <v>2317.1680000000001</v>
      </c>
      <c r="I109" s="71">
        <v>145</v>
      </c>
      <c r="J109" s="71">
        <v>3674.027</v>
      </c>
      <c r="K109" s="71">
        <v>9623.4320000000007</v>
      </c>
      <c r="L109" s="8">
        <f t="shared" si="11"/>
        <v>0</v>
      </c>
      <c r="DP109" s="15"/>
    </row>
    <row r="110" spans="1:120">
      <c r="A110" s="15">
        <f t="shared" si="7"/>
        <v>0</v>
      </c>
      <c r="B110" s="15">
        <f t="shared" si="8"/>
        <v>0</v>
      </c>
      <c r="C110" s="15">
        <f t="shared" si="9"/>
        <v>0</v>
      </c>
      <c r="D110" s="15">
        <f t="shared" si="10"/>
        <v>0</v>
      </c>
      <c r="E110" s="70">
        <v>46238.208333333336</v>
      </c>
      <c r="F110" s="71">
        <v>799.6431</v>
      </c>
      <c r="G110" s="71">
        <v>1307.7529999999999</v>
      </c>
      <c r="H110" s="71">
        <v>2295.6210000000001</v>
      </c>
      <c r="I110" s="71">
        <v>123.5</v>
      </c>
      <c r="J110" s="71">
        <v>3665.0749999999998</v>
      </c>
      <c r="K110" s="71">
        <v>9229.4480000000003</v>
      </c>
      <c r="L110" s="8">
        <f t="shared" si="11"/>
        <v>0</v>
      </c>
      <c r="DP110" s="15"/>
    </row>
    <row r="111" spans="1:120">
      <c r="A111" s="15">
        <f t="shared" si="7"/>
        <v>0</v>
      </c>
      <c r="B111" s="15">
        <f t="shared" si="8"/>
        <v>0</v>
      </c>
      <c r="C111" s="15">
        <f t="shared" si="9"/>
        <v>0</v>
      </c>
      <c r="D111" s="15">
        <f t="shared" si="10"/>
        <v>0</v>
      </c>
      <c r="E111" s="70">
        <v>46238.25</v>
      </c>
      <c r="F111" s="71">
        <v>693.86710000000005</v>
      </c>
      <c r="G111" s="71">
        <v>1494.9749999999999</v>
      </c>
      <c r="H111" s="71">
        <v>2274.0729999999999</v>
      </c>
      <c r="I111" s="71">
        <v>102</v>
      </c>
      <c r="J111" s="71">
        <v>3638.3589999999999</v>
      </c>
      <c r="K111" s="71">
        <v>8718.5849999999991</v>
      </c>
      <c r="L111" s="8">
        <f t="shared" si="11"/>
        <v>0</v>
      </c>
      <c r="DP111" s="15"/>
    </row>
    <row r="112" spans="1:120">
      <c r="A112" s="15">
        <f t="shared" si="7"/>
        <v>0</v>
      </c>
      <c r="B112" s="15">
        <f t="shared" si="8"/>
        <v>0</v>
      </c>
      <c r="C112" s="15">
        <f t="shared" si="9"/>
        <v>0</v>
      </c>
      <c r="D112" s="15">
        <f t="shared" si="10"/>
        <v>0</v>
      </c>
      <c r="E112" s="70">
        <v>46238.291666666664</v>
      </c>
      <c r="F112" s="71">
        <v>615.82799999999997</v>
      </c>
      <c r="G112" s="71">
        <v>2089.6550000000002</v>
      </c>
      <c r="H112" s="71">
        <v>2293.3969999999999</v>
      </c>
      <c r="I112" s="71">
        <v>88.5</v>
      </c>
      <c r="J112" s="71">
        <v>3665.279</v>
      </c>
      <c r="K112" s="71">
        <v>8296.8130000000001</v>
      </c>
      <c r="L112" s="8">
        <f t="shared" si="11"/>
        <v>0</v>
      </c>
      <c r="DP112" s="15"/>
    </row>
    <row r="113" spans="1:120">
      <c r="A113" s="15">
        <f t="shared" si="7"/>
        <v>0</v>
      </c>
      <c r="B113" s="15">
        <f t="shared" si="8"/>
        <v>0</v>
      </c>
      <c r="C113" s="15">
        <f t="shared" si="9"/>
        <v>0</v>
      </c>
      <c r="D113" s="15">
        <f t="shared" si="10"/>
        <v>0</v>
      </c>
      <c r="E113" s="70">
        <v>46238.333333333336</v>
      </c>
      <c r="F113" s="71">
        <v>537.78890000000001</v>
      </c>
      <c r="G113" s="71">
        <v>2684.3339999999998</v>
      </c>
      <c r="H113" s="71">
        <v>2312.721</v>
      </c>
      <c r="I113" s="71">
        <v>75</v>
      </c>
      <c r="J113" s="71">
        <v>3682.8020000000001</v>
      </c>
      <c r="K113" s="71">
        <v>7855.2839999999997</v>
      </c>
      <c r="L113" s="8">
        <f t="shared" si="11"/>
        <v>0</v>
      </c>
      <c r="DP113" s="15"/>
    </row>
    <row r="114" spans="1:120">
      <c r="A114" s="15">
        <f t="shared" si="7"/>
        <v>0</v>
      </c>
      <c r="B114" s="15">
        <f t="shared" si="8"/>
        <v>0</v>
      </c>
      <c r="C114" s="15">
        <f t="shared" si="9"/>
        <v>0</v>
      </c>
      <c r="D114" s="15">
        <f t="shared" si="10"/>
        <v>0</v>
      </c>
      <c r="E114" s="70">
        <v>46238.375</v>
      </c>
      <c r="F114" s="71">
        <v>484.33620000000002</v>
      </c>
      <c r="G114" s="71">
        <v>3348.8009999999999</v>
      </c>
      <c r="H114" s="71">
        <v>2409.127</v>
      </c>
      <c r="I114" s="71">
        <v>66</v>
      </c>
      <c r="J114" s="71">
        <v>3719.6350000000002</v>
      </c>
      <c r="K114" s="71">
        <v>7558.7690000000002</v>
      </c>
      <c r="L114" s="8">
        <f t="shared" si="11"/>
        <v>0</v>
      </c>
      <c r="DP114" s="15"/>
    </row>
    <row r="115" spans="1:120">
      <c r="A115" s="15">
        <f t="shared" si="7"/>
        <v>0</v>
      </c>
      <c r="B115" s="15">
        <f t="shared" si="8"/>
        <v>0</v>
      </c>
      <c r="C115" s="15">
        <f t="shared" si="9"/>
        <v>0</v>
      </c>
      <c r="D115" s="15">
        <f t="shared" si="10"/>
        <v>0</v>
      </c>
      <c r="E115" s="70">
        <v>46238.416666666664</v>
      </c>
      <c r="F115" s="71">
        <v>430.8836</v>
      </c>
      <c r="G115" s="71">
        <v>4013.268</v>
      </c>
      <c r="H115" s="71">
        <v>2505.5340000000001</v>
      </c>
      <c r="I115" s="71">
        <v>57</v>
      </c>
      <c r="J115" s="71">
        <v>3752.5929999999998</v>
      </c>
      <c r="K115" s="71">
        <v>7229.9790000000003</v>
      </c>
      <c r="L115" s="8">
        <f t="shared" si="11"/>
        <v>0</v>
      </c>
      <c r="DP115" s="15"/>
    </row>
    <row r="116" spans="1:120">
      <c r="A116" s="15">
        <f t="shared" si="7"/>
        <v>0</v>
      </c>
      <c r="B116" s="15">
        <f t="shared" si="8"/>
        <v>0</v>
      </c>
      <c r="C116" s="15">
        <f t="shared" si="9"/>
        <v>0</v>
      </c>
      <c r="D116" s="15">
        <f t="shared" si="10"/>
        <v>0</v>
      </c>
      <c r="E116" s="70">
        <v>46238.458333333336</v>
      </c>
      <c r="F116" s="71">
        <v>394.15320000000003</v>
      </c>
      <c r="G116" s="71">
        <v>4309.3329999999996</v>
      </c>
      <c r="H116" s="71">
        <v>2797.77</v>
      </c>
      <c r="I116" s="71">
        <v>51</v>
      </c>
      <c r="J116" s="71">
        <v>3780.3780000000002</v>
      </c>
      <c r="K116" s="71">
        <v>7047.643</v>
      </c>
      <c r="L116" s="8">
        <f t="shared" si="11"/>
        <v>0</v>
      </c>
      <c r="DP116" s="15"/>
    </row>
    <row r="117" spans="1:120">
      <c r="A117" s="15">
        <f t="shared" si="7"/>
        <v>0</v>
      </c>
      <c r="B117" s="15">
        <f t="shared" si="8"/>
        <v>0</v>
      </c>
      <c r="C117" s="15">
        <f t="shared" si="9"/>
        <v>0</v>
      </c>
      <c r="D117" s="15">
        <f t="shared" si="10"/>
        <v>0</v>
      </c>
      <c r="E117" s="70">
        <v>46238.5</v>
      </c>
      <c r="F117" s="71">
        <v>357.4228</v>
      </c>
      <c r="G117" s="71">
        <v>4605.3980000000001</v>
      </c>
      <c r="H117" s="71">
        <v>3090.0059999999999</v>
      </c>
      <c r="I117" s="71">
        <v>45</v>
      </c>
      <c r="J117" s="71">
        <v>3813.2429999999999</v>
      </c>
      <c r="K117" s="71">
        <v>6854.9129999999996</v>
      </c>
      <c r="L117" s="8">
        <f t="shared" si="11"/>
        <v>0</v>
      </c>
      <c r="DP117" s="15"/>
    </row>
    <row r="118" spans="1:120">
      <c r="A118" s="15">
        <f t="shared" si="7"/>
        <v>0</v>
      </c>
      <c r="B118" s="15">
        <f t="shared" si="8"/>
        <v>0</v>
      </c>
      <c r="C118" s="15">
        <f t="shared" si="9"/>
        <v>0</v>
      </c>
      <c r="D118" s="15">
        <f t="shared" si="10"/>
        <v>0</v>
      </c>
      <c r="E118" s="70">
        <v>46238.541666666664</v>
      </c>
      <c r="F118" s="71">
        <v>332.06709999999998</v>
      </c>
      <c r="G118" s="71">
        <v>4726.5280000000002</v>
      </c>
      <c r="H118" s="71">
        <v>3517.4549999999999</v>
      </c>
      <c r="I118" s="71">
        <v>41</v>
      </c>
      <c r="J118" s="71">
        <v>3791.45</v>
      </c>
      <c r="K118" s="71">
        <v>6782.5060000000003</v>
      </c>
      <c r="L118" s="8">
        <f t="shared" si="11"/>
        <v>0</v>
      </c>
      <c r="DP118" s="15"/>
    </row>
    <row r="119" spans="1:120">
      <c r="A119" s="15">
        <f t="shared" si="7"/>
        <v>0</v>
      </c>
      <c r="B119" s="15">
        <f t="shared" si="8"/>
        <v>0</v>
      </c>
      <c r="C119" s="15">
        <f t="shared" si="9"/>
        <v>0</v>
      </c>
      <c r="D119" s="15">
        <f t="shared" si="10"/>
        <v>0</v>
      </c>
      <c r="E119" s="70">
        <v>46238.583333333336</v>
      </c>
      <c r="F119" s="71">
        <v>306.71140000000003</v>
      </c>
      <c r="G119" s="71">
        <v>4847.6580000000004</v>
      </c>
      <c r="H119" s="71">
        <v>3944.904</v>
      </c>
      <c r="I119" s="71">
        <v>37</v>
      </c>
      <c r="J119" s="71">
        <v>3816.982</v>
      </c>
      <c r="K119" s="71">
        <v>6703.9560000000001</v>
      </c>
      <c r="L119" s="8">
        <f t="shared" si="11"/>
        <v>0</v>
      </c>
      <c r="DP119" s="15"/>
    </row>
    <row r="120" spans="1:120">
      <c r="A120" s="15">
        <f t="shared" si="7"/>
        <v>0</v>
      </c>
      <c r="B120" s="15">
        <f t="shared" si="8"/>
        <v>0</v>
      </c>
      <c r="C120" s="15">
        <f t="shared" si="9"/>
        <v>0</v>
      </c>
      <c r="D120" s="15">
        <f t="shared" si="10"/>
        <v>0</v>
      </c>
      <c r="E120" s="70">
        <v>46238.625</v>
      </c>
      <c r="F120" s="71">
        <v>287.57499999999999</v>
      </c>
      <c r="G120" s="71">
        <v>4000.0859999999998</v>
      </c>
      <c r="H120" s="71">
        <v>4284.0230000000001</v>
      </c>
      <c r="I120" s="71">
        <v>34</v>
      </c>
      <c r="J120" s="71">
        <v>3649.203</v>
      </c>
      <c r="K120" s="71">
        <v>6688.9369999999999</v>
      </c>
      <c r="L120" s="8">
        <f t="shared" si="11"/>
        <v>0</v>
      </c>
      <c r="DP120" s="15"/>
    </row>
    <row r="121" spans="1:120">
      <c r="A121" s="15">
        <f t="shared" si="7"/>
        <v>0</v>
      </c>
      <c r="B121" s="15">
        <f t="shared" si="8"/>
        <v>0</v>
      </c>
      <c r="C121" s="15">
        <f t="shared" si="9"/>
        <v>0</v>
      </c>
      <c r="D121" s="15">
        <f t="shared" si="10"/>
        <v>0</v>
      </c>
      <c r="E121" s="70">
        <v>46238.666666666664</v>
      </c>
      <c r="F121" s="71">
        <v>268.43849999999998</v>
      </c>
      <c r="G121" s="71">
        <v>3152.5140000000001</v>
      </c>
      <c r="H121" s="71">
        <v>4623.143</v>
      </c>
      <c r="I121" s="71">
        <v>31</v>
      </c>
      <c r="J121" s="71">
        <v>3664.7710000000002</v>
      </c>
      <c r="K121" s="71">
        <v>6683.777</v>
      </c>
      <c r="L121" s="8">
        <f t="shared" si="11"/>
        <v>0</v>
      </c>
      <c r="DP121" s="15"/>
    </row>
    <row r="122" spans="1:120">
      <c r="A122" s="15">
        <f t="shared" si="7"/>
        <v>0</v>
      </c>
      <c r="B122" s="15">
        <f t="shared" si="8"/>
        <v>0</v>
      </c>
      <c r="C122" s="15">
        <f t="shared" si="9"/>
        <v>0</v>
      </c>
      <c r="D122" s="15">
        <f t="shared" si="10"/>
        <v>0</v>
      </c>
      <c r="E122" s="70">
        <v>46238.708333333336</v>
      </c>
      <c r="F122" s="71">
        <v>253.06100000000001</v>
      </c>
      <c r="G122" s="71">
        <v>2506.7269999999999</v>
      </c>
      <c r="H122" s="71">
        <v>4800.2299999999996</v>
      </c>
      <c r="I122" s="71">
        <v>29</v>
      </c>
      <c r="J122" s="71">
        <v>3211.51</v>
      </c>
      <c r="K122" s="71">
        <v>6707.56</v>
      </c>
      <c r="L122" s="8">
        <f t="shared" si="11"/>
        <v>0</v>
      </c>
      <c r="DP122" s="15"/>
    </row>
    <row r="123" spans="1:120">
      <c r="A123" s="15">
        <f t="shared" si="7"/>
        <v>0</v>
      </c>
      <c r="B123" s="15">
        <f t="shared" si="8"/>
        <v>0</v>
      </c>
      <c r="C123" s="15">
        <f t="shared" si="9"/>
        <v>0</v>
      </c>
      <c r="D123" s="15">
        <f t="shared" si="10"/>
        <v>0</v>
      </c>
      <c r="E123" s="70">
        <v>46238.75</v>
      </c>
      <c r="F123" s="71">
        <v>237.68340000000001</v>
      </c>
      <c r="G123" s="71">
        <v>1860.9390000000001</v>
      </c>
      <c r="H123" s="71">
        <v>4977.3190000000004</v>
      </c>
      <c r="I123" s="71">
        <v>27</v>
      </c>
      <c r="J123" s="71">
        <v>3209.8670000000002</v>
      </c>
      <c r="K123" s="71">
        <v>6786.7110000000002</v>
      </c>
      <c r="L123" s="8">
        <f t="shared" si="11"/>
        <v>0</v>
      </c>
      <c r="DP123" s="15"/>
    </row>
    <row r="124" spans="1:120">
      <c r="A124" s="15">
        <f t="shared" si="7"/>
        <v>0</v>
      </c>
      <c r="B124" s="15">
        <f t="shared" si="8"/>
        <v>0</v>
      </c>
      <c r="C124" s="15">
        <f t="shared" si="9"/>
        <v>0</v>
      </c>
      <c r="D124" s="15">
        <f t="shared" si="10"/>
        <v>0</v>
      </c>
      <c r="E124" s="70">
        <v>46238.791666666664</v>
      </c>
      <c r="F124" s="71">
        <v>224.56829999999999</v>
      </c>
      <c r="G124" s="71">
        <v>1560.3520000000001</v>
      </c>
      <c r="H124" s="71">
        <v>4657.0810000000001</v>
      </c>
      <c r="I124" s="71">
        <v>25</v>
      </c>
      <c r="J124" s="71">
        <v>2771.0129999999999</v>
      </c>
      <c r="K124" s="71">
        <v>6833.759</v>
      </c>
      <c r="L124" s="8">
        <f t="shared" si="11"/>
        <v>0</v>
      </c>
      <c r="DP124" s="15"/>
    </row>
    <row r="125" spans="1:120">
      <c r="A125" s="15">
        <f t="shared" si="7"/>
        <v>0</v>
      </c>
      <c r="B125" s="15">
        <f t="shared" si="8"/>
        <v>0</v>
      </c>
      <c r="C125" s="15">
        <f t="shared" si="9"/>
        <v>0</v>
      </c>
      <c r="D125" s="15">
        <f t="shared" si="10"/>
        <v>0</v>
      </c>
      <c r="E125" s="70">
        <v>46238.833333333336</v>
      </c>
      <c r="F125" s="71">
        <v>211.45320000000001</v>
      </c>
      <c r="G125" s="71">
        <v>1259.7639999999999</v>
      </c>
      <c r="H125" s="71">
        <v>4336.8429999999998</v>
      </c>
      <c r="I125" s="71">
        <v>23</v>
      </c>
      <c r="J125" s="71">
        <v>2754.2</v>
      </c>
      <c r="K125" s="71">
        <v>7047.3310000000001</v>
      </c>
      <c r="L125" s="8">
        <f t="shared" si="11"/>
        <v>0</v>
      </c>
      <c r="DP125" s="15"/>
    </row>
    <row r="126" spans="1:120">
      <c r="A126" s="15">
        <f t="shared" si="7"/>
        <v>0</v>
      </c>
      <c r="B126" s="15">
        <f t="shared" si="8"/>
        <v>0</v>
      </c>
      <c r="C126" s="15">
        <f t="shared" si="9"/>
        <v>0</v>
      </c>
      <c r="D126" s="15">
        <f t="shared" si="10"/>
        <v>0</v>
      </c>
      <c r="E126" s="70">
        <v>46238.875</v>
      </c>
      <c r="F126" s="71">
        <v>200.51490000000001</v>
      </c>
      <c r="G126" s="71">
        <v>1131.3720000000001</v>
      </c>
      <c r="H126" s="71">
        <v>3813.5529999999999</v>
      </c>
      <c r="I126" s="71">
        <v>21.5</v>
      </c>
      <c r="J126" s="71">
        <v>2446.4749999999999</v>
      </c>
      <c r="K126" s="71">
        <v>6967.42</v>
      </c>
      <c r="L126" s="8">
        <f t="shared" si="11"/>
        <v>0</v>
      </c>
      <c r="DP126" s="15"/>
    </row>
    <row r="127" spans="1:120">
      <c r="A127" s="15">
        <f t="shared" si="7"/>
        <v>0</v>
      </c>
      <c r="B127" s="15">
        <f t="shared" si="8"/>
        <v>0</v>
      </c>
      <c r="C127" s="15">
        <f t="shared" si="9"/>
        <v>0</v>
      </c>
      <c r="D127" s="15">
        <f t="shared" si="10"/>
        <v>0</v>
      </c>
      <c r="E127" s="70">
        <v>46238.916666666664</v>
      </c>
      <c r="F127" s="71">
        <v>189.57650000000001</v>
      </c>
      <c r="G127" s="71">
        <v>1002.979</v>
      </c>
      <c r="H127" s="71">
        <v>3290.2629999999999</v>
      </c>
      <c r="I127" s="71">
        <v>20</v>
      </c>
      <c r="J127" s="71">
        <v>2414.471</v>
      </c>
      <c r="K127" s="71">
        <v>7271.8609999999999</v>
      </c>
      <c r="L127" s="8">
        <f t="shared" si="11"/>
        <v>0</v>
      </c>
      <c r="DP127" s="15"/>
    </row>
    <row r="128" spans="1:120">
      <c r="A128" s="15">
        <f t="shared" si="7"/>
        <v>0</v>
      </c>
      <c r="B128" s="15">
        <f t="shared" si="8"/>
        <v>0</v>
      </c>
      <c r="C128" s="15">
        <f t="shared" si="9"/>
        <v>0</v>
      </c>
      <c r="D128" s="15">
        <f t="shared" si="10"/>
        <v>0</v>
      </c>
      <c r="E128" s="70">
        <v>46238.958333333336</v>
      </c>
      <c r="F128" s="71">
        <v>179.85599999999999</v>
      </c>
      <c r="G128" s="71">
        <v>937.73969999999997</v>
      </c>
      <c r="H128" s="71">
        <v>2842.0920000000001</v>
      </c>
      <c r="I128" s="71">
        <v>19</v>
      </c>
      <c r="J128" s="71">
        <v>2220.6869999999999</v>
      </c>
      <c r="K128" s="71">
        <v>7150.009</v>
      </c>
      <c r="L128" s="8">
        <f t="shared" si="11"/>
        <v>0</v>
      </c>
      <c r="DP128" s="15"/>
    </row>
    <row r="129" spans="1:120">
      <c r="A129" s="15">
        <f t="shared" si="7"/>
        <v>0</v>
      </c>
      <c r="B129" s="15">
        <f t="shared" si="8"/>
        <v>0</v>
      </c>
      <c r="C129" s="15">
        <f t="shared" si="9"/>
        <v>0</v>
      </c>
      <c r="D129" s="15">
        <f t="shared" si="10"/>
        <v>0</v>
      </c>
      <c r="E129" s="70">
        <v>46239</v>
      </c>
      <c r="F129" s="71">
        <v>170.13550000000001</v>
      </c>
      <c r="G129" s="71">
        <v>872.50019999999995</v>
      </c>
      <c r="H129" s="71">
        <v>2393.92</v>
      </c>
      <c r="I129" s="71">
        <v>18</v>
      </c>
      <c r="J129" s="71">
        <v>2175.6219999999998</v>
      </c>
      <c r="K129" s="71">
        <v>7400.4260000000004</v>
      </c>
      <c r="L129" s="8">
        <f t="shared" si="11"/>
        <v>0</v>
      </c>
      <c r="DP129" s="15"/>
    </row>
    <row r="130" spans="1:120">
      <c r="A130" s="15">
        <f t="shared" si="7"/>
        <v>0</v>
      </c>
      <c r="B130" s="15">
        <f t="shared" si="8"/>
        <v>0</v>
      </c>
      <c r="C130" s="15">
        <f t="shared" si="9"/>
        <v>0</v>
      </c>
      <c r="D130" s="15">
        <f t="shared" si="10"/>
        <v>0</v>
      </c>
      <c r="E130" s="70">
        <v>46239.041666666664</v>
      </c>
      <c r="F130" s="71">
        <v>162.20259999999999</v>
      </c>
      <c r="G130" s="71">
        <v>827.66800000000001</v>
      </c>
      <c r="H130" s="71">
        <v>2092.3110000000001</v>
      </c>
      <c r="I130" s="71">
        <v>17</v>
      </c>
      <c r="J130" s="71">
        <v>2048.0839999999998</v>
      </c>
      <c r="K130" s="71">
        <v>7267.6940000000004</v>
      </c>
      <c r="L130" s="8">
        <f t="shared" si="11"/>
        <v>0</v>
      </c>
      <c r="DP130" s="15"/>
    </row>
    <row r="131" spans="1:120">
      <c r="A131" s="15">
        <f t="shared" ref="A131:A194" si="12">AC131</f>
        <v>0</v>
      </c>
      <c r="B131" s="15">
        <f t="shared" ref="B131:B194" si="13">AD131</f>
        <v>0</v>
      </c>
      <c r="C131" s="15">
        <f t="shared" ref="C131:C194" si="14">AE131</f>
        <v>0</v>
      </c>
      <c r="D131" s="15">
        <f t="shared" ref="D131:D194" si="15">AF131</f>
        <v>0</v>
      </c>
      <c r="E131" s="70">
        <v>46239.083333333336</v>
      </c>
      <c r="F131" s="71">
        <v>154.2697</v>
      </c>
      <c r="G131" s="71">
        <v>782.83590000000004</v>
      </c>
      <c r="H131" s="71">
        <v>1790.701</v>
      </c>
      <c r="I131" s="71">
        <v>16</v>
      </c>
      <c r="J131" s="71">
        <v>1991.6690000000001</v>
      </c>
      <c r="K131" s="71">
        <v>7419.2579999999998</v>
      </c>
      <c r="L131" s="8">
        <f t="shared" ref="L131:L194" si="16">IF(K131&gt;10000,K131-10000,0)</f>
        <v>0</v>
      </c>
      <c r="DP131" s="15"/>
    </row>
    <row r="132" spans="1:120">
      <c r="A132" s="15">
        <f t="shared" si="12"/>
        <v>0</v>
      </c>
      <c r="B132" s="15">
        <f t="shared" si="13"/>
        <v>0</v>
      </c>
      <c r="C132" s="15">
        <f t="shared" si="14"/>
        <v>0</v>
      </c>
      <c r="D132" s="15">
        <f t="shared" si="15"/>
        <v>0</v>
      </c>
      <c r="E132" s="70">
        <v>46239.125</v>
      </c>
      <c r="F132" s="71">
        <v>146.7629</v>
      </c>
      <c r="G132" s="71">
        <v>742.88130000000001</v>
      </c>
      <c r="H132" s="71">
        <v>1604.865</v>
      </c>
      <c r="I132" s="71">
        <v>15</v>
      </c>
      <c r="J132" s="71">
        <v>1898.1880000000001</v>
      </c>
      <c r="K132" s="71">
        <v>7044.3860000000004</v>
      </c>
      <c r="L132" s="8">
        <f t="shared" si="16"/>
        <v>0</v>
      </c>
      <c r="DP132" s="15"/>
    </row>
    <row r="133" spans="1:120">
      <c r="A133" s="15">
        <f t="shared" si="12"/>
        <v>0</v>
      </c>
      <c r="B133" s="15">
        <f t="shared" si="13"/>
        <v>0</v>
      </c>
      <c r="C133" s="15">
        <f t="shared" si="14"/>
        <v>0</v>
      </c>
      <c r="D133" s="15">
        <f t="shared" si="15"/>
        <v>0</v>
      </c>
      <c r="E133" s="70">
        <v>46239.166666666664</v>
      </c>
      <c r="F133" s="71">
        <v>139.25620000000001</v>
      </c>
      <c r="G133" s="71">
        <v>702.92679999999996</v>
      </c>
      <c r="H133" s="71">
        <v>1419.029</v>
      </c>
      <c r="I133" s="71">
        <v>14</v>
      </c>
      <c r="J133" s="71">
        <v>1836.018</v>
      </c>
      <c r="K133" s="71">
        <v>6847.4960000000001</v>
      </c>
      <c r="L133" s="8">
        <f t="shared" si="16"/>
        <v>0</v>
      </c>
      <c r="DP133" s="15"/>
    </row>
    <row r="134" spans="1:120">
      <c r="A134" s="15">
        <f t="shared" si="12"/>
        <v>0</v>
      </c>
      <c r="B134" s="15">
        <f t="shared" si="13"/>
        <v>0</v>
      </c>
      <c r="C134" s="15">
        <f t="shared" si="14"/>
        <v>0</v>
      </c>
      <c r="D134" s="15">
        <f t="shared" si="15"/>
        <v>0</v>
      </c>
      <c r="E134" s="70">
        <v>46239.208333333336</v>
      </c>
      <c r="F134" s="71">
        <v>133.08580000000001</v>
      </c>
      <c r="G134" s="71">
        <v>665.18100000000004</v>
      </c>
      <c r="H134" s="71">
        <v>1303.2729999999999</v>
      </c>
      <c r="I134" s="71">
        <v>13.5</v>
      </c>
      <c r="J134" s="71">
        <v>1759.4639999999999</v>
      </c>
      <c r="K134" s="71">
        <v>6384.585</v>
      </c>
      <c r="L134" s="8">
        <f t="shared" si="16"/>
        <v>0</v>
      </c>
      <c r="DP134" s="15"/>
    </row>
    <row r="135" spans="1:120">
      <c r="A135" s="15">
        <f t="shared" si="12"/>
        <v>0</v>
      </c>
      <c r="B135" s="15">
        <f t="shared" si="13"/>
        <v>0</v>
      </c>
      <c r="C135" s="15">
        <f t="shared" si="14"/>
        <v>0</v>
      </c>
      <c r="D135" s="15">
        <f t="shared" si="15"/>
        <v>0</v>
      </c>
      <c r="E135" s="70">
        <v>46239.25</v>
      </c>
      <c r="F135" s="71">
        <v>126.91549999999999</v>
      </c>
      <c r="G135" s="71">
        <v>627.43520000000001</v>
      </c>
      <c r="H135" s="71">
        <v>1187.518</v>
      </c>
      <c r="I135" s="71">
        <v>13</v>
      </c>
      <c r="J135" s="71">
        <v>1695.883</v>
      </c>
      <c r="K135" s="71">
        <v>6026.9139999999998</v>
      </c>
      <c r="L135" s="8">
        <f t="shared" si="16"/>
        <v>0</v>
      </c>
      <c r="DP135" s="15"/>
    </row>
    <row r="136" spans="1:120">
      <c r="A136" s="15">
        <f t="shared" si="12"/>
        <v>0</v>
      </c>
      <c r="B136" s="15">
        <f t="shared" si="13"/>
        <v>0</v>
      </c>
      <c r="C136" s="15">
        <f t="shared" si="14"/>
        <v>0</v>
      </c>
      <c r="D136" s="15">
        <f t="shared" si="15"/>
        <v>0</v>
      </c>
      <c r="E136" s="70">
        <v>46239.291666666664</v>
      </c>
      <c r="F136" s="71">
        <v>121.96510000000001</v>
      </c>
      <c r="G136" s="71">
        <v>593.02959999999996</v>
      </c>
      <c r="H136" s="71">
        <v>1107.971</v>
      </c>
      <c r="I136" s="71">
        <v>12</v>
      </c>
      <c r="J136" s="71">
        <v>1626.961</v>
      </c>
      <c r="K136" s="71">
        <v>5564.2560000000003</v>
      </c>
      <c r="L136" s="8">
        <f t="shared" si="16"/>
        <v>0</v>
      </c>
      <c r="DP136" s="15"/>
    </row>
    <row r="137" spans="1:120">
      <c r="A137" s="15">
        <f t="shared" si="12"/>
        <v>0</v>
      </c>
      <c r="B137" s="15">
        <f t="shared" si="13"/>
        <v>0</v>
      </c>
      <c r="C137" s="15">
        <f t="shared" si="14"/>
        <v>0</v>
      </c>
      <c r="D137" s="15">
        <f t="shared" si="15"/>
        <v>0</v>
      </c>
      <c r="E137" s="70">
        <v>46239.333333333336</v>
      </c>
      <c r="F137" s="71">
        <v>117.01479999999999</v>
      </c>
      <c r="G137" s="71">
        <v>558.62400000000002</v>
      </c>
      <c r="H137" s="71">
        <v>1028.424</v>
      </c>
      <c r="I137" s="71">
        <v>11</v>
      </c>
      <c r="J137" s="71">
        <v>1563.172</v>
      </c>
      <c r="K137" s="71">
        <v>5153.7929999999997</v>
      </c>
      <c r="L137" s="8">
        <f t="shared" si="16"/>
        <v>0</v>
      </c>
      <c r="DP137" s="15"/>
    </row>
    <row r="138" spans="1:120">
      <c r="A138" s="15">
        <f t="shared" si="12"/>
        <v>0</v>
      </c>
      <c r="B138" s="15">
        <f t="shared" si="13"/>
        <v>0</v>
      </c>
      <c r="C138" s="15">
        <f t="shared" si="14"/>
        <v>0</v>
      </c>
      <c r="D138" s="15">
        <f t="shared" si="15"/>
        <v>0</v>
      </c>
      <c r="E138" s="70">
        <v>46239.375</v>
      </c>
      <c r="F138" s="71">
        <v>111.8507</v>
      </c>
      <c r="G138" s="71">
        <v>527.63</v>
      </c>
      <c r="H138" s="71">
        <v>967.42719999999997</v>
      </c>
      <c r="I138" s="71">
        <v>10.5</v>
      </c>
      <c r="J138" s="71">
        <v>1496.383</v>
      </c>
      <c r="K138" s="71">
        <v>4765.1170000000002</v>
      </c>
      <c r="L138" s="8">
        <f t="shared" si="16"/>
        <v>0</v>
      </c>
      <c r="DP138" s="15"/>
    </row>
    <row r="139" spans="1:120">
      <c r="A139" s="15">
        <f t="shared" si="12"/>
        <v>0</v>
      </c>
      <c r="B139" s="15">
        <f t="shared" si="13"/>
        <v>0</v>
      </c>
      <c r="C139" s="15">
        <f t="shared" si="14"/>
        <v>0</v>
      </c>
      <c r="D139" s="15">
        <f t="shared" si="15"/>
        <v>0</v>
      </c>
      <c r="E139" s="70">
        <v>46239.416666666664</v>
      </c>
      <c r="F139" s="71">
        <v>106.6865</v>
      </c>
      <c r="G139" s="71">
        <v>496.63589999999999</v>
      </c>
      <c r="H139" s="71">
        <v>906.43</v>
      </c>
      <c r="I139" s="71">
        <v>10</v>
      </c>
      <c r="J139" s="71">
        <v>1431.5519999999999</v>
      </c>
      <c r="K139" s="71">
        <v>4425.9970000000003</v>
      </c>
      <c r="L139" s="8">
        <f t="shared" si="16"/>
        <v>0</v>
      </c>
      <c r="DP139" s="15"/>
    </row>
    <row r="140" spans="1:120">
      <c r="A140" s="15">
        <f t="shared" si="12"/>
        <v>0</v>
      </c>
      <c r="B140" s="15">
        <f t="shared" si="13"/>
        <v>0</v>
      </c>
      <c r="C140" s="15">
        <f t="shared" si="14"/>
        <v>0</v>
      </c>
      <c r="D140" s="15">
        <f t="shared" si="15"/>
        <v>0</v>
      </c>
      <c r="E140" s="70">
        <v>46239.458333333336</v>
      </c>
      <c r="F140" s="71">
        <v>102.60550000000001</v>
      </c>
      <c r="G140" s="71">
        <v>468.87869999999998</v>
      </c>
      <c r="H140" s="71">
        <v>855.92679999999996</v>
      </c>
      <c r="I140" s="71">
        <v>9.5</v>
      </c>
      <c r="J140" s="71">
        <v>1365.3330000000001</v>
      </c>
      <c r="K140" s="71">
        <v>4172.5950000000003</v>
      </c>
      <c r="L140" s="8">
        <f t="shared" si="16"/>
        <v>0</v>
      </c>
      <c r="DP140" s="15"/>
    </row>
    <row r="141" spans="1:120">
      <c r="A141" s="15">
        <f t="shared" si="12"/>
        <v>0</v>
      </c>
      <c r="B141" s="15">
        <f t="shared" si="13"/>
        <v>0</v>
      </c>
      <c r="C141" s="15">
        <f t="shared" si="14"/>
        <v>0</v>
      </c>
      <c r="D141" s="15">
        <f t="shared" si="15"/>
        <v>0</v>
      </c>
      <c r="E141" s="70">
        <v>46239.5</v>
      </c>
      <c r="F141" s="71">
        <v>98.789869999999993</v>
      </c>
      <c r="G141" s="71">
        <v>441.12150000000003</v>
      </c>
      <c r="H141" s="71">
        <v>805.42370000000005</v>
      </c>
      <c r="I141" s="71">
        <v>9</v>
      </c>
      <c r="J141" s="71">
        <v>1299.8389999999999</v>
      </c>
      <c r="K141" s="71">
        <v>3928.3809999999999</v>
      </c>
      <c r="L141" s="8">
        <f t="shared" si="16"/>
        <v>0</v>
      </c>
      <c r="DP141" s="15"/>
    </row>
    <row r="142" spans="1:120">
      <c r="A142" s="15">
        <f t="shared" si="12"/>
        <v>0</v>
      </c>
      <c r="B142" s="15">
        <f t="shared" si="13"/>
        <v>0</v>
      </c>
      <c r="C142" s="15">
        <f t="shared" si="14"/>
        <v>0</v>
      </c>
      <c r="D142" s="15">
        <f t="shared" si="15"/>
        <v>0</v>
      </c>
      <c r="E142" s="70">
        <v>46239.541666666664</v>
      </c>
      <c r="F142" s="71">
        <v>96.795360000000002</v>
      </c>
      <c r="G142" s="71">
        <v>417.3494</v>
      </c>
      <c r="H142" s="71">
        <v>761.60950000000003</v>
      </c>
      <c r="I142" s="71">
        <v>8.5</v>
      </c>
      <c r="J142" s="71">
        <v>1234.586</v>
      </c>
      <c r="K142" s="71">
        <v>3733.5970000000002</v>
      </c>
      <c r="L142" s="8">
        <f t="shared" si="16"/>
        <v>0</v>
      </c>
      <c r="DP142" s="15"/>
    </row>
    <row r="143" spans="1:120">
      <c r="A143" s="15">
        <f t="shared" si="12"/>
        <v>0</v>
      </c>
      <c r="B143" s="15">
        <f t="shared" si="13"/>
        <v>0</v>
      </c>
      <c r="C143" s="15">
        <f t="shared" si="14"/>
        <v>0</v>
      </c>
      <c r="D143" s="15">
        <f t="shared" si="15"/>
        <v>0</v>
      </c>
      <c r="E143" s="70">
        <v>46239.583333333336</v>
      </c>
      <c r="F143" s="71">
        <v>99.935169999999999</v>
      </c>
      <c r="G143" s="71">
        <v>393.57260000000002</v>
      </c>
      <c r="H143" s="71">
        <v>717.79579999999999</v>
      </c>
      <c r="I143" s="71">
        <v>8</v>
      </c>
      <c r="J143" s="71">
        <v>1169.5940000000001</v>
      </c>
      <c r="K143" s="71">
        <v>3596.663</v>
      </c>
      <c r="L143" s="8">
        <f t="shared" si="16"/>
        <v>0</v>
      </c>
      <c r="DP143" s="15"/>
    </row>
    <row r="144" spans="1:120">
      <c r="A144" s="15">
        <f t="shared" si="12"/>
        <v>0</v>
      </c>
      <c r="B144" s="15">
        <f t="shared" si="13"/>
        <v>0</v>
      </c>
      <c r="C144" s="15">
        <f t="shared" si="14"/>
        <v>0</v>
      </c>
      <c r="D144" s="15">
        <f t="shared" si="15"/>
        <v>0</v>
      </c>
      <c r="E144" s="70">
        <v>46239.625</v>
      </c>
      <c r="F144" s="71">
        <v>110.6405</v>
      </c>
      <c r="G144" s="71">
        <v>372.44940000000003</v>
      </c>
      <c r="H144" s="71">
        <v>679.17790000000002</v>
      </c>
      <c r="I144" s="71">
        <v>7.5</v>
      </c>
      <c r="J144" s="71">
        <v>1106.279</v>
      </c>
      <c r="K144" s="71">
        <v>3572.8989999999999</v>
      </c>
      <c r="L144" s="8">
        <f t="shared" si="16"/>
        <v>0</v>
      </c>
      <c r="DP144" s="15"/>
    </row>
    <row r="145" spans="1:120">
      <c r="A145" s="15">
        <f t="shared" si="12"/>
        <v>0</v>
      </c>
      <c r="B145" s="15">
        <f t="shared" si="13"/>
        <v>0</v>
      </c>
      <c r="C145" s="15">
        <f t="shared" si="14"/>
        <v>0</v>
      </c>
      <c r="D145" s="15">
        <f t="shared" si="15"/>
        <v>0</v>
      </c>
      <c r="E145" s="70">
        <v>46239.666666666664</v>
      </c>
      <c r="F145" s="71">
        <v>154.66030000000001</v>
      </c>
      <c r="G145" s="71">
        <v>351.20440000000002</v>
      </c>
      <c r="H145" s="71">
        <v>640.57529999999997</v>
      </c>
      <c r="I145" s="71">
        <v>7</v>
      </c>
      <c r="J145" s="71">
        <v>1043.057</v>
      </c>
      <c r="K145" s="71">
        <v>3533.0830000000001</v>
      </c>
      <c r="L145" s="8">
        <f t="shared" si="16"/>
        <v>0</v>
      </c>
      <c r="DP145" s="15"/>
    </row>
    <row r="146" spans="1:120">
      <c r="A146" s="15">
        <f t="shared" si="12"/>
        <v>0</v>
      </c>
      <c r="B146" s="15">
        <f t="shared" si="13"/>
        <v>0</v>
      </c>
      <c r="C146" s="15">
        <f t="shared" si="14"/>
        <v>0</v>
      </c>
      <c r="D146" s="15">
        <f t="shared" si="15"/>
        <v>0</v>
      </c>
      <c r="E146" s="70">
        <v>46239.708333333336</v>
      </c>
      <c r="F146" s="71">
        <v>207.58969999999999</v>
      </c>
      <c r="G146" s="71">
        <v>333.8184</v>
      </c>
      <c r="H146" s="71">
        <v>606.69449999999995</v>
      </c>
      <c r="I146" s="71">
        <v>7</v>
      </c>
      <c r="J146" s="71">
        <v>984.5729</v>
      </c>
      <c r="K146" s="71">
        <v>3496.3339999999998</v>
      </c>
      <c r="L146" s="8">
        <f t="shared" si="16"/>
        <v>0</v>
      </c>
      <c r="DP146" s="15"/>
    </row>
    <row r="147" spans="1:120">
      <c r="A147" s="15">
        <f t="shared" si="12"/>
        <v>0</v>
      </c>
      <c r="B147" s="15">
        <f t="shared" si="13"/>
        <v>0</v>
      </c>
      <c r="C147" s="15">
        <f t="shared" si="14"/>
        <v>0</v>
      </c>
      <c r="D147" s="15">
        <f t="shared" si="15"/>
        <v>0</v>
      </c>
      <c r="E147" s="70">
        <v>46239.75</v>
      </c>
      <c r="F147" s="71">
        <v>334.21710000000002</v>
      </c>
      <c r="G147" s="71">
        <v>315.15129999999999</v>
      </c>
      <c r="H147" s="71">
        <v>573.01760000000002</v>
      </c>
      <c r="I147" s="71">
        <v>7</v>
      </c>
      <c r="J147" s="71">
        <v>926.12220000000002</v>
      </c>
      <c r="K147" s="71">
        <v>3491.4540000000002</v>
      </c>
      <c r="L147" s="8">
        <f t="shared" si="16"/>
        <v>0</v>
      </c>
      <c r="DP147" s="15"/>
    </row>
    <row r="148" spans="1:120">
      <c r="A148" s="15">
        <f t="shared" si="12"/>
        <v>0</v>
      </c>
      <c r="B148" s="15">
        <f t="shared" si="13"/>
        <v>0</v>
      </c>
      <c r="C148" s="15">
        <f t="shared" si="14"/>
        <v>0</v>
      </c>
      <c r="D148" s="15">
        <f t="shared" si="15"/>
        <v>0</v>
      </c>
      <c r="E148" s="70">
        <v>46239.791666666664</v>
      </c>
      <c r="F148" s="71">
        <v>421.17649999999998</v>
      </c>
      <c r="G148" s="71">
        <v>304.37939999999998</v>
      </c>
      <c r="H148" s="71">
        <v>544.23900000000003</v>
      </c>
      <c r="I148" s="71">
        <v>6.5</v>
      </c>
      <c r="J148" s="71">
        <v>872.16690000000006</v>
      </c>
      <c r="K148" s="71">
        <v>3581.0439999999999</v>
      </c>
      <c r="L148" s="8">
        <f t="shared" si="16"/>
        <v>0</v>
      </c>
      <c r="DP148" s="15"/>
    </row>
    <row r="149" spans="1:120">
      <c r="A149" s="15">
        <f t="shared" si="12"/>
        <v>0</v>
      </c>
      <c r="B149" s="15">
        <f t="shared" si="13"/>
        <v>0</v>
      </c>
      <c r="C149" s="15">
        <f t="shared" si="14"/>
        <v>0</v>
      </c>
      <c r="D149" s="15">
        <f t="shared" si="15"/>
        <v>0</v>
      </c>
      <c r="E149" s="70">
        <v>46239.833333333336</v>
      </c>
      <c r="F149" s="71">
        <v>515.02059999999994</v>
      </c>
      <c r="G149" s="71">
        <v>286.47449999999998</v>
      </c>
      <c r="H149" s="71">
        <v>516.98850000000004</v>
      </c>
      <c r="I149" s="71">
        <v>6</v>
      </c>
      <c r="J149" s="71">
        <v>818.2636</v>
      </c>
      <c r="K149" s="71">
        <v>3590.779</v>
      </c>
      <c r="L149" s="8">
        <f t="shared" si="16"/>
        <v>0</v>
      </c>
      <c r="DP149" s="15"/>
    </row>
    <row r="150" spans="1:120">
      <c r="A150" s="15">
        <f t="shared" si="12"/>
        <v>0</v>
      </c>
      <c r="B150" s="15">
        <f t="shared" si="13"/>
        <v>0</v>
      </c>
      <c r="C150" s="15">
        <f t="shared" si="14"/>
        <v>0</v>
      </c>
      <c r="D150" s="15">
        <f t="shared" si="15"/>
        <v>0</v>
      </c>
      <c r="E150" s="70">
        <v>46239.875</v>
      </c>
      <c r="F150" s="71">
        <v>530.23689999999999</v>
      </c>
      <c r="G150" s="71">
        <v>292.24369999999999</v>
      </c>
      <c r="H150" s="71">
        <v>495.41699999999997</v>
      </c>
      <c r="I150" s="71">
        <v>5.5</v>
      </c>
      <c r="J150" s="71">
        <v>769.9864</v>
      </c>
      <c r="K150" s="71">
        <v>3589.5549999999998</v>
      </c>
      <c r="L150" s="8">
        <f t="shared" si="16"/>
        <v>0</v>
      </c>
      <c r="DP150" s="15"/>
    </row>
    <row r="151" spans="1:120">
      <c r="A151" s="15">
        <f t="shared" si="12"/>
        <v>0</v>
      </c>
      <c r="B151" s="15">
        <f t="shared" si="13"/>
        <v>0</v>
      </c>
      <c r="C151" s="15">
        <f t="shared" si="14"/>
        <v>0</v>
      </c>
      <c r="D151" s="15">
        <f t="shared" si="15"/>
        <v>0</v>
      </c>
      <c r="E151" s="70">
        <v>46239.916666666664</v>
      </c>
      <c r="F151" s="71">
        <v>539.82809999999995</v>
      </c>
      <c r="G151" s="71">
        <v>275.32600000000002</v>
      </c>
      <c r="H151" s="71">
        <v>480.51639999999998</v>
      </c>
      <c r="I151" s="71">
        <v>5</v>
      </c>
      <c r="J151" s="71">
        <v>722.19150000000002</v>
      </c>
      <c r="K151" s="71">
        <v>3600.8560000000002</v>
      </c>
      <c r="L151" s="8">
        <f t="shared" si="16"/>
        <v>0</v>
      </c>
      <c r="DP151" s="15"/>
    </row>
    <row r="152" spans="1:120">
      <c r="A152" s="15">
        <f t="shared" si="12"/>
        <v>0</v>
      </c>
      <c r="B152" s="15">
        <f t="shared" si="13"/>
        <v>0</v>
      </c>
      <c r="C152" s="15">
        <f t="shared" si="14"/>
        <v>0</v>
      </c>
      <c r="D152" s="15">
        <f t="shared" si="15"/>
        <v>0</v>
      </c>
      <c r="E152" s="70">
        <v>46239.958333333336</v>
      </c>
      <c r="F152" s="71">
        <v>539.6875</v>
      </c>
      <c r="G152" s="71">
        <v>300.01799999999997</v>
      </c>
      <c r="H152" s="71">
        <v>474.60590000000002</v>
      </c>
      <c r="I152" s="71">
        <v>5</v>
      </c>
      <c r="J152" s="71">
        <v>680.37400000000002</v>
      </c>
      <c r="K152" s="71">
        <v>3745.232</v>
      </c>
      <c r="L152" s="8">
        <f t="shared" si="16"/>
        <v>0</v>
      </c>
      <c r="DP152" s="15"/>
    </row>
    <row r="153" spans="1:120">
      <c r="A153" s="15">
        <f t="shared" si="12"/>
        <v>0</v>
      </c>
      <c r="B153" s="15">
        <f t="shared" si="13"/>
        <v>0</v>
      </c>
      <c r="C153" s="15">
        <f t="shared" si="14"/>
        <v>0</v>
      </c>
      <c r="D153" s="15">
        <f t="shared" si="15"/>
        <v>0</v>
      </c>
      <c r="E153" s="70">
        <v>46240</v>
      </c>
      <c r="F153" s="71">
        <v>538.75229999999999</v>
      </c>
      <c r="G153" s="71">
        <v>282.97469999999998</v>
      </c>
      <c r="H153" s="71">
        <v>484.9384</v>
      </c>
      <c r="I153" s="71">
        <v>5</v>
      </c>
      <c r="J153" s="71">
        <v>641.19399999999996</v>
      </c>
      <c r="K153" s="71">
        <v>3723.86</v>
      </c>
      <c r="L153" s="8">
        <f t="shared" si="16"/>
        <v>0</v>
      </c>
      <c r="DP153" s="15"/>
    </row>
    <row r="154" spans="1:120">
      <c r="A154" s="15">
        <f t="shared" si="12"/>
        <v>0</v>
      </c>
      <c r="B154" s="15">
        <f t="shared" si="13"/>
        <v>0</v>
      </c>
      <c r="C154" s="15">
        <f t="shared" si="14"/>
        <v>0</v>
      </c>
      <c r="D154" s="15">
        <f t="shared" si="15"/>
        <v>0</v>
      </c>
      <c r="E154" s="70">
        <v>46240.041666666664</v>
      </c>
      <c r="F154" s="71">
        <v>536.90380000000005</v>
      </c>
      <c r="G154" s="71">
        <v>310.57459999999998</v>
      </c>
      <c r="H154" s="71">
        <v>507.61399999999998</v>
      </c>
      <c r="I154" s="71">
        <v>4.5</v>
      </c>
      <c r="J154" s="71">
        <v>607.85310000000004</v>
      </c>
      <c r="K154" s="71">
        <v>3696.0540000000001</v>
      </c>
      <c r="L154" s="8">
        <f t="shared" si="16"/>
        <v>0</v>
      </c>
      <c r="DP154" s="15"/>
    </row>
    <row r="155" spans="1:120">
      <c r="A155" s="15">
        <f t="shared" si="12"/>
        <v>0</v>
      </c>
      <c r="B155" s="15">
        <f t="shared" si="13"/>
        <v>0</v>
      </c>
      <c r="C155" s="15">
        <f t="shared" si="14"/>
        <v>0</v>
      </c>
      <c r="D155" s="15">
        <f t="shared" si="15"/>
        <v>0</v>
      </c>
      <c r="E155" s="70">
        <v>46240.083333333336</v>
      </c>
      <c r="F155" s="71">
        <v>534.9828</v>
      </c>
      <c r="G155" s="71">
        <v>293.67020000000002</v>
      </c>
      <c r="H155" s="71">
        <v>548.15620000000001</v>
      </c>
      <c r="I155" s="71">
        <v>4</v>
      </c>
      <c r="J155" s="71">
        <v>581.12480000000005</v>
      </c>
      <c r="K155" s="71">
        <v>3670.0259999999998</v>
      </c>
      <c r="L155" s="8">
        <f t="shared" si="16"/>
        <v>0</v>
      </c>
      <c r="DP155" s="15"/>
    </row>
    <row r="156" spans="1:120">
      <c r="A156" s="15">
        <f t="shared" si="12"/>
        <v>0</v>
      </c>
      <c r="B156" s="15">
        <f t="shared" si="13"/>
        <v>0</v>
      </c>
      <c r="C156" s="15">
        <f t="shared" si="14"/>
        <v>0</v>
      </c>
      <c r="D156" s="15">
        <f t="shared" si="15"/>
        <v>0</v>
      </c>
      <c r="E156" s="70">
        <v>46240.125</v>
      </c>
      <c r="F156" s="71">
        <v>533.49350000000004</v>
      </c>
      <c r="G156" s="71">
        <v>310.01420000000002</v>
      </c>
      <c r="H156" s="71">
        <v>599.68259999999998</v>
      </c>
      <c r="I156" s="71">
        <v>4</v>
      </c>
      <c r="J156" s="71">
        <v>558.87130000000002</v>
      </c>
      <c r="K156" s="71">
        <v>3739.9720000000002</v>
      </c>
      <c r="L156" s="8">
        <f t="shared" si="16"/>
        <v>0</v>
      </c>
      <c r="DP156" s="15"/>
    </row>
    <row r="157" spans="1:120">
      <c r="A157" s="15">
        <f t="shared" si="12"/>
        <v>0</v>
      </c>
      <c r="B157" s="15">
        <f t="shared" si="13"/>
        <v>0</v>
      </c>
      <c r="C157" s="15">
        <f t="shared" si="14"/>
        <v>0</v>
      </c>
      <c r="D157" s="15">
        <f t="shared" si="15"/>
        <v>0</v>
      </c>
      <c r="E157" s="70">
        <v>46240.166666666664</v>
      </c>
      <c r="F157" s="71">
        <v>531.99879999999996</v>
      </c>
      <c r="G157" s="71">
        <v>295.04700000000003</v>
      </c>
      <c r="H157" s="71">
        <v>649.45740000000001</v>
      </c>
      <c r="I157" s="71">
        <v>4</v>
      </c>
      <c r="J157" s="71">
        <v>542.80709999999999</v>
      </c>
      <c r="K157" s="71">
        <v>3729.95</v>
      </c>
      <c r="L157" s="8">
        <f t="shared" si="16"/>
        <v>0</v>
      </c>
      <c r="DP157" s="15"/>
    </row>
    <row r="158" spans="1:120">
      <c r="A158" s="15">
        <f t="shared" si="12"/>
        <v>0</v>
      </c>
      <c r="B158" s="15">
        <f t="shared" si="13"/>
        <v>0</v>
      </c>
      <c r="C158" s="15">
        <f t="shared" si="14"/>
        <v>0</v>
      </c>
      <c r="D158" s="15">
        <f t="shared" si="15"/>
        <v>0</v>
      </c>
      <c r="E158" s="70">
        <v>46240.208333333336</v>
      </c>
      <c r="F158" s="71">
        <v>529.99959999999999</v>
      </c>
      <c r="G158" s="71">
        <v>302.96800000000002</v>
      </c>
      <c r="H158" s="71">
        <v>703.36540000000002</v>
      </c>
      <c r="I158" s="71">
        <v>3.5</v>
      </c>
      <c r="J158" s="71">
        <v>530.9393</v>
      </c>
      <c r="K158" s="71">
        <v>3719.183</v>
      </c>
      <c r="L158" s="8">
        <f t="shared" si="16"/>
        <v>0</v>
      </c>
      <c r="DP158" s="15"/>
    </row>
    <row r="159" spans="1:120">
      <c r="A159" s="15">
        <f t="shared" si="12"/>
        <v>0</v>
      </c>
      <c r="B159" s="15">
        <f t="shared" si="13"/>
        <v>0</v>
      </c>
      <c r="C159" s="15">
        <f t="shared" si="14"/>
        <v>0</v>
      </c>
      <c r="D159" s="15">
        <f t="shared" si="15"/>
        <v>0</v>
      </c>
      <c r="E159" s="70">
        <v>46240.25</v>
      </c>
      <c r="F159" s="71">
        <v>527.99990000000003</v>
      </c>
      <c r="G159" s="71">
        <v>291.29739999999998</v>
      </c>
      <c r="H159" s="71">
        <v>735.61590000000001</v>
      </c>
      <c r="I159" s="71">
        <v>3</v>
      </c>
      <c r="J159" s="71">
        <v>523.11670000000004</v>
      </c>
      <c r="K159" s="71">
        <v>3711.7420000000002</v>
      </c>
      <c r="L159" s="8">
        <f t="shared" si="16"/>
        <v>0</v>
      </c>
      <c r="DP159" s="15"/>
    </row>
    <row r="160" spans="1:120">
      <c r="A160" s="15">
        <f t="shared" si="12"/>
        <v>0</v>
      </c>
      <c r="B160" s="15">
        <f t="shared" si="13"/>
        <v>0</v>
      </c>
      <c r="C160" s="15">
        <f t="shared" si="14"/>
        <v>0</v>
      </c>
      <c r="D160" s="15">
        <f t="shared" si="15"/>
        <v>0</v>
      </c>
      <c r="E160" s="70">
        <v>46240.291666666664</v>
      </c>
      <c r="F160" s="71">
        <v>526.49990000000003</v>
      </c>
      <c r="G160" s="71">
        <v>287.81670000000003</v>
      </c>
      <c r="H160" s="71">
        <v>775.49980000000005</v>
      </c>
      <c r="I160" s="71">
        <v>3</v>
      </c>
      <c r="J160" s="71">
        <v>516.53909999999996</v>
      </c>
      <c r="K160" s="71">
        <v>3754.09</v>
      </c>
      <c r="L160" s="8">
        <f t="shared" si="16"/>
        <v>0</v>
      </c>
      <c r="DP160" s="15"/>
    </row>
    <row r="161" spans="1:120">
      <c r="A161" s="15">
        <f t="shared" si="12"/>
        <v>0</v>
      </c>
      <c r="B161" s="15">
        <f t="shared" si="13"/>
        <v>0</v>
      </c>
      <c r="C161" s="15">
        <f t="shared" si="14"/>
        <v>0</v>
      </c>
      <c r="D161" s="15">
        <f t="shared" si="15"/>
        <v>0</v>
      </c>
      <c r="E161" s="70">
        <v>46240.333333333336</v>
      </c>
      <c r="F161" s="71">
        <v>524.99990000000003</v>
      </c>
      <c r="G161" s="71">
        <v>277.18979999999999</v>
      </c>
      <c r="H161" s="71">
        <v>787.68370000000004</v>
      </c>
      <c r="I161" s="71">
        <v>3</v>
      </c>
      <c r="J161" s="71">
        <v>512.14380000000006</v>
      </c>
      <c r="K161" s="71">
        <v>3780.145</v>
      </c>
      <c r="L161" s="8">
        <f t="shared" si="16"/>
        <v>0</v>
      </c>
      <c r="DP161" s="15"/>
    </row>
    <row r="162" spans="1:120">
      <c r="A162" s="15">
        <f t="shared" si="12"/>
        <v>0</v>
      </c>
      <c r="B162" s="15">
        <f t="shared" si="13"/>
        <v>0</v>
      </c>
      <c r="C162" s="15">
        <f t="shared" si="14"/>
        <v>0</v>
      </c>
      <c r="D162" s="15">
        <f t="shared" si="15"/>
        <v>0</v>
      </c>
      <c r="E162" s="70">
        <v>46240.375</v>
      </c>
      <c r="F162" s="71">
        <v>523.49990000000003</v>
      </c>
      <c r="G162" s="71">
        <v>270.75</v>
      </c>
      <c r="H162" s="71">
        <v>811.40359999999998</v>
      </c>
      <c r="I162" s="71">
        <v>2.5</v>
      </c>
      <c r="J162" s="71">
        <v>509.435</v>
      </c>
      <c r="K162" s="71">
        <v>3812.48</v>
      </c>
      <c r="L162" s="8">
        <f t="shared" si="16"/>
        <v>0</v>
      </c>
      <c r="DP162" s="15"/>
    </row>
    <row r="163" spans="1:120">
      <c r="A163" s="15">
        <f t="shared" si="12"/>
        <v>0</v>
      </c>
      <c r="B163" s="15">
        <f t="shared" si="13"/>
        <v>0</v>
      </c>
      <c r="C163" s="15">
        <f t="shared" si="14"/>
        <v>0</v>
      </c>
      <c r="D163" s="15">
        <f t="shared" si="15"/>
        <v>0</v>
      </c>
      <c r="E163" s="70">
        <v>46240.416666666664</v>
      </c>
      <c r="F163" s="71">
        <v>521.99990000000003</v>
      </c>
      <c r="G163" s="71">
        <v>262.37569999999999</v>
      </c>
      <c r="H163" s="71">
        <v>810.79750000000001</v>
      </c>
      <c r="I163" s="71">
        <v>2</v>
      </c>
      <c r="J163" s="71">
        <v>507.77010000000001</v>
      </c>
      <c r="K163" s="71">
        <v>3855.87</v>
      </c>
      <c r="L163" s="8">
        <f t="shared" si="16"/>
        <v>0</v>
      </c>
      <c r="DP163" s="15"/>
    </row>
    <row r="164" spans="1:120">
      <c r="A164" s="15">
        <f t="shared" si="12"/>
        <v>0</v>
      </c>
      <c r="B164" s="15">
        <f t="shared" si="13"/>
        <v>0</v>
      </c>
      <c r="C164" s="15">
        <f t="shared" si="14"/>
        <v>0</v>
      </c>
      <c r="D164" s="15">
        <f t="shared" si="15"/>
        <v>0</v>
      </c>
      <c r="E164" s="70">
        <v>46240.458333333336</v>
      </c>
      <c r="F164" s="71">
        <v>520.99990000000003</v>
      </c>
      <c r="G164" s="71">
        <v>255.39709999999999</v>
      </c>
      <c r="H164" s="71">
        <v>819.71659999999997</v>
      </c>
      <c r="I164" s="71">
        <v>2</v>
      </c>
      <c r="J164" s="71">
        <v>506.33249999999998</v>
      </c>
      <c r="K164" s="71">
        <v>3923.5410000000002</v>
      </c>
      <c r="L164" s="8">
        <f t="shared" si="16"/>
        <v>0</v>
      </c>
      <c r="DP164" s="15"/>
    </row>
    <row r="165" spans="1:120">
      <c r="A165" s="15">
        <f t="shared" si="12"/>
        <v>0</v>
      </c>
      <c r="B165" s="15">
        <f t="shared" si="13"/>
        <v>0</v>
      </c>
      <c r="C165" s="15">
        <f t="shared" si="14"/>
        <v>0</v>
      </c>
      <c r="D165" s="15">
        <f t="shared" si="15"/>
        <v>0</v>
      </c>
      <c r="E165" s="70">
        <v>46240.5</v>
      </c>
      <c r="F165" s="71">
        <v>519.99990000000003</v>
      </c>
      <c r="G165" s="71">
        <v>247.97890000000001</v>
      </c>
      <c r="H165" s="71">
        <v>812.58939999999996</v>
      </c>
      <c r="I165" s="71">
        <v>2</v>
      </c>
      <c r="J165" s="71">
        <v>505.3544</v>
      </c>
      <c r="K165" s="71">
        <v>3983.3890000000001</v>
      </c>
      <c r="L165" s="8">
        <f t="shared" si="16"/>
        <v>0</v>
      </c>
      <c r="DP165" s="15"/>
    </row>
    <row r="166" spans="1:120">
      <c r="A166" s="15">
        <f t="shared" si="12"/>
        <v>0</v>
      </c>
      <c r="B166" s="15">
        <f t="shared" si="13"/>
        <v>0</v>
      </c>
      <c r="C166" s="15">
        <f t="shared" si="14"/>
        <v>0</v>
      </c>
      <c r="D166" s="15">
        <f t="shared" si="15"/>
        <v>0</v>
      </c>
      <c r="E166" s="70">
        <v>46240.541666666664</v>
      </c>
      <c r="F166" s="71">
        <v>518.49990000000003</v>
      </c>
      <c r="G166" s="71">
        <v>242.69450000000001</v>
      </c>
      <c r="H166" s="71">
        <v>812.56420000000003</v>
      </c>
      <c r="I166" s="71">
        <v>2</v>
      </c>
      <c r="J166" s="71">
        <v>504.77800000000002</v>
      </c>
      <c r="K166" s="71">
        <v>4046.7919999999999</v>
      </c>
      <c r="L166" s="8">
        <f t="shared" si="16"/>
        <v>0</v>
      </c>
      <c r="DP166" s="15"/>
    </row>
    <row r="167" spans="1:120">
      <c r="A167" s="15">
        <f t="shared" si="12"/>
        <v>0</v>
      </c>
      <c r="B167" s="15">
        <f t="shared" si="13"/>
        <v>0</v>
      </c>
      <c r="C167" s="15">
        <f t="shared" si="14"/>
        <v>0</v>
      </c>
      <c r="D167" s="15">
        <f t="shared" si="15"/>
        <v>0</v>
      </c>
      <c r="E167" s="70">
        <v>46240.583333333336</v>
      </c>
      <c r="F167" s="71">
        <v>516.99990000000003</v>
      </c>
      <c r="G167" s="71">
        <v>237.32079999999999</v>
      </c>
      <c r="H167" s="71">
        <v>803.77919999999995</v>
      </c>
      <c r="I167" s="71">
        <v>2</v>
      </c>
      <c r="J167" s="71">
        <v>504.392</v>
      </c>
      <c r="K167" s="71">
        <v>4097.6049999999996</v>
      </c>
      <c r="L167" s="8">
        <f t="shared" si="16"/>
        <v>0</v>
      </c>
      <c r="DP167" s="15"/>
    </row>
    <row r="168" spans="1:120">
      <c r="A168" s="15">
        <f t="shared" si="12"/>
        <v>0</v>
      </c>
      <c r="B168" s="15">
        <f t="shared" si="13"/>
        <v>0</v>
      </c>
      <c r="C168" s="15">
        <f t="shared" si="14"/>
        <v>0</v>
      </c>
      <c r="D168" s="15">
        <f t="shared" si="15"/>
        <v>0</v>
      </c>
      <c r="E168" s="70">
        <v>46240.625</v>
      </c>
      <c r="F168" s="71">
        <v>515.99990000000003</v>
      </c>
      <c r="G168" s="71">
        <v>232.37180000000001</v>
      </c>
      <c r="H168" s="71">
        <v>798.49120000000005</v>
      </c>
      <c r="I168" s="71">
        <v>2</v>
      </c>
      <c r="J168" s="71">
        <v>503.36759999999998</v>
      </c>
      <c r="K168" s="71">
        <v>4160.7640000000001</v>
      </c>
      <c r="L168" s="8">
        <f t="shared" si="16"/>
        <v>0</v>
      </c>
      <c r="DP168" s="15"/>
    </row>
    <row r="169" spans="1:120">
      <c r="A169" s="15">
        <f t="shared" si="12"/>
        <v>0</v>
      </c>
      <c r="B169" s="15">
        <f t="shared" si="13"/>
        <v>0</v>
      </c>
      <c r="C169" s="15">
        <f t="shared" si="14"/>
        <v>0</v>
      </c>
      <c r="D169" s="15">
        <f t="shared" si="15"/>
        <v>0</v>
      </c>
      <c r="E169" s="70">
        <v>46240.666666666664</v>
      </c>
      <c r="F169" s="71">
        <v>514.99990000000003</v>
      </c>
      <c r="G169" s="71">
        <v>227.4059</v>
      </c>
      <c r="H169" s="71">
        <v>788.96720000000005</v>
      </c>
      <c r="I169" s="71">
        <v>2</v>
      </c>
      <c r="J169" s="71">
        <v>502.41860000000003</v>
      </c>
      <c r="K169" s="71">
        <v>4202.174</v>
      </c>
      <c r="L169" s="8">
        <f t="shared" si="16"/>
        <v>0</v>
      </c>
      <c r="DP169" s="15"/>
    </row>
    <row r="170" spans="1:120">
      <c r="A170" s="15">
        <f t="shared" si="12"/>
        <v>0</v>
      </c>
      <c r="B170" s="15">
        <f t="shared" si="13"/>
        <v>0</v>
      </c>
      <c r="C170" s="15">
        <f t="shared" si="14"/>
        <v>0</v>
      </c>
      <c r="D170" s="15">
        <f t="shared" si="15"/>
        <v>0</v>
      </c>
      <c r="E170" s="70">
        <v>46240.708333333336</v>
      </c>
      <c r="F170" s="71">
        <v>513.99990000000003</v>
      </c>
      <c r="G170" s="71">
        <v>223.30699999999999</v>
      </c>
      <c r="H170" s="71">
        <v>782.85209999999995</v>
      </c>
      <c r="I170" s="71">
        <v>1.5</v>
      </c>
      <c r="J170" s="71">
        <v>502.25850000000003</v>
      </c>
      <c r="K170" s="71">
        <v>4250.8990000000003</v>
      </c>
      <c r="L170" s="8">
        <f t="shared" si="16"/>
        <v>0</v>
      </c>
      <c r="DP170" s="15"/>
    </row>
    <row r="171" spans="1:120">
      <c r="A171" s="15">
        <f t="shared" si="12"/>
        <v>0</v>
      </c>
      <c r="B171" s="15">
        <f t="shared" si="13"/>
        <v>0</v>
      </c>
      <c r="C171" s="15">
        <f t="shared" si="14"/>
        <v>0</v>
      </c>
      <c r="D171" s="15">
        <f t="shared" si="15"/>
        <v>0</v>
      </c>
      <c r="E171" s="70">
        <v>46240.75</v>
      </c>
      <c r="F171" s="71">
        <v>512.99990000000003</v>
      </c>
      <c r="G171" s="71">
        <v>219.20519999999999</v>
      </c>
      <c r="H171" s="71">
        <v>774.84220000000005</v>
      </c>
      <c r="I171" s="71">
        <v>1</v>
      </c>
      <c r="J171" s="71">
        <v>502.12720000000002</v>
      </c>
      <c r="K171" s="71">
        <v>4278.7269999999999</v>
      </c>
      <c r="L171" s="8">
        <f t="shared" si="16"/>
        <v>0</v>
      </c>
      <c r="DP171" s="15"/>
    </row>
    <row r="172" spans="1:120">
      <c r="A172" s="15">
        <f t="shared" si="12"/>
        <v>0</v>
      </c>
      <c r="B172" s="15">
        <f t="shared" si="13"/>
        <v>0</v>
      </c>
      <c r="C172" s="15">
        <f t="shared" si="14"/>
        <v>0</v>
      </c>
      <c r="D172" s="15">
        <f t="shared" si="15"/>
        <v>0</v>
      </c>
      <c r="E172" s="70">
        <v>46240.791666666664</v>
      </c>
      <c r="F172" s="71">
        <v>511.99990000000003</v>
      </c>
      <c r="G172" s="71">
        <v>215.47020000000001</v>
      </c>
      <c r="H172" s="71">
        <v>768.08029999999997</v>
      </c>
      <c r="I172" s="71">
        <v>1</v>
      </c>
      <c r="J172" s="71">
        <v>502.07780000000002</v>
      </c>
      <c r="K172" s="71">
        <v>4314.8789999999999</v>
      </c>
      <c r="L172" s="8">
        <f t="shared" si="16"/>
        <v>0</v>
      </c>
      <c r="DP172" s="15"/>
    </row>
    <row r="173" spans="1:120">
      <c r="A173" s="15">
        <f t="shared" si="12"/>
        <v>0</v>
      </c>
      <c r="B173" s="15">
        <f t="shared" si="13"/>
        <v>0</v>
      </c>
      <c r="C173" s="15">
        <f t="shared" si="14"/>
        <v>0</v>
      </c>
      <c r="D173" s="15">
        <f t="shared" si="15"/>
        <v>0</v>
      </c>
      <c r="E173" s="70">
        <v>46240.833333333336</v>
      </c>
      <c r="F173" s="71">
        <v>510.99990000000003</v>
      </c>
      <c r="G173" s="71">
        <v>211.7347</v>
      </c>
      <c r="H173" s="71">
        <v>760.5127</v>
      </c>
      <c r="I173" s="71">
        <v>1</v>
      </c>
      <c r="J173" s="71">
        <v>502.03899999999999</v>
      </c>
      <c r="K173" s="71">
        <v>4333.3599999999997</v>
      </c>
      <c r="L173" s="8">
        <f t="shared" si="16"/>
        <v>0</v>
      </c>
      <c r="DP173" s="15"/>
    </row>
    <row r="174" spans="1:120">
      <c r="A174" s="15">
        <f t="shared" si="12"/>
        <v>0</v>
      </c>
      <c r="B174" s="15">
        <f t="shared" si="13"/>
        <v>0</v>
      </c>
      <c r="C174" s="15">
        <f t="shared" si="14"/>
        <v>0</v>
      </c>
      <c r="D174" s="15">
        <f t="shared" si="15"/>
        <v>0</v>
      </c>
      <c r="E174" s="70">
        <v>46240.875</v>
      </c>
      <c r="F174" s="71">
        <v>510.49990000000003</v>
      </c>
      <c r="G174" s="71">
        <v>208.44739999999999</v>
      </c>
      <c r="H174" s="71">
        <v>754.65470000000005</v>
      </c>
      <c r="I174" s="71">
        <v>1</v>
      </c>
      <c r="J174" s="71">
        <v>501.97809999999998</v>
      </c>
      <c r="K174" s="71">
        <v>4357.6350000000002</v>
      </c>
      <c r="L174" s="8">
        <f t="shared" si="16"/>
        <v>0</v>
      </c>
      <c r="DP174" s="15"/>
    </row>
    <row r="175" spans="1:120">
      <c r="A175" s="15">
        <f t="shared" si="12"/>
        <v>0</v>
      </c>
      <c r="B175" s="15">
        <f t="shared" si="13"/>
        <v>0</v>
      </c>
      <c r="C175" s="15">
        <f t="shared" si="14"/>
        <v>0</v>
      </c>
      <c r="D175" s="15">
        <f t="shared" si="15"/>
        <v>0</v>
      </c>
      <c r="E175" s="70">
        <v>46240.916666666664</v>
      </c>
      <c r="F175" s="71">
        <v>509.99990000000003</v>
      </c>
      <c r="G175" s="71">
        <v>205.16</v>
      </c>
      <c r="H175" s="71">
        <v>748.46510000000001</v>
      </c>
      <c r="I175" s="71">
        <v>1</v>
      </c>
      <c r="J175" s="71">
        <v>501.92099999999999</v>
      </c>
      <c r="K175" s="71">
        <v>4369.6509999999998</v>
      </c>
      <c r="L175" s="8">
        <f t="shared" si="16"/>
        <v>0</v>
      </c>
      <c r="DP175" s="15"/>
    </row>
    <row r="176" spans="1:120">
      <c r="A176" s="15">
        <f t="shared" si="12"/>
        <v>0</v>
      </c>
      <c r="B176" s="15">
        <f t="shared" si="13"/>
        <v>0</v>
      </c>
      <c r="C176" s="15">
        <f t="shared" si="14"/>
        <v>0</v>
      </c>
      <c r="D176" s="15">
        <f t="shared" si="15"/>
        <v>0</v>
      </c>
      <c r="E176" s="70">
        <v>46240.958333333336</v>
      </c>
      <c r="F176" s="71">
        <v>509.49990000000003</v>
      </c>
      <c r="G176" s="71">
        <v>202.3622</v>
      </c>
      <c r="H176" s="71">
        <v>743.12829999999997</v>
      </c>
      <c r="I176" s="71">
        <v>1</v>
      </c>
      <c r="J176" s="71">
        <v>501.58580000000001</v>
      </c>
      <c r="K176" s="71">
        <v>4386.3990000000003</v>
      </c>
      <c r="L176" s="8">
        <f t="shared" si="16"/>
        <v>0</v>
      </c>
      <c r="DP176" s="15"/>
    </row>
    <row r="177" spans="1:120">
      <c r="A177" s="15">
        <f t="shared" si="12"/>
        <v>0</v>
      </c>
      <c r="B177" s="15">
        <f t="shared" si="13"/>
        <v>0</v>
      </c>
      <c r="C177" s="15">
        <f t="shared" si="14"/>
        <v>0</v>
      </c>
      <c r="D177" s="15">
        <f t="shared" si="15"/>
        <v>0</v>
      </c>
      <c r="E177" s="70">
        <v>46241</v>
      </c>
      <c r="F177" s="71">
        <v>508.99990000000003</v>
      </c>
      <c r="G177" s="71">
        <v>199.5643</v>
      </c>
      <c r="H177" s="71">
        <v>737.65800000000002</v>
      </c>
      <c r="I177" s="71">
        <v>1</v>
      </c>
      <c r="J177" s="71">
        <v>501.25189999999998</v>
      </c>
      <c r="K177" s="71">
        <v>4395.183</v>
      </c>
      <c r="L177" s="8">
        <f t="shared" si="16"/>
        <v>0</v>
      </c>
      <c r="DP177" s="15"/>
    </row>
    <row r="178" spans="1:120">
      <c r="A178" s="15">
        <f t="shared" si="12"/>
        <v>0</v>
      </c>
      <c r="B178" s="15">
        <f t="shared" si="13"/>
        <v>0</v>
      </c>
      <c r="C178" s="15">
        <f t="shared" si="14"/>
        <v>0</v>
      </c>
      <c r="D178" s="15">
        <f t="shared" si="15"/>
        <v>0</v>
      </c>
      <c r="E178" s="70">
        <v>46241.041666666664</v>
      </c>
      <c r="F178" s="71">
        <v>507.99990000000003</v>
      </c>
      <c r="G178" s="71">
        <v>197.5275</v>
      </c>
      <c r="H178" s="71">
        <v>732.86400000000003</v>
      </c>
      <c r="I178" s="71">
        <v>1</v>
      </c>
      <c r="J178" s="71">
        <v>501.16019999999997</v>
      </c>
      <c r="K178" s="71">
        <v>4406.6369999999997</v>
      </c>
      <c r="L178" s="8">
        <f t="shared" si="16"/>
        <v>0</v>
      </c>
      <c r="DP178" s="15"/>
    </row>
    <row r="179" spans="1:120">
      <c r="A179" s="15">
        <f t="shared" si="12"/>
        <v>0</v>
      </c>
      <c r="B179" s="15">
        <f t="shared" si="13"/>
        <v>0</v>
      </c>
      <c r="C179" s="15">
        <f t="shared" si="14"/>
        <v>0</v>
      </c>
      <c r="D179" s="15">
        <f t="shared" si="15"/>
        <v>0</v>
      </c>
      <c r="E179" s="70">
        <v>46241.083333333336</v>
      </c>
      <c r="F179" s="71">
        <v>506.99990000000003</v>
      </c>
      <c r="G179" s="71">
        <v>195.49080000000001</v>
      </c>
      <c r="H179" s="71">
        <v>728.0172</v>
      </c>
      <c r="I179" s="71">
        <v>1</v>
      </c>
      <c r="J179" s="71">
        <v>501.06889999999999</v>
      </c>
      <c r="K179" s="71">
        <v>4413.4250000000002</v>
      </c>
      <c r="L179" s="8">
        <f t="shared" si="16"/>
        <v>0</v>
      </c>
      <c r="DP179" s="15"/>
    </row>
    <row r="180" spans="1:120">
      <c r="A180" s="15">
        <f t="shared" si="12"/>
        <v>0</v>
      </c>
      <c r="B180" s="15">
        <f t="shared" si="13"/>
        <v>0</v>
      </c>
      <c r="C180" s="15">
        <f t="shared" si="14"/>
        <v>0</v>
      </c>
      <c r="D180" s="15">
        <f t="shared" si="15"/>
        <v>0</v>
      </c>
      <c r="E180" s="70">
        <v>46241.125</v>
      </c>
      <c r="F180" s="71">
        <v>506.49990000000003</v>
      </c>
      <c r="G180" s="71">
        <v>192.595</v>
      </c>
      <c r="H180" s="71">
        <v>723.81470000000002</v>
      </c>
      <c r="I180" s="71">
        <v>1</v>
      </c>
      <c r="J180" s="71">
        <v>501.04379999999998</v>
      </c>
      <c r="K180" s="71">
        <v>4421.2920000000004</v>
      </c>
      <c r="L180" s="8">
        <f t="shared" si="16"/>
        <v>0</v>
      </c>
      <c r="DP180" s="15"/>
    </row>
    <row r="181" spans="1:120">
      <c r="A181" s="15">
        <f t="shared" si="12"/>
        <v>0</v>
      </c>
      <c r="B181" s="15">
        <f t="shared" si="13"/>
        <v>0</v>
      </c>
      <c r="C181" s="15">
        <f t="shared" si="14"/>
        <v>0</v>
      </c>
      <c r="D181" s="15">
        <f t="shared" si="15"/>
        <v>0</v>
      </c>
      <c r="E181" s="70">
        <v>46241.166666666664</v>
      </c>
      <c r="F181" s="71">
        <v>505.99990000000003</v>
      </c>
      <c r="G181" s="71">
        <v>189.69929999999999</v>
      </c>
      <c r="H181" s="71">
        <v>719.59140000000002</v>
      </c>
      <c r="I181" s="71">
        <v>1</v>
      </c>
      <c r="J181" s="71">
        <v>501.0188</v>
      </c>
      <c r="K181" s="71">
        <v>4426.5140000000001</v>
      </c>
      <c r="L181" s="8">
        <f t="shared" si="16"/>
        <v>0</v>
      </c>
      <c r="DP181" s="15"/>
    </row>
    <row r="182" spans="1:120">
      <c r="A182" s="15">
        <f t="shared" si="12"/>
        <v>0</v>
      </c>
      <c r="B182" s="15">
        <f t="shared" si="13"/>
        <v>0</v>
      </c>
      <c r="C182" s="15">
        <f t="shared" si="14"/>
        <v>0</v>
      </c>
      <c r="D182" s="15">
        <f t="shared" si="15"/>
        <v>0</v>
      </c>
      <c r="E182" s="70">
        <v>46241.208333333336</v>
      </c>
      <c r="F182" s="71">
        <v>505.49990000000003</v>
      </c>
      <c r="G182" s="71">
        <v>186.1216</v>
      </c>
      <c r="H182" s="71">
        <v>715.61680000000001</v>
      </c>
      <c r="I182" s="71">
        <v>0.5</v>
      </c>
      <c r="J182" s="71">
        <v>501.012</v>
      </c>
      <c r="K182" s="71">
        <v>4432.42</v>
      </c>
      <c r="L182" s="8">
        <f t="shared" si="16"/>
        <v>0</v>
      </c>
      <c r="DP182" s="15"/>
    </row>
    <row r="183" spans="1:120">
      <c r="A183" s="15">
        <f t="shared" si="12"/>
        <v>0</v>
      </c>
      <c r="B183" s="15">
        <f t="shared" si="13"/>
        <v>0</v>
      </c>
      <c r="C183" s="15">
        <f t="shared" si="14"/>
        <v>0</v>
      </c>
      <c r="D183" s="15">
        <f t="shared" si="15"/>
        <v>0</v>
      </c>
      <c r="E183" s="70">
        <v>46241.25</v>
      </c>
      <c r="F183" s="71">
        <v>504.99990000000003</v>
      </c>
      <c r="G183" s="71">
        <v>182.54390000000001</v>
      </c>
      <c r="H183" s="71">
        <v>711.63400000000001</v>
      </c>
      <c r="I183" s="76">
        <v>9.0799999999999993E-9</v>
      </c>
      <c r="J183" s="71">
        <v>501.00510000000003</v>
      </c>
      <c r="K183" s="71">
        <v>4436.9219999999996</v>
      </c>
      <c r="L183" s="8">
        <f t="shared" si="16"/>
        <v>0</v>
      </c>
      <c r="DP183" s="15"/>
    </row>
    <row r="184" spans="1:120">
      <c r="A184" s="15">
        <f t="shared" si="12"/>
        <v>0</v>
      </c>
      <c r="B184" s="15">
        <f t="shared" si="13"/>
        <v>0</v>
      </c>
      <c r="C184" s="15">
        <f t="shared" si="14"/>
        <v>0</v>
      </c>
      <c r="D184" s="15">
        <f t="shared" si="15"/>
        <v>0</v>
      </c>
      <c r="E184" s="70">
        <v>46241.291666666664</v>
      </c>
      <c r="F184" s="71">
        <v>504.49990000000003</v>
      </c>
      <c r="G184" s="71">
        <v>179.95359999999999</v>
      </c>
      <c r="H184" s="71">
        <v>708.17859999999996</v>
      </c>
      <c r="I184" s="71">
        <v>0</v>
      </c>
      <c r="J184" s="71">
        <v>501.00330000000002</v>
      </c>
      <c r="K184" s="71">
        <v>4441.7969999999996</v>
      </c>
      <c r="L184" s="8">
        <f t="shared" si="16"/>
        <v>0</v>
      </c>
      <c r="DP184" s="15"/>
    </row>
    <row r="185" spans="1:120">
      <c r="A185" s="15">
        <f t="shared" si="12"/>
        <v>0</v>
      </c>
      <c r="B185" s="15">
        <f t="shared" si="13"/>
        <v>0</v>
      </c>
      <c r="C185" s="15">
        <f t="shared" si="14"/>
        <v>0</v>
      </c>
      <c r="D185" s="15">
        <f t="shared" si="15"/>
        <v>0</v>
      </c>
      <c r="E185" s="70">
        <v>46241.333333333336</v>
      </c>
      <c r="F185" s="71">
        <v>503.99990000000003</v>
      </c>
      <c r="G185" s="71">
        <v>177.36330000000001</v>
      </c>
      <c r="H185" s="71">
        <v>704.72019999999998</v>
      </c>
      <c r="I185" s="71">
        <v>0</v>
      </c>
      <c r="J185" s="71">
        <v>501.00139999999999</v>
      </c>
      <c r="K185" s="71">
        <v>4445.9380000000001</v>
      </c>
      <c r="L185" s="8">
        <f t="shared" si="16"/>
        <v>0</v>
      </c>
      <c r="DP185" s="15"/>
    </row>
    <row r="186" spans="1:120">
      <c r="A186" s="15">
        <f t="shared" si="12"/>
        <v>0</v>
      </c>
      <c r="B186" s="15">
        <f t="shared" si="13"/>
        <v>0</v>
      </c>
      <c r="C186" s="15">
        <f t="shared" si="14"/>
        <v>0</v>
      </c>
      <c r="D186" s="15">
        <f t="shared" si="15"/>
        <v>0</v>
      </c>
      <c r="E186" s="70">
        <v>46241.375</v>
      </c>
      <c r="F186" s="71">
        <v>503.49990000000003</v>
      </c>
      <c r="G186" s="71">
        <v>175.9042</v>
      </c>
      <c r="H186" s="71">
        <v>700.90089999999998</v>
      </c>
      <c r="I186" s="71">
        <v>0</v>
      </c>
      <c r="J186" s="71">
        <v>500.9554</v>
      </c>
      <c r="K186" s="71">
        <v>4449.5469999999996</v>
      </c>
      <c r="L186" s="8">
        <f t="shared" si="16"/>
        <v>0</v>
      </c>
      <c r="DP186" s="15"/>
    </row>
    <row r="187" spans="1:120">
      <c r="A187" s="15">
        <f t="shared" si="12"/>
        <v>0</v>
      </c>
      <c r="B187" s="15">
        <f t="shared" si="13"/>
        <v>0</v>
      </c>
      <c r="C187" s="15">
        <f t="shared" si="14"/>
        <v>0</v>
      </c>
      <c r="D187" s="15">
        <f t="shared" si="15"/>
        <v>0</v>
      </c>
      <c r="E187" s="70">
        <v>46241.416666666664</v>
      </c>
      <c r="F187" s="71">
        <v>502.99990000000003</v>
      </c>
      <c r="G187" s="71">
        <v>174.4451</v>
      </c>
      <c r="H187" s="71">
        <v>697.08029999999997</v>
      </c>
      <c r="I187" s="71">
        <v>0</v>
      </c>
      <c r="J187" s="71">
        <v>500.90940000000001</v>
      </c>
      <c r="K187" s="71">
        <v>4452.7879999999996</v>
      </c>
      <c r="L187" s="8">
        <f t="shared" si="16"/>
        <v>0</v>
      </c>
      <c r="DP187" s="15"/>
    </row>
    <row r="188" spans="1:120">
      <c r="A188" s="15">
        <f t="shared" si="12"/>
        <v>0</v>
      </c>
      <c r="B188" s="15">
        <f t="shared" si="13"/>
        <v>0</v>
      </c>
      <c r="C188" s="15">
        <f t="shared" si="14"/>
        <v>0</v>
      </c>
      <c r="D188" s="15">
        <f t="shared" si="15"/>
        <v>0</v>
      </c>
      <c r="E188" s="70">
        <v>46241.458333333336</v>
      </c>
      <c r="F188" s="71">
        <v>502.49990000000003</v>
      </c>
      <c r="G188" s="71">
        <v>173.22550000000001</v>
      </c>
      <c r="H188" s="71">
        <v>693.54660000000001</v>
      </c>
      <c r="I188" s="71">
        <v>0</v>
      </c>
      <c r="J188" s="71">
        <v>500.5788</v>
      </c>
      <c r="K188" s="71">
        <v>4456.4660000000003</v>
      </c>
      <c r="L188" s="8">
        <f t="shared" si="16"/>
        <v>0</v>
      </c>
      <c r="DP188" s="15"/>
    </row>
    <row r="189" spans="1:120">
      <c r="A189" s="15">
        <f t="shared" si="12"/>
        <v>0</v>
      </c>
      <c r="B189" s="15">
        <f t="shared" si="13"/>
        <v>0</v>
      </c>
      <c r="C189" s="15">
        <f t="shared" si="14"/>
        <v>0</v>
      </c>
      <c r="D189" s="15">
        <f t="shared" si="15"/>
        <v>0</v>
      </c>
      <c r="E189" s="70">
        <v>46241.5</v>
      </c>
      <c r="F189" s="71">
        <v>501.99990000000003</v>
      </c>
      <c r="G189" s="71">
        <v>172.00579999999999</v>
      </c>
      <c r="H189" s="71">
        <v>690.01260000000002</v>
      </c>
      <c r="I189" s="71">
        <v>0</v>
      </c>
      <c r="J189" s="71">
        <v>500.2482</v>
      </c>
      <c r="K189" s="71">
        <v>4459.9620000000004</v>
      </c>
      <c r="L189" s="8">
        <f t="shared" si="16"/>
        <v>0</v>
      </c>
      <c r="DP189" s="15"/>
    </row>
    <row r="190" spans="1:120">
      <c r="A190" s="15">
        <f t="shared" si="12"/>
        <v>0</v>
      </c>
      <c r="B190" s="15">
        <f t="shared" si="13"/>
        <v>0</v>
      </c>
      <c r="C190" s="15">
        <f t="shared" si="14"/>
        <v>0</v>
      </c>
      <c r="D190" s="15">
        <f t="shared" si="15"/>
        <v>0</v>
      </c>
      <c r="E190" s="70">
        <v>46241.541666666664</v>
      </c>
      <c r="F190" s="71">
        <v>501.99990000000003</v>
      </c>
      <c r="G190" s="71">
        <v>170.12090000000001</v>
      </c>
      <c r="H190" s="71">
        <v>687.2192</v>
      </c>
      <c r="I190" s="71">
        <v>0</v>
      </c>
      <c r="J190" s="71">
        <v>500.15800000000002</v>
      </c>
      <c r="K190" s="71">
        <v>4462.241</v>
      </c>
      <c r="L190" s="8">
        <f t="shared" si="16"/>
        <v>0</v>
      </c>
      <c r="DP190" s="15"/>
    </row>
    <row r="191" spans="1:120">
      <c r="A191" s="15">
        <f t="shared" si="12"/>
        <v>0</v>
      </c>
      <c r="B191" s="15">
        <f t="shared" si="13"/>
        <v>0</v>
      </c>
      <c r="C191" s="15">
        <f t="shared" si="14"/>
        <v>0</v>
      </c>
      <c r="D191" s="15">
        <f t="shared" si="15"/>
        <v>0</v>
      </c>
      <c r="E191" s="70">
        <v>46241.583333333336</v>
      </c>
      <c r="F191" s="71">
        <v>501.99990000000003</v>
      </c>
      <c r="G191" s="71">
        <v>168.23609999999999</v>
      </c>
      <c r="H191" s="71">
        <v>684.42570000000001</v>
      </c>
      <c r="I191" s="71">
        <v>0</v>
      </c>
      <c r="J191" s="71">
        <v>500.0677</v>
      </c>
      <c r="K191" s="71">
        <v>4464.433</v>
      </c>
      <c r="L191" s="8">
        <f t="shared" si="16"/>
        <v>0</v>
      </c>
      <c r="DP191" s="15"/>
    </row>
    <row r="192" spans="1:120">
      <c r="A192" s="15">
        <f t="shared" si="12"/>
        <v>0</v>
      </c>
      <c r="B192" s="15">
        <f t="shared" si="13"/>
        <v>0</v>
      </c>
      <c r="C192" s="15">
        <f t="shared" si="14"/>
        <v>0</v>
      </c>
      <c r="D192" s="15">
        <f t="shared" si="15"/>
        <v>0</v>
      </c>
      <c r="E192" s="70">
        <v>46241.625</v>
      </c>
      <c r="F192" s="71">
        <v>501.49990000000003</v>
      </c>
      <c r="G192" s="71">
        <v>166.99019999999999</v>
      </c>
      <c r="H192" s="71">
        <v>682.17550000000006</v>
      </c>
      <c r="I192" s="71">
        <v>0</v>
      </c>
      <c r="J192" s="71">
        <v>500.04309999999998</v>
      </c>
      <c r="K192" s="71">
        <v>4466.1440000000002</v>
      </c>
      <c r="L192" s="8">
        <f t="shared" si="16"/>
        <v>0</v>
      </c>
      <c r="DP192" s="15"/>
    </row>
    <row r="193" spans="1:120">
      <c r="A193" s="15">
        <f t="shared" si="12"/>
        <v>0</v>
      </c>
      <c r="B193" s="15">
        <f t="shared" si="13"/>
        <v>0</v>
      </c>
      <c r="C193" s="15">
        <f t="shared" si="14"/>
        <v>0</v>
      </c>
      <c r="D193" s="15">
        <f t="shared" si="15"/>
        <v>0</v>
      </c>
      <c r="E193" s="70">
        <v>46241.666666666664</v>
      </c>
      <c r="F193" s="71">
        <v>500.99990000000003</v>
      </c>
      <c r="G193" s="71">
        <v>165.74449999999999</v>
      </c>
      <c r="H193" s="71">
        <v>679.92520000000002</v>
      </c>
      <c r="I193" s="71">
        <v>0</v>
      </c>
      <c r="J193" s="71">
        <v>500.01850000000002</v>
      </c>
      <c r="K193" s="71">
        <v>4467.8119999999999</v>
      </c>
      <c r="L193" s="8">
        <f t="shared" si="16"/>
        <v>0</v>
      </c>
      <c r="DP193" s="15"/>
    </row>
    <row r="194" spans="1:120">
      <c r="A194" s="15">
        <f t="shared" si="12"/>
        <v>0</v>
      </c>
      <c r="B194" s="15">
        <f t="shared" si="13"/>
        <v>0</v>
      </c>
      <c r="C194" s="15">
        <f t="shared" si="14"/>
        <v>0</v>
      </c>
      <c r="D194" s="15">
        <f t="shared" si="15"/>
        <v>0</v>
      </c>
      <c r="E194" s="70">
        <v>46241.708333333336</v>
      </c>
      <c r="F194" s="71">
        <v>500.99990000000003</v>
      </c>
      <c r="G194" s="71">
        <v>163.71129999999999</v>
      </c>
      <c r="H194" s="71">
        <v>677.69489999999996</v>
      </c>
      <c r="I194" s="71">
        <v>0</v>
      </c>
      <c r="J194" s="71">
        <v>500.01170000000002</v>
      </c>
      <c r="K194" s="71">
        <v>4469.4790000000003</v>
      </c>
      <c r="L194" s="8">
        <f t="shared" si="16"/>
        <v>0</v>
      </c>
      <c r="DP194" s="15"/>
    </row>
    <row r="195" spans="1:120">
      <c r="A195" s="15">
        <f t="shared" ref="A195:A241" si="17">AC195</f>
        <v>0</v>
      </c>
      <c r="B195" s="15">
        <f t="shared" ref="B195:B258" si="18">AD195</f>
        <v>0</v>
      </c>
      <c r="C195" s="15">
        <f t="shared" ref="C195:C258" si="19">AE195</f>
        <v>0</v>
      </c>
      <c r="D195" s="15">
        <f t="shared" ref="D195:D258" si="20">AF195</f>
        <v>0</v>
      </c>
      <c r="E195" s="70">
        <v>46241.75</v>
      </c>
      <c r="F195" s="71">
        <v>500.99990000000003</v>
      </c>
      <c r="G195" s="71">
        <v>161.6782</v>
      </c>
      <c r="H195" s="71">
        <v>675.46460000000002</v>
      </c>
      <c r="I195" s="71">
        <v>0</v>
      </c>
      <c r="J195" s="71">
        <v>500.005</v>
      </c>
      <c r="K195" s="71">
        <v>4471.1279999999997</v>
      </c>
      <c r="L195" s="8">
        <f t="shared" ref="L195:L258" si="21">IF(K195&gt;10000,K195-10000,0)</f>
        <v>0</v>
      </c>
      <c r="DP195" s="15"/>
    </row>
    <row r="196" spans="1:120">
      <c r="A196" s="15">
        <f t="shared" si="17"/>
        <v>0</v>
      </c>
      <c r="B196" s="15">
        <f t="shared" si="18"/>
        <v>0</v>
      </c>
      <c r="C196" s="15">
        <f t="shared" si="19"/>
        <v>0</v>
      </c>
      <c r="D196" s="15">
        <f t="shared" si="20"/>
        <v>0</v>
      </c>
      <c r="E196" s="70">
        <v>46241.791666666664</v>
      </c>
      <c r="F196" s="71">
        <v>500.49990000000003</v>
      </c>
      <c r="G196" s="71">
        <v>160.27959999999999</v>
      </c>
      <c r="H196" s="71">
        <v>673.49249999999995</v>
      </c>
      <c r="I196" s="71">
        <v>0</v>
      </c>
      <c r="J196" s="71">
        <v>500.00319999999999</v>
      </c>
      <c r="K196" s="71">
        <v>4472.5619999999999</v>
      </c>
      <c r="L196" s="8">
        <f t="shared" si="21"/>
        <v>0</v>
      </c>
      <c r="DP196" s="15"/>
    </row>
    <row r="197" spans="1:120">
      <c r="A197" s="15">
        <f t="shared" si="17"/>
        <v>0</v>
      </c>
      <c r="B197" s="15">
        <f t="shared" si="18"/>
        <v>0</v>
      </c>
      <c r="C197" s="15">
        <f t="shared" si="19"/>
        <v>0</v>
      </c>
      <c r="D197" s="15">
        <f t="shared" si="20"/>
        <v>0</v>
      </c>
      <c r="E197" s="70">
        <v>46241.833333333336</v>
      </c>
      <c r="F197" s="71">
        <v>499.99990000000003</v>
      </c>
      <c r="G197" s="71">
        <v>158.881</v>
      </c>
      <c r="H197" s="71">
        <v>671.5204</v>
      </c>
      <c r="I197" s="71">
        <v>0</v>
      </c>
      <c r="J197" s="71">
        <v>500.00139999999999</v>
      </c>
      <c r="K197" s="71">
        <v>4473.9859999999999</v>
      </c>
      <c r="L197" s="8">
        <f t="shared" si="21"/>
        <v>0</v>
      </c>
      <c r="DP197" s="15"/>
    </row>
    <row r="198" spans="1:120">
      <c r="A198" s="15">
        <f t="shared" si="17"/>
        <v>0</v>
      </c>
      <c r="B198" s="15">
        <f t="shared" si="18"/>
        <v>0</v>
      </c>
      <c r="C198" s="15">
        <f t="shared" si="19"/>
        <v>0</v>
      </c>
      <c r="D198" s="15">
        <f t="shared" si="20"/>
        <v>0</v>
      </c>
      <c r="E198" s="70">
        <v>46241.875</v>
      </c>
      <c r="F198" s="71">
        <v>499.99990000000003</v>
      </c>
      <c r="G198" s="71">
        <v>157.374</v>
      </c>
      <c r="H198" s="71">
        <v>669.45169999999996</v>
      </c>
      <c r="I198" s="71">
        <v>0</v>
      </c>
      <c r="J198" s="71">
        <v>500.0009</v>
      </c>
      <c r="K198" s="71">
        <v>4475.3980000000001</v>
      </c>
      <c r="L198" s="8">
        <f t="shared" si="21"/>
        <v>0</v>
      </c>
      <c r="DP198" s="15"/>
    </row>
    <row r="199" spans="1:120">
      <c r="A199" s="15">
        <f t="shared" si="17"/>
        <v>0</v>
      </c>
      <c r="B199" s="15">
        <f t="shared" si="18"/>
        <v>0</v>
      </c>
      <c r="C199" s="15">
        <f t="shared" si="19"/>
        <v>0</v>
      </c>
      <c r="D199" s="15">
        <f t="shared" si="20"/>
        <v>0</v>
      </c>
      <c r="E199" s="70">
        <v>46241.916666666664</v>
      </c>
      <c r="F199" s="71">
        <v>499.99990000000003</v>
      </c>
      <c r="G199" s="71">
        <v>155.86709999999999</v>
      </c>
      <c r="H199" s="71">
        <v>667.38289999999995</v>
      </c>
      <c r="I199" s="71">
        <v>0</v>
      </c>
      <c r="J199" s="71">
        <v>500.00040000000001</v>
      </c>
      <c r="K199" s="71">
        <v>4476.8059999999996</v>
      </c>
      <c r="L199" s="8">
        <f t="shared" si="21"/>
        <v>0</v>
      </c>
      <c r="DP199" s="15"/>
    </row>
    <row r="200" spans="1:120">
      <c r="A200" s="15">
        <f t="shared" si="17"/>
        <v>0</v>
      </c>
      <c r="B200" s="15">
        <f t="shared" si="18"/>
        <v>0</v>
      </c>
      <c r="C200" s="15">
        <f t="shared" si="19"/>
        <v>0</v>
      </c>
      <c r="D200" s="15">
        <f t="shared" si="20"/>
        <v>0</v>
      </c>
      <c r="E200" s="70">
        <v>46241.958333333336</v>
      </c>
      <c r="F200" s="71">
        <v>499.99990000000003</v>
      </c>
      <c r="G200" s="71">
        <v>154.69829999999999</v>
      </c>
      <c r="H200" s="71">
        <v>665.47529999999995</v>
      </c>
      <c r="I200" s="71">
        <v>0</v>
      </c>
      <c r="J200" s="71">
        <v>500.00020000000001</v>
      </c>
      <c r="K200" s="71">
        <v>4478.2030000000004</v>
      </c>
      <c r="L200" s="8">
        <f t="shared" si="21"/>
        <v>0</v>
      </c>
      <c r="DP200" s="15"/>
    </row>
    <row r="201" spans="1:120">
      <c r="A201" s="15">
        <f t="shared" si="17"/>
        <v>0</v>
      </c>
      <c r="B201" s="15">
        <f t="shared" si="18"/>
        <v>0</v>
      </c>
      <c r="C201" s="15">
        <f t="shared" si="19"/>
        <v>0</v>
      </c>
      <c r="D201" s="15">
        <f t="shared" si="20"/>
        <v>0</v>
      </c>
      <c r="E201" s="70">
        <v>46242</v>
      </c>
      <c r="F201" s="71">
        <v>499.99990000000003</v>
      </c>
      <c r="G201" s="71">
        <v>153.52950000000001</v>
      </c>
      <c r="H201" s="71">
        <v>663.56780000000003</v>
      </c>
      <c r="I201" s="71">
        <v>0</v>
      </c>
      <c r="J201" s="71">
        <v>500.00009999999997</v>
      </c>
      <c r="K201" s="71">
        <v>4479.5969999999998</v>
      </c>
      <c r="L201" s="8">
        <f t="shared" si="21"/>
        <v>0</v>
      </c>
      <c r="DP201" s="15"/>
    </row>
    <row r="202" spans="1:120">
      <c r="A202" s="15">
        <f t="shared" si="17"/>
        <v>0</v>
      </c>
      <c r="B202" s="15">
        <f t="shared" si="18"/>
        <v>0</v>
      </c>
      <c r="C202" s="15">
        <f t="shared" si="19"/>
        <v>0</v>
      </c>
      <c r="D202" s="15">
        <f t="shared" si="20"/>
        <v>0</v>
      </c>
      <c r="E202" s="70">
        <v>46242.041666666664</v>
      </c>
      <c r="F202" s="71">
        <v>499.99990000000003</v>
      </c>
      <c r="G202" s="71">
        <v>153.2028</v>
      </c>
      <c r="H202" s="71">
        <v>661.76900000000001</v>
      </c>
      <c r="I202" s="71">
        <v>0</v>
      </c>
      <c r="J202" s="71">
        <v>500.00009999999997</v>
      </c>
      <c r="K202" s="71">
        <v>4480.732</v>
      </c>
      <c r="L202" s="8">
        <f t="shared" si="21"/>
        <v>0</v>
      </c>
      <c r="DP202" s="15"/>
    </row>
    <row r="203" spans="1:120">
      <c r="A203" s="15">
        <f t="shared" si="17"/>
        <v>0</v>
      </c>
      <c r="B203" s="15">
        <f t="shared" si="18"/>
        <v>0</v>
      </c>
      <c r="C203" s="15">
        <f t="shared" si="19"/>
        <v>0</v>
      </c>
      <c r="D203" s="15">
        <f t="shared" si="20"/>
        <v>0</v>
      </c>
      <c r="E203" s="70">
        <v>46242.083333333336</v>
      </c>
      <c r="F203" s="71">
        <v>499.99990000000003</v>
      </c>
      <c r="G203" s="71">
        <v>152.87610000000001</v>
      </c>
      <c r="H203" s="71">
        <v>659.97019999999998</v>
      </c>
      <c r="I203" s="71">
        <v>0</v>
      </c>
      <c r="J203" s="71">
        <v>500</v>
      </c>
      <c r="K203" s="71">
        <v>4481.8649999999998</v>
      </c>
      <c r="L203" s="8">
        <f t="shared" si="21"/>
        <v>0</v>
      </c>
      <c r="DP203" s="15"/>
    </row>
    <row r="204" spans="1:120">
      <c r="A204" s="15">
        <f t="shared" si="17"/>
        <v>0</v>
      </c>
      <c r="B204" s="15">
        <f t="shared" si="18"/>
        <v>0</v>
      </c>
      <c r="C204" s="15">
        <f t="shared" si="19"/>
        <v>0</v>
      </c>
      <c r="D204" s="15">
        <f t="shared" si="20"/>
        <v>0</v>
      </c>
      <c r="E204" s="70">
        <v>46242.125</v>
      </c>
      <c r="F204" s="71">
        <v>499.99990000000003</v>
      </c>
      <c r="G204" s="71">
        <v>152.57859999999999</v>
      </c>
      <c r="H204" s="71">
        <v>658.3741</v>
      </c>
      <c r="I204" s="71">
        <v>0</v>
      </c>
      <c r="J204" s="71">
        <v>500</v>
      </c>
      <c r="K204" s="71">
        <v>4482.88</v>
      </c>
      <c r="L204" s="8">
        <f t="shared" si="21"/>
        <v>0</v>
      </c>
      <c r="DP204" s="15"/>
    </row>
    <row r="205" spans="1:120">
      <c r="A205" s="15">
        <f t="shared" si="17"/>
        <v>0</v>
      </c>
      <c r="B205" s="15">
        <f t="shared" si="18"/>
        <v>0</v>
      </c>
      <c r="C205" s="15">
        <f t="shared" si="19"/>
        <v>0</v>
      </c>
      <c r="D205" s="15">
        <f t="shared" si="20"/>
        <v>0</v>
      </c>
      <c r="E205" s="70">
        <v>46242.166666666664</v>
      </c>
      <c r="F205" s="71">
        <v>499.99990000000003</v>
      </c>
      <c r="G205" s="71">
        <v>152.28120000000001</v>
      </c>
      <c r="H205" s="71">
        <v>656.77809999999999</v>
      </c>
      <c r="I205" s="71">
        <v>0</v>
      </c>
      <c r="J205" s="71">
        <v>500</v>
      </c>
      <c r="K205" s="71">
        <v>4483.8950000000004</v>
      </c>
      <c r="L205" s="8">
        <f t="shared" si="21"/>
        <v>0</v>
      </c>
      <c r="DP205" s="15"/>
    </row>
    <row r="206" spans="1:120">
      <c r="A206" s="15">
        <f t="shared" si="17"/>
        <v>0</v>
      </c>
      <c r="B206" s="15">
        <f t="shared" si="18"/>
        <v>0</v>
      </c>
      <c r="C206" s="15">
        <f t="shared" si="19"/>
        <v>0</v>
      </c>
      <c r="D206" s="15">
        <f t="shared" si="20"/>
        <v>0</v>
      </c>
      <c r="E206" s="70">
        <v>46242.208333333336</v>
      </c>
      <c r="F206" s="71">
        <v>499.99990000000003</v>
      </c>
      <c r="G206" s="71">
        <v>151.38239999999999</v>
      </c>
      <c r="H206" s="71">
        <v>655.73829999999998</v>
      </c>
      <c r="I206" s="71">
        <v>0</v>
      </c>
      <c r="J206" s="71">
        <v>500</v>
      </c>
      <c r="K206" s="71">
        <v>4484.6289999999999</v>
      </c>
      <c r="L206" s="8">
        <f t="shared" si="21"/>
        <v>0</v>
      </c>
      <c r="DP206" s="15"/>
    </row>
    <row r="207" spans="1:120">
      <c r="A207" s="15">
        <f t="shared" si="17"/>
        <v>0</v>
      </c>
      <c r="B207" s="15">
        <f t="shared" si="18"/>
        <v>0</v>
      </c>
      <c r="C207" s="15">
        <f t="shared" si="19"/>
        <v>0</v>
      </c>
      <c r="D207" s="15">
        <f t="shared" si="20"/>
        <v>0</v>
      </c>
      <c r="E207" s="70">
        <v>46242.25</v>
      </c>
      <c r="F207" s="71">
        <v>499.99990000000003</v>
      </c>
      <c r="G207" s="71">
        <v>150.4836</v>
      </c>
      <c r="H207" s="71">
        <v>654.69849999999997</v>
      </c>
      <c r="I207" s="71">
        <v>0</v>
      </c>
      <c r="J207" s="71">
        <v>500</v>
      </c>
      <c r="K207" s="71">
        <v>4485.3630000000003</v>
      </c>
      <c r="L207" s="8">
        <f t="shared" si="21"/>
        <v>0</v>
      </c>
      <c r="DP207" s="15"/>
    </row>
    <row r="208" spans="1:120">
      <c r="A208" s="15">
        <f t="shared" si="17"/>
        <v>0</v>
      </c>
      <c r="B208" s="15">
        <f t="shared" si="18"/>
        <v>0</v>
      </c>
      <c r="C208" s="15">
        <f t="shared" si="19"/>
        <v>0</v>
      </c>
      <c r="D208" s="15">
        <f t="shared" si="20"/>
        <v>0</v>
      </c>
      <c r="E208" s="70">
        <v>46242.291666666664</v>
      </c>
      <c r="F208" s="71">
        <v>499.99990000000003</v>
      </c>
      <c r="G208" s="71">
        <v>150.26609999999999</v>
      </c>
      <c r="H208" s="71">
        <v>654.02419999999995</v>
      </c>
      <c r="I208" s="71">
        <v>0</v>
      </c>
      <c r="J208" s="71">
        <v>500</v>
      </c>
      <c r="K208" s="71">
        <v>4485.9449999999997</v>
      </c>
      <c r="L208" s="8">
        <f t="shared" si="21"/>
        <v>0</v>
      </c>
      <c r="DP208" s="15"/>
    </row>
    <row r="209" spans="1:120">
      <c r="A209" s="15">
        <f t="shared" si="17"/>
        <v>0</v>
      </c>
      <c r="B209" s="15">
        <f t="shared" si="18"/>
        <v>0</v>
      </c>
      <c r="C209" s="15">
        <f t="shared" si="19"/>
        <v>0</v>
      </c>
      <c r="D209" s="15">
        <f t="shared" si="20"/>
        <v>0</v>
      </c>
      <c r="E209" s="70">
        <v>46242.333333333336</v>
      </c>
      <c r="F209" s="71">
        <v>499.99990000000003</v>
      </c>
      <c r="G209" s="71">
        <v>150.04849999999999</v>
      </c>
      <c r="H209" s="71">
        <v>653.35</v>
      </c>
      <c r="I209" s="71">
        <v>0</v>
      </c>
      <c r="J209" s="71">
        <v>500</v>
      </c>
      <c r="K209" s="71">
        <v>4486.527</v>
      </c>
      <c r="L209" s="8">
        <f t="shared" si="21"/>
        <v>0</v>
      </c>
      <c r="DP209" s="15"/>
    </row>
    <row r="210" spans="1:120">
      <c r="A210" s="15">
        <f t="shared" si="17"/>
        <v>0</v>
      </c>
      <c r="B210" s="15">
        <f t="shared" si="18"/>
        <v>0</v>
      </c>
      <c r="C210" s="15">
        <f t="shared" si="19"/>
        <v>0</v>
      </c>
      <c r="D210" s="15">
        <f t="shared" si="20"/>
        <v>0</v>
      </c>
      <c r="E210" s="70">
        <v>46242.375</v>
      </c>
      <c r="F210" s="71">
        <v>499.99990000000003</v>
      </c>
      <c r="G210" s="71">
        <v>150.02600000000001</v>
      </c>
      <c r="H210" s="71">
        <v>652.62490000000003</v>
      </c>
      <c r="I210" s="71">
        <v>0</v>
      </c>
      <c r="J210" s="71">
        <v>500</v>
      </c>
      <c r="K210" s="71">
        <v>4487.0590000000002</v>
      </c>
      <c r="L210" s="8">
        <f t="shared" si="21"/>
        <v>0</v>
      </c>
      <c r="DP210" s="15"/>
    </row>
    <row r="211" spans="1:120">
      <c r="A211" s="15">
        <f t="shared" si="17"/>
        <v>0</v>
      </c>
      <c r="B211" s="15">
        <f t="shared" si="18"/>
        <v>0</v>
      </c>
      <c r="C211" s="15">
        <f t="shared" si="19"/>
        <v>0</v>
      </c>
      <c r="D211" s="15">
        <f t="shared" si="20"/>
        <v>0</v>
      </c>
      <c r="E211" s="70">
        <v>46242.416666666664</v>
      </c>
      <c r="F211" s="71">
        <v>499.99990000000003</v>
      </c>
      <c r="G211" s="71">
        <v>150.0035</v>
      </c>
      <c r="H211" s="71">
        <v>651.9</v>
      </c>
      <c r="I211" s="71">
        <v>0</v>
      </c>
      <c r="J211" s="71">
        <v>500</v>
      </c>
      <c r="K211" s="71">
        <v>4487.59</v>
      </c>
      <c r="L211" s="8">
        <f t="shared" si="21"/>
        <v>0</v>
      </c>
      <c r="DP211" s="15"/>
    </row>
    <row r="212" spans="1:120">
      <c r="A212" s="15">
        <f t="shared" si="17"/>
        <v>0</v>
      </c>
      <c r="B212" s="15">
        <f t="shared" si="18"/>
        <v>0</v>
      </c>
      <c r="C212" s="15">
        <f t="shared" si="19"/>
        <v>0</v>
      </c>
      <c r="D212" s="15">
        <f t="shared" si="20"/>
        <v>0</v>
      </c>
      <c r="E212" s="70">
        <v>46242.458333333336</v>
      </c>
      <c r="F212" s="71">
        <v>499.99990000000003</v>
      </c>
      <c r="G212" s="71">
        <v>150.0018</v>
      </c>
      <c r="H212" s="71">
        <v>651.40549999999996</v>
      </c>
      <c r="I212" s="71">
        <v>0</v>
      </c>
      <c r="J212" s="71">
        <v>500</v>
      </c>
      <c r="K212" s="71">
        <v>4488.05</v>
      </c>
      <c r="L212" s="8">
        <f t="shared" si="21"/>
        <v>0</v>
      </c>
      <c r="DP212" s="15"/>
    </row>
    <row r="213" spans="1:120">
      <c r="A213" s="15">
        <f t="shared" si="17"/>
        <v>0</v>
      </c>
      <c r="B213" s="15">
        <f t="shared" si="18"/>
        <v>0</v>
      </c>
      <c r="C213" s="15">
        <f t="shared" si="19"/>
        <v>0</v>
      </c>
      <c r="D213" s="15">
        <f t="shared" si="20"/>
        <v>0</v>
      </c>
      <c r="E213" s="70">
        <v>46242.5</v>
      </c>
      <c r="F213" s="71">
        <v>499.99990000000003</v>
      </c>
      <c r="G213" s="71">
        <v>150.00020000000001</v>
      </c>
      <c r="H213" s="71">
        <v>650.91120000000001</v>
      </c>
      <c r="I213" s="71">
        <v>0</v>
      </c>
      <c r="J213" s="71">
        <v>500</v>
      </c>
      <c r="K213" s="71">
        <v>4488.509</v>
      </c>
      <c r="L213" s="8">
        <f t="shared" si="21"/>
        <v>0</v>
      </c>
      <c r="DP213" s="15"/>
    </row>
    <row r="214" spans="1:120">
      <c r="A214" s="15">
        <f t="shared" si="17"/>
        <v>0</v>
      </c>
      <c r="B214" s="15">
        <f t="shared" si="18"/>
        <v>0</v>
      </c>
      <c r="C214" s="15">
        <f t="shared" si="19"/>
        <v>0</v>
      </c>
      <c r="D214" s="15">
        <f t="shared" si="20"/>
        <v>0</v>
      </c>
      <c r="E214" s="70">
        <v>46242.541666666664</v>
      </c>
      <c r="F214" s="71">
        <v>499.99990000000003</v>
      </c>
      <c r="G214" s="71">
        <v>150.0001</v>
      </c>
      <c r="H214" s="71">
        <v>650.65520000000004</v>
      </c>
      <c r="I214" s="71">
        <v>0</v>
      </c>
      <c r="J214" s="71">
        <v>500</v>
      </c>
      <c r="K214" s="71">
        <v>4489.21</v>
      </c>
      <c r="L214" s="8">
        <f t="shared" si="21"/>
        <v>0</v>
      </c>
      <c r="DP214" s="15"/>
    </row>
    <row r="215" spans="1:120">
      <c r="A215" s="15">
        <f t="shared" si="17"/>
        <v>0</v>
      </c>
      <c r="B215" s="15">
        <f t="shared" si="18"/>
        <v>0</v>
      </c>
      <c r="C215" s="15">
        <f t="shared" si="19"/>
        <v>0</v>
      </c>
      <c r="D215" s="15">
        <f t="shared" si="20"/>
        <v>0</v>
      </c>
      <c r="E215" s="70">
        <v>46242.583333333336</v>
      </c>
      <c r="F215" s="71">
        <v>499.99990000000003</v>
      </c>
      <c r="G215" s="71">
        <v>150</v>
      </c>
      <c r="H215" s="71">
        <v>650.39909999999998</v>
      </c>
      <c r="I215" s="71">
        <v>0</v>
      </c>
      <c r="J215" s="71">
        <v>500</v>
      </c>
      <c r="K215" s="71">
        <v>4489.9110000000001</v>
      </c>
      <c r="L215" s="8">
        <f t="shared" si="21"/>
        <v>0</v>
      </c>
      <c r="DP215" s="15"/>
    </row>
    <row r="216" spans="1:120">
      <c r="A216" s="15">
        <f t="shared" si="17"/>
        <v>0</v>
      </c>
      <c r="B216" s="15">
        <f t="shared" si="18"/>
        <v>0</v>
      </c>
      <c r="C216" s="15">
        <f t="shared" si="19"/>
        <v>0</v>
      </c>
      <c r="D216" s="15">
        <f t="shared" si="20"/>
        <v>0</v>
      </c>
      <c r="E216" s="70">
        <v>46242.625</v>
      </c>
      <c r="F216" s="71">
        <v>499.99990000000003</v>
      </c>
      <c r="G216" s="71">
        <v>150</v>
      </c>
      <c r="H216" s="71">
        <v>650.28269999999998</v>
      </c>
      <c r="I216" s="71">
        <v>0</v>
      </c>
      <c r="J216" s="71">
        <v>500</v>
      </c>
      <c r="K216" s="71">
        <v>4490.6689999999999</v>
      </c>
      <c r="L216" s="8">
        <f t="shared" si="21"/>
        <v>0</v>
      </c>
      <c r="DP216" s="15"/>
    </row>
    <row r="217" spans="1:120">
      <c r="A217" s="15">
        <f t="shared" si="17"/>
        <v>0</v>
      </c>
      <c r="B217" s="15">
        <f t="shared" si="18"/>
        <v>0</v>
      </c>
      <c r="C217" s="15">
        <f t="shared" si="19"/>
        <v>0</v>
      </c>
      <c r="D217" s="15">
        <f t="shared" si="20"/>
        <v>0</v>
      </c>
      <c r="E217" s="70">
        <v>46242.666666666664</v>
      </c>
      <c r="F217" s="71">
        <v>499.99990000000003</v>
      </c>
      <c r="G217" s="71">
        <v>150</v>
      </c>
      <c r="H217" s="71">
        <v>650.16629999999998</v>
      </c>
      <c r="I217" s="71">
        <v>0</v>
      </c>
      <c r="J217" s="71">
        <v>500</v>
      </c>
      <c r="K217" s="71">
        <v>4491.4269999999997</v>
      </c>
      <c r="L217" s="8">
        <f t="shared" si="21"/>
        <v>0</v>
      </c>
      <c r="DP217" s="15"/>
    </row>
    <row r="218" spans="1:120">
      <c r="A218" s="15">
        <f t="shared" si="17"/>
        <v>0</v>
      </c>
      <c r="B218" s="15">
        <f t="shared" si="18"/>
        <v>0</v>
      </c>
      <c r="C218" s="15">
        <f t="shared" si="19"/>
        <v>0</v>
      </c>
      <c r="D218" s="15">
        <f t="shared" si="20"/>
        <v>0</v>
      </c>
      <c r="E218" s="70">
        <v>46242.708333333336</v>
      </c>
      <c r="F218" s="71">
        <v>499.99990000000003</v>
      </c>
      <c r="G218" s="71">
        <v>150</v>
      </c>
      <c r="H218" s="71">
        <v>650.11680000000001</v>
      </c>
      <c r="I218" s="71">
        <v>0</v>
      </c>
      <c r="J218" s="71">
        <v>500</v>
      </c>
      <c r="K218" s="71">
        <v>4492.0770000000002</v>
      </c>
      <c r="L218" s="8">
        <f t="shared" si="21"/>
        <v>0</v>
      </c>
      <c r="DP218" s="15"/>
    </row>
    <row r="219" spans="1:120">
      <c r="A219" s="15">
        <f t="shared" si="17"/>
        <v>0</v>
      </c>
      <c r="B219" s="15">
        <f t="shared" si="18"/>
        <v>0</v>
      </c>
      <c r="C219" s="15">
        <f t="shared" si="19"/>
        <v>0</v>
      </c>
      <c r="D219" s="15">
        <f t="shared" si="20"/>
        <v>0</v>
      </c>
      <c r="E219" s="70">
        <v>46242.75</v>
      </c>
      <c r="F219" s="71">
        <v>499.99990000000003</v>
      </c>
      <c r="G219" s="71">
        <v>150</v>
      </c>
      <c r="H219" s="71">
        <v>650.06730000000005</v>
      </c>
      <c r="I219" s="71">
        <v>0</v>
      </c>
      <c r="J219" s="71">
        <v>500</v>
      </c>
      <c r="K219" s="71">
        <v>4492.7269999999999</v>
      </c>
      <c r="L219" s="8">
        <f t="shared" si="21"/>
        <v>0</v>
      </c>
      <c r="DP219" s="15"/>
    </row>
    <row r="220" spans="1:120">
      <c r="A220" s="15">
        <f t="shared" si="17"/>
        <v>0</v>
      </c>
      <c r="B220" s="15">
        <f t="shared" si="18"/>
        <v>0</v>
      </c>
      <c r="C220" s="15">
        <f t="shared" si="19"/>
        <v>0</v>
      </c>
      <c r="D220" s="15">
        <f t="shared" si="20"/>
        <v>0</v>
      </c>
      <c r="E220" s="70">
        <v>46242.791666666664</v>
      </c>
      <c r="F220" s="71">
        <v>499.99990000000003</v>
      </c>
      <c r="G220" s="71">
        <v>150</v>
      </c>
      <c r="H220" s="71">
        <v>650.04700000000003</v>
      </c>
      <c r="I220" s="71">
        <v>0</v>
      </c>
      <c r="J220" s="71">
        <v>500</v>
      </c>
      <c r="K220" s="71">
        <v>4493.3639999999996</v>
      </c>
      <c r="L220" s="8">
        <f t="shared" si="21"/>
        <v>0</v>
      </c>
      <c r="DP220" s="15"/>
    </row>
    <row r="221" spans="1:120">
      <c r="A221" s="15">
        <f t="shared" si="17"/>
        <v>0</v>
      </c>
      <c r="B221" s="15">
        <f t="shared" si="18"/>
        <v>0</v>
      </c>
      <c r="C221" s="15">
        <f t="shared" si="19"/>
        <v>0</v>
      </c>
      <c r="D221" s="15">
        <f t="shared" si="20"/>
        <v>0</v>
      </c>
      <c r="E221" s="70">
        <v>46242.833333333336</v>
      </c>
      <c r="F221" s="71">
        <v>499.99990000000003</v>
      </c>
      <c r="G221" s="71">
        <v>150</v>
      </c>
      <c r="H221" s="71">
        <v>650.02670000000001</v>
      </c>
      <c r="I221" s="71">
        <v>0</v>
      </c>
      <c r="J221" s="71">
        <v>500</v>
      </c>
      <c r="K221" s="71">
        <v>4494.0020000000004</v>
      </c>
      <c r="L221" s="8">
        <f t="shared" si="21"/>
        <v>0</v>
      </c>
      <c r="DP221" s="15"/>
    </row>
    <row r="222" spans="1:120">
      <c r="A222" s="15">
        <f t="shared" si="17"/>
        <v>0</v>
      </c>
      <c r="B222" s="15">
        <f t="shared" si="18"/>
        <v>0</v>
      </c>
      <c r="C222" s="15">
        <f t="shared" si="19"/>
        <v>0</v>
      </c>
      <c r="D222" s="15">
        <f t="shared" si="20"/>
        <v>0</v>
      </c>
      <c r="E222" s="70">
        <v>46242.875</v>
      </c>
      <c r="F222" s="71">
        <v>499.99990000000003</v>
      </c>
      <c r="G222" s="71">
        <v>150</v>
      </c>
      <c r="H222" s="71">
        <v>650.01859999999999</v>
      </c>
      <c r="I222" s="71">
        <v>0</v>
      </c>
      <c r="J222" s="71">
        <v>500</v>
      </c>
      <c r="K222" s="71">
        <v>4494.6390000000001</v>
      </c>
      <c r="L222" s="8">
        <f t="shared" si="21"/>
        <v>0</v>
      </c>
      <c r="DP222" s="15"/>
    </row>
    <row r="223" spans="1:120">
      <c r="A223" s="15">
        <f t="shared" si="17"/>
        <v>0</v>
      </c>
      <c r="B223" s="15">
        <f t="shared" si="18"/>
        <v>0</v>
      </c>
      <c r="C223" s="15">
        <f t="shared" si="19"/>
        <v>0</v>
      </c>
      <c r="D223" s="15">
        <f t="shared" si="20"/>
        <v>0</v>
      </c>
      <c r="E223" s="70">
        <v>46242.916666666664</v>
      </c>
      <c r="F223" s="71">
        <v>499.99990000000003</v>
      </c>
      <c r="G223" s="71">
        <v>150</v>
      </c>
      <c r="H223" s="71">
        <v>650.0104</v>
      </c>
      <c r="I223" s="71">
        <v>0</v>
      </c>
      <c r="J223" s="71">
        <v>500</v>
      </c>
      <c r="K223" s="71">
        <v>4495.2759999999998</v>
      </c>
      <c r="L223" s="8">
        <f t="shared" si="21"/>
        <v>0</v>
      </c>
      <c r="DP223" s="15"/>
    </row>
    <row r="224" spans="1:120">
      <c r="A224" s="15">
        <f t="shared" si="17"/>
        <v>0</v>
      </c>
      <c r="B224" s="15">
        <f t="shared" si="18"/>
        <v>0</v>
      </c>
      <c r="C224" s="15">
        <f t="shared" si="19"/>
        <v>0</v>
      </c>
      <c r="D224" s="15">
        <f t="shared" si="20"/>
        <v>0</v>
      </c>
      <c r="E224" s="70">
        <v>46242.958333333336</v>
      </c>
      <c r="F224" s="71">
        <v>499.99990000000003</v>
      </c>
      <c r="G224" s="71">
        <v>150</v>
      </c>
      <c r="H224" s="71">
        <v>650.00720000000001</v>
      </c>
      <c r="I224" s="71">
        <v>0</v>
      </c>
      <c r="J224" s="71">
        <v>500</v>
      </c>
      <c r="K224" s="71">
        <v>4495.8370000000004</v>
      </c>
      <c r="L224" s="8">
        <f t="shared" si="21"/>
        <v>0</v>
      </c>
      <c r="DP224" s="15"/>
    </row>
    <row r="225" spans="1:120">
      <c r="A225" s="15">
        <f t="shared" si="17"/>
        <v>0</v>
      </c>
      <c r="B225" s="15">
        <f t="shared" si="18"/>
        <v>0</v>
      </c>
      <c r="C225" s="15">
        <f t="shared" si="19"/>
        <v>0</v>
      </c>
      <c r="D225" s="15">
        <f t="shared" si="20"/>
        <v>0</v>
      </c>
      <c r="E225" s="70">
        <v>46243</v>
      </c>
      <c r="F225" s="71">
        <v>499.99990000000003</v>
      </c>
      <c r="G225" s="71">
        <v>150</v>
      </c>
      <c r="H225" s="71">
        <v>650.00400000000002</v>
      </c>
      <c r="I225" s="71">
        <v>0</v>
      </c>
      <c r="J225" s="71">
        <v>500</v>
      </c>
      <c r="K225" s="71">
        <v>4496.3980000000001</v>
      </c>
      <c r="L225" s="8">
        <f t="shared" si="21"/>
        <v>0</v>
      </c>
      <c r="DP225" s="15"/>
    </row>
    <row r="226" spans="1:120">
      <c r="A226" s="15">
        <f t="shared" si="17"/>
        <v>0</v>
      </c>
      <c r="B226" s="15">
        <f t="shared" si="18"/>
        <v>0</v>
      </c>
      <c r="C226" s="15">
        <f t="shared" si="19"/>
        <v>0</v>
      </c>
      <c r="D226" s="15">
        <f t="shared" si="20"/>
        <v>0</v>
      </c>
      <c r="E226" s="70">
        <v>46243.041666666664</v>
      </c>
      <c r="F226" s="71">
        <v>499.99990000000003</v>
      </c>
      <c r="G226" s="71">
        <v>150</v>
      </c>
      <c r="H226" s="71">
        <v>650.0027</v>
      </c>
      <c r="I226" s="71">
        <v>0</v>
      </c>
      <c r="J226" s="71">
        <v>500</v>
      </c>
      <c r="K226" s="71">
        <v>4496.8980000000001</v>
      </c>
      <c r="L226" s="8">
        <f t="shared" si="21"/>
        <v>0</v>
      </c>
      <c r="DP226" s="15"/>
    </row>
    <row r="227" spans="1:120">
      <c r="A227" s="15">
        <f t="shared" si="17"/>
        <v>0</v>
      </c>
      <c r="B227" s="15">
        <f t="shared" si="18"/>
        <v>0</v>
      </c>
      <c r="C227" s="15">
        <f t="shared" si="19"/>
        <v>0</v>
      </c>
      <c r="D227" s="15">
        <f t="shared" si="20"/>
        <v>0</v>
      </c>
      <c r="E227" s="70">
        <v>46243.083333333336</v>
      </c>
      <c r="F227" s="71">
        <v>499.99990000000003</v>
      </c>
      <c r="G227" s="71">
        <v>150</v>
      </c>
      <c r="H227" s="71">
        <v>650.00149999999996</v>
      </c>
      <c r="I227" s="71">
        <v>0</v>
      </c>
      <c r="J227" s="71">
        <v>500</v>
      </c>
      <c r="K227" s="71">
        <v>4497.3990000000003</v>
      </c>
      <c r="L227" s="8">
        <f t="shared" si="21"/>
        <v>0</v>
      </c>
      <c r="DP227" s="15"/>
    </row>
    <row r="228" spans="1:120">
      <c r="A228" s="15">
        <f t="shared" si="17"/>
        <v>0</v>
      </c>
      <c r="B228" s="15">
        <f t="shared" si="18"/>
        <v>0</v>
      </c>
      <c r="C228" s="15">
        <f t="shared" si="19"/>
        <v>0</v>
      </c>
      <c r="D228" s="15">
        <f t="shared" si="20"/>
        <v>0</v>
      </c>
      <c r="E228" s="70">
        <v>46243.125</v>
      </c>
      <c r="F228" s="71">
        <v>499.99990000000003</v>
      </c>
      <c r="G228" s="71">
        <v>150</v>
      </c>
      <c r="H228" s="71">
        <v>650.00099999999998</v>
      </c>
      <c r="I228" s="71">
        <v>0</v>
      </c>
      <c r="J228" s="71">
        <v>500</v>
      </c>
      <c r="K228" s="71">
        <v>4497.7820000000002</v>
      </c>
      <c r="L228" s="8">
        <f t="shared" si="21"/>
        <v>0</v>
      </c>
      <c r="DP228" s="15"/>
    </row>
    <row r="229" spans="1:120">
      <c r="A229" s="15">
        <f t="shared" si="17"/>
        <v>0</v>
      </c>
      <c r="B229" s="15">
        <f t="shared" si="18"/>
        <v>0</v>
      </c>
      <c r="C229" s="15">
        <f t="shared" si="19"/>
        <v>0</v>
      </c>
      <c r="D229" s="15">
        <f t="shared" si="20"/>
        <v>0</v>
      </c>
      <c r="E229" s="70">
        <v>46243.166666666664</v>
      </c>
      <c r="F229" s="71">
        <v>499.99990000000003</v>
      </c>
      <c r="G229" s="71">
        <v>150</v>
      </c>
      <c r="H229" s="71">
        <v>650.00049999999999</v>
      </c>
      <c r="I229" s="71">
        <v>0</v>
      </c>
      <c r="J229" s="71">
        <v>500</v>
      </c>
      <c r="K229" s="71">
        <v>4498.1639999999998</v>
      </c>
      <c r="L229" s="8">
        <f t="shared" si="21"/>
        <v>0</v>
      </c>
      <c r="DP229" s="15"/>
    </row>
    <row r="230" spans="1:120">
      <c r="A230" s="15">
        <f t="shared" si="17"/>
        <v>0</v>
      </c>
      <c r="B230" s="15">
        <f t="shared" si="18"/>
        <v>0</v>
      </c>
      <c r="C230" s="15">
        <f t="shared" si="19"/>
        <v>0</v>
      </c>
      <c r="D230" s="15">
        <f t="shared" si="20"/>
        <v>0</v>
      </c>
      <c r="E230" s="70">
        <v>46243.208333333336</v>
      </c>
      <c r="F230" s="71">
        <v>499.99990000000003</v>
      </c>
      <c r="G230" s="71">
        <v>150</v>
      </c>
      <c r="H230" s="71">
        <v>650.00030000000004</v>
      </c>
      <c r="I230" s="71">
        <v>0</v>
      </c>
      <c r="J230" s="71">
        <v>500</v>
      </c>
      <c r="K230" s="71">
        <v>4498.4650000000001</v>
      </c>
      <c r="L230" s="8">
        <f t="shared" si="21"/>
        <v>0</v>
      </c>
      <c r="DP230" s="15"/>
    </row>
    <row r="231" spans="1:120">
      <c r="A231" s="15">
        <f t="shared" si="17"/>
        <v>0</v>
      </c>
      <c r="B231" s="15">
        <f t="shared" si="18"/>
        <v>0</v>
      </c>
      <c r="C231" s="15">
        <f t="shared" si="19"/>
        <v>0</v>
      </c>
      <c r="D231" s="15">
        <f t="shared" si="20"/>
        <v>0</v>
      </c>
      <c r="E231" s="70">
        <v>46243.25</v>
      </c>
      <c r="F231" s="71">
        <v>499.99990000000003</v>
      </c>
      <c r="G231" s="71">
        <v>150</v>
      </c>
      <c r="H231" s="71">
        <v>650.00009999999997</v>
      </c>
      <c r="I231" s="71">
        <v>0</v>
      </c>
      <c r="J231" s="71">
        <v>500</v>
      </c>
      <c r="K231" s="71">
        <v>4498.7650000000003</v>
      </c>
      <c r="L231" s="8">
        <f t="shared" si="21"/>
        <v>0</v>
      </c>
      <c r="DP231" s="15"/>
    </row>
    <row r="232" spans="1:120">
      <c r="A232" s="15">
        <f t="shared" si="17"/>
        <v>0</v>
      </c>
      <c r="B232" s="15">
        <f t="shared" si="18"/>
        <v>0</v>
      </c>
      <c r="C232" s="15">
        <f t="shared" si="19"/>
        <v>0</v>
      </c>
      <c r="D232" s="15">
        <f t="shared" si="20"/>
        <v>0</v>
      </c>
      <c r="E232" s="70">
        <v>46243.291666666664</v>
      </c>
      <c r="F232" s="71">
        <v>499.99990000000003</v>
      </c>
      <c r="G232" s="71">
        <v>150</v>
      </c>
      <c r="H232" s="71">
        <v>650.00009999999997</v>
      </c>
      <c r="I232" s="71">
        <v>0</v>
      </c>
      <c r="J232" s="71">
        <v>500</v>
      </c>
      <c r="K232" s="71">
        <v>4498.973</v>
      </c>
      <c r="L232" s="8">
        <f t="shared" si="21"/>
        <v>0</v>
      </c>
      <c r="DP232" s="15"/>
    </row>
    <row r="233" spans="1:120">
      <c r="A233" s="15">
        <f t="shared" si="17"/>
        <v>0</v>
      </c>
      <c r="B233" s="15">
        <f t="shared" si="18"/>
        <v>0</v>
      </c>
      <c r="C233" s="15">
        <f t="shared" si="19"/>
        <v>0</v>
      </c>
      <c r="D233" s="15">
        <f t="shared" si="20"/>
        <v>0</v>
      </c>
      <c r="E233" s="70">
        <v>46243.333333333336</v>
      </c>
      <c r="F233" s="71">
        <v>499.99990000000003</v>
      </c>
      <c r="G233" s="71">
        <v>150</v>
      </c>
      <c r="H233" s="71">
        <v>650</v>
      </c>
      <c r="I233" s="71">
        <v>0</v>
      </c>
      <c r="J233" s="71">
        <v>500</v>
      </c>
      <c r="K233" s="71">
        <v>4499.1809999999996</v>
      </c>
      <c r="L233" s="8">
        <f t="shared" si="21"/>
        <v>0</v>
      </c>
      <c r="DP233" s="15"/>
    </row>
    <row r="234" spans="1:120">
      <c r="A234" s="15">
        <f t="shared" si="17"/>
        <v>0</v>
      </c>
      <c r="B234" s="15">
        <f t="shared" si="18"/>
        <v>0</v>
      </c>
      <c r="C234" s="15">
        <f t="shared" si="19"/>
        <v>0</v>
      </c>
      <c r="D234" s="15">
        <f t="shared" si="20"/>
        <v>0</v>
      </c>
      <c r="E234" s="70">
        <v>46243.375</v>
      </c>
      <c r="F234" s="71">
        <v>499.99990000000003</v>
      </c>
      <c r="G234" s="71">
        <v>150</v>
      </c>
      <c r="H234" s="71">
        <v>650</v>
      </c>
      <c r="I234" s="71">
        <v>0</v>
      </c>
      <c r="J234" s="71">
        <v>500</v>
      </c>
      <c r="K234" s="71">
        <v>4499.33</v>
      </c>
      <c r="L234" s="8">
        <f t="shared" si="21"/>
        <v>0</v>
      </c>
      <c r="DP234" s="15"/>
    </row>
    <row r="235" spans="1:120">
      <c r="A235" s="15">
        <f t="shared" si="17"/>
        <v>0</v>
      </c>
      <c r="B235" s="15">
        <f t="shared" si="18"/>
        <v>0</v>
      </c>
      <c r="C235" s="15">
        <f t="shared" si="19"/>
        <v>0</v>
      </c>
      <c r="D235" s="15">
        <f t="shared" si="20"/>
        <v>0</v>
      </c>
      <c r="E235" s="70">
        <v>46243.416666666664</v>
      </c>
      <c r="F235" s="71">
        <v>499.99990000000003</v>
      </c>
      <c r="G235" s="71">
        <v>150</v>
      </c>
      <c r="H235" s="71">
        <v>649.99990000000003</v>
      </c>
      <c r="I235" s="71">
        <v>0</v>
      </c>
      <c r="J235" s="71">
        <v>500</v>
      </c>
      <c r="K235" s="71">
        <v>4499.4790000000003</v>
      </c>
      <c r="L235" s="8">
        <f t="shared" si="21"/>
        <v>0</v>
      </c>
      <c r="DP235" s="15"/>
    </row>
    <row r="236" spans="1:120">
      <c r="A236" s="15">
        <f t="shared" si="17"/>
        <v>0</v>
      </c>
      <c r="B236" s="15">
        <f t="shared" si="18"/>
        <v>0</v>
      </c>
      <c r="C236" s="15">
        <f t="shared" si="19"/>
        <v>0</v>
      </c>
      <c r="D236" s="15">
        <f t="shared" si="20"/>
        <v>0</v>
      </c>
      <c r="E236" s="70">
        <v>46243.458333333336</v>
      </c>
      <c r="F236" s="71">
        <v>499.99990000000003</v>
      </c>
      <c r="G236" s="71">
        <v>150</v>
      </c>
      <c r="H236" s="71">
        <v>649.99990000000003</v>
      </c>
      <c r="I236" s="71">
        <v>0</v>
      </c>
      <c r="J236" s="71">
        <v>500</v>
      </c>
      <c r="K236" s="71">
        <v>4499.5739999999996</v>
      </c>
      <c r="L236" s="8">
        <f t="shared" si="21"/>
        <v>0</v>
      </c>
      <c r="DP236" s="15"/>
    </row>
    <row r="237" spans="1:120">
      <c r="A237" s="15">
        <f t="shared" si="17"/>
        <v>0</v>
      </c>
      <c r="B237" s="15">
        <f t="shared" si="18"/>
        <v>0</v>
      </c>
      <c r="C237" s="15">
        <f t="shared" si="19"/>
        <v>0</v>
      </c>
      <c r="D237" s="15">
        <f t="shared" si="20"/>
        <v>0</v>
      </c>
      <c r="E237" s="70">
        <v>46243.5</v>
      </c>
      <c r="F237" s="71">
        <v>499.99990000000003</v>
      </c>
      <c r="G237" s="71">
        <v>150</v>
      </c>
      <c r="H237" s="71">
        <v>649.99990000000003</v>
      </c>
      <c r="I237" s="71">
        <v>0</v>
      </c>
      <c r="J237" s="71">
        <v>500</v>
      </c>
      <c r="K237" s="71">
        <v>4499.67</v>
      </c>
      <c r="L237" s="8">
        <f t="shared" si="21"/>
        <v>0</v>
      </c>
      <c r="DP237" s="15"/>
    </row>
    <row r="238" spans="1:120">
      <c r="A238" s="15">
        <f t="shared" si="17"/>
        <v>0</v>
      </c>
      <c r="B238" s="15">
        <f t="shared" si="18"/>
        <v>0</v>
      </c>
      <c r="C238" s="15">
        <f t="shared" si="19"/>
        <v>0</v>
      </c>
      <c r="D238" s="15">
        <f t="shared" si="20"/>
        <v>0</v>
      </c>
      <c r="E238" s="70">
        <v>46243.541666666664</v>
      </c>
      <c r="F238" s="71">
        <v>499.99990000000003</v>
      </c>
      <c r="G238" s="71">
        <v>150</v>
      </c>
      <c r="H238" s="71">
        <v>649.99990000000003</v>
      </c>
      <c r="I238" s="71">
        <v>0</v>
      </c>
      <c r="J238" s="71">
        <v>500</v>
      </c>
      <c r="K238" s="71">
        <v>4499.7340000000004</v>
      </c>
      <c r="L238" s="8">
        <f t="shared" si="21"/>
        <v>0</v>
      </c>
      <c r="DP238" s="15"/>
    </row>
    <row r="239" spans="1:120">
      <c r="A239" s="15">
        <f t="shared" si="17"/>
        <v>0</v>
      </c>
      <c r="B239" s="15">
        <f t="shared" si="18"/>
        <v>0</v>
      </c>
      <c r="C239" s="15">
        <f t="shared" si="19"/>
        <v>0</v>
      </c>
      <c r="D239" s="15">
        <f t="shared" si="20"/>
        <v>0</v>
      </c>
      <c r="E239" s="70">
        <v>46243.583333333336</v>
      </c>
      <c r="F239" s="71">
        <v>499.99990000000003</v>
      </c>
      <c r="G239" s="71">
        <v>150</v>
      </c>
      <c r="H239" s="71">
        <v>649.99990000000003</v>
      </c>
      <c r="I239" s="71">
        <v>0</v>
      </c>
      <c r="J239" s="71">
        <v>500</v>
      </c>
      <c r="K239" s="71">
        <v>4499.799</v>
      </c>
      <c r="L239" s="8">
        <f t="shared" si="21"/>
        <v>0</v>
      </c>
      <c r="DP239" s="15"/>
    </row>
    <row r="240" spans="1:120">
      <c r="A240" s="15">
        <f t="shared" si="17"/>
        <v>0</v>
      </c>
      <c r="B240" s="15">
        <f t="shared" si="18"/>
        <v>0</v>
      </c>
      <c r="C240" s="15">
        <f t="shared" si="19"/>
        <v>0</v>
      </c>
      <c r="D240" s="15">
        <f t="shared" si="20"/>
        <v>0</v>
      </c>
      <c r="E240" s="70">
        <v>46243.625</v>
      </c>
      <c r="F240" s="71">
        <v>499.99990000000003</v>
      </c>
      <c r="G240" s="71">
        <v>150</v>
      </c>
      <c r="H240" s="71">
        <v>649.99990000000003</v>
      </c>
      <c r="I240" s="71">
        <v>0</v>
      </c>
      <c r="J240" s="71">
        <v>500</v>
      </c>
      <c r="K240" s="71">
        <v>4499.8379999999997</v>
      </c>
      <c r="L240" s="8">
        <f t="shared" si="21"/>
        <v>0</v>
      </c>
      <c r="DP240" s="15"/>
    </row>
    <row r="241" spans="1:120">
      <c r="A241" s="15">
        <f t="shared" si="17"/>
        <v>0</v>
      </c>
      <c r="B241" s="15">
        <f t="shared" si="18"/>
        <v>0</v>
      </c>
      <c r="C241" s="15">
        <f t="shared" si="19"/>
        <v>0</v>
      </c>
      <c r="D241" s="15">
        <f t="shared" si="20"/>
        <v>0</v>
      </c>
      <c r="E241" s="70">
        <v>46243.666666666664</v>
      </c>
      <c r="F241" s="71">
        <v>499.99990000000003</v>
      </c>
      <c r="G241" s="71">
        <v>150</v>
      </c>
      <c r="H241" s="71">
        <v>649.99990000000003</v>
      </c>
      <c r="I241" s="71">
        <v>0</v>
      </c>
      <c r="J241" s="71">
        <v>500</v>
      </c>
      <c r="K241" s="71">
        <v>4499.8770000000004</v>
      </c>
      <c r="L241" s="8">
        <f t="shared" si="21"/>
        <v>0</v>
      </c>
      <c r="DP241" s="15"/>
    </row>
    <row r="242" spans="1:120">
      <c r="A242" s="15">
        <f>AC242</f>
        <v>0</v>
      </c>
      <c r="B242" s="15">
        <f t="shared" si="18"/>
        <v>0</v>
      </c>
      <c r="C242" s="15">
        <f t="shared" si="19"/>
        <v>0</v>
      </c>
      <c r="D242" s="15">
        <f t="shared" si="20"/>
        <v>0</v>
      </c>
      <c r="E242" s="70">
        <v>46243.708333333336</v>
      </c>
      <c r="F242" s="71">
        <v>499.99990000000003</v>
      </c>
      <c r="G242" s="71">
        <v>150</v>
      </c>
      <c r="H242" s="71">
        <v>649.99990000000003</v>
      </c>
      <c r="I242" s="71">
        <v>0</v>
      </c>
      <c r="J242" s="71">
        <v>500</v>
      </c>
      <c r="K242" s="71">
        <v>4499.9030000000002</v>
      </c>
      <c r="L242" s="21">
        <f t="shared" si="21"/>
        <v>0</v>
      </c>
      <c r="DP242" s="15"/>
    </row>
    <row r="243" spans="1:120">
      <c r="A243" s="15">
        <f t="shared" ref="A243:A306" si="22">AC243</f>
        <v>0</v>
      </c>
      <c r="B243" s="15">
        <f t="shared" si="18"/>
        <v>0</v>
      </c>
      <c r="C243" s="15">
        <f t="shared" si="19"/>
        <v>0</v>
      </c>
      <c r="D243" s="15">
        <f t="shared" si="20"/>
        <v>0</v>
      </c>
      <c r="E243" s="70">
        <v>46243.75</v>
      </c>
      <c r="F243" s="71">
        <v>499.99990000000003</v>
      </c>
      <c r="G243" s="71">
        <v>150</v>
      </c>
      <c r="H243" s="71">
        <v>649.99990000000003</v>
      </c>
      <c r="I243" s="71">
        <v>0</v>
      </c>
      <c r="J243" s="71">
        <v>500</v>
      </c>
      <c r="K243" s="71">
        <v>4499.9279999999999</v>
      </c>
      <c r="L243" s="21">
        <f t="shared" si="21"/>
        <v>0</v>
      </c>
      <c r="DP243" s="15"/>
    </row>
    <row r="244" spans="1:120">
      <c r="A244" s="15">
        <f t="shared" si="22"/>
        <v>0</v>
      </c>
      <c r="B244" s="15">
        <f t="shared" si="18"/>
        <v>0</v>
      </c>
      <c r="C244" s="15">
        <f t="shared" si="19"/>
        <v>0</v>
      </c>
      <c r="D244" s="15">
        <f t="shared" si="20"/>
        <v>0</v>
      </c>
      <c r="E244" s="70">
        <v>46243.791666666664</v>
      </c>
      <c r="F244" s="71">
        <v>499.99990000000003</v>
      </c>
      <c r="G244" s="71">
        <v>150</v>
      </c>
      <c r="H244" s="71">
        <v>649.99990000000003</v>
      </c>
      <c r="I244" s="71">
        <v>0</v>
      </c>
      <c r="J244" s="71">
        <v>500</v>
      </c>
      <c r="K244" s="71">
        <v>4499.942</v>
      </c>
      <c r="L244" s="21">
        <f t="shared" si="21"/>
        <v>0</v>
      </c>
      <c r="DP244" s="15"/>
    </row>
    <row r="245" spans="1:120">
      <c r="A245" s="15">
        <f t="shared" si="22"/>
        <v>0</v>
      </c>
      <c r="B245" s="15">
        <f t="shared" si="18"/>
        <v>0</v>
      </c>
      <c r="C245" s="15">
        <f t="shared" si="19"/>
        <v>0</v>
      </c>
      <c r="D245" s="15">
        <f t="shared" si="20"/>
        <v>0</v>
      </c>
      <c r="E245" s="70">
        <v>46243.833333333336</v>
      </c>
      <c r="F245" s="71">
        <v>499.99990000000003</v>
      </c>
      <c r="G245" s="71">
        <v>150</v>
      </c>
      <c r="H245" s="71">
        <v>649.99990000000003</v>
      </c>
      <c r="I245" s="71">
        <v>0</v>
      </c>
      <c r="J245" s="71">
        <v>500</v>
      </c>
      <c r="K245" s="71">
        <v>4499.9570000000003</v>
      </c>
      <c r="L245" s="21">
        <f t="shared" si="21"/>
        <v>0</v>
      </c>
      <c r="DP245" s="15"/>
    </row>
    <row r="246" spans="1:120">
      <c r="A246" s="15">
        <f t="shared" si="22"/>
        <v>0</v>
      </c>
      <c r="B246" s="15">
        <f t="shared" si="18"/>
        <v>0</v>
      </c>
      <c r="C246" s="15">
        <f t="shared" si="19"/>
        <v>0</v>
      </c>
      <c r="D246" s="15">
        <f t="shared" si="20"/>
        <v>0</v>
      </c>
      <c r="E246" s="70">
        <v>46243.875</v>
      </c>
      <c r="F246" s="71">
        <v>499.99990000000003</v>
      </c>
      <c r="G246" s="71">
        <v>150</v>
      </c>
      <c r="H246" s="71">
        <v>649.99990000000003</v>
      </c>
      <c r="I246" s="71">
        <v>0</v>
      </c>
      <c r="J246" s="71">
        <v>500</v>
      </c>
      <c r="K246" s="71">
        <v>4499.9660000000003</v>
      </c>
      <c r="L246" s="21">
        <f t="shared" si="21"/>
        <v>0</v>
      </c>
      <c r="DP246" s="15"/>
    </row>
    <row r="247" spans="1:120">
      <c r="A247" s="15">
        <f t="shared" si="22"/>
        <v>0</v>
      </c>
      <c r="B247" s="15">
        <f t="shared" si="18"/>
        <v>0</v>
      </c>
      <c r="C247" s="15">
        <f t="shared" si="19"/>
        <v>0</v>
      </c>
      <c r="D247" s="15">
        <f t="shared" si="20"/>
        <v>0</v>
      </c>
      <c r="E247" s="70">
        <v>46243.916666666664</v>
      </c>
      <c r="F247" s="71">
        <v>499.99990000000003</v>
      </c>
      <c r="G247" s="71">
        <v>150</v>
      </c>
      <c r="H247" s="71">
        <v>649.99990000000003</v>
      </c>
      <c r="I247" s="71">
        <v>0</v>
      </c>
      <c r="J247" s="71">
        <v>500</v>
      </c>
      <c r="K247" s="71">
        <v>4499.9759999999997</v>
      </c>
      <c r="L247" s="21">
        <f t="shared" si="21"/>
        <v>0</v>
      </c>
      <c r="DP247" s="15"/>
    </row>
    <row r="248" spans="1:120">
      <c r="A248" s="15">
        <f t="shared" si="22"/>
        <v>0</v>
      </c>
      <c r="B248" s="15">
        <f t="shared" si="18"/>
        <v>0</v>
      </c>
      <c r="C248" s="15">
        <f t="shared" si="19"/>
        <v>0</v>
      </c>
      <c r="D248" s="15">
        <f t="shared" si="20"/>
        <v>0</v>
      </c>
      <c r="E248" s="70">
        <v>46243.958333333336</v>
      </c>
      <c r="F248" s="71">
        <v>499.99990000000003</v>
      </c>
      <c r="G248" s="71">
        <v>150</v>
      </c>
      <c r="H248" s="71">
        <v>649.99990000000003</v>
      </c>
      <c r="I248" s="71">
        <v>0</v>
      </c>
      <c r="J248" s="71">
        <v>500</v>
      </c>
      <c r="K248" s="71">
        <v>4499.9799999999996</v>
      </c>
      <c r="L248" s="21">
        <f t="shared" si="21"/>
        <v>0</v>
      </c>
      <c r="DP248" s="15"/>
    </row>
    <row r="249" spans="1:120">
      <c r="A249" s="15">
        <f t="shared" si="22"/>
        <v>0</v>
      </c>
      <c r="B249" s="15">
        <f t="shared" si="18"/>
        <v>0</v>
      </c>
      <c r="C249" s="15">
        <f t="shared" si="19"/>
        <v>0</v>
      </c>
      <c r="D249" s="15">
        <f t="shared" si="20"/>
        <v>0</v>
      </c>
      <c r="E249" s="70">
        <v>46244</v>
      </c>
      <c r="F249" s="71">
        <v>499.99990000000003</v>
      </c>
      <c r="G249" s="71">
        <v>150</v>
      </c>
      <c r="H249" s="71">
        <v>649.99990000000003</v>
      </c>
      <c r="I249" s="71">
        <v>0</v>
      </c>
      <c r="J249" s="71">
        <v>500</v>
      </c>
      <c r="K249" s="71">
        <v>4499.9859999999999</v>
      </c>
      <c r="L249" s="21">
        <f t="shared" si="21"/>
        <v>0</v>
      </c>
      <c r="DP249" s="15"/>
    </row>
    <row r="250" spans="1:120">
      <c r="A250" s="15">
        <f t="shared" si="22"/>
        <v>0</v>
      </c>
      <c r="B250" s="15">
        <f t="shared" si="18"/>
        <v>0</v>
      </c>
      <c r="C250" s="15">
        <f t="shared" si="19"/>
        <v>0</v>
      </c>
      <c r="D250" s="15">
        <f t="shared" si="20"/>
        <v>0</v>
      </c>
      <c r="E250" s="70">
        <v>46244.041666666664</v>
      </c>
      <c r="F250" s="71">
        <v>499.99990000000003</v>
      </c>
      <c r="G250" s="71">
        <v>150</v>
      </c>
      <c r="H250" s="71">
        <v>649.99990000000003</v>
      </c>
      <c r="I250" s="71">
        <v>0</v>
      </c>
      <c r="J250" s="71">
        <v>500</v>
      </c>
      <c r="K250" s="71">
        <v>4499.9889999999996</v>
      </c>
      <c r="L250" s="21">
        <f t="shared" si="21"/>
        <v>0</v>
      </c>
      <c r="DP250" s="15"/>
    </row>
    <row r="251" spans="1:120">
      <c r="A251" s="15">
        <f t="shared" si="22"/>
        <v>0</v>
      </c>
      <c r="B251" s="15">
        <f t="shared" si="18"/>
        <v>0</v>
      </c>
      <c r="C251" s="15">
        <f t="shared" si="19"/>
        <v>0</v>
      </c>
      <c r="D251" s="15">
        <f t="shared" si="20"/>
        <v>0</v>
      </c>
      <c r="E251" s="70">
        <v>46244.083333333336</v>
      </c>
      <c r="F251" s="71">
        <v>499.99990000000003</v>
      </c>
      <c r="G251" s="71">
        <v>150</v>
      </c>
      <c r="H251" s="71">
        <v>649.99990000000003</v>
      </c>
      <c r="I251" s="71">
        <v>0</v>
      </c>
      <c r="J251" s="71">
        <v>500</v>
      </c>
      <c r="K251" s="71">
        <v>4499.9920000000002</v>
      </c>
      <c r="L251" s="21">
        <f t="shared" si="21"/>
        <v>0</v>
      </c>
      <c r="DP251" s="15"/>
    </row>
    <row r="252" spans="1:120">
      <c r="A252" s="15">
        <f t="shared" si="22"/>
        <v>0</v>
      </c>
      <c r="B252" s="15">
        <f t="shared" si="18"/>
        <v>0</v>
      </c>
      <c r="C252" s="15">
        <f t="shared" si="19"/>
        <v>0</v>
      </c>
      <c r="D252" s="15">
        <f t="shared" si="20"/>
        <v>0</v>
      </c>
      <c r="E252" s="70">
        <v>46244.125</v>
      </c>
      <c r="F252" s="71">
        <v>499.99990000000003</v>
      </c>
      <c r="G252" s="71">
        <v>150</v>
      </c>
      <c r="H252" s="71">
        <v>649.99990000000003</v>
      </c>
      <c r="I252" s="71">
        <v>0</v>
      </c>
      <c r="J252" s="71">
        <v>500</v>
      </c>
      <c r="K252" s="71">
        <v>4499.9939999999997</v>
      </c>
      <c r="L252" s="21">
        <f t="shared" si="21"/>
        <v>0</v>
      </c>
      <c r="DP252" s="15"/>
    </row>
    <row r="253" spans="1:120">
      <c r="A253" s="15">
        <f t="shared" si="22"/>
        <v>0</v>
      </c>
      <c r="B253" s="15">
        <f t="shared" si="18"/>
        <v>0</v>
      </c>
      <c r="C253" s="15">
        <f t="shared" si="19"/>
        <v>0</v>
      </c>
      <c r="D253" s="15">
        <f t="shared" si="20"/>
        <v>0</v>
      </c>
      <c r="E253" s="70">
        <v>46244.166666666664</v>
      </c>
      <c r="F253" s="71">
        <v>499.99990000000003</v>
      </c>
      <c r="G253" s="71">
        <v>150</v>
      </c>
      <c r="H253" s="71">
        <v>649.99990000000003</v>
      </c>
      <c r="I253" s="71">
        <v>0</v>
      </c>
      <c r="J253" s="71">
        <v>500</v>
      </c>
      <c r="K253" s="71">
        <v>4499.9960000000001</v>
      </c>
      <c r="L253" s="21">
        <f t="shared" si="21"/>
        <v>0</v>
      </c>
      <c r="DP253" s="15"/>
    </row>
    <row r="254" spans="1:120">
      <c r="A254" s="15">
        <f t="shared" si="22"/>
        <v>0</v>
      </c>
      <c r="B254" s="15">
        <f t="shared" si="18"/>
        <v>0</v>
      </c>
      <c r="C254" s="15">
        <f t="shared" si="19"/>
        <v>0</v>
      </c>
      <c r="D254" s="15">
        <f t="shared" si="20"/>
        <v>0</v>
      </c>
      <c r="E254" s="70">
        <v>46244.208333333336</v>
      </c>
      <c r="F254" s="71">
        <v>499.99990000000003</v>
      </c>
      <c r="G254" s="71">
        <v>150</v>
      </c>
      <c r="H254" s="71">
        <v>649.99990000000003</v>
      </c>
      <c r="I254" s="71">
        <v>0</v>
      </c>
      <c r="J254" s="71">
        <v>500</v>
      </c>
      <c r="K254" s="71">
        <v>4499.9970000000003</v>
      </c>
      <c r="L254" s="21">
        <f t="shared" si="21"/>
        <v>0</v>
      </c>
      <c r="DP254" s="15"/>
    </row>
    <row r="255" spans="1:120">
      <c r="A255" s="15">
        <f t="shared" si="22"/>
        <v>0</v>
      </c>
      <c r="B255" s="15">
        <f t="shared" si="18"/>
        <v>0</v>
      </c>
      <c r="C255" s="15">
        <f t="shared" si="19"/>
        <v>0</v>
      </c>
      <c r="D255" s="15">
        <f t="shared" si="20"/>
        <v>0</v>
      </c>
      <c r="E255" s="70">
        <v>46244.25</v>
      </c>
      <c r="F255" s="71">
        <v>499.99990000000003</v>
      </c>
      <c r="G255" s="71">
        <v>150</v>
      </c>
      <c r="H255" s="71">
        <v>649.99990000000003</v>
      </c>
      <c r="I255" s="71">
        <v>0</v>
      </c>
      <c r="J255" s="71">
        <v>500</v>
      </c>
      <c r="K255" s="71">
        <v>4499.9979999999996</v>
      </c>
      <c r="L255" s="29">
        <f t="shared" si="21"/>
        <v>0</v>
      </c>
      <c r="DP255" s="15"/>
    </row>
    <row r="256" spans="1:120">
      <c r="A256" s="15">
        <f t="shared" si="22"/>
        <v>0</v>
      </c>
      <c r="B256" s="15">
        <f t="shared" si="18"/>
        <v>0</v>
      </c>
      <c r="C256" s="15">
        <f t="shared" si="19"/>
        <v>0</v>
      </c>
      <c r="D256" s="15">
        <f t="shared" si="20"/>
        <v>0</v>
      </c>
      <c r="E256" s="70">
        <v>46244.291666666664</v>
      </c>
      <c r="F256" s="71">
        <v>499.99990000000003</v>
      </c>
      <c r="G256" s="71">
        <v>150</v>
      </c>
      <c r="H256" s="71">
        <v>649.99990000000003</v>
      </c>
      <c r="I256" s="71">
        <v>0</v>
      </c>
      <c r="J256" s="71">
        <v>499.97890000000001</v>
      </c>
      <c r="K256" s="71">
        <v>4500.6660000000002</v>
      </c>
      <c r="L256" s="29">
        <f t="shared" si="21"/>
        <v>0</v>
      </c>
      <c r="DP256" s="15"/>
    </row>
    <row r="257" spans="1:120">
      <c r="A257" s="15">
        <f t="shared" si="22"/>
        <v>0</v>
      </c>
      <c r="B257" s="15">
        <f t="shared" si="18"/>
        <v>0</v>
      </c>
      <c r="C257" s="15">
        <f t="shared" si="19"/>
        <v>0</v>
      </c>
      <c r="D257" s="15">
        <f t="shared" si="20"/>
        <v>0</v>
      </c>
      <c r="E257" s="70">
        <v>46244.333333333336</v>
      </c>
      <c r="F257" s="71">
        <v>499.99990000000003</v>
      </c>
      <c r="G257" s="71">
        <v>150</v>
      </c>
      <c r="H257" s="71">
        <v>649.99990000000003</v>
      </c>
      <c r="I257" s="71">
        <v>0</v>
      </c>
      <c r="J257" s="71">
        <v>499.97199999999998</v>
      </c>
      <c r="K257" s="71">
        <v>4500.8829999999998</v>
      </c>
      <c r="L257" s="29">
        <f t="shared" si="21"/>
        <v>0</v>
      </c>
      <c r="DP257" s="15"/>
    </row>
    <row r="258" spans="1:120">
      <c r="A258" s="15">
        <f t="shared" si="22"/>
        <v>0</v>
      </c>
      <c r="B258" s="15">
        <f t="shared" si="18"/>
        <v>0</v>
      </c>
      <c r="C258" s="15">
        <f t="shared" si="19"/>
        <v>0</v>
      </c>
      <c r="D258" s="15">
        <f t="shared" si="20"/>
        <v>0</v>
      </c>
      <c r="E258" s="70">
        <v>46244.375</v>
      </c>
      <c r="F258" s="71">
        <v>499.99990000000003</v>
      </c>
      <c r="G258" s="71">
        <v>150</v>
      </c>
      <c r="H258" s="71">
        <v>649.99990000000003</v>
      </c>
      <c r="I258" s="71">
        <v>0</v>
      </c>
      <c r="J258" s="71">
        <v>499.32929999999999</v>
      </c>
      <c r="K258" s="71">
        <v>4500.8580000000002</v>
      </c>
      <c r="L258" s="29">
        <f t="shared" si="21"/>
        <v>0</v>
      </c>
      <c r="DP258" s="15"/>
    </row>
    <row r="259" spans="1:120">
      <c r="A259" s="15">
        <f t="shared" si="22"/>
        <v>0</v>
      </c>
      <c r="B259" s="15">
        <f t="shared" ref="B259:B322" si="23">AD259</f>
        <v>0</v>
      </c>
      <c r="C259" s="15">
        <f t="shared" ref="C259:C322" si="24">AE259</f>
        <v>0</v>
      </c>
      <c r="D259" s="15">
        <f t="shared" ref="D259:D322" si="25">AF259</f>
        <v>0</v>
      </c>
      <c r="E259" s="70">
        <v>46244.416666666664</v>
      </c>
      <c r="F259" s="71">
        <v>499.99990000000003</v>
      </c>
      <c r="G259" s="71">
        <v>150</v>
      </c>
      <c r="H259" s="71">
        <v>649.99990000000003</v>
      </c>
      <c r="I259" s="71">
        <v>0</v>
      </c>
      <c r="J259" s="71">
        <v>499.12029999999999</v>
      </c>
      <c r="K259" s="71">
        <v>4500.8500000000004</v>
      </c>
      <c r="L259" s="29">
        <f t="shared" ref="L259:L322" si="26">IF(K259&gt;10000,K259-10000,0)</f>
        <v>0</v>
      </c>
      <c r="DP259" s="15"/>
    </row>
    <row r="260" spans="1:120">
      <c r="A260" s="15">
        <f t="shared" si="22"/>
        <v>0</v>
      </c>
      <c r="B260" s="15">
        <f t="shared" si="23"/>
        <v>0</v>
      </c>
      <c r="C260" s="15">
        <f t="shared" si="24"/>
        <v>0</v>
      </c>
      <c r="D260" s="15">
        <f t="shared" si="25"/>
        <v>0</v>
      </c>
      <c r="E260" s="70">
        <v>46244.458333333336</v>
      </c>
      <c r="F260" s="71">
        <v>499.99990000000003</v>
      </c>
      <c r="G260" s="71">
        <v>150</v>
      </c>
      <c r="H260" s="71">
        <v>649.99990000000003</v>
      </c>
      <c r="I260" s="71">
        <v>0</v>
      </c>
      <c r="J260" s="71">
        <v>491.59519999999998</v>
      </c>
      <c r="K260" s="71">
        <v>4511.7349999999997</v>
      </c>
      <c r="L260" s="29">
        <f t="shared" si="26"/>
        <v>0</v>
      </c>
      <c r="DP260" s="15"/>
    </row>
    <row r="261" spans="1:120">
      <c r="A261" s="15">
        <f t="shared" si="22"/>
        <v>0</v>
      </c>
      <c r="B261" s="15">
        <f t="shared" si="23"/>
        <v>0</v>
      </c>
      <c r="C261" s="15">
        <f t="shared" si="24"/>
        <v>0</v>
      </c>
      <c r="D261" s="15">
        <f t="shared" si="25"/>
        <v>0</v>
      </c>
      <c r="E261" s="70">
        <v>46244.5</v>
      </c>
      <c r="F261" s="71">
        <v>499.99990000000003</v>
      </c>
      <c r="G261" s="71">
        <v>150</v>
      </c>
      <c r="H261" s="71">
        <v>649.99990000000003</v>
      </c>
      <c r="I261" s="71">
        <v>0</v>
      </c>
      <c r="J261" s="71">
        <v>489.14920000000001</v>
      </c>
      <c r="K261" s="71">
        <v>4515.2730000000001</v>
      </c>
      <c r="L261" s="29">
        <f t="shared" si="26"/>
        <v>0</v>
      </c>
      <c r="DP261" s="15"/>
    </row>
    <row r="262" spans="1:120">
      <c r="A262" s="15">
        <f t="shared" si="22"/>
        <v>0</v>
      </c>
      <c r="B262" s="15">
        <f t="shared" si="23"/>
        <v>0</v>
      </c>
      <c r="C262" s="15">
        <f t="shared" si="24"/>
        <v>0</v>
      </c>
      <c r="D262" s="15">
        <f t="shared" si="25"/>
        <v>0</v>
      </c>
      <c r="E262" s="70">
        <v>46244.541666666664</v>
      </c>
      <c r="F262" s="71">
        <v>499.99990000000003</v>
      </c>
      <c r="G262" s="71">
        <v>150</v>
      </c>
      <c r="H262" s="71">
        <v>649.99990000000003</v>
      </c>
      <c r="I262" s="71">
        <v>0</v>
      </c>
      <c r="J262" s="71">
        <v>447.7002</v>
      </c>
      <c r="K262" s="71">
        <v>4513.0919999999996</v>
      </c>
      <c r="L262" s="29">
        <f t="shared" si="26"/>
        <v>0</v>
      </c>
      <c r="DP262" s="15"/>
    </row>
    <row r="263" spans="1:120">
      <c r="A263" s="15">
        <f t="shared" si="22"/>
        <v>0</v>
      </c>
      <c r="B263" s="15">
        <f t="shared" si="23"/>
        <v>0</v>
      </c>
      <c r="C263" s="15">
        <f t="shared" si="24"/>
        <v>0</v>
      </c>
      <c r="D263" s="15">
        <f t="shared" si="25"/>
        <v>0</v>
      </c>
      <c r="E263" s="70">
        <v>46244.583333333336</v>
      </c>
      <c r="F263" s="71">
        <v>499.99990000000003</v>
      </c>
      <c r="G263" s="71">
        <v>150</v>
      </c>
      <c r="H263" s="71">
        <v>649.99990000000003</v>
      </c>
      <c r="I263" s="71">
        <v>0</v>
      </c>
      <c r="J263" s="71">
        <v>434.22699999999998</v>
      </c>
      <c r="K263" s="71">
        <v>4512.3829999999998</v>
      </c>
      <c r="L263" s="29">
        <f t="shared" si="26"/>
        <v>0</v>
      </c>
      <c r="DP263" s="15"/>
    </row>
    <row r="264" spans="1:120">
      <c r="A264" s="15">
        <f t="shared" si="22"/>
        <v>0</v>
      </c>
      <c r="B264" s="15">
        <f t="shared" si="23"/>
        <v>0</v>
      </c>
      <c r="C264" s="15">
        <f t="shared" si="24"/>
        <v>0</v>
      </c>
      <c r="D264" s="15">
        <f t="shared" si="25"/>
        <v>0</v>
      </c>
      <c r="E264" s="70">
        <v>46244.625</v>
      </c>
      <c r="F264" s="71">
        <v>499.99990000000003</v>
      </c>
      <c r="G264" s="71">
        <v>150</v>
      </c>
      <c r="H264" s="71">
        <v>649.99990000000003</v>
      </c>
      <c r="I264" s="71">
        <v>0</v>
      </c>
      <c r="J264" s="71">
        <v>330.26949999999999</v>
      </c>
      <c r="K264" s="71">
        <v>4567.2700000000004</v>
      </c>
      <c r="L264" s="29">
        <f t="shared" si="26"/>
        <v>0</v>
      </c>
      <c r="DP264" s="15"/>
    </row>
    <row r="265" spans="1:120">
      <c r="A265" s="15">
        <f t="shared" si="22"/>
        <v>0</v>
      </c>
      <c r="B265" s="15">
        <f t="shared" si="23"/>
        <v>0</v>
      </c>
      <c r="C265" s="15">
        <f t="shared" si="24"/>
        <v>0</v>
      </c>
      <c r="D265" s="15">
        <f t="shared" si="25"/>
        <v>0</v>
      </c>
      <c r="E265" s="70">
        <v>46244.666666666664</v>
      </c>
      <c r="F265" s="71">
        <v>499.99990000000003</v>
      </c>
      <c r="G265" s="71">
        <v>150</v>
      </c>
      <c r="H265" s="71">
        <v>649.99990000000003</v>
      </c>
      <c r="I265" s="71">
        <v>0</v>
      </c>
      <c r="J265" s="71">
        <v>296.47770000000003</v>
      </c>
      <c r="K265" s="71">
        <v>4585.1109999999999</v>
      </c>
      <c r="L265" s="29">
        <f t="shared" si="26"/>
        <v>0</v>
      </c>
      <c r="DP265" s="15"/>
    </row>
    <row r="266" spans="1:120">
      <c r="A266" s="15">
        <f t="shared" si="22"/>
        <v>0</v>
      </c>
      <c r="B266" s="15">
        <f t="shared" si="23"/>
        <v>0</v>
      </c>
      <c r="C266" s="15">
        <f t="shared" si="24"/>
        <v>0</v>
      </c>
      <c r="D266" s="15">
        <f t="shared" si="25"/>
        <v>0</v>
      </c>
      <c r="E266" s="70">
        <v>46244.708333333336</v>
      </c>
      <c r="F266" s="71">
        <v>499.99990000000003</v>
      </c>
      <c r="G266" s="71">
        <v>150</v>
      </c>
      <c r="H266" s="71">
        <v>649.99990000000003</v>
      </c>
      <c r="I266" s="71">
        <v>0</v>
      </c>
      <c r="J266" s="71">
        <v>199.16890000000001</v>
      </c>
      <c r="K266" s="71">
        <v>4547.3959999999997</v>
      </c>
      <c r="L266" s="29">
        <f t="shared" si="26"/>
        <v>0</v>
      </c>
      <c r="DP266" s="15"/>
    </row>
    <row r="267" spans="1:120">
      <c r="A267" s="15">
        <f t="shared" si="22"/>
        <v>0</v>
      </c>
      <c r="B267" s="15">
        <f t="shared" si="23"/>
        <v>0</v>
      </c>
      <c r="C267" s="15">
        <f t="shared" si="24"/>
        <v>0</v>
      </c>
      <c r="D267" s="15">
        <f t="shared" si="25"/>
        <v>0</v>
      </c>
      <c r="E267" s="70">
        <v>46244.75</v>
      </c>
      <c r="F267" s="71">
        <v>499.99990000000003</v>
      </c>
      <c r="G267" s="71">
        <v>150</v>
      </c>
      <c r="H267" s="71">
        <v>649.99990000000003</v>
      </c>
      <c r="I267" s="71">
        <v>0</v>
      </c>
      <c r="J267" s="71">
        <v>167.53829999999999</v>
      </c>
      <c r="K267" s="71">
        <v>4535.1369999999997</v>
      </c>
      <c r="L267" s="29">
        <f t="shared" si="26"/>
        <v>0</v>
      </c>
      <c r="DP267" s="15"/>
    </row>
    <row r="268" spans="1:120">
      <c r="A268" s="15">
        <f t="shared" si="22"/>
        <v>0</v>
      </c>
      <c r="B268" s="15">
        <f t="shared" si="23"/>
        <v>0</v>
      </c>
      <c r="C268" s="15">
        <f t="shared" si="24"/>
        <v>0</v>
      </c>
      <c r="D268" s="15">
        <f t="shared" si="25"/>
        <v>0</v>
      </c>
      <c r="E268" s="70">
        <v>46244.791666666664</v>
      </c>
      <c r="F268" s="71">
        <v>499.99990000000003</v>
      </c>
      <c r="G268" s="71">
        <v>150</v>
      </c>
      <c r="H268" s="71">
        <v>649.99990000000003</v>
      </c>
      <c r="I268" s="71">
        <v>0</v>
      </c>
      <c r="J268" s="71">
        <v>103.9375</v>
      </c>
      <c r="K268" s="71">
        <v>4593.085</v>
      </c>
      <c r="L268" s="29">
        <f t="shared" si="26"/>
        <v>0</v>
      </c>
      <c r="DP268" s="15"/>
    </row>
    <row r="269" spans="1:120">
      <c r="A269" s="15">
        <f t="shared" si="22"/>
        <v>0</v>
      </c>
      <c r="B269" s="15">
        <f t="shared" si="23"/>
        <v>0</v>
      </c>
      <c r="C269" s="15">
        <f t="shared" si="24"/>
        <v>0</v>
      </c>
      <c r="D269" s="15">
        <f t="shared" si="25"/>
        <v>0</v>
      </c>
      <c r="E269" s="70">
        <v>46244.833333333336</v>
      </c>
      <c r="F269" s="71">
        <v>499.99990000000003</v>
      </c>
      <c r="G269" s="71">
        <v>150</v>
      </c>
      <c r="H269" s="71">
        <v>649.99990000000003</v>
      </c>
      <c r="I269" s="71">
        <v>0</v>
      </c>
      <c r="J269" s="71">
        <v>83.263869999999997</v>
      </c>
      <c r="K269" s="71">
        <v>4611.9219999999996</v>
      </c>
      <c r="L269" s="29">
        <f t="shared" si="26"/>
        <v>0</v>
      </c>
      <c r="DP269" s="15"/>
    </row>
    <row r="270" spans="1:120">
      <c r="A270" s="15">
        <f t="shared" si="22"/>
        <v>0</v>
      </c>
      <c r="B270" s="15">
        <f t="shared" si="23"/>
        <v>0</v>
      </c>
      <c r="C270" s="15">
        <f t="shared" si="24"/>
        <v>0</v>
      </c>
      <c r="D270" s="15">
        <f t="shared" si="25"/>
        <v>0</v>
      </c>
      <c r="E270" s="70">
        <v>46244.875</v>
      </c>
      <c r="F270" s="71">
        <v>499.99990000000003</v>
      </c>
      <c r="G270" s="71">
        <v>150</v>
      </c>
      <c r="H270" s="71">
        <v>649.99990000000003</v>
      </c>
      <c r="I270" s="71">
        <v>0</v>
      </c>
      <c r="J270" s="71">
        <v>48.95241</v>
      </c>
      <c r="K270" s="71">
        <v>4526.192</v>
      </c>
      <c r="L270" s="29">
        <f t="shared" si="26"/>
        <v>0</v>
      </c>
      <c r="DP270" s="15"/>
    </row>
    <row r="271" spans="1:120">
      <c r="A271" s="15">
        <f t="shared" si="22"/>
        <v>0</v>
      </c>
      <c r="B271" s="15">
        <f t="shared" si="23"/>
        <v>0</v>
      </c>
      <c r="C271" s="15">
        <f t="shared" si="24"/>
        <v>0</v>
      </c>
      <c r="D271" s="15">
        <f t="shared" si="25"/>
        <v>0</v>
      </c>
      <c r="E271" s="70">
        <v>46244.916666666664</v>
      </c>
      <c r="F271" s="71">
        <v>499.99990000000003</v>
      </c>
      <c r="G271" s="71">
        <v>150</v>
      </c>
      <c r="H271" s="71">
        <v>649.99990000000003</v>
      </c>
      <c r="I271" s="71">
        <v>0</v>
      </c>
      <c r="J271" s="71">
        <v>37.799349999999997</v>
      </c>
      <c r="K271" s="71">
        <v>4498.3249999999998</v>
      </c>
      <c r="L271" s="29">
        <f t="shared" si="26"/>
        <v>0</v>
      </c>
      <c r="DP271" s="15"/>
    </row>
    <row r="272" spans="1:120">
      <c r="A272" s="15">
        <f t="shared" si="22"/>
        <v>0</v>
      </c>
      <c r="B272" s="15">
        <f t="shared" si="23"/>
        <v>0</v>
      </c>
      <c r="C272" s="15">
        <f t="shared" si="24"/>
        <v>0</v>
      </c>
      <c r="D272" s="15">
        <f t="shared" si="25"/>
        <v>0</v>
      </c>
      <c r="E272" s="70">
        <v>46244.958333333336</v>
      </c>
      <c r="F272" s="76">
        <v>499.99990000000003</v>
      </c>
      <c r="G272" s="71">
        <v>150</v>
      </c>
      <c r="H272" s="71">
        <v>649.99990000000003</v>
      </c>
      <c r="I272" s="71">
        <v>0</v>
      </c>
      <c r="J272" s="71">
        <v>21.388459999999998</v>
      </c>
      <c r="K272" s="71">
        <v>4523.808</v>
      </c>
      <c r="L272" s="29">
        <f t="shared" si="26"/>
        <v>0</v>
      </c>
      <c r="DP272" s="15"/>
    </row>
    <row r="273" spans="1:120">
      <c r="A273" s="15">
        <f t="shared" si="22"/>
        <v>0</v>
      </c>
      <c r="B273" s="15">
        <f t="shared" si="23"/>
        <v>0</v>
      </c>
      <c r="C273" s="15">
        <f t="shared" si="24"/>
        <v>0</v>
      </c>
      <c r="D273" s="15">
        <f t="shared" si="25"/>
        <v>0</v>
      </c>
      <c r="E273" s="70">
        <v>46245</v>
      </c>
      <c r="F273" s="76">
        <v>499.99990000000003</v>
      </c>
      <c r="G273" s="71">
        <v>150</v>
      </c>
      <c r="H273" s="71">
        <v>649.99990000000003</v>
      </c>
      <c r="I273" s="71">
        <v>0</v>
      </c>
      <c r="J273" s="71">
        <v>16.054040000000001</v>
      </c>
      <c r="K273" s="71">
        <v>4532.09</v>
      </c>
      <c r="L273" s="29">
        <f t="shared" si="26"/>
        <v>0</v>
      </c>
      <c r="DP273" s="15"/>
    </row>
    <row r="274" spans="1:120">
      <c r="A274" s="15">
        <f t="shared" si="22"/>
        <v>0</v>
      </c>
      <c r="B274" s="15">
        <f t="shared" si="23"/>
        <v>0</v>
      </c>
      <c r="C274" s="15">
        <f t="shared" si="24"/>
        <v>0</v>
      </c>
      <c r="D274" s="15">
        <f t="shared" si="25"/>
        <v>0</v>
      </c>
      <c r="E274" s="70">
        <v>46245.041666666664</v>
      </c>
      <c r="F274" s="76">
        <v>499.99990000000003</v>
      </c>
      <c r="G274" s="71">
        <v>150</v>
      </c>
      <c r="H274" s="71">
        <v>649.99990000000003</v>
      </c>
      <c r="I274" s="71">
        <v>0</v>
      </c>
      <c r="J274" s="71">
        <v>8.8289449999999992</v>
      </c>
      <c r="K274" s="71">
        <v>4491.0469999999996</v>
      </c>
      <c r="L274" s="29">
        <f t="shared" si="26"/>
        <v>0</v>
      </c>
      <c r="DP274" s="15"/>
    </row>
    <row r="275" spans="1:120">
      <c r="A275" s="15">
        <f t="shared" si="22"/>
        <v>0</v>
      </c>
      <c r="B275" s="15">
        <f t="shared" si="23"/>
        <v>0</v>
      </c>
      <c r="C275" s="15">
        <f t="shared" si="24"/>
        <v>0</v>
      </c>
      <c r="D275" s="15">
        <f t="shared" si="25"/>
        <v>0</v>
      </c>
      <c r="E275" s="70">
        <v>46245.083333333336</v>
      </c>
      <c r="F275" s="76">
        <v>499.99990000000003</v>
      </c>
      <c r="G275" s="71">
        <v>150</v>
      </c>
      <c r="H275" s="71">
        <v>649.99990000000003</v>
      </c>
      <c r="I275" s="71">
        <v>0</v>
      </c>
      <c r="J275" s="71">
        <v>6.4804040000000001</v>
      </c>
      <c r="K275" s="71">
        <v>4477.7060000000001</v>
      </c>
      <c r="L275" s="29">
        <f t="shared" si="26"/>
        <v>0</v>
      </c>
      <c r="DP275" s="15"/>
    </row>
    <row r="276" spans="1:120">
      <c r="A276" s="15">
        <f t="shared" si="22"/>
        <v>0</v>
      </c>
      <c r="B276" s="15">
        <f t="shared" si="23"/>
        <v>0</v>
      </c>
      <c r="C276" s="15">
        <f t="shared" si="24"/>
        <v>0</v>
      </c>
      <c r="D276" s="15">
        <f t="shared" si="25"/>
        <v>0</v>
      </c>
      <c r="E276" s="70">
        <v>46245.125</v>
      </c>
      <c r="F276" s="76">
        <v>499.99990000000003</v>
      </c>
      <c r="G276" s="71">
        <v>150</v>
      </c>
      <c r="H276" s="71">
        <v>649.99990000000003</v>
      </c>
      <c r="I276" s="71">
        <v>0</v>
      </c>
      <c r="J276" s="76">
        <v>3.4865029999999999</v>
      </c>
      <c r="K276" s="71">
        <v>4494.8100000000004</v>
      </c>
      <c r="L276" s="29">
        <f t="shared" si="26"/>
        <v>0</v>
      </c>
      <c r="DP276" s="15"/>
    </row>
    <row r="277" spans="1:120">
      <c r="A277" s="15">
        <f t="shared" si="22"/>
        <v>0</v>
      </c>
      <c r="B277" s="15">
        <f t="shared" si="23"/>
        <v>0</v>
      </c>
      <c r="C277" s="15">
        <f t="shared" si="24"/>
        <v>0</v>
      </c>
      <c r="D277" s="15">
        <f t="shared" si="25"/>
        <v>0</v>
      </c>
      <c r="E277" s="70">
        <v>46245.166666666664</v>
      </c>
      <c r="F277" s="76">
        <v>499.99990000000003</v>
      </c>
      <c r="G277" s="71">
        <v>150</v>
      </c>
      <c r="H277" s="71">
        <v>649.99990000000003</v>
      </c>
      <c r="I277" s="71">
        <v>0</v>
      </c>
      <c r="J277" s="76">
        <v>2.513325</v>
      </c>
      <c r="K277" s="71">
        <v>4500.3689999999997</v>
      </c>
      <c r="L277" s="29">
        <f t="shared" si="26"/>
        <v>0</v>
      </c>
      <c r="DP277" s="15"/>
    </row>
    <row r="278" spans="1:120">
      <c r="A278" s="15">
        <f t="shared" si="22"/>
        <v>0</v>
      </c>
      <c r="B278" s="15">
        <f t="shared" si="23"/>
        <v>0</v>
      </c>
      <c r="C278" s="15">
        <f t="shared" si="24"/>
        <v>0</v>
      </c>
      <c r="D278" s="15">
        <f t="shared" si="25"/>
        <v>0</v>
      </c>
      <c r="E278" s="70">
        <v>46245.208333333336</v>
      </c>
      <c r="F278" s="76">
        <v>499.99990000000003</v>
      </c>
      <c r="G278" s="71">
        <v>150</v>
      </c>
      <c r="H278" s="71">
        <v>649.99990000000003</v>
      </c>
      <c r="I278" s="71">
        <v>0</v>
      </c>
      <c r="J278" s="76">
        <v>1.328843</v>
      </c>
      <c r="K278" s="71">
        <v>4488.2460000000001</v>
      </c>
      <c r="L278" s="29">
        <f t="shared" si="26"/>
        <v>0</v>
      </c>
      <c r="DP278" s="15"/>
    </row>
    <row r="279" spans="1:120">
      <c r="A279" s="15">
        <f t="shared" si="22"/>
        <v>0</v>
      </c>
      <c r="B279" s="15">
        <f t="shared" si="23"/>
        <v>0</v>
      </c>
      <c r="C279" s="15">
        <f t="shared" si="24"/>
        <v>0</v>
      </c>
      <c r="D279" s="15">
        <f t="shared" si="25"/>
        <v>0</v>
      </c>
      <c r="E279" s="70">
        <v>46245.25</v>
      </c>
      <c r="F279" s="76">
        <v>499.99990000000003</v>
      </c>
      <c r="G279" s="71">
        <v>150</v>
      </c>
      <c r="H279" s="71">
        <v>649.99990000000003</v>
      </c>
      <c r="I279" s="71">
        <v>0</v>
      </c>
      <c r="J279" s="76">
        <v>0.943824</v>
      </c>
      <c r="K279" s="71">
        <v>4484.3050000000003</v>
      </c>
      <c r="L279" s="29">
        <f t="shared" si="26"/>
        <v>0</v>
      </c>
      <c r="DP279" s="15"/>
    </row>
    <row r="280" spans="1:120">
      <c r="A280" s="15">
        <f t="shared" si="22"/>
        <v>0</v>
      </c>
      <c r="B280" s="15">
        <f t="shared" si="23"/>
        <v>0</v>
      </c>
      <c r="C280" s="15">
        <f t="shared" si="24"/>
        <v>0</v>
      </c>
      <c r="D280" s="15">
        <f t="shared" si="25"/>
        <v>0</v>
      </c>
      <c r="E280" s="70">
        <v>46245.291666666664</v>
      </c>
      <c r="F280" s="76">
        <v>499.99990000000003</v>
      </c>
      <c r="G280" s="71">
        <v>150</v>
      </c>
      <c r="H280" s="71">
        <v>649.99990000000003</v>
      </c>
      <c r="I280" s="71">
        <v>0</v>
      </c>
      <c r="J280" s="76">
        <v>0.49201600000000001</v>
      </c>
      <c r="K280" s="71">
        <v>4493.5860000000002</v>
      </c>
      <c r="L280" s="29">
        <f t="shared" si="26"/>
        <v>0</v>
      </c>
      <c r="DP280" s="15"/>
    </row>
    <row r="281" spans="1:120">
      <c r="A281" s="15">
        <f t="shared" si="22"/>
        <v>0</v>
      </c>
      <c r="B281" s="15">
        <f t="shared" si="23"/>
        <v>0</v>
      </c>
      <c r="C281" s="15">
        <f t="shared" si="24"/>
        <v>0</v>
      </c>
      <c r="D281" s="15">
        <f t="shared" si="25"/>
        <v>0</v>
      </c>
      <c r="E281" s="70">
        <v>46245.333333333336</v>
      </c>
      <c r="F281" s="76">
        <v>499.99990000000003</v>
      </c>
      <c r="G281" s="71">
        <v>150</v>
      </c>
      <c r="H281" s="71">
        <v>649.99990000000003</v>
      </c>
      <c r="I281" s="71">
        <v>0</v>
      </c>
      <c r="J281" s="76">
        <v>0.34515400000000002</v>
      </c>
      <c r="K281" s="71">
        <v>4496.6030000000001</v>
      </c>
      <c r="L281" s="29">
        <f t="shared" si="26"/>
        <v>0</v>
      </c>
      <c r="DP281" s="15"/>
    </row>
    <row r="282" spans="1:120">
      <c r="A282" s="15">
        <f t="shared" si="22"/>
        <v>0</v>
      </c>
      <c r="B282" s="15">
        <f t="shared" si="23"/>
        <v>0</v>
      </c>
      <c r="C282" s="15">
        <f t="shared" si="24"/>
        <v>0</v>
      </c>
      <c r="D282" s="15">
        <f t="shared" si="25"/>
        <v>0</v>
      </c>
      <c r="E282" s="70">
        <v>46245.375</v>
      </c>
      <c r="F282" s="76">
        <v>499.02379999999999</v>
      </c>
      <c r="G282" s="71">
        <v>150</v>
      </c>
      <c r="H282" s="71">
        <v>649.99990000000003</v>
      </c>
      <c r="I282" s="71">
        <v>0</v>
      </c>
      <c r="J282" s="76">
        <v>0.177838</v>
      </c>
      <c r="K282" s="71">
        <v>4494.6019999999999</v>
      </c>
      <c r="L282" s="29">
        <f t="shared" si="26"/>
        <v>0</v>
      </c>
      <c r="DP282" s="15"/>
    </row>
    <row r="283" spans="1:120">
      <c r="A283" s="15">
        <f t="shared" si="22"/>
        <v>0</v>
      </c>
      <c r="B283" s="15">
        <f t="shared" si="23"/>
        <v>0</v>
      </c>
      <c r="C283" s="15">
        <f t="shared" si="24"/>
        <v>0</v>
      </c>
      <c r="D283" s="15">
        <f t="shared" si="25"/>
        <v>0</v>
      </c>
      <c r="E283" s="70">
        <v>46245.416666666664</v>
      </c>
      <c r="F283" s="76">
        <v>498.92660000000001</v>
      </c>
      <c r="G283" s="71">
        <v>150</v>
      </c>
      <c r="H283" s="71">
        <v>649.99990000000003</v>
      </c>
      <c r="I283" s="71">
        <v>0</v>
      </c>
      <c r="J283" s="76">
        <v>0.12345100000000001</v>
      </c>
      <c r="K283" s="71">
        <v>4493.7700000000004</v>
      </c>
      <c r="L283" s="29">
        <f t="shared" si="26"/>
        <v>0</v>
      </c>
      <c r="DP283" s="15"/>
    </row>
    <row r="284" spans="1:120">
      <c r="A284" s="15">
        <f t="shared" si="22"/>
        <v>0</v>
      </c>
      <c r="B284" s="15">
        <f t="shared" si="23"/>
        <v>0</v>
      </c>
      <c r="C284" s="15">
        <f t="shared" si="24"/>
        <v>0</v>
      </c>
      <c r="D284" s="15">
        <f t="shared" si="25"/>
        <v>0</v>
      </c>
      <c r="E284" s="70">
        <v>46245.458333333336</v>
      </c>
      <c r="F284" s="76">
        <v>480.04500000000002</v>
      </c>
      <c r="G284" s="71">
        <v>150</v>
      </c>
      <c r="H284" s="71">
        <v>649.99779999999998</v>
      </c>
      <c r="I284" s="71">
        <v>0</v>
      </c>
      <c r="J284" s="76">
        <v>6.2984999999999999E-2</v>
      </c>
      <c r="K284" s="71">
        <v>4497.7190000000001</v>
      </c>
      <c r="L284" s="29">
        <f t="shared" si="26"/>
        <v>0</v>
      </c>
      <c r="DP284" s="15"/>
    </row>
    <row r="285" spans="1:120">
      <c r="A285" s="15">
        <f t="shared" si="22"/>
        <v>0</v>
      </c>
      <c r="B285" s="15">
        <f t="shared" si="23"/>
        <v>0</v>
      </c>
      <c r="C285" s="15">
        <f t="shared" si="24"/>
        <v>0</v>
      </c>
      <c r="D285" s="15">
        <f t="shared" si="25"/>
        <v>0</v>
      </c>
      <c r="E285" s="70">
        <v>46245.5</v>
      </c>
      <c r="F285" s="76">
        <v>478.1635</v>
      </c>
      <c r="G285" s="76">
        <v>150</v>
      </c>
      <c r="H285" s="71">
        <v>649.99760000000003</v>
      </c>
      <c r="I285" s="71">
        <v>0</v>
      </c>
      <c r="J285" s="76">
        <v>4.3331000000000001E-2</v>
      </c>
      <c r="K285" s="71">
        <v>4499.0029999999997</v>
      </c>
      <c r="L285" s="29">
        <f t="shared" si="26"/>
        <v>0</v>
      </c>
      <c r="DP285" s="15"/>
    </row>
    <row r="286" spans="1:120">
      <c r="A286" s="15">
        <f t="shared" si="22"/>
        <v>0</v>
      </c>
      <c r="B286" s="15">
        <f t="shared" si="23"/>
        <v>0</v>
      </c>
      <c r="C286" s="15">
        <f t="shared" si="24"/>
        <v>0</v>
      </c>
      <c r="D286" s="15">
        <f t="shared" si="25"/>
        <v>0</v>
      </c>
      <c r="E286" s="70">
        <v>46245.541666666664</v>
      </c>
      <c r="F286" s="76">
        <v>355.56330000000003</v>
      </c>
      <c r="G286" s="76">
        <v>150</v>
      </c>
      <c r="H286" s="71">
        <v>649.94090000000006</v>
      </c>
      <c r="I286" s="71">
        <v>0</v>
      </c>
      <c r="J286" s="76">
        <v>2.1923000000000002E-2</v>
      </c>
      <c r="K286" s="71">
        <v>4511.9399999999996</v>
      </c>
      <c r="L286" s="29">
        <f t="shared" si="26"/>
        <v>0</v>
      </c>
      <c r="DP286" s="15"/>
    </row>
    <row r="287" spans="1:120">
      <c r="A287" s="15">
        <f t="shared" si="22"/>
        <v>0</v>
      </c>
      <c r="B287" s="15">
        <f t="shared" si="23"/>
        <v>0</v>
      </c>
      <c r="C287" s="15">
        <f t="shared" si="24"/>
        <v>0</v>
      </c>
      <c r="D287" s="15">
        <f t="shared" si="25"/>
        <v>0</v>
      </c>
      <c r="E287" s="70">
        <v>46245.583333333336</v>
      </c>
      <c r="F287" s="76">
        <v>343.34660000000002</v>
      </c>
      <c r="G287" s="76">
        <v>150</v>
      </c>
      <c r="H287" s="71">
        <v>649.93520000000001</v>
      </c>
      <c r="I287" s="71">
        <v>0</v>
      </c>
      <c r="J287" s="76">
        <v>1.4964999999999999E-2</v>
      </c>
      <c r="K287" s="71">
        <v>4513.1019999999999</v>
      </c>
      <c r="L287" s="29">
        <f t="shared" si="26"/>
        <v>0</v>
      </c>
      <c r="DP287" s="15"/>
    </row>
    <row r="288" spans="1:120">
      <c r="A288" s="15">
        <f t="shared" si="22"/>
        <v>0</v>
      </c>
      <c r="B288" s="15">
        <f t="shared" si="23"/>
        <v>0</v>
      </c>
      <c r="C288" s="15">
        <f t="shared" si="24"/>
        <v>0</v>
      </c>
      <c r="D288" s="15">
        <f t="shared" si="25"/>
        <v>0</v>
      </c>
      <c r="E288" s="70">
        <v>46245.625</v>
      </c>
      <c r="F288" s="76">
        <v>70.664259999999999</v>
      </c>
      <c r="G288" s="76">
        <v>150</v>
      </c>
      <c r="H288" s="71">
        <v>649.16380000000004</v>
      </c>
      <c r="I288" s="71">
        <v>0</v>
      </c>
      <c r="J288" s="76">
        <v>7.5170000000000002E-3</v>
      </c>
      <c r="K288" s="71">
        <v>4514.5349999999999</v>
      </c>
      <c r="L288" s="29">
        <f t="shared" si="26"/>
        <v>0</v>
      </c>
      <c r="DP288" s="15"/>
    </row>
    <row r="289" spans="1:120">
      <c r="A289" s="15">
        <f t="shared" si="22"/>
        <v>0</v>
      </c>
      <c r="B289" s="15">
        <f t="shared" si="23"/>
        <v>0</v>
      </c>
      <c r="C289" s="15">
        <f t="shared" si="24"/>
        <v>0</v>
      </c>
      <c r="D289" s="15">
        <f t="shared" si="25"/>
        <v>0</v>
      </c>
      <c r="E289" s="70">
        <v>46245.666666666664</v>
      </c>
      <c r="F289" s="76">
        <v>43.492420000000003</v>
      </c>
      <c r="G289" s="76">
        <v>150</v>
      </c>
      <c r="H289" s="71">
        <v>649.08690000000001</v>
      </c>
      <c r="I289" s="71">
        <v>0</v>
      </c>
      <c r="J289" s="76">
        <v>5.0959999999999998E-3</v>
      </c>
      <c r="K289" s="71">
        <v>4515</v>
      </c>
      <c r="L289" s="29">
        <f t="shared" si="26"/>
        <v>0</v>
      </c>
      <c r="DP289" s="15"/>
    </row>
    <row r="290" spans="1:120">
      <c r="A290" s="15">
        <f t="shared" si="22"/>
        <v>0</v>
      </c>
      <c r="B290" s="15">
        <f t="shared" si="23"/>
        <v>0</v>
      </c>
      <c r="C290" s="15">
        <f t="shared" si="24"/>
        <v>0</v>
      </c>
      <c r="D290" s="15">
        <f t="shared" si="25"/>
        <v>0</v>
      </c>
      <c r="E290" s="70">
        <v>46245.708333333336</v>
      </c>
      <c r="F290" s="76">
        <v>7.4233729999999998</v>
      </c>
      <c r="G290" s="76">
        <v>150</v>
      </c>
      <c r="H290" s="71">
        <v>643.12369999999999</v>
      </c>
      <c r="I290" s="71">
        <v>0</v>
      </c>
      <c r="J290" s="76">
        <v>2.5439999999999998E-3</v>
      </c>
      <c r="K290" s="71">
        <v>4593.42</v>
      </c>
      <c r="L290" s="29">
        <f t="shared" si="26"/>
        <v>0</v>
      </c>
      <c r="DP290" s="15"/>
    </row>
    <row r="291" spans="1:120">
      <c r="A291" s="15">
        <f t="shared" si="22"/>
        <v>0</v>
      </c>
      <c r="B291" s="15">
        <f t="shared" si="23"/>
        <v>0</v>
      </c>
      <c r="C291" s="15">
        <f t="shared" si="24"/>
        <v>0</v>
      </c>
      <c r="D291" s="15">
        <f t="shared" si="25"/>
        <v>0</v>
      </c>
      <c r="E291" s="70">
        <v>46245.75</v>
      </c>
      <c r="F291" s="76">
        <v>3.829218</v>
      </c>
      <c r="G291" s="76">
        <v>150</v>
      </c>
      <c r="H291" s="71">
        <v>642.52940000000001</v>
      </c>
      <c r="I291" s="71">
        <v>0</v>
      </c>
      <c r="J291" s="76">
        <v>1.714E-3</v>
      </c>
      <c r="K291" s="71">
        <v>4601.2120000000004</v>
      </c>
      <c r="L291" s="29">
        <f t="shared" si="26"/>
        <v>0</v>
      </c>
      <c r="DP291" s="15"/>
    </row>
    <row r="292" spans="1:120">
      <c r="A292" s="15">
        <f t="shared" si="22"/>
        <v>0</v>
      </c>
      <c r="B292" s="15">
        <f t="shared" si="23"/>
        <v>0</v>
      </c>
      <c r="C292" s="15">
        <f t="shared" si="24"/>
        <v>0</v>
      </c>
      <c r="D292" s="15">
        <f t="shared" si="25"/>
        <v>0</v>
      </c>
      <c r="E292" s="70">
        <v>46245.791666666664</v>
      </c>
      <c r="F292" s="76">
        <v>0.605271</v>
      </c>
      <c r="G292" s="76">
        <v>150</v>
      </c>
      <c r="H292" s="71">
        <v>614.97310000000004</v>
      </c>
      <c r="I292" s="71">
        <v>0</v>
      </c>
      <c r="J292" s="76">
        <v>8.5099999999999998E-4</v>
      </c>
      <c r="K292" s="71">
        <v>4601.6099999999997</v>
      </c>
      <c r="L292" s="29">
        <f t="shared" si="26"/>
        <v>0</v>
      </c>
      <c r="DP292" s="15"/>
    </row>
    <row r="293" spans="1:120">
      <c r="A293" s="15">
        <f t="shared" si="22"/>
        <v>0</v>
      </c>
      <c r="B293" s="15">
        <f t="shared" si="23"/>
        <v>0</v>
      </c>
      <c r="C293" s="15">
        <f t="shared" si="24"/>
        <v>0</v>
      </c>
      <c r="D293" s="15">
        <f t="shared" si="25"/>
        <v>0</v>
      </c>
      <c r="E293" s="70">
        <v>46245.833333333336</v>
      </c>
      <c r="F293" s="76">
        <v>0.28401599999999999</v>
      </c>
      <c r="G293" s="76">
        <v>150</v>
      </c>
      <c r="H293" s="71">
        <v>612.22720000000004</v>
      </c>
      <c r="I293" s="71">
        <v>0</v>
      </c>
      <c r="J293" s="76">
        <v>5.6999999999999998E-4</v>
      </c>
      <c r="K293" s="71">
        <v>4601.7550000000001</v>
      </c>
      <c r="L293" s="29">
        <f t="shared" si="26"/>
        <v>0</v>
      </c>
      <c r="DP293" s="15"/>
    </row>
    <row r="294" spans="1:120">
      <c r="A294" s="15">
        <f t="shared" si="22"/>
        <v>0</v>
      </c>
      <c r="B294" s="15">
        <f t="shared" si="23"/>
        <v>0</v>
      </c>
      <c r="C294" s="15">
        <f t="shared" si="24"/>
        <v>0</v>
      </c>
      <c r="D294" s="15">
        <f t="shared" si="25"/>
        <v>0</v>
      </c>
      <c r="E294" s="70">
        <v>46245.875</v>
      </c>
      <c r="F294" s="76">
        <v>4.3054000000000002E-2</v>
      </c>
      <c r="G294" s="76">
        <v>150</v>
      </c>
      <c r="H294" s="71">
        <v>536.59670000000006</v>
      </c>
      <c r="I294" s="71">
        <v>0</v>
      </c>
      <c r="J294" s="76">
        <v>2.8200000000000002E-4</v>
      </c>
      <c r="K294" s="71">
        <v>4777.29</v>
      </c>
      <c r="L294" s="29">
        <f t="shared" si="26"/>
        <v>0</v>
      </c>
      <c r="DP294" s="15"/>
    </row>
    <row r="295" spans="1:120">
      <c r="A295" s="15">
        <f t="shared" si="22"/>
        <v>0</v>
      </c>
      <c r="B295" s="15">
        <f t="shared" si="23"/>
        <v>0</v>
      </c>
      <c r="C295" s="15">
        <f t="shared" si="24"/>
        <v>0</v>
      </c>
      <c r="D295" s="15">
        <f t="shared" si="25"/>
        <v>0</v>
      </c>
      <c r="E295" s="70">
        <v>46245.916666666664</v>
      </c>
      <c r="F295" s="76">
        <v>1.9043000000000001E-2</v>
      </c>
      <c r="G295" s="76">
        <v>150</v>
      </c>
      <c r="H295" s="71">
        <v>529.06039999999996</v>
      </c>
      <c r="I295" s="71">
        <v>0</v>
      </c>
      <c r="J295" s="76">
        <v>1.8799999999999999E-4</v>
      </c>
      <c r="K295" s="71">
        <v>4794.7780000000002</v>
      </c>
      <c r="L295" s="29">
        <f t="shared" si="26"/>
        <v>0</v>
      </c>
      <c r="DP295" s="15"/>
    </row>
    <row r="296" spans="1:120">
      <c r="A296" s="15">
        <f t="shared" si="22"/>
        <v>0</v>
      </c>
      <c r="B296" s="15">
        <f t="shared" si="23"/>
        <v>0</v>
      </c>
      <c r="C296" s="15">
        <f t="shared" si="24"/>
        <v>0</v>
      </c>
      <c r="D296" s="15">
        <f t="shared" si="25"/>
        <v>0</v>
      </c>
      <c r="E296" s="70">
        <v>46245.958333333336</v>
      </c>
      <c r="F296" s="76">
        <v>2.8119999999999998E-3</v>
      </c>
      <c r="G296" s="76">
        <v>150</v>
      </c>
      <c r="H296" s="71">
        <v>411.44589999999999</v>
      </c>
      <c r="I296" s="71">
        <v>0</v>
      </c>
      <c r="J296" s="76">
        <v>9.2499999999999999E-5</v>
      </c>
      <c r="K296" s="71">
        <v>4792.8010000000004</v>
      </c>
      <c r="L296" s="29">
        <f t="shared" si="26"/>
        <v>0</v>
      </c>
      <c r="DP296" s="15"/>
    </row>
    <row r="297" spans="1:120">
      <c r="A297" s="15">
        <f t="shared" si="22"/>
        <v>0</v>
      </c>
      <c r="B297" s="15">
        <f t="shared" si="23"/>
        <v>0</v>
      </c>
      <c r="C297" s="15">
        <f t="shared" si="24"/>
        <v>0</v>
      </c>
      <c r="D297" s="15">
        <f t="shared" si="25"/>
        <v>0</v>
      </c>
      <c r="E297" s="70">
        <v>46246</v>
      </c>
      <c r="F297" s="76">
        <v>1.194E-3</v>
      </c>
      <c r="G297" s="76">
        <v>150</v>
      </c>
      <c r="H297" s="71">
        <v>399.726</v>
      </c>
      <c r="I297" s="71">
        <v>0</v>
      </c>
      <c r="J297" s="76">
        <v>6.1400000000000002E-5</v>
      </c>
      <c r="K297" s="71">
        <v>4792.6369999999997</v>
      </c>
      <c r="L297" s="29">
        <f t="shared" si="26"/>
        <v>0</v>
      </c>
      <c r="DP297" s="15"/>
    </row>
    <row r="298" spans="1:120">
      <c r="A298" s="15">
        <f t="shared" si="22"/>
        <v>0</v>
      </c>
      <c r="B298" s="15">
        <f t="shared" si="23"/>
        <v>0</v>
      </c>
      <c r="C298" s="15">
        <f t="shared" si="24"/>
        <v>0</v>
      </c>
      <c r="D298" s="15">
        <f t="shared" si="25"/>
        <v>0</v>
      </c>
      <c r="E298" s="70">
        <v>46246.041666666664</v>
      </c>
      <c r="F298" s="76">
        <v>1.73E-4</v>
      </c>
      <c r="G298" s="76">
        <v>150</v>
      </c>
      <c r="H298" s="71">
        <v>299.01179999999999</v>
      </c>
      <c r="I298" s="71">
        <v>0</v>
      </c>
      <c r="J298" s="76">
        <v>3.01E-5</v>
      </c>
      <c r="K298" s="71">
        <v>4894.0290000000005</v>
      </c>
      <c r="L298" s="29">
        <f t="shared" si="26"/>
        <v>0</v>
      </c>
      <c r="DP298" s="15"/>
    </row>
    <row r="299" spans="1:120">
      <c r="A299" s="15">
        <f t="shared" si="22"/>
        <v>0</v>
      </c>
      <c r="B299" s="15">
        <f t="shared" si="23"/>
        <v>0</v>
      </c>
      <c r="C299" s="15">
        <f t="shared" si="24"/>
        <v>0</v>
      </c>
      <c r="D299" s="15">
        <f t="shared" si="25"/>
        <v>0</v>
      </c>
      <c r="E299" s="70">
        <v>46246.083333333336</v>
      </c>
      <c r="F299" s="76">
        <v>7.1400000000000001E-5</v>
      </c>
      <c r="G299" s="76">
        <v>150</v>
      </c>
      <c r="H299" s="71">
        <v>288.976</v>
      </c>
      <c r="I299" s="71">
        <v>0</v>
      </c>
      <c r="J299" s="76">
        <v>1.9899999999999999E-5</v>
      </c>
      <c r="K299" s="71">
        <v>4904.1319999999996</v>
      </c>
      <c r="L299" s="29">
        <f t="shared" si="26"/>
        <v>0</v>
      </c>
      <c r="DP299" s="15"/>
    </row>
    <row r="300" spans="1:120">
      <c r="A300" s="15">
        <f t="shared" si="22"/>
        <v>0</v>
      </c>
      <c r="B300" s="15">
        <f t="shared" si="23"/>
        <v>0</v>
      </c>
      <c r="C300" s="15">
        <f t="shared" si="24"/>
        <v>0</v>
      </c>
      <c r="D300" s="15">
        <f t="shared" si="25"/>
        <v>0</v>
      </c>
      <c r="E300" s="70">
        <v>46246.125</v>
      </c>
      <c r="F300" s="76">
        <v>1.0200000000000001E-5</v>
      </c>
      <c r="G300" s="76">
        <v>150</v>
      </c>
      <c r="H300" s="71">
        <v>225.2475</v>
      </c>
      <c r="I300" s="71">
        <v>0</v>
      </c>
      <c r="J300" s="76">
        <v>9.7200000000000001E-6</v>
      </c>
      <c r="K300" s="71">
        <v>4879.2179999999998</v>
      </c>
      <c r="L300" s="29">
        <f t="shared" si="26"/>
        <v>0</v>
      </c>
      <c r="DP300" s="15"/>
    </row>
    <row r="301" spans="1:120">
      <c r="A301" s="15">
        <f t="shared" si="22"/>
        <v>0</v>
      </c>
      <c r="B301" s="15">
        <f t="shared" si="23"/>
        <v>0</v>
      </c>
      <c r="C301" s="15">
        <f t="shared" si="24"/>
        <v>0</v>
      </c>
      <c r="D301" s="15">
        <f t="shared" si="25"/>
        <v>0</v>
      </c>
      <c r="E301" s="70">
        <v>46246.166666666664</v>
      </c>
      <c r="F301" s="76">
        <v>4.1200000000000004E-6</v>
      </c>
      <c r="G301" s="76">
        <v>150</v>
      </c>
      <c r="H301" s="71">
        <v>218.8972</v>
      </c>
      <c r="I301" s="71">
        <v>0</v>
      </c>
      <c r="J301" s="76">
        <v>6.4099999999999996E-6</v>
      </c>
      <c r="K301" s="71">
        <v>4876.7439999999997</v>
      </c>
      <c r="L301" s="29">
        <f t="shared" si="26"/>
        <v>0</v>
      </c>
      <c r="DP301" s="15"/>
    </row>
    <row r="302" spans="1:120">
      <c r="A302" s="15">
        <f t="shared" si="22"/>
        <v>0</v>
      </c>
      <c r="B302" s="15">
        <f t="shared" si="23"/>
        <v>0</v>
      </c>
      <c r="C302" s="15">
        <f t="shared" si="24"/>
        <v>0</v>
      </c>
      <c r="D302" s="15">
        <f t="shared" si="25"/>
        <v>0</v>
      </c>
      <c r="E302" s="70">
        <v>46246.208333333336</v>
      </c>
      <c r="F302" s="76">
        <v>5.8400000000000004E-7</v>
      </c>
      <c r="G302" s="76">
        <v>150</v>
      </c>
      <c r="H302" s="71">
        <v>184.9597</v>
      </c>
      <c r="I302" s="71">
        <v>0</v>
      </c>
      <c r="J302" s="76">
        <v>3.1200000000000002E-6</v>
      </c>
      <c r="K302" s="71">
        <v>4868.2060000000001</v>
      </c>
      <c r="L302" s="29">
        <f t="shared" si="26"/>
        <v>0</v>
      </c>
      <c r="DP302" s="15"/>
    </row>
    <row r="303" spans="1:120">
      <c r="A303" s="15">
        <f t="shared" si="22"/>
        <v>0</v>
      </c>
      <c r="B303" s="15">
        <f t="shared" si="23"/>
        <v>0</v>
      </c>
      <c r="C303" s="15">
        <f t="shared" si="24"/>
        <v>0</v>
      </c>
      <c r="D303" s="15">
        <f t="shared" si="25"/>
        <v>0</v>
      </c>
      <c r="E303" s="70">
        <v>46246.25</v>
      </c>
      <c r="F303" s="76">
        <v>2.3099999999999999E-7</v>
      </c>
      <c r="G303" s="76">
        <v>150</v>
      </c>
      <c r="H303" s="71">
        <v>181.5779</v>
      </c>
      <c r="I303" s="71">
        <v>0</v>
      </c>
      <c r="J303" s="76">
        <v>2.0499999999999999E-6</v>
      </c>
      <c r="K303" s="71">
        <v>4867.3549999999996</v>
      </c>
      <c r="L303" s="29">
        <f t="shared" si="26"/>
        <v>0</v>
      </c>
      <c r="DP303" s="15"/>
    </row>
    <row r="304" spans="1:120">
      <c r="A304" s="15">
        <f t="shared" si="22"/>
        <v>0</v>
      </c>
      <c r="B304" s="15">
        <f t="shared" si="23"/>
        <v>0</v>
      </c>
      <c r="C304" s="15">
        <f t="shared" si="24"/>
        <v>0</v>
      </c>
      <c r="D304" s="15">
        <f t="shared" si="25"/>
        <v>0</v>
      </c>
      <c r="E304" s="70">
        <v>46246.291666666664</v>
      </c>
      <c r="F304" s="76">
        <v>3.25E-8</v>
      </c>
      <c r="G304" s="76">
        <v>150</v>
      </c>
      <c r="H304" s="71">
        <v>165.3349</v>
      </c>
      <c r="I304" s="71">
        <v>0</v>
      </c>
      <c r="J304" s="76">
        <v>9.9399999999999993E-7</v>
      </c>
      <c r="K304" s="71">
        <v>4779.4269999999997</v>
      </c>
      <c r="L304" s="29">
        <f t="shared" si="26"/>
        <v>0</v>
      </c>
      <c r="DP304" s="15"/>
    </row>
    <row r="305" spans="1:120">
      <c r="A305" s="15">
        <f t="shared" si="22"/>
        <v>0</v>
      </c>
      <c r="B305" s="15">
        <f t="shared" si="23"/>
        <v>0</v>
      </c>
      <c r="C305" s="15">
        <f t="shared" si="24"/>
        <v>0</v>
      </c>
      <c r="D305" s="15">
        <f t="shared" si="25"/>
        <v>0</v>
      </c>
      <c r="E305" s="70">
        <v>46246.333333333336</v>
      </c>
      <c r="F305" s="76">
        <v>1.27E-8</v>
      </c>
      <c r="G305" s="76">
        <v>150</v>
      </c>
      <c r="H305" s="76">
        <v>163.71639999999999</v>
      </c>
      <c r="I305" s="71">
        <v>0</v>
      </c>
      <c r="J305" s="76">
        <v>6.5199999999999996E-7</v>
      </c>
      <c r="K305" s="71">
        <v>4770.6670000000004</v>
      </c>
      <c r="L305" s="29">
        <f t="shared" si="26"/>
        <v>0</v>
      </c>
      <c r="DP305" s="15"/>
    </row>
    <row r="306" spans="1:120">
      <c r="A306" s="15">
        <f t="shared" si="22"/>
        <v>0</v>
      </c>
      <c r="B306" s="15">
        <f t="shared" si="23"/>
        <v>0</v>
      </c>
      <c r="C306" s="15">
        <f t="shared" si="24"/>
        <v>0</v>
      </c>
      <c r="D306" s="15">
        <f t="shared" si="25"/>
        <v>0</v>
      </c>
      <c r="E306" s="70">
        <v>46246.375</v>
      </c>
      <c r="F306" s="76">
        <v>1.7800000000000001E-9</v>
      </c>
      <c r="G306" s="76">
        <v>150</v>
      </c>
      <c r="H306" s="76">
        <v>156.46379999999999</v>
      </c>
      <c r="I306" s="71">
        <v>0</v>
      </c>
      <c r="J306" s="76">
        <v>3.15E-7</v>
      </c>
      <c r="K306" s="71">
        <v>4703.5420000000004</v>
      </c>
      <c r="L306" s="29">
        <f t="shared" si="26"/>
        <v>0</v>
      </c>
      <c r="DP306" s="15"/>
    </row>
    <row r="307" spans="1:120">
      <c r="A307" s="15">
        <f t="shared" ref="A307:A358" si="27">AC307</f>
        <v>0</v>
      </c>
      <c r="B307" s="15">
        <f t="shared" si="23"/>
        <v>0</v>
      </c>
      <c r="C307" s="15">
        <f t="shared" si="24"/>
        <v>0</v>
      </c>
      <c r="D307" s="15">
        <f t="shared" si="25"/>
        <v>0</v>
      </c>
      <c r="E307" s="70">
        <v>46246.416666666664</v>
      </c>
      <c r="F307" s="76">
        <v>6.8600000000000001E-10</v>
      </c>
      <c r="G307" s="76">
        <v>150</v>
      </c>
      <c r="H307" s="76">
        <v>155.74109999999999</v>
      </c>
      <c r="I307" s="71">
        <v>0</v>
      </c>
      <c r="J307" s="76">
        <v>2.0599999999999999E-7</v>
      </c>
      <c r="K307" s="71">
        <v>4696.8530000000001</v>
      </c>
      <c r="L307" s="29">
        <f t="shared" si="26"/>
        <v>0</v>
      </c>
      <c r="DP307" s="15"/>
    </row>
    <row r="308" spans="1:120">
      <c r="A308" s="15">
        <f t="shared" si="27"/>
        <v>0</v>
      </c>
      <c r="B308" s="15">
        <f t="shared" si="23"/>
        <v>0</v>
      </c>
      <c r="C308" s="15">
        <f t="shared" si="24"/>
        <v>0</v>
      </c>
      <c r="D308" s="15">
        <f t="shared" si="25"/>
        <v>0</v>
      </c>
      <c r="E308" s="70">
        <v>46246.458333333336</v>
      </c>
      <c r="F308" s="76">
        <v>9.5200000000000005E-11</v>
      </c>
      <c r="G308" s="76">
        <v>150</v>
      </c>
      <c r="H308" s="76">
        <v>152.65010000000001</v>
      </c>
      <c r="I308" s="71">
        <v>0</v>
      </c>
      <c r="J308" s="76">
        <v>9.9499999999999998E-8</v>
      </c>
      <c r="K308" s="71">
        <v>4626.9830000000002</v>
      </c>
      <c r="L308" s="29">
        <f t="shared" si="26"/>
        <v>0</v>
      </c>
      <c r="DP308" s="15"/>
    </row>
    <row r="309" spans="1:120">
      <c r="A309" s="15">
        <f t="shared" si="27"/>
        <v>0</v>
      </c>
      <c r="B309" s="15">
        <f t="shared" si="23"/>
        <v>0</v>
      </c>
      <c r="C309" s="15">
        <f t="shared" si="24"/>
        <v>0</v>
      </c>
      <c r="D309" s="15">
        <f t="shared" si="25"/>
        <v>0</v>
      </c>
      <c r="E309" s="70">
        <v>46246.5</v>
      </c>
      <c r="F309" s="76">
        <v>3.6399999999999998E-11</v>
      </c>
      <c r="G309" s="76">
        <v>150</v>
      </c>
      <c r="H309" s="76">
        <v>152.34209999999999</v>
      </c>
      <c r="I309" s="71">
        <v>0</v>
      </c>
      <c r="J309" s="76">
        <v>6.4799999999999998E-8</v>
      </c>
      <c r="K309" s="71">
        <v>4620.0209999999997</v>
      </c>
      <c r="L309" s="29">
        <f t="shared" si="26"/>
        <v>0</v>
      </c>
      <c r="DP309" s="15"/>
    </row>
    <row r="310" spans="1:120">
      <c r="A310" s="15">
        <f t="shared" si="27"/>
        <v>0</v>
      </c>
      <c r="B310" s="15">
        <f t="shared" si="23"/>
        <v>0</v>
      </c>
      <c r="C310" s="15">
        <f t="shared" si="24"/>
        <v>0</v>
      </c>
      <c r="D310" s="15">
        <f t="shared" si="25"/>
        <v>0</v>
      </c>
      <c r="E310" s="70">
        <v>46246.541666666664</v>
      </c>
      <c r="F310" s="76">
        <v>5.0400000000000003E-12</v>
      </c>
      <c r="G310" s="76">
        <v>150</v>
      </c>
      <c r="H310" s="76">
        <v>151.0658</v>
      </c>
      <c r="I310" s="71">
        <v>0</v>
      </c>
      <c r="J310" s="76">
        <v>3.1200000000000001E-8</v>
      </c>
      <c r="K310" s="71">
        <v>4577.9290000000001</v>
      </c>
      <c r="L310" s="29">
        <f t="shared" si="26"/>
        <v>0</v>
      </c>
      <c r="DP310" s="15"/>
    </row>
    <row r="311" spans="1:120">
      <c r="A311" s="15">
        <f t="shared" si="27"/>
        <v>0</v>
      </c>
      <c r="B311" s="15">
        <f t="shared" si="23"/>
        <v>0</v>
      </c>
      <c r="C311" s="15">
        <f t="shared" si="24"/>
        <v>0</v>
      </c>
      <c r="D311" s="15">
        <f t="shared" si="25"/>
        <v>0</v>
      </c>
      <c r="E311" s="70">
        <v>46246.583333333336</v>
      </c>
      <c r="F311" s="76">
        <v>1.9100000000000001E-12</v>
      </c>
      <c r="G311" s="76">
        <v>150</v>
      </c>
      <c r="H311" s="76">
        <v>150.93870000000001</v>
      </c>
      <c r="I311" s="71">
        <v>0</v>
      </c>
      <c r="J311" s="76">
        <v>2.03E-8</v>
      </c>
      <c r="K311" s="71">
        <v>4573.7349999999997</v>
      </c>
      <c r="L311" s="29">
        <f t="shared" si="26"/>
        <v>0</v>
      </c>
      <c r="DP311" s="15"/>
    </row>
    <row r="312" spans="1:120">
      <c r="A312" s="15">
        <f t="shared" si="27"/>
        <v>0</v>
      </c>
      <c r="B312" s="15">
        <f t="shared" si="23"/>
        <v>0</v>
      </c>
      <c r="C312" s="15">
        <f t="shared" si="24"/>
        <v>0</v>
      </c>
      <c r="D312" s="15">
        <f t="shared" si="25"/>
        <v>0</v>
      </c>
      <c r="E312" s="70">
        <v>46246.625</v>
      </c>
      <c r="F312" s="76">
        <v>2.6299999999999999E-13</v>
      </c>
      <c r="G312" s="76">
        <v>150</v>
      </c>
      <c r="H312" s="76">
        <v>150.423</v>
      </c>
      <c r="I312" s="71">
        <v>0</v>
      </c>
      <c r="J312" s="76">
        <v>9.7599999999999994E-9</v>
      </c>
      <c r="K312" s="71">
        <v>4542.884</v>
      </c>
      <c r="L312" s="29">
        <f t="shared" si="26"/>
        <v>0</v>
      </c>
      <c r="DP312" s="15"/>
    </row>
    <row r="313" spans="1:120">
      <c r="A313" s="15">
        <f t="shared" si="27"/>
        <v>0</v>
      </c>
      <c r="B313" s="15">
        <f t="shared" si="23"/>
        <v>0</v>
      </c>
      <c r="C313" s="15">
        <f t="shared" si="24"/>
        <v>0</v>
      </c>
      <c r="D313" s="15">
        <f t="shared" si="25"/>
        <v>0</v>
      </c>
      <c r="E313" s="70">
        <v>46246.666666666664</v>
      </c>
      <c r="F313" s="76">
        <v>9.9100000000000002E-14</v>
      </c>
      <c r="G313" s="76">
        <v>150</v>
      </c>
      <c r="H313" s="76">
        <v>150.3716</v>
      </c>
      <c r="I313" s="71">
        <v>0</v>
      </c>
      <c r="J313" s="76">
        <v>6.34E-9</v>
      </c>
      <c r="K313" s="71">
        <v>4539.8100000000004</v>
      </c>
      <c r="L313" s="29">
        <f t="shared" si="26"/>
        <v>0</v>
      </c>
      <c r="DP313" s="15"/>
    </row>
    <row r="314" spans="1:120">
      <c r="A314" s="15">
        <f t="shared" si="27"/>
        <v>0</v>
      </c>
      <c r="B314" s="15">
        <f t="shared" si="23"/>
        <v>0</v>
      </c>
      <c r="C314" s="15">
        <f t="shared" si="24"/>
        <v>0</v>
      </c>
      <c r="D314" s="15">
        <f t="shared" si="25"/>
        <v>0</v>
      </c>
      <c r="E314" s="70">
        <v>46246.708333333336</v>
      </c>
      <c r="F314" s="76">
        <v>1.36E-14</v>
      </c>
      <c r="G314" s="76">
        <v>150</v>
      </c>
      <c r="H314" s="76">
        <v>150.16640000000001</v>
      </c>
      <c r="I314" s="71">
        <v>0</v>
      </c>
      <c r="J314" s="76">
        <v>3.0399999999999998E-9</v>
      </c>
      <c r="K314" s="71">
        <v>4523.7439999999997</v>
      </c>
      <c r="L314" s="29">
        <f t="shared" si="26"/>
        <v>0</v>
      </c>
      <c r="DP314" s="15"/>
    </row>
    <row r="315" spans="1:120">
      <c r="A315" s="15">
        <f t="shared" si="27"/>
        <v>0</v>
      </c>
      <c r="B315" s="15">
        <f t="shared" si="23"/>
        <v>0</v>
      </c>
      <c r="C315" s="15">
        <f t="shared" si="24"/>
        <v>0</v>
      </c>
      <c r="D315" s="15">
        <f t="shared" si="25"/>
        <v>0</v>
      </c>
      <c r="E315" s="70">
        <v>46246.75</v>
      </c>
      <c r="F315" s="76">
        <v>5.0900000000000003E-15</v>
      </c>
      <c r="G315" s="76">
        <v>150</v>
      </c>
      <c r="H315" s="76">
        <v>150.14590000000001</v>
      </c>
      <c r="I315" s="71">
        <v>0</v>
      </c>
      <c r="J315" s="76">
        <v>1.97E-9</v>
      </c>
      <c r="K315" s="71">
        <v>4522.143</v>
      </c>
      <c r="L315" s="29">
        <f t="shared" si="26"/>
        <v>0</v>
      </c>
      <c r="DP315" s="15"/>
    </row>
    <row r="316" spans="1:120">
      <c r="A316" s="15">
        <f t="shared" si="27"/>
        <v>0</v>
      </c>
      <c r="B316" s="15">
        <f t="shared" si="23"/>
        <v>0</v>
      </c>
      <c r="C316" s="15">
        <f t="shared" si="24"/>
        <v>0</v>
      </c>
      <c r="D316" s="15">
        <f t="shared" si="25"/>
        <v>0</v>
      </c>
      <c r="E316" s="70">
        <v>46246.791666666664</v>
      </c>
      <c r="F316" s="76">
        <v>6.98E-16</v>
      </c>
      <c r="G316" s="76">
        <v>150</v>
      </c>
      <c r="H316" s="76">
        <v>150.065</v>
      </c>
      <c r="I316" s="71">
        <v>0</v>
      </c>
      <c r="J316" s="76">
        <v>9.4299999999999995E-10</v>
      </c>
      <c r="K316" s="71">
        <v>4512.0190000000002</v>
      </c>
      <c r="L316" s="29">
        <f t="shared" si="26"/>
        <v>0</v>
      </c>
      <c r="DP316" s="15"/>
    </row>
    <row r="317" spans="1:120">
      <c r="A317" s="15">
        <f t="shared" si="27"/>
        <v>0</v>
      </c>
      <c r="B317" s="15">
        <f t="shared" si="23"/>
        <v>0</v>
      </c>
      <c r="C317" s="15">
        <f t="shared" si="24"/>
        <v>0</v>
      </c>
      <c r="D317" s="15">
        <f t="shared" si="25"/>
        <v>0</v>
      </c>
      <c r="E317" s="70">
        <v>46246.833333333336</v>
      </c>
      <c r="F317" s="76">
        <v>2.5999999999999998E-16</v>
      </c>
      <c r="G317" s="76">
        <v>150</v>
      </c>
      <c r="H317" s="76">
        <v>150.05690000000001</v>
      </c>
      <c r="I317" s="71">
        <v>0</v>
      </c>
      <c r="J317" s="76">
        <v>6.0899999999999996E-10</v>
      </c>
      <c r="K317" s="71">
        <v>4511.01</v>
      </c>
      <c r="L317" s="29">
        <f t="shared" si="26"/>
        <v>0</v>
      </c>
      <c r="DP317" s="15"/>
    </row>
    <row r="318" spans="1:120">
      <c r="A318" s="15">
        <f t="shared" si="27"/>
        <v>0</v>
      </c>
      <c r="B318" s="15">
        <f t="shared" si="23"/>
        <v>0</v>
      </c>
      <c r="C318" s="15">
        <f t="shared" si="24"/>
        <v>0</v>
      </c>
      <c r="D318" s="15">
        <f t="shared" si="25"/>
        <v>0</v>
      </c>
      <c r="E318" s="70">
        <v>46246.875</v>
      </c>
      <c r="F318" s="76">
        <v>3.5499999999999998E-17</v>
      </c>
      <c r="G318" s="76">
        <v>150</v>
      </c>
      <c r="H318" s="76">
        <v>150.02529999999999</v>
      </c>
      <c r="I318" s="71">
        <v>0</v>
      </c>
      <c r="J318" s="76">
        <v>2.9099999999999998E-10</v>
      </c>
      <c r="K318" s="71">
        <v>4506.2370000000001</v>
      </c>
      <c r="L318" s="29">
        <f t="shared" si="26"/>
        <v>0</v>
      </c>
      <c r="DP318" s="15"/>
    </row>
    <row r="319" spans="1:120">
      <c r="A319" s="15">
        <f t="shared" si="27"/>
        <v>0</v>
      </c>
      <c r="B319" s="15">
        <f t="shared" si="23"/>
        <v>0</v>
      </c>
      <c r="C319" s="15">
        <f t="shared" si="24"/>
        <v>0</v>
      </c>
      <c r="D319" s="15">
        <f t="shared" si="25"/>
        <v>0</v>
      </c>
      <c r="E319" s="70">
        <v>46246.916666666664</v>
      </c>
      <c r="F319" s="76">
        <v>1.31E-17</v>
      </c>
      <c r="G319" s="76">
        <v>150</v>
      </c>
      <c r="H319" s="76">
        <v>150.02209999999999</v>
      </c>
      <c r="I319" s="71">
        <v>0</v>
      </c>
      <c r="J319" s="76">
        <v>1.88E-10</v>
      </c>
      <c r="K319" s="71">
        <v>4505.7619999999997</v>
      </c>
      <c r="L319" s="29">
        <f t="shared" si="26"/>
        <v>0</v>
      </c>
      <c r="DP319" s="15"/>
    </row>
    <row r="320" spans="1:120">
      <c r="A320" s="15">
        <f t="shared" si="27"/>
        <v>0</v>
      </c>
      <c r="B320" s="15">
        <f t="shared" si="23"/>
        <v>0</v>
      </c>
      <c r="C320" s="15">
        <f t="shared" si="24"/>
        <v>0</v>
      </c>
      <c r="D320" s="15">
        <f t="shared" si="25"/>
        <v>0</v>
      </c>
      <c r="E320" s="70">
        <v>46246.958333333336</v>
      </c>
      <c r="F320" s="76">
        <v>1.7900000000000001E-18</v>
      </c>
      <c r="G320" s="76">
        <v>150</v>
      </c>
      <c r="H320" s="76">
        <v>150.00980000000001</v>
      </c>
      <c r="I320" s="71">
        <v>0</v>
      </c>
      <c r="J320" s="76">
        <v>8.9800000000000003E-11</v>
      </c>
      <c r="K320" s="71">
        <v>4502.9719999999998</v>
      </c>
      <c r="L320" s="29">
        <f t="shared" si="26"/>
        <v>0</v>
      </c>
      <c r="DP320" s="15"/>
    </row>
    <row r="321" spans="1:120">
      <c r="A321" s="15">
        <f t="shared" si="27"/>
        <v>0</v>
      </c>
      <c r="B321" s="15">
        <f t="shared" si="23"/>
        <v>0</v>
      </c>
      <c r="C321" s="15">
        <f t="shared" si="24"/>
        <v>0</v>
      </c>
      <c r="D321" s="15">
        <f t="shared" si="25"/>
        <v>0</v>
      </c>
      <c r="E321" s="70">
        <v>46247</v>
      </c>
      <c r="F321" s="76">
        <v>6.6099999999999999E-19</v>
      </c>
      <c r="G321" s="76">
        <v>150</v>
      </c>
      <c r="H321" s="76">
        <v>150.0086</v>
      </c>
      <c r="I321" s="71">
        <v>0</v>
      </c>
      <c r="J321" s="76">
        <v>5.7799999999999997E-11</v>
      </c>
      <c r="K321" s="71">
        <v>4502.6940000000004</v>
      </c>
      <c r="L321" s="29">
        <f t="shared" si="26"/>
        <v>0</v>
      </c>
      <c r="DP321" s="15"/>
    </row>
    <row r="322" spans="1:120">
      <c r="A322" s="15">
        <f t="shared" si="27"/>
        <v>0</v>
      </c>
      <c r="B322" s="15">
        <f t="shared" si="23"/>
        <v>0</v>
      </c>
      <c r="C322" s="15">
        <f t="shared" si="24"/>
        <v>0</v>
      </c>
      <c r="D322" s="15">
        <f t="shared" si="25"/>
        <v>0</v>
      </c>
      <c r="E322" s="70">
        <v>46247.041666666664</v>
      </c>
      <c r="F322" s="76">
        <v>8.9899999999999999E-20</v>
      </c>
      <c r="G322" s="76">
        <v>150</v>
      </c>
      <c r="H322" s="76">
        <v>150.00380000000001</v>
      </c>
      <c r="I322" s="71">
        <v>0</v>
      </c>
      <c r="J322" s="76">
        <v>2.76E-11</v>
      </c>
      <c r="K322" s="71">
        <v>4501.4790000000003</v>
      </c>
      <c r="L322" s="29">
        <f t="shared" si="26"/>
        <v>0</v>
      </c>
      <c r="DP322" s="15"/>
    </row>
    <row r="323" spans="1:120">
      <c r="A323" s="15">
        <f t="shared" si="27"/>
        <v>0</v>
      </c>
      <c r="B323" s="15">
        <f t="shared" ref="B323:B374" si="28">AD323</f>
        <v>0</v>
      </c>
      <c r="C323" s="15">
        <f t="shared" ref="C323:C374" si="29">AE323</f>
        <v>0</v>
      </c>
      <c r="D323" s="15">
        <f t="shared" ref="D323:D374" si="30">AF323</f>
        <v>0</v>
      </c>
      <c r="E323" s="70">
        <v>46247.083333333336</v>
      </c>
      <c r="F323" s="76">
        <v>3.3E-20</v>
      </c>
      <c r="G323" s="76">
        <v>150</v>
      </c>
      <c r="H323" s="76">
        <v>150.0033</v>
      </c>
      <c r="I323" s="71">
        <v>0</v>
      </c>
      <c r="J323" s="76">
        <v>1.7700000000000001E-11</v>
      </c>
      <c r="K323" s="71">
        <v>4501.3580000000002</v>
      </c>
      <c r="L323" s="29">
        <f t="shared" ref="L323:L386" si="31">IF(K323&gt;10000,K323-10000,0)</f>
        <v>0</v>
      </c>
      <c r="DP323" s="15"/>
    </row>
    <row r="324" spans="1:120">
      <c r="A324" s="15">
        <f t="shared" si="27"/>
        <v>0</v>
      </c>
      <c r="B324" s="15">
        <f t="shared" si="28"/>
        <v>0</v>
      </c>
      <c r="C324" s="15">
        <f t="shared" si="29"/>
        <v>0</v>
      </c>
      <c r="D324" s="15">
        <f t="shared" si="30"/>
        <v>0</v>
      </c>
      <c r="E324" s="70">
        <v>46247.125</v>
      </c>
      <c r="F324" s="76">
        <v>4.4799999999999999E-21</v>
      </c>
      <c r="G324" s="76">
        <v>150</v>
      </c>
      <c r="H324" s="76">
        <v>150.00149999999999</v>
      </c>
      <c r="I324" s="71">
        <v>0</v>
      </c>
      <c r="J324" s="76">
        <v>8.4400000000000004E-12</v>
      </c>
      <c r="K324" s="71">
        <v>4500.6710000000003</v>
      </c>
      <c r="L324" s="29">
        <f t="shared" si="31"/>
        <v>0</v>
      </c>
      <c r="DP324" s="15"/>
    </row>
    <row r="325" spans="1:120">
      <c r="A325" s="15">
        <f t="shared" si="27"/>
        <v>0</v>
      </c>
      <c r="B325" s="15">
        <f t="shared" si="28"/>
        <v>0</v>
      </c>
      <c r="C325" s="15">
        <f t="shared" si="29"/>
        <v>0</v>
      </c>
      <c r="D325" s="15">
        <f t="shared" si="30"/>
        <v>0</v>
      </c>
      <c r="E325" s="70">
        <v>46247.166666666664</v>
      </c>
      <c r="F325" s="76">
        <v>1.64E-21</v>
      </c>
      <c r="G325" s="76">
        <v>150</v>
      </c>
      <c r="H325" s="76">
        <v>150.00129999999999</v>
      </c>
      <c r="I325" s="71">
        <v>0</v>
      </c>
      <c r="J325" s="76">
        <v>5.4199999999999999E-12</v>
      </c>
      <c r="K325" s="71">
        <v>4500.6030000000001</v>
      </c>
      <c r="L325" s="29">
        <f t="shared" si="31"/>
        <v>0</v>
      </c>
      <c r="DP325" s="15"/>
    </row>
    <row r="326" spans="1:120">
      <c r="A326" s="15">
        <f t="shared" si="27"/>
        <v>0</v>
      </c>
      <c r="B326" s="15">
        <f t="shared" si="28"/>
        <v>0</v>
      </c>
      <c r="C326" s="15">
        <f t="shared" si="29"/>
        <v>0</v>
      </c>
      <c r="D326" s="15">
        <f t="shared" si="30"/>
        <v>0</v>
      </c>
      <c r="E326" s="70">
        <v>46247.208333333336</v>
      </c>
      <c r="F326" s="76">
        <v>2.2300000000000001E-22</v>
      </c>
      <c r="G326" s="76">
        <v>150</v>
      </c>
      <c r="H326" s="76">
        <v>150.00059999999999</v>
      </c>
      <c r="I326" s="71">
        <v>0</v>
      </c>
      <c r="J326" s="76">
        <v>2.5799999999999999E-12</v>
      </c>
      <c r="K326" s="71">
        <v>4500.3249999999998</v>
      </c>
      <c r="L326" s="29">
        <f t="shared" si="31"/>
        <v>0</v>
      </c>
      <c r="DP326" s="15"/>
    </row>
    <row r="327" spans="1:120">
      <c r="A327" s="15">
        <f t="shared" si="27"/>
        <v>0</v>
      </c>
      <c r="B327" s="15">
        <f t="shared" si="28"/>
        <v>0</v>
      </c>
      <c r="C327" s="15">
        <f t="shared" si="29"/>
        <v>0</v>
      </c>
      <c r="D327" s="15">
        <f t="shared" si="30"/>
        <v>0</v>
      </c>
      <c r="E327" s="70">
        <v>46247.25</v>
      </c>
      <c r="F327" s="76">
        <v>8.1200000000000002E-23</v>
      </c>
      <c r="G327" s="76">
        <v>150</v>
      </c>
      <c r="H327" s="76">
        <v>150.00049999999999</v>
      </c>
      <c r="I327" s="71">
        <v>0</v>
      </c>
      <c r="J327" s="76">
        <v>1.65E-12</v>
      </c>
      <c r="K327" s="71">
        <v>4500.2979999999998</v>
      </c>
      <c r="L327" s="29">
        <f t="shared" si="31"/>
        <v>0</v>
      </c>
      <c r="DP327" s="15"/>
    </row>
    <row r="328" spans="1:120">
      <c r="A328" s="15">
        <f t="shared" si="27"/>
        <v>0</v>
      </c>
      <c r="B328" s="15">
        <f t="shared" si="28"/>
        <v>0</v>
      </c>
      <c r="C328" s="15">
        <f t="shared" si="29"/>
        <v>0</v>
      </c>
      <c r="D328" s="15">
        <f t="shared" si="30"/>
        <v>0</v>
      </c>
      <c r="E328" s="70">
        <v>46247.291666666664</v>
      </c>
      <c r="F328" s="76">
        <v>1.1E-23</v>
      </c>
      <c r="G328" s="76">
        <v>150</v>
      </c>
      <c r="H328" s="76">
        <v>150.00020000000001</v>
      </c>
      <c r="I328" s="71">
        <v>0</v>
      </c>
      <c r="J328" s="76">
        <v>7.8499999999999999E-13</v>
      </c>
      <c r="K328" s="71">
        <v>4500.1409999999996</v>
      </c>
      <c r="L328" s="29">
        <f t="shared" si="31"/>
        <v>0</v>
      </c>
      <c r="DP328" s="15"/>
    </row>
    <row r="329" spans="1:120">
      <c r="A329" s="15">
        <f t="shared" si="27"/>
        <v>0</v>
      </c>
      <c r="B329" s="15">
        <f t="shared" si="28"/>
        <v>0</v>
      </c>
      <c r="C329" s="15">
        <f t="shared" si="29"/>
        <v>0</v>
      </c>
      <c r="D329" s="15">
        <f t="shared" si="30"/>
        <v>0</v>
      </c>
      <c r="E329" s="70">
        <v>46247.333333333336</v>
      </c>
      <c r="F329" s="76">
        <v>3.9999999999999997E-24</v>
      </c>
      <c r="G329" s="76">
        <v>150</v>
      </c>
      <c r="H329" s="76">
        <v>150.00020000000001</v>
      </c>
      <c r="I329" s="71">
        <v>0</v>
      </c>
      <c r="J329" s="76">
        <v>5.0299999999999998E-13</v>
      </c>
      <c r="K329" s="71">
        <v>4500.125</v>
      </c>
      <c r="L329" s="29">
        <f t="shared" si="31"/>
        <v>0</v>
      </c>
      <c r="DP329" s="15"/>
    </row>
    <row r="330" spans="1:120">
      <c r="A330" s="15">
        <f t="shared" si="27"/>
        <v>0</v>
      </c>
      <c r="B330" s="15">
        <f t="shared" si="28"/>
        <v>0</v>
      </c>
      <c r="C330" s="15">
        <f t="shared" si="29"/>
        <v>0</v>
      </c>
      <c r="D330" s="15">
        <f t="shared" si="30"/>
        <v>0</v>
      </c>
      <c r="E330" s="70">
        <v>46247.375</v>
      </c>
      <c r="F330" s="76">
        <v>5.4100000000000003E-25</v>
      </c>
      <c r="G330" s="76">
        <v>150</v>
      </c>
      <c r="H330" s="76">
        <v>150.0001</v>
      </c>
      <c r="I330" s="71">
        <v>0</v>
      </c>
      <c r="J330" s="76">
        <v>2.3899999999999999E-13</v>
      </c>
      <c r="K330" s="71">
        <v>4500.0680000000002</v>
      </c>
      <c r="L330" s="29">
        <f t="shared" si="31"/>
        <v>0</v>
      </c>
      <c r="DP330" s="15"/>
    </row>
    <row r="331" spans="1:120">
      <c r="A331" s="15">
        <f t="shared" si="27"/>
        <v>0</v>
      </c>
      <c r="B331" s="15">
        <f t="shared" si="28"/>
        <v>0</v>
      </c>
      <c r="C331" s="15">
        <f t="shared" si="29"/>
        <v>0</v>
      </c>
      <c r="D331" s="15">
        <f t="shared" si="30"/>
        <v>0</v>
      </c>
      <c r="E331" s="70">
        <v>46247.416666666664</v>
      </c>
      <c r="F331" s="76">
        <v>1.96E-25</v>
      </c>
      <c r="G331" s="76">
        <v>150</v>
      </c>
      <c r="H331" s="76">
        <v>150.0001</v>
      </c>
      <c r="I331" s="71">
        <v>0</v>
      </c>
      <c r="J331" s="76">
        <v>1.53E-13</v>
      </c>
      <c r="K331" s="71">
        <v>4500.0619999999999</v>
      </c>
      <c r="L331" s="29">
        <f t="shared" si="31"/>
        <v>0</v>
      </c>
      <c r="DP331" s="15"/>
    </row>
    <row r="332" spans="1:120">
      <c r="A332" s="15">
        <f t="shared" si="27"/>
        <v>0</v>
      </c>
      <c r="B332" s="15">
        <f t="shared" si="28"/>
        <v>0</v>
      </c>
      <c r="C332" s="15">
        <f t="shared" si="29"/>
        <v>0</v>
      </c>
      <c r="D332" s="15">
        <f t="shared" si="30"/>
        <v>0</v>
      </c>
      <c r="E332" s="70">
        <v>46247.458333333336</v>
      </c>
      <c r="F332" s="76">
        <v>2.65E-26</v>
      </c>
      <c r="G332" s="76">
        <v>150</v>
      </c>
      <c r="H332" s="76">
        <v>150</v>
      </c>
      <c r="I332" s="71">
        <v>0</v>
      </c>
      <c r="J332" s="76">
        <v>7.2300000000000005E-14</v>
      </c>
      <c r="K332" s="71">
        <v>4500.0280000000002</v>
      </c>
      <c r="L332" s="29">
        <f t="shared" si="31"/>
        <v>0</v>
      </c>
      <c r="DP332" s="15"/>
    </row>
    <row r="333" spans="1:120">
      <c r="A333" s="15">
        <f t="shared" si="27"/>
        <v>0</v>
      </c>
      <c r="B333" s="15">
        <f t="shared" si="28"/>
        <v>0</v>
      </c>
      <c r="C333" s="15">
        <f t="shared" si="29"/>
        <v>0</v>
      </c>
      <c r="D333" s="15">
        <f t="shared" si="30"/>
        <v>0</v>
      </c>
      <c r="E333" s="70">
        <v>46247.5</v>
      </c>
      <c r="F333" s="76">
        <v>9.6100000000000003E-27</v>
      </c>
      <c r="G333" s="76">
        <v>150</v>
      </c>
      <c r="H333" s="76">
        <v>150</v>
      </c>
      <c r="I333" s="71">
        <v>0</v>
      </c>
      <c r="J333" s="76">
        <v>4.6200000000000001E-14</v>
      </c>
      <c r="K333" s="71">
        <v>4500.0240000000003</v>
      </c>
      <c r="L333" s="29">
        <f t="shared" si="31"/>
        <v>0</v>
      </c>
      <c r="DP333" s="15"/>
    </row>
    <row r="334" spans="1:120">
      <c r="A334" s="15">
        <f t="shared" si="27"/>
        <v>0</v>
      </c>
      <c r="B334" s="15">
        <f t="shared" si="28"/>
        <v>0</v>
      </c>
      <c r="C334" s="15">
        <f t="shared" si="29"/>
        <v>0</v>
      </c>
      <c r="D334" s="15">
        <f t="shared" si="30"/>
        <v>0</v>
      </c>
      <c r="E334" s="70">
        <v>46247.541666666664</v>
      </c>
      <c r="F334" s="76">
        <v>1.3000000000000001E-27</v>
      </c>
      <c r="G334" s="76">
        <v>150</v>
      </c>
      <c r="H334" s="76">
        <v>150</v>
      </c>
      <c r="I334" s="71">
        <v>0</v>
      </c>
      <c r="J334" s="76">
        <v>2.19E-14</v>
      </c>
      <c r="K334" s="71">
        <v>4500.0129999999999</v>
      </c>
      <c r="L334" s="29">
        <f t="shared" si="31"/>
        <v>0</v>
      </c>
      <c r="DP334" s="15"/>
    </row>
    <row r="335" spans="1:120">
      <c r="A335" s="15">
        <f t="shared" si="27"/>
        <v>0</v>
      </c>
      <c r="B335" s="15">
        <f t="shared" si="28"/>
        <v>0</v>
      </c>
      <c r="C335" s="15">
        <f t="shared" si="29"/>
        <v>0</v>
      </c>
      <c r="D335" s="15">
        <f t="shared" si="30"/>
        <v>0</v>
      </c>
      <c r="E335" s="70">
        <v>46247.583333333336</v>
      </c>
      <c r="F335" s="76">
        <v>4.6800000000000002E-28</v>
      </c>
      <c r="G335" s="76">
        <v>150</v>
      </c>
      <c r="H335" s="76">
        <v>150</v>
      </c>
      <c r="I335" s="71">
        <v>0</v>
      </c>
      <c r="J335" s="76">
        <v>1.4E-14</v>
      </c>
      <c r="K335" s="71">
        <v>4500.0119999999997</v>
      </c>
      <c r="L335" s="29">
        <f t="shared" si="31"/>
        <v>0</v>
      </c>
      <c r="DP335" s="15"/>
    </row>
    <row r="336" spans="1:120">
      <c r="A336" s="15">
        <f t="shared" si="27"/>
        <v>0</v>
      </c>
      <c r="B336" s="15">
        <f t="shared" si="28"/>
        <v>0</v>
      </c>
      <c r="C336" s="15">
        <f t="shared" si="29"/>
        <v>0</v>
      </c>
      <c r="D336" s="15">
        <f t="shared" si="30"/>
        <v>0</v>
      </c>
      <c r="E336" s="70">
        <v>46247.625</v>
      </c>
      <c r="F336" s="76">
        <v>6.3099999999999997E-29</v>
      </c>
      <c r="G336" s="76">
        <v>150</v>
      </c>
      <c r="H336" s="76">
        <v>150</v>
      </c>
      <c r="I336" s="71">
        <v>0</v>
      </c>
      <c r="J336" s="76">
        <v>6.6099999999999997E-15</v>
      </c>
      <c r="K336" s="71">
        <v>4500.0050000000001</v>
      </c>
      <c r="L336" s="29">
        <f t="shared" si="31"/>
        <v>0</v>
      </c>
      <c r="DP336" s="15"/>
    </row>
    <row r="337" spans="1:120">
      <c r="A337" s="15">
        <f t="shared" si="27"/>
        <v>0</v>
      </c>
      <c r="B337" s="15">
        <f t="shared" si="28"/>
        <v>0</v>
      </c>
      <c r="C337" s="15">
        <f t="shared" si="29"/>
        <v>0</v>
      </c>
      <c r="D337" s="15">
        <f t="shared" si="30"/>
        <v>0</v>
      </c>
      <c r="E337" s="70">
        <v>46247.666666666664</v>
      </c>
      <c r="F337" s="76">
        <v>2.2699999999999999E-29</v>
      </c>
      <c r="G337" s="76">
        <v>150</v>
      </c>
      <c r="H337" s="76">
        <v>150</v>
      </c>
      <c r="I337" s="71">
        <v>0</v>
      </c>
      <c r="J337" s="76">
        <v>4.2100000000000002E-15</v>
      </c>
      <c r="K337" s="71">
        <v>4500.0039999999999</v>
      </c>
      <c r="L337" s="29">
        <f t="shared" si="31"/>
        <v>0</v>
      </c>
      <c r="DP337" s="15"/>
    </row>
    <row r="338" spans="1:120">
      <c r="A338" s="15">
        <f t="shared" si="27"/>
        <v>0</v>
      </c>
      <c r="B338" s="15">
        <f t="shared" si="28"/>
        <v>0</v>
      </c>
      <c r="C338" s="15">
        <f t="shared" si="29"/>
        <v>0</v>
      </c>
      <c r="D338" s="15">
        <f t="shared" si="30"/>
        <v>0</v>
      </c>
      <c r="E338" s="70">
        <v>46247.708333333336</v>
      </c>
      <c r="F338" s="76">
        <v>3.0599999999999998E-30</v>
      </c>
      <c r="G338" s="76">
        <v>150</v>
      </c>
      <c r="H338" s="76">
        <v>150</v>
      </c>
      <c r="I338" s="71">
        <v>0</v>
      </c>
      <c r="J338" s="76">
        <v>1.99E-15</v>
      </c>
      <c r="K338" s="71">
        <v>4500.0020000000004</v>
      </c>
      <c r="L338" s="29">
        <f t="shared" si="31"/>
        <v>0</v>
      </c>
      <c r="DP338" s="15"/>
    </row>
    <row r="339" spans="1:120">
      <c r="A339" s="15">
        <f t="shared" si="27"/>
        <v>0</v>
      </c>
      <c r="B339" s="15">
        <f t="shared" si="28"/>
        <v>0</v>
      </c>
      <c r="C339" s="15">
        <f t="shared" si="29"/>
        <v>0</v>
      </c>
      <c r="D339" s="15">
        <f t="shared" si="30"/>
        <v>0</v>
      </c>
      <c r="E339" s="70">
        <v>46247.75</v>
      </c>
      <c r="F339" s="76">
        <v>1.0999999999999999E-30</v>
      </c>
      <c r="G339" s="76">
        <v>150</v>
      </c>
      <c r="H339" s="76">
        <v>150</v>
      </c>
      <c r="I339" s="71">
        <v>0</v>
      </c>
      <c r="J339" s="76">
        <v>1.2699999999999999E-15</v>
      </c>
      <c r="K339" s="71">
        <v>4500.0020000000004</v>
      </c>
      <c r="L339" s="29">
        <f t="shared" si="31"/>
        <v>0</v>
      </c>
      <c r="DP339" s="15"/>
    </row>
    <row r="340" spans="1:120">
      <c r="A340" s="15">
        <f t="shared" si="27"/>
        <v>0</v>
      </c>
      <c r="B340" s="15">
        <f t="shared" si="28"/>
        <v>0</v>
      </c>
      <c r="C340" s="15">
        <f t="shared" si="29"/>
        <v>0</v>
      </c>
      <c r="D340" s="15">
        <f t="shared" si="30"/>
        <v>0</v>
      </c>
      <c r="E340" s="70">
        <v>46247.791666666664</v>
      </c>
      <c r="F340" s="76">
        <v>1.48E-31</v>
      </c>
      <c r="G340" s="76">
        <v>150</v>
      </c>
      <c r="H340" s="76">
        <v>150</v>
      </c>
      <c r="I340" s="71">
        <v>0</v>
      </c>
      <c r="J340" s="76">
        <v>5.9899999999999997E-16</v>
      </c>
      <c r="K340" s="71">
        <v>4500.0010000000002</v>
      </c>
      <c r="L340" s="29">
        <f t="shared" si="31"/>
        <v>0</v>
      </c>
      <c r="DP340" s="15"/>
    </row>
    <row r="341" spans="1:120">
      <c r="A341" s="15">
        <f t="shared" si="27"/>
        <v>0</v>
      </c>
      <c r="B341" s="15">
        <f t="shared" si="28"/>
        <v>0</v>
      </c>
      <c r="C341" s="15">
        <f t="shared" si="29"/>
        <v>0</v>
      </c>
      <c r="D341" s="15">
        <f t="shared" si="30"/>
        <v>0</v>
      </c>
      <c r="E341" s="70">
        <v>46247.833333333336</v>
      </c>
      <c r="F341" s="76">
        <v>5.3299999999999996E-32</v>
      </c>
      <c r="G341" s="76">
        <v>150</v>
      </c>
      <c r="H341" s="76">
        <v>150</v>
      </c>
      <c r="I341" s="71">
        <v>0</v>
      </c>
      <c r="J341" s="76">
        <v>3.8099999999999998E-16</v>
      </c>
      <c r="K341" s="71">
        <v>4500</v>
      </c>
      <c r="L341" s="29">
        <f t="shared" si="31"/>
        <v>0</v>
      </c>
      <c r="DP341" s="15"/>
    </row>
    <row r="342" spans="1:120">
      <c r="A342" s="15">
        <f t="shared" si="27"/>
        <v>0</v>
      </c>
      <c r="B342" s="15">
        <f t="shared" si="28"/>
        <v>0</v>
      </c>
      <c r="C342" s="15">
        <f t="shared" si="29"/>
        <v>0</v>
      </c>
      <c r="D342" s="15">
        <f t="shared" si="30"/>
        <v>0</v>
      </c>
      <c r="E342" s="70">
        <v>46247.875</v>
      </c>
      <c r="F342" s="76">
        <v>7.1599999999999994E-33</v>
      </c>
      <c r="G342" s="76">
        <v>150</v>
      </c>
      <c r="H342" s="76">
        <v>150</v>
      </c>
      <c r="I342" s="71">
        <v>0</v>
      </c>
      <c r="J342" s="76">
        <v>1.7999999999999999E-16</v>
      </c>
      <c r="K342" s="71">
        <v>4500</v>
      </c>
      <c r="L342" s="29">
        <f t="shared" si="31"/>
        <v>0</v>
      </c>
      <c r="DP342" s="15"/>
    </row>
    <row r="343" spans="1:120">
      <c r="A343" s="15">
        <f t="shared" si="27"/>
        <v>0</v>
      </c>
      <c r="B343" s="15">
        <f t="shared" si="28"/>
        <v>0</v>
      </c>
      <c r="C343" s="15">
        <f t="shared" si="29"/>
        <v>0</v>
      </c>
      <c r="D343" s="15">
        <f t="shared" si="30"/>
        <v>0</v>
      </c>
      <c r="E343" s="70">
        <v>46247.916666666664</v>
      </c>
      <c r="F343" s="76">
        <v>2.57E-33</v>
      </c>
      <c r="G343" s="76">
        <v>150</v>
      </c>
      <c r="H343" s="76">
        <v>150</v>
      </c>
      <c r="I343" s="71">
        <v>0</v>
      </c>
      <c r="J343" s="76">
        <v>1.14E-16</v>
      </c>
      <c r="K343" s="71">
        <v>4500</v>
      </c>
      <c r="L343" s="29">
        <f t="shared" si="31"/>
        <v>0</v>
      </c>
      <c r="DP343" s="15"/>
    </row>
    <row r="344" spans="1:120">
      <c r="A344" s="15">
        <f t="shared" si="27"/>
        <v>0</v>
      </c>
      <c r="B344" s="15">
        <f t="shared" si="28"/>
        <v>0</v>
      </c>
      <c r="C344" s="15">
        <f t="shared" si="29"/>
        <v>0</v>
      </c>
      <c r="D344" s="15">
        <f t="shared" si="30"/>
        <v>0</v>
      </c>
      <c r="E344" s="70">
        <v>46247.958333333336</v>
      </c>
      <c r="F344" s="76">
        <v>3.45E-34</v>
      </c>
      <c r="G344" s="76">
        <v>150</v>
      </c>
      <c r="H344" s="76">
        <v>150</v>
      </c>
      <c r="I344" s="71">
        <v>0</v>
      </c>
      <c r="J344" s="76">
        <v>5.3899999999999998E-17</v>
      </c>
      <c r="K344" s="71">
        <v>4500</v>
      </c>
      <c r="L344" s="29">
        <f t="shared" si="31"/>
        <v>0</v>
      </c>
      <c r="DP344" s="15"/>
    </row>
    <row r="345" spans="1:120">
      <c r="A345" s="15">
        <f t="shared" si="27"/>
        <v>0</v>
      </c>
      <c r="B345" s="15">
        <f t="shared" si="28"/>
        <v>0</v>
      </c>
      <c r="C345" s="15">
        <f t="shared" si="29"/>
        <v>0</v>
      </c>
      <c r="D345" s="15">
        <f t="shared" si="30"/>
        <v>0</v>
      </c>
      <c r="E345" s="70">
        <v>46248</v>
      </c>
      <c r="F345" s="76">
        <v>1.23E-34</v>
      </c>
      <c r="G345" s="76">
        <v>150</v>
      </c>
      <c r="H345" s="76">
        <v>150</v>
      </c>
      <c r="I345" s="71">
        <v>0</v>
      </c>
      <c r="J345" s="76">
        <v>3.42E-17</v>
      </c>
      <c r="K345" s="71">
        <v>4500</v>
      </c>
      <c r="L345" s="29">
        <f t="shared" si="31"/>
        <v>0</v>
      </c>
      <c r="DP345" s="15"/>
    </row>
    <row r="346" spans="1:120">
      <c r="A346" s="15">
        <f t="shared" si="27"/>
        <v>0</v>
      </c>
      <c r="B346" s="15">
        <f t="shared" si="28"/>
        <v>0</v>
      </c>
      <c r="C346" s="15">
        <f t="shared" si="29"/>
        <v>0</v>
      </c>
      <c r="D346" s="15">
        <f t="shared" si="30"/>
        <v>0</v>
      </c>
      <c r="E346" s="70">
        <v>46248.041666666664</v>
      </c>
      <c r="F346" s="76">
        <v>1.66E-35</v>
      </c>
      <c r="G346" s="76">
        <v>150</v>
      </c>
      <c r="H346" s="76">
        <v>150</v>
      </c>
      <c r="I346" s="71">
        <v>0</v>
      </c>
      <c r="J346" s="76">
        <v>1.6099999999999999E-17</v>
      </c>
      <c r="K346" s="71">
        <v>4500</v>
      </c>
      <c r="L346" s="29">
        <f t="shared" si="31"/>
        <v>0</v>
      </c>
      <c r="DP346" s="15"/>
    </row>
    <row r="347" spans="1:120">
      <c r="A347" s="15">
        <f t="shared" si="27"/>
        <v>0</v>
      </c>
      <c r="B347" s="15">
        <f t="shared" si="28"/>
        <v>0</v>
      </c>
      <c r="C347" s="15">
        <f t="shared" si="29"/>
        <v>0</v>
      </c>
      <c r="D347" s="15">
        <f t="shared" si="30"/>
        <v>0</v>
      </c>
      <c r="E347" s="70">
        <v>46248.083333333336</v>
      </c>
      <c r="F347" s="76">
        <v>5.9299999999999997E-36</v>
      </c>
      <c r="G347" s="76">
        <v>150</v>
      </c>
      <c r="H347" s="76">
        <v>150</v>
      </c>
      <c r="I347" s="71">
        <v>0</v>
      </c>
      <c r="J347" s="76">
        <v>1.02E-17</v>
      </c>
      <c r="K347" s="71">
        <v>4500</v>
      </c>
      <c r="L347" s="29">
        <f t="shared" si="31"/>
        <v>0</v>
      </c>
      <c r="DP347" s="15"/>
    </row>
    <row r="348" spans="1:120">
      <c r="A348" s="15">
        <f t="shared" si="27"/>
        <v>0</v>
      </c>
      <c r="B348" s="15">
        <f t="shared" si="28"/>
        <v>0</v>
      </c>
      <c r="C348" s="15">
        <f t="shared" si="29"/>
        <v>0</v>
      </c>
      <c r="D348" s="15">
        <f t="shared" si="30"/>
        <v>0</v>
      </c>
      <c r="E348" s="70">
        <v>46248.125</v>
      </c>
      <c r="F348" s="76">
        <v>7.9500000000000003E-37</v>
      </c>
      <c r="G348" s="76">
        <v>150</v>
      </c>
      <c r="H348" s="76">
        <v>150</v>
      </c>
      <c r="I348" s="71">
        <v>0</v>
      </c>
      <c r="J348" s="76">
        <v>4.8199999999999998E-18</v>
      </c>
      <c r="K348" s="71">
        <v>4500</v>
      </c>
      <c r="L348" s="29">
        <f t="shared" si="31"/>
        <v>0</v>
      </c>
      <c r="DP348" s="15"/>
    </row>
    <row r="349" spans="1:120">
      <c r="A349" s="15">
        <f t="shared" si="27"/>
        <v>0</v>
      </c>
      <c r="B349" s="15">
        <f t="shared" si="28"/>
        <v>0</v>
      </c>
      <c r="C349" s="15">
        <f t="shared" si="29"/>
        <v>0</v>
      </c>
      <c r="D349" s="15">
        <f t="shared" si="30"/>
        <v>0</v>
      </c>
      <c r="E349" s="70">
        <v>46248.166666666664</v>
      </c>
      <c r="F349" s="76">
        <v>2.8400000000000001E-37</v>
      </c>
      <c r="G349" s="76">
        <v>150</v>
      </c>
      <c r="H349" s="76">
        <v>150</v>
      </c>
      <c r="I349" s="71">
        <v>0</v>
      </c>
      <c r="J349" s="76">
        <v>3.0599999999999999E-18</v>
      </c>
      <c r="K349" s="71">
        <v>4500</v>
      </c>
      <c r="L349" s="29">
        <f t="shared" si="31"/>
        <v>0</v>
      </c>
      <c r="DP349" s="15"/>
    </row>
    <row r="350" spans="1:120">
      <c r="A350" s="15">
        <f t="shared" si="27"/>
        <v>0</v>
      </c>
      <c r="B350" s="15">
        <f t="shared" si="28"/>
        <v>0</v>
      </c>
      <c r="C350" s="15">
        <f t="shared" si="29"/>
        <v>0</v>
      </c>
      <c r="D350" s="15">
        <f t="shared" si="30"/>
        <v>0</v>
      </c>
      <c r="E350" s="70">
        <v>46248.208333333336</v>
      </c>
      <c r="F350" s="76">
        <v>3.8100000000000002E-38</v>
      </c>
      <c r="G350" s="76">
        <v>150</v>
      </c>
      <c r="H350" s="76">
        <v>150</v>
      </c>
      <c r="I350" s="71">
        <v>0</v>
      </c>
      <c r="J350" s="76">
        <v>1.44E-18</v>
      </c>
      <c r="K350" s="71">
        <v>4500</v>
      </c>
      <c r="L350" s="29">
        <f t="shared" si="31"/>
        <v>0</v>
      </c>
      <c r="DP350" s="15"/>
    </row>
    <row r="351" spans="1:120">
      <c r="A351" s="15">
        <f t="shared" si="27"/>
        <v>0</v>
      </c>
      <c r="B351" s="15">
        <f t="shared" si="28"/>
        <v>0</v>
      </c>
      <c r="C351" s="15">
        <f t="shared" si="29"/>
        <v>0</v>
      </c>
      <c r="D351" s="15">
        <f t="shared" si="30"/>
        <v>0</v>
      </c>
      <c r="E351" s="70">
        <v>46248.25</v>
      </c>
      <c r="F351" s="76">
        <v>1.36E-38</v>
      </c>
      <c r="G351" s="76">
        <v>150</v>
      </c>
      <c r="H351" s="76">
        <v>150</v>
      </c>
      <c r="I351" s="71">
        <v>0</v>
      </c>
      <c r="J351" s="76">
        <v>9.1100000000000001E-19</v>
      </c>
      <c r="K351" s="71">
        <v>4500</v>
      </c>
      <c r="L351" s="29">
        <f t="shared" si="31"/>
        <v>0</v>
      </c>
      <c r="DP351" s="15"/>
    </row>
    <row r="352" spans="1:120">
      <c r="A352" s="15">
        <f t="shared" si="27"/>
        <v>0</v>
      </c>
      <c r="B352" s="15">
        <f t="shared" si="28"/>
        <v>0</v>
      </c>
      <c r="C352" s="15">
        <f t="shared" si="29"/>
        <v>0</v>
      </c>
      <c r="D352" s="15">
        <f t="shared" si="30"/>
        <v>0</v>
      </c>
      <c r="E352" s="70">
        <v>46248.291666666664</v>
      </c>
      <c r="F352" s="76">
        <v>1.8199999999999999E-39</v>
      </c>
      <c r="G352" s="76">
        <v>150</v>
      </c>
      <c r="H352" s="76">
        <v>150</v>
      </c>
      <c r="I352" s="71">
        <v>0</v>
      </c>
      <c r="J352" s="76">
        <v>4.28E-19</v>
      </c>
      <c r="K352" s="71">
        <v>4500</v>
      </c>
      <c r="L352" s="29">
        <f t="shared" si="31"/>
        <v>0</v>
      </c>
      <c r="DP352" s="15"/>
    </row>
    <row r="353" spans="1:120">
      <c r="A353" s="15">
        <f t="shared" si="27"/>
        <v>0</v>
      </c>
      <c r="B353" s="15">
        <f t="shared" si="28"/>
        <v>0</v>
      </c>
      <c r="C353" s="15">
        <f t="shared" si="29"/>
        <v>0</v>
      </c>
      <c r="D353" s="15">
        <f t="shared" si="30"/>
        <v>0</v>
      </c>
      <c r="E353" s="70">
        <v>46248.333333333336</v>
      </c>
      <c r="F353" s="76">
        <v>6.4800000000000001E-40</v>
      </c>
      <c r="G353" s="76">
        <v>150</v>
      </c>
      <c r="H353" s="76">
        <v>150</v>
      </c>
      <c r="I353" s="71">
        <v>0</v>
      </c>
      <c r="J353" s="76">
        <v>2.7099999999999999E-19</v>
      </c>
      <c r="K353" s="71">
        <v>4500</v>
      </c>
      <c r="L353" s="29">
        <f t="shared" si="31"/>
        <v>0</v>
      </c>
      <c r="DP353" s="15"/>
    </row>
    <row r="354" spans="1:120">
      <c r="A354" s="15">
        <f t="shared" si="27"/>
        <v>0</v>
      </c>
      <c r="B354" s="15">
        <f t="shared" si="28"/>
        <v>0</v>
      </c>
      <c r="C354" s="15">
        <f t="shared" si="29"/>
        <v>0</v>
      </c>
      <c r="D354" s="15">
        <f t="shared" si="30"/>
        <v>0</v>
      </c>
      <c r="E354" s="70">
        <v>46248.375</v>
      </c>
      <c r="F354" s="76">
        <v>8.6699999999999999E-41</v>
      </c>
      <c r="G354" s="76">
        <v>150</v>
      </c>
      <c r="H354" s="76">
        <v>150</v>
      </c>
      <c r="I354" s="71">
        <v>0</v>
      </c>
      <c r="J354" s="76">
        <v>1.27E-19</v>
      </c>
      <c r="K354" s="71">
        <v>4500</v>
      </c>
      <c r="L354" s="29">
        <f t="shared" si="31"/>
        <v>0</v>
      </c>
      <c r="DP354" s="15"/>
    </row>
    <row r="355" spans="1:120">
      <c r="A355" s="15">
        <f t="shared" si="27"/>
        <v>0</v>
      </c>
      <c r="B355" s="15">
        <f t="shared" si="28"/>
        <v>0</v>
      </c>
      <c r="C355" s="15">
        <f t="shared" si="29"/>
        <v>0</v>
      </c>
      <c r="D355" s="15">
        <f t="shared" si="30"/>
        <v>0</v>
      </c>
      <c r="E355" s="70">
        <v>46248.416666666664</v>
      </c>
      <c r="F355" s="76">
        <v>3.0900000000000002E-41</v>
      </c>
      <c r="G355" s="76">
        <v>150</v>
      </c>
      <c r="H355" s="76">
        <v>150</v>
      </c>
      <c r="I355" s="71">
        <v>0</v>
      </c>
      <c r="J355" s="76">
        <v>8.0699999999999995E-20</v>
      </c>
      <c r="K355" s="71">
        <v>4500</v>
      </c>
      <c r="L355" s="29">
        <f t="shared" si="31"/>
        <v>0</v>
      </c>
      <c r="DP355" s="15"/>
    </row>
    <row r="356" spans="1:120">
      <c r="A356" s="15">
        <f t="shared" si="27"/>
        <v>0</v>
      </c>
      <c r="B356" s="15">
        <f t="shared" si="28"/>
        <v>0</v>
      </c>
      <c r="C356" s="15">
        <f t="shared" si="29"/>
        <v>0</v>
      </c>
      <c r="D356" s="15">
        <f t="shared" si="30"/>
        <v>0</v>
      </c>
      <c r="E356" s="70">
        <v>46248.458333333336</v>
      </c>
      <c r="F356" s="76">
        <v>4.1300000000000001E-42</v>
      </c>
      <c r="G356" s="76">
        <v>150</v>
      </c>
      <c r="H356" s="76">
        <v>150</v>
      </c>
      <c r="I356" s="71">
        <v>0</v>
      </c>
      <c r="J356" s="76">
        <v>3.79E-20</v>
      </c>
      <c r="K356" s="71">
        <v>4500</v>
      </c>
      <c r="L356" s="29">
        <f t="shared" si="31"/>
        <v>0</v>
      </c>
      <c r="DP356" s="15"/>
    </row>
    <row r="357" spans="1:120">
      <c r="A357" s="15">
        <f t="shared" si="27"/>
        <v>0</v>
      </c>
      <c r="B357" s="15">
        <f t="shared" si="28"/>
        <v>0</v>
      </c>
      <c r="C357" s="15">
        <f t="shared" si="29"/>
        <v>0</v>
      </c>
      <c r="D357" s="15">
        <f t="shared" si="30"/>
        <v>0</v>
      </c>
      <c r="E357" s="70">
        <v>46248.5</v>
      </c>
      <c r="F357" s="76">
        <v>1.4699999999999999E-42</v>
      </c>
      <c r="G357" s="76">
        <v>150</v>
      </c>
      <c r="H357" s="76">
        <v>150</v>
      </c>
      <c r="I357" s="71">
        <v>0</v>
      </c>
      <c r="J357" s="76">
        <v>2.3999999999999999E-20</v>
      </c>
      <c r="K357" s="71">
        <v>4500</v>
      </c>
      <c r="L357" s="29">
        <f t="shared" si="31"/>
        <v>0</v>
      </c>
      <c r="DP357" s="15"/>
    </row>
    <row r="358" spans="1:120">
      <c r="A358" s="15">
        <f t="shared" si="27"/>
        <v>0</v>
      </c>
      <c r="B358" s="15">
        <f t="shared" si="28"/>
        <v>0</v>
      </c>
      <c r="C358" s="15">
        <f t="shared" si="29"/>
        <v>0</v>
      </c>
      <c r="D358" s="15">
        <f t="shared" si="30"/>
        <v>0</v>
      </c>
      <c r="E358" s="70">
        <v>46248.541666666664</v>
      </c>
      <c r="F358" s="76">
        <v>1.9600000000000001E-43</v>
      </c>
      <c r="G358" s="76">
        <v>150</v>
      </c>
      <c r="H358" s="76">
        <v>150</v>
      </c>
      <c r="I358" s="71">
        <v>0</v>
      </c>
      <c r="J358" s="76">
        <v>1.12E-20</v>
      </c>
      <c r="K358" s="71">
        <v>4500</v>
      </c>
      <c r="L358" s="29">
        <f t="shared" si="31"/>
        <v>0</v>
      </c>
      <c r="DP358" s="15"/>
    </row>
    <row r="359" spans="1:120">
      <c r="A359" s="15">
        <f>AC359</f>
        <v>0</v>
      </c>
      <c r="B359" s="15">
        <f t="shared" si="28"/>
        <v>0</v>
      </c>
      <c r="C359" s="15">
        <f t="shared" si="29"/>
        <v>0</v>
      </c>
      <c r="D359" s="15">
        <f t="shared" si="30"/>
        <v>0</v>
      </c>
      <c r="E359" s="70">
        <v>46248.583333333336</v>
      </c>
      <c r="F359" s="76">
        <v>7.0099999999999999E-44</v>
      </c>
      <c r="G359" s="76">
        <v>150</v>
      </c>
      <c r="H359" s="76">
        <v>150</v>
      </c>
      <c r="I359" s="71">
        <v>0</v>
      </c>
      <c r="J359" s="76">
        <v>7.1100000000000001E-21</v>
      </c>
      <c r="K359" s="71">
        <v>4500</v>
      </c>
      <c r="L359" s="29">
        <f t="shared" si="31"/>
        <v>0</v>
      </c>
      <c r="DP359" s="15"/>
    </row>
    <row r="360" spans="1:120">
      <c r="A360" s="15">
        <f t="shared" ref="A360:A367" si="32">AC360</f>
        <v>0</v>
      </c>
      <c r="B360" s="15">
        <f t="shared" si="28"/>
        <v>0</v>
      </c>
      <c r="C360" s="15">
        <f t="shared" si="29"/>
        <v>0</v>
      </c>
      <c r="D360" s="15">
        <f t="shared" si="30"/>
        <v>0</v>
      </c>
      <c r="E360" s="70">
        <v>46248.625</v>
      </c>
      <c r="F360" s="76">
        <v>8.4099999999999999E-45</v>
      </c>
      <c r="G360" s="76">
        <v>150</v>
      </c>
      <c r="H360" s="76">
        <v>150</v>
      </c>
      <c r="I360" s="71">
        <v>0</v>
      </c>
      <c r="J360" s="76">
        <v>3.3300000000000001E-21</v>
      </c>
      <c r="K360" s="71">
        <v>4500</v>
      </c>
      <c r="L360" s="29">
        <f t="shared" si="31"/>
        <v>0</v>
      </c>
      <c r="DP360" s="15"/>
    </row>
    <row r="361" spans="1:120">
      <c r="A361" s="15">
        <f t="shared" si="32"/>
        <v>0</v>
      </c>
      <c r="B361" s="15">
        <f t="shared" si="28"/>
        <v>0</v>
      </c>
      <c r="C361" s="15">
        <f t="shared" si="29"/>
        <v>0</v>
      </c>
      <c r="D361" s="15">
        <f t="shared" si="30"/>
        <v>0</v>
      </c>
      <c r="E361" s="70">
        <v>46248.666666666664</v>
      </c>
      <c r="F361" s="76">
        <v>2.8000000000000001E-45</v>
      </c>
      <c r="G361" s="76">
        <v>150</v>
      </c>
      <c r="H361" s="76">
        <v>150</v>
      </c>
      <c r="I361" s="71">
        <v>0</v>
      </c>
      <c r="J361" s="76">
        <v>2.11E-21</v>
      </c>
      <c r="K361" s="71">
        <v>4500</v>
      </c>
      <c r="L361" s="29">
        <f t="shared" si="31"/>
        <v>0</v>
      </c>
      <c r="DP361" s="15"/>
    </row>
    <row r="362" spans="1:120">
      <c r="A362" s="15">
        <f t="shared" si="32"/>
        <v>0</v>
      </c>
      <c r="B362" s="15">
        <f t="shared" si="28"/>
        <v>0</v>
      </c>
      <c r="C362" s="15">
        <f t="shared" si="29"/>
        <v>0</v>
      </c>
      <c r="D362" s="15">
        <f t="shared" si="30"/>
        <v>0</v>
      </c>
      <c r="E362" s="70">
        <v>46248.708333333336</v>
      </c>
      <c r="F362" s="71">
        <v>0</v>
      </c>
      <c r="G362" s="76">
        <v>150</v>
      </c>
      <c r="H362" s="76">
        <v>150</v>
      </c>
      <c r="I362" s="71">
        <v>0</v>
      </c>
      <c r="J362" s="76">
        <v>9.8700000000000003E-22</v>
      </c>
      <c r="K362" s="71">
        <v>4500</v>
      </c>
      <c r="L362" s="29">
        <f t="shared" si="31"/>
        <v>0</v>
      </c>
      <c r="DP362" s="15"/>
    </row>
    <row r="363" spans="1:120">
      <c r="A363" s="15">
        <f t="shared" si="32"/>
        <v>0</v>
      </c>
      <c r="B363" s="15">
        <f t="shared" si="28"/>
        <v>0</v>
      </c>
      <c r="C363" s="15">
        <f t="shared" si="29"/>
        <v>0</v>
      </c>
      <c r="D363" s="15">
        <f t="shared" si="30"/>
        <v>0</v>
      </c>
      <c r="E363" s="70">
        <v>46248.75</v>
      </c>
      <c r="F363" s="71">
        <v>0</v>
      </c>
      <c r="G363" s="76">
        <v>150</v>
      </c>
      <c r="H363" s="76">
        <v>150</v>
      </c>
      <c r="I363" s="71">
        <v>0</v>
      </c>
      <c r="J363" s="76">
        <v>6.2300000000000003E-22</v>
      </c>
      <c r="K363" s="71">
        <v>4500</v>
      </c>
      <c r="L363" s="29">
        <f t="shared" si="31"/>
        <v>0</v>
      </c>
      <c r="DP363" s="15"/>
    </row>
    <row r="364" spans="1:120">
      <c r="A364" s="15">
        <f t="shared" si="32"/>
        <v>0</v>
      </c>
      <c r="B364" s="15">
        <f t="shared" si="28"/>
        <v>0</v>
      </c>
      <c r="C364" s="15">
        <f t="shared" si="29"/>
        <v>0</v>
      </c>
      <c r="D364" s="15">
        <f t="shared" si="30"/>
        <v>0</v>
      </c>
      <c r="E364" s="70">
        <v>46248.791666666664</v>
      </c>
      <c r="F364" s="71">
        <v>0</v>
      </c>
      <c r="G364" s="76">
        <v>150</v>
      </c>
      <c r="H364" s="76">
        <v>150</v>
      </c>
      <c r="I364" s="71">
        <v>0</v>
      </c>
      <c r="J364" s="76">
        <v>2.92E-22</v>
      </c>
      <c r="K364" s="71">
        <v>4500</v>
      </c>
      <c r="L364" s="29">
        <f t="shared" si="31"/>
        <v>0</v>
      </c>
      <c r="DP364" s="15"/>
    </row>
    <row r="365" spans="1:120">
      <c r="A365" s="15">
        <f t="shared" si="32"/>
        <v>0</v>
      </c>
      <c r="B365" s="15">
        <f t="shared" si="28"/>
        <v>0</v>
      </c>
      <c r="C365" s="15">
        <f t="shared" si="29"/>
        <v>0</v>
      </c>
      <c r="D365" s="15">
        <f t="shared" si="30"/>
        <v>0</v>
      </c>
      <c r="E365" s="70">
        <v>46248.833333333336</v>
      </c>
      <c r="F365" s="71">
        <v>0</v>
      </c>
      <c r="G365" s="76">
        <v>150</v>
      </c>
      <c r="H365" s="76">
        <v>150</v>
      </c>
      <c r="I365" s="71">
        <v>0</v>
      </c>
      <c r="J365" s="76">
        <v>1.8400000000000001E-22</v>
      </c>
      <c r="K365" s="71">
        <v>4500</v>
      </c>
      <c r="L365" s="29">
        <f t="shared" si="31"/>
        <v>0</v>
      </c>
      <c r="DP365" s="15"/>
    </row>
    <row r="366" spans="1:120">
      <c r="A366" s="15">
        <f t="shared" si="32"/>
        <v>0</v>
      </c>
      <c r="B366" s="15">
        <f t="shared" si="28"/>
        <v>0</v>
      </c>
      <c r="C366" s="15">
        <f t="shared" si="29"/>
        <v>0</v>
      </c>
      <c r="D366" s="15">
        <f t="shared" si="30"/>
        <v>0</v>
      </c>
      <c r="E366" s="70">
        <v>46248.875</v>
      </c>
      <c r="F366" s="71">
        <v>0</v>
      </c>
      <c r="G366" s="76">
        <v>150</v>
      </c>
      <c r="H366" s="76">
        <v>150</v>
      </c>
      <c r="I366" s="71">
        <v>0</v>
      </c>
      <c r="J366" s="76">
        <v>8.6299999999999996E-23</v>
      </c>
      <c r="K366" s="71">
        <v>4500</v>
      </c>
      <c r="L366" s="29">
        <f t="shared" si="31"/>
        <v>0</v>
      </c>
      <c r="DP366" s="15"/>
    </row>
    <row r="367" spans="1:120">
      <c r="A367" s="15">
        <f t="shared" si="32"/>
        <v>0</v>
      </c>
      <c r="B367" s="15">
        <f t="shared" si="28"/>
        <v>0</v>
      </c>
      <c r="C367" s="15">
        <f t="shared" si="29"/>
        <v>0</v>
      </c>
      <c r="D367" s="15">
        <f t="shared" si="30"/>
        <v>0</v>
      </c>
      <c r="E367" s="70">
        <v>46248.916666666664</v>
      </c>
      <c r="F367" s="71">
        <v>0</v>
      </c>
      <c r="G367" s="76">
        <v>150</v>
      </c>
      <c r="H367" s="76">
        <v>150</v>
      </c>
      <c r="I367" s="71">
        <v>0</v>
      </c>
      <c r="J367" s="76">
        <v>5.4399999999999999E-23</v>
      </c>
      <c r="K367" s="71">
        <v>4500.1570000000002</v>
      </c>
      <c r="L367" s="29">
        <f t="shared" si="31"/>
        <v>0</v>
      </c>
      <c r="DP367" s="15"/>
    </row>
    <row r="368" spans="1:120">
      <c r="A368" s="15">
        <f>AC368</f>
        <v>0</v>
      </c>
      <c r="B368" s="15">
        <f t="shared" si="28"/>
        <v>0</v>
      </c>
      <c r="C368" s="15">
        <f t="shared" si="29"/>
        <v>0</v>
      </c>
      <c r="D368" s="15">
        <f t="shared" si="30"/>
        <v>0</v>
      </c>
      <c r="E368" s="70">
        <v>46248.958333333336</v>
      </c>
      <c r="F368" s="71">
        <v>0</v>
      </c>
      <c r="G368" s="76">
        <v>150</v>
      </c>
      <c r="H368" s="76">
        <v>150</v>
      </c>
      <c r="I368" s="71">
        <v>0</v>
      </c>
      <c r="J368" s="76">
        <v>2.5500000000000001E-23</v>
      </c>
      <c r="K368" s="71">
        <v>4500.2659999999996</v>
      </c>
      <c r="L368" s="29">
        <f t="shared" si="31"/>
        <v>0</v>
      </c>
      <c r="DP368" s="15"/>
    </row>
    <row r="369" spans="1:120">
      <c r="A369" s="15">
        <f t="shared" ref="A369:A374" si="33">AC369</f>
        <v>0</v>
      </c>
      <c r="B369" s="15">
        <f t="shared" si="28"/>
        <v>0</v>
      </c>
      <c r="C369" s="15">
        <f t="shared" si="29"/>
        <v>0</v>
      </c>
      <c r="D369" s="15">
        <f t="shared" si="30"/>
        <v>0</v>
      </c>
      <c r="E369" s="70">
        <v>46249</v>
      </c>
      <c r="F369" s="71">
        <v>0</v>
      </c>
      <c r="G369" s="76">
        <v>149.9965</v>
      </c>
      <c r="H369" s="76">
        <v>150</v>
      </c>
      <c r="I369" s="71">
        <v>0</v>
      </c>
      <c r="J369" s="76">
        <v>1.6099999999999999E-23</v>
      </c>
      <c r="K369" s="71">
        <v>4500.2659999999996</v>
      </c>
      <c r="L369" s="29">
        <f t="shared" si="31"/>
        <v>0</v>
      </c>
      <c r="DP369" s="15"/>
    </row>
    <row r="370" spans="1:120">
      <c r="A370" s="15">
        <f t="shared" si="33"/>
        <v>0</v>
      </c>
      <c r="B370" s="15">
        <f t="shared" si="28"/>
        <v>0</v>
      </c>
      <c r="C370" s="15">
        <f t="shared" si="29"/>
        <v>0</v>
      </c>
      <c r="D370" s="15">
        <f t="shared" si="30"/>
        <v>0</v>
      </c>
      <c r="E370" s="70">
        <v>46249.041666666664</v>
      </c>
      <c r="F370" s="71">
        <v>0</v>
      </c>
      <c r="G370" s="76">
        <v>149.9941</v>
      </c>
      <c r="H370" s="76">
        <v>150</v>
      </c>
      <c r="I370" s="71">
        <v>0</v>
      </c>
      <c r="J370" s="76">
        <v>7.5100000000000004E-24</v>
      </c>
      <c r="K370" s="71">
        <v>4500.2659999999996</v>
      </c>
      <c r="L370" s="29">
        <f t="shared" si="31"/>
        <v>0</v>
      </c>
      <c r="DP370" s="15"/>
    </row>
    <row r="371" spans="1:120">
      <c r="A371" s="15">
        <f t="shared" si="33"/>
        <v>0</v>
      </c>
      <c r="B371" s="15">
        <f t="shared" si="28"/>
        <v>0</v>
      </c>
      <c r="C371" s="15">
        <f t="shared" si="29"/>
        <v>0</v>
      </c>
      <c r="D371" s="15">
        <f t="shared" si="30"/>
        <v>0</v>
      </c>
      <c r="E371" s="70">
        <v>46249.083333333336</v>
      </c>
      <c r="F371" s="71">
        <v>0</v>
      </c>
      <c r="G371" s="76">
        <v>149.90539999999999</v>
      </c>
      <c r="H371" s="76">
        <v>149.9999</v>
      </c>
      <c r="I371" s="71">
        <v>0</v>
      </c>
      <c r="J371" s="76">
        <v>4.7300000000000002E-24</v>
      </c>
      <c r="K371" s="71">
        <v>4502.9030000000002</v>
      </c>
      <c r="L371" s="29">
        <f t="shared" si="31"/>
        <v>0</v>
      </c>
      <c r="DP371" s="15"/>
    </row>
    <row r="372" spans="1:120">
      <c r="A372" s="15">
        <f t="shared" si="33"/>
        <v>0</v>
      </c>
      <c r="B372" s="15">
        <f t="shared" si="28"/>
        <v>0</v>
      </c>
      <c r="C372" s="15">
        <f t="shared" si="29"/>
        <v>0</v>
      </c>
      <c r="D372" s="15">
        <f t="shared" si="30"/>
        <v>0</v>
      </c>
      <c r="E372" s="70">
        <v>46249.125</v>
      </c>
      <c r="F372" s="71">
        <v>0</v>
      </c>
      <c r="G372" s="76">
        <v>149.8443</v>
      </c>
      <c r="H372" s="76">
        <v>149.99979999999999</v>
      </c>
      <c r="I372" s="71">
        <v>0</v>
      </c>
      <c r="J372" s="76">
        <v>2.21E-24</v>
      </c>
      <c r="K372" s="71">
        <v>4504.7190000000001</v>
      </c>
      <c r="L372" s="29">
        <f t="shared" si="31"/>
        <v>0</v>
      </c>
      <c r="DP372" s="15"/>
    </row>
    <row r="373" spans="1:120">
      <c r="A373" s="15">
        <f t="shared" si="33"/>
        <v>0</v>
      </c>
      <c r="B373" s="15">
        <f t="shared" si="28"/>
        <v>0</v>
      </c>
      <c r="C373" s="15">
        <f t="shared" si="29"/>
        <v>0</v>
      </c>
      <c r="D373" s="15">
        <f t="shared" si="30"/>
        <v>0</v>
      </c>
      <c r="E373" s="70">
        <v>46249.166666666664</v>
      </c>
      <c r="F373" s="71">
        <v>0</v>
      </c>
      <c r="G373" s="76">
        <v>148.91329999999999</v>
      </c>
      <c r="H373" s="76">
        <v>149.9956</v>
      </c>
      <c r="I373" s="71">
        <v>0</v>
      </c>
      <c r="J373" s="76">
        <v>1.3899999999999999E-24</v>
      </c>
      <c r="K373" s="71">
        <v>4504.7190000000001</v>
      </c>
      <c r="L373" s="29">
        <f t="shared" si="31"/>
        <v>0</v>
      </c>
      <c r="DP373" s="15"/>
    </row>
    <row r="374" spans="1:120">
      <c r="A374" s="15">
        <f t="shared" si="33"/>
        <v>0</v>
      </c>
      <c r="B374" s="15">
        <f t="shared" si="28"/>
        <v>0</v>
      </c>
      <c r="C374" s="15">
        <f t="shared" si="29"/>
        <v>0</v>
      </c>
      <c r="D374" s="15">
        <f t="shared" si="30"/>
        <v>0</v>
      </c>
      <c r="E374" s="70">
        <v>46249.208333333336</v>
      </c>
      <c r="F374" s="71">
        <v>0</v>
      </c>
      <c r="G374" s="76">
        <v>148.27209999999999</v>
      </c>
      <c r="H374" s="76">
        <v>149.99270000000001</v>
      </c>
      <c r="I374" s="71">
        <v>0</v>
      </c>
      <c r="J374" s="76">
        <v>6.5099999999999999E-25</v>
      </c>
      <c r="K374" s="71">
        <v>4504.7190000000001</v>
      </c>
      <c r="L374" s="29">
        <f t="shared" si="31"/>
        <v>0</v>
      </c>
      <c r="DP374" s="15"/>
    </row>
    <row r="375" spans="1:120">
      <c r="A375" s="15"/>
      <c r="B375" s="15"/>
      <c r="C375" s="15"/>
      <c r="D375" s="15"/>
      <c r="E375" s="70">
        <v>46249.25</v>
      </c>
      <c r="F375" s="71">
        <v>0</v>
      </c>
      <c r="G375" s="76">
        <v>143.11959999999999</v>
      </c>
      <c r="H375" s="76">
        <v>149.92570000000001</v>
      </c>
      <c r="I375" s="71">
        <v>0</v>
      </c>
      <c r="J375" s="76">
        <v>4.0999999999999999E-25</v>
      </c>
      <c r="K375" s="71">
        <v>4520.0609999999997</v>
      </c>
      <c r="L375" s="29">
        <f t="shared" si="31"/>
        <v>0</v>
      </c>
    </row>
    <row r="376" spans="1:120">
      <c r="A376" s="15"/>
      <c r="B376" s="15"/>
      <c r="C376" s="15"/>
      <c r="D376" s="15"/>
      <c r="E376" s="70">
        <v>46249.291666666664</v>
      </c>
      <c r="F376" s="71">
        <v>0</v>
      </c>
      <c r="G376" s="76">
        <v>139.57079999999999</v>
      </c>
      <c r="H376" s="76">
        <v>149.87950000000001</v>
      </c>
      <c r="I376" s="71">
        <v>0</v>
      </c>
      <c r="J376" s="76">
        <v>1.9200000000000001E-25</v>
      </c>
      <c r="K376" s="71">
        <v>4530.6260000000002</v>
      </c>
      <c r="L376" s="29">
        <f t="shared" si="31"/>
        <v>0</v>
      </c>
    </row>
    <row r="377" spans="1:120">
      <c r="A377" s="15"/>
      <c r="B377" s="15"/>
      <c r="C377" s="15"/>
      <c r="D377" s="15"/>
      <c r="E377" s="70">
        <v>46249.333333333336</v>
      </c>
      <c r="F377" s="71">
        <v>0</v>
      </c>
      <c r="G377" s="76">
        <v>123.4807</v>
      </c>
      <c r="H377" s="76">
        <v>149.2962</v>
      </c>
      <c r="I377" s="71">
        <v>0</v>
      </c>
      <c r="J377" s="76">
        <v>1.21E-25</v>
      </c>
      <c r="K377" s="71">
        <v>4530.625</v>
      </c>
      <c r="L377" s="29">
        <f t="shared" si="31"/>
        <v>0</v>
      </c>
    </row>
    <row r="378" spans="1:120">
      <c r="A378" s="15"/>
      <c r="B378" s="15"/>
      <c r="C378" s="15"/>
      <c r="D378" s="15"/>
      <c r="E378" s="70">
        <v>46249.375</v>
      </c>
      <c r="F378" s="71">
        <v>0</v>
      </c>
      <c r="G378" s="76">
        <v>112.39879999999999</v>
      </c>
      <c r="H378" s="76">
        <v>148.89449999999999</v>
      </c>
      <c r="I378" s="71">
        <v>0</v>
      </c>
      <c r="J378" s="76">
        <v>5.6300000000000001E-26</v>
      </c>
      <c r="K378" s="71">
        <v>4530.625</v>
      </c>
      <c r="L378" s="29">
        <f t="shared" si="31"/>
        <v>0</v>
      </c>
    </row>
    <row r="379" spans="1:120">
      <c r="A379" s="15"/>
      <c r="B379" s="15"/>
      <c r="C379" s="15"/>
      <c r="D379" s="15"/>
      <c r="E379" s="70">
        <v>46249.416666666664</v>
      </c>
      <c r="F379" s="71">
        <v>0</v>
      </c>
      <c r="G379" s="76">
        <v>84.377920000000003</v>
      </c>
      <c r="H379" s="76">
        <v>145.8817</v>
      </c>
      <c r="I379" s="71">
        <v>0</v>
      </c>
      <c r="J379" s="76">
        <v>3.5399999999999997E-26</v>
      </c>
      <c r="K379" s="71">
        <v>4564.9979999999996</v>
      </c>
      <c r="L379" s="29">
        <f t="shared" si="31"/>
        <v>0</v>
      </c>
    </row>
    <row r="380" spans="1:120">
      <c r="E380" s="70">
        <v>46249.458333333336</v>
      </c>
      <c r="F380" s="71">
        <v>0</v>
      </c>
      <c r="G380" s="76">
        <v>65.078900000000004</v>
      </c>
      <c r="H380" s="76">
        <v>143.80670000000001</v>
      </c>
      <c r="I380" s="71">
        <v>0</v>
      </c>
      <c r="J380" s="76">
        <v>1.6499999999999999E-26</v>
      </c>
      <c r="K380" s="71">
        <v>4588.6719999999996</v>
      </c>
      <c r="L380" s="29">
        <f t="shared" si="31"/>
        <v>0</v>
      </c>
    </row>
    <row r="381" spans="1:120">
      <c r="E381" s="70">
        <v>46249.5</v>
      </c>
      <c r="F381" s="71">
        <v>0</v>
      </c>
      <c r="G381" s="71">
        <v>40.062640000000002</v>
      </c>
      <c r="H381" s="76">
        <v>134.27590000000001</v>
      </c>
      <c r="I381" s="71">
        <v>0</v>
      </c>
      <c r="J381" s="76">
        <v>1.0400000000000001E-26</v>
      </c>
      <c r="K381" s="71">
        <v>4588.6279999999997</v>
      </c>
      <c r="L381" s="29">
        <f t="shared" si="31"/>
        <v>0</v>
      </c>
    </row>
    <row r="382" spans="1:120">
      <c r="E382" s="70">
        <v>46249.541666666664</v>
      </c>
      <c r="F382" s="71">
        <v>0</v>
      </c>
      <c r="G382" s="71">
        <v>22.833020000000001</v>
      </c>
      <c r="H382" s="76">
        <v>127.71169999999999</v>
      </c>
      <c r="I382" s="71">
        <v>0</v>
      </c>
      <c r="J382" s="76">
        <v>4.8499999999999999E-27</v>
      </c>
      <c r="K382" s="71">
        <v>4588.5969999999998</v>
      </c>
      <c r="L382" s="29">
        <f t="shared" si="31"/>
        <v>0</v>
      </c>
    </row>
    <row r="383" spans="1:120">
      <c r="E383" s="70">
        <v>46249.583333333336</v>
      </c>
      <c r="F383" s="71">
        <v>0</v>
      </c>
      <c r="G383" s="71">
        <v>12.898580000000001</v>
      </c>
      <c r="H383" s="76">
        <v>109.1931</v>
      </c>
      <c r="I383" s="71">
        <v>0</v>
      </c>
      <c r="J383" s="76">
        <v>3.05E-27</v>
      </c>
      <c r="K383" s="71">
        <v>4609.7719999999999</v>
      </c>
      <c r="L383" s="29">
        <f t="shared" si="31"/>
        <v>0</v>
      </c>
    </row>
    <row r="384" spans="1:120">
      <c r="E384" s="70">
        <v>46249.625</v>
      </c>
      <c r="F384" s="71">
        <v>0</v>
      </c>
      <c r="G384" s="71">
        <v>6.0563599999999997</v>
      </c>
      <c r="H384" s="76">
        <v>96.438739999999996</v>
      </c>
      <c r="I384" s="71">
        <v>0</v>
      </c>
      <c r="J384" s="76">
        <v>1.42E-27</v>
      </c>
      <c r="K384" s="71">
        <v>4624.357</v>
      </c>
      <c r="L384" s="29">
        <f t="shared" si="31"/>
        <v>0</v>
      </c>
    </row>
    <row r="385" spans="5:12">
      <c r="E385" s="70">
        <v>46249.666666666664</v>
      </c>
      <c r="F385" s="71">
        <v>0</v>
      </c>
      <c r="G385" s="71">
        <v>3.2751980000000001</v>
      </c>
      <c r="H385" s="76">
        <v>74.470510000000004</v>
      </c>
      <c r="I385" s="71">
        <v>0</v>
      </c>
      <c r="J385" s="76">
        <v>8.9300000000000007E-28</v>
      </c>
      <c r="K385" s="71">
        <v>4623.4319999999998</v>
      </c>
      <c r="L385" s="29">
        <f t="shared" si="31"/>
        <v>0</v>
      </c>
    </row>
    <row r="386" spans="5:12">
      <c r="E386" s="70">
        <v>46249.708333333336</v>
      </c>
      <c r="F386" s="71">
        <v>0</v>
      </c>
      <c r="G386" s="71">
        <v>1.3597090000000001</v>
      </c>
      <c r="H386" s="76">
        <v>59.34019</v>
      </c>
      <c r="I386" s="71">
        <v>0</v>
      </c>
      <c r="J386" s="76">
        <v>4.1700000000000001E-28</v>
      </c>
      <c r="K386" s="71">
        <v>4622.7939999999999</v>
      </c>
      <c r="L386" s="29">
        <f t="shared" si="31"/>
        <v>0</v>
      </c>
    </row>
    <row r="387" spans="5:12">
      <c r="E387" s="70">
        <v>46249.75</v>
      </c>
      <c r="F387" s="71">
        <v>0</v>
      </c>
      <c r="G387" s="71">
        <v>0.71684099999999995</v>
      </c>
      <c r="H387" s="76">
        <v>42.7029</v>
      </c>
      <c r="I387" s="71">
        <v>0</v>
      </c>
      <c r="J387" s="76">
        <v>2.6199999999999999E-28</v>
      </c>
      <c r="K387" s="71">
        <v>4629.2719999999999</v>
      </c>
      <c r="L387" s="29">
        <f t="shared" ref="L387:L450" si="34">IF(K387&gt;10000,K387-10000,0)</f>
        <v>0</v>
      </c>
    </row>
    <row r="388" spans="5:12">
      <c r="E388" s="70">
        <v>46249.791666666664</v>
      </c>
      <c r="F388" s="71">
        <v>0</v>
      </c>
      <c r="G388" s="71">
        <v>0.27407399999999998</v>
      </c>
      <c r="H388" s="76">
        <v>31.24417</v>
      </c>
      <c r="I388" s="71">
        <v>0</v>
      </c>
      <c r="J388" s="76">
        <v>1.22E-28</v>
      </c>
      <c r="K388" s="71">
        <v>4633.7340000000004</v>
      </c>
      <c r="L388" s="29">
        <f t="shared" si="34"/>
        <v>0</v>
      </c>
    </row>
    <row r="389" spans="5:12">
      <c r="E389" s="70">
        <v>46249.833333333336</v>
      </c>
      <c r="F389" s="71">
        <v>0</v>
      </c>
      <c r="G389" s="71">
        <v>0.142152</v>
      </c>
      <c r="H389" s="76">
        <v>21.507819999999999</v>
      </c>
      <c r="I389" s="71">
        <v>0</v>
      </c>
      <c r="J389" s="76">
        <v>7.6600000000000001E-29</v>
      </c>
      <c r="K389" s="71">
        <v>4626.0510000000004</v>
      </c>
      <c r="L389" s="29">
        <f t="shared" si="34"/>
        <v>0</v>
      </c>
    </row>
    <row r="390" spans="5:12">
      <c r="E390" s="70">
        <v>46249.875</v>
      </c>
      <c r="F390" s="71">
        <v>0</v>
      </c>
      <c r="G390" s="71">
        <v>5.1292999999999998E-2</v>
      </c>
      <c r="H390" s="76">
        <v>14.80204</v>
      </c>
      <c r="I390" s="71">
        <v>0</v>
      </c>
      <c r="J390" s="76">
        <v>3.57E-29</v>
      </c>
      <c r="K390" s="71">
        <v>4620.76</v>
      </c>
      <c r="L390" s="29">
        <f t="shared" si="34"/>
        <v>0</v>
      </c>
    </row>
    <row r="391" spans="5:12">
      <c r="E391" s="70">
        <v>46249.916666666664</v>
      </c>
      <c r="F391" s="71">
        <v>0</v>
      </c>
      <c r="G391" s="71">
        <v>2.6306E-2</v>
      </c>
      <c r="H391" s="76">
        <v>9.909516</v>
      </c>
      <c r="I391" s="71">
        <v>0</v>
      </c>
      <c r="J391" s="76">
        <v>2.2399999999999999E-29</v>
      </c>
      <c r="K391" s="71">
        <v>4610.4350000000004</v>
      </c>
      <c r="L391" s="29">
        <f t="shared" si="34"/>
        <v>0</v>
      </c>
    </row>
    <row r="392" spans="5:12">
      <c r="E392" s="70">
        <v>46249.958333333336</v>
      </c>
      <c r="F392" s="71">
        <v>0</v>
      </c>
      <c r="G392" s="71">
        <v>9.0980000000000002E-3</v>
      </c>
      <c r="H392" s="76">
        <v>6.5398579999999997</v>
      </c>
      <c r="I392" s="71">
        <v>0</v>
      </c>
      <c r="J392" s="76">
        <v>1.0399999999999999E-29</v>
      </c>
      <c r="K392" s="71">
        <v>4603.3230000000003</v>
      </c>
      <c r="L392" s="29">
        <f t="shared" si="34"/>
        <v>0</v>
      </c>
    </row>
    <row r="393" spans="5:12">
      <c r="E393" s="70">
        <v>46250</v>
      </c>
      <c r="F393" s="71">
        <v>0</v>
      </c>
      <c r="G393" s="71">
        <v>4.6280000000000002E-3</v>
      </c>
      <c r="H393" s="76">
        <v>4.3014650000000003</v>
      </c>
      <c r="I393" s="71">
        <v>0</v>
      </c>
      <c r="J393" s="76">
        <v>6.5400000000000003E-30</v>
      </c>
      <c r="K393" s="71">
        <v>4586.0609999999997</v>
      </c>
      <c r="L393" s="29">
        <f t="shared" si="34"/>
        <v>0</v>
      </c>
    </row>
    <row r="394" spans="5:12">
      <c r="E394" s="70">
        <v>46250.041666666664</v>
      </c>
      <c r="F394" s="71">
        <v>0</v>
      </c>
      <c r="G394" s="71">
        <v>1.5499999999999999E-3</v>
      </c>
      <c r="H394" s="76">
        <v>2.7598009999999999</v>
      </c>
      <c r="I394" s="71">
        <v>0</v>
      </c>
      <c r="J394" s="76">
        <v>3.0499999999999999E-30</v>
      </c>
      <c r="K394" s="71">
        <v>4574.1710000000003</v>
      </c>
      <c r="L394" s="29">
        <f t="shared" si="34"/>
        <v>0</v>
      </c>
    </row>
    <row r="395" spans="5:12">
      <c r="E395" s="70">
        <v>46250.083333333336</v>
      </c>
      <c r="F395" s="71">
        <v>0</v>
      </c>
      <c r="G395" s="71">
        <v>7.8399999999999997E-4</v>
      </c>
      <c r="H395" s="76">
        <v>1.794678</v>
      </c>
      <c r="I395" s="71">
        <v>0</v>
      </c>
      <c r="J395" s="76">
        <v>1.9100000000000001E-30</v>
      </c>
      <c r="K395" s="71">
        <v>4559.9290000000001</v>
      </c>
      <c r="L395" s="29">
        <f t="shared" si="34"/>
        <v>0</v>
      </c>
    </row>
    <row r="396" spans="5:12">
      <c r="E396" s="70">
        <v>46250.125</v>
      </c>
      <c r="F396" s="71">
        <v>0</v>
      </c>
      <c r="G396" s="71">
        <v>2.5599999999999999E-4</v>
      </c>
      <c r="H396" s="76">
        <v>1.1299630000000001</v>
      </c>
      <c r="I396" s="71">
        <v>0</v>
      </c>
      <c r="J396" s="76">
        <v>8.8999999999999997E-31</v>
      </c>
      <c r="K396" s="71">
        <v>4550.12</v>
      </c>
      <c r="L396" s="29">
        <f t="shared" si="34"/>
        <v>0</v>
      </c>
    </row>
    <row r="397" spans="5:12">
      <c r="E397" s="70">
        <v>46250.166666666664</v>
      </c>
      <c r="F397" s="71">
        <v>0</v>
      </c>
      <c r="G397" s="71">
        <v>1.2899999999999999E-4</v>
      </c>
      <c r="H397" s="76">
        <v>0.72940400000000005</v>
      </c>
      <c r="I397" s="71">
        <v>0</v>
      </c>
      <c r="J397" s="76">
        <v>5.5800000000000001E-31</v>
      </c>
      <c r="K397" s="71">
        <v>4538.3320000000003</v>
      </c>
      <c r="L397" s="29">
        <f t="shared" si="34"/>
        <v>0</v>
      </c>
    </row>
    <row r="398" spans="5:12">
      <c r="E398" s="70">
        <v>46250.208333333336</v>
      </c>
      <c r="F398" s="71">
        <v>0</v>
      </c>
      <c r="G398" s="76">
        <v>4.1199999999999999E-5</v>
      </c>
      <c r="H398" s="76">
        <v>0.45352399999999998</v>
      </c>
      <c r="I398" s="71">
        <v>0</v>
      </c>
      <c r="J398" s="76">
        <v>2.6E-31</v>
      </c>
      <c r="K398" s="71">
        <v>4530.2129999999997</v>
      </c>
      <c r="L398" s="29">
        <f t="shared" si="34"/>
        <v>0</v>
      </c>
    </row>
    <row r="399" spans="5:12">
      <c r="E399" s="70">
        <v>46250.25</v>
      </c>
      <c r="F399" s="71">
        <v>0</v>
      </c>
      <c r="G399" s="76">
        <v>2.0599999999999999E-5</v>
      </c>
      <c r="H399" s="76">
        <v>0.29134700000000002</v>
      </c>
      <c r="I399" s="71">
        <v>0</v>
      </c>
      <c r="J399" s="76">
        <v>1.6300000000000001E-31</v>
      </c>
      <c r="K399" s="71">
        <v>4522.7749999999996</v>
      </c>
      <c r="L399" s="29">
        <f t="shared" si="34"/>
        <v>0</v>
      </c>
    </row>
    <row r="400" spans="5:12">
      <c r="E400" s="70">
        <v>46250.291666666664</v>
      </c>
      <c r="F400" s="71">
        <v>0</v>
      </c>
      <c r="G400" s="76">
        <v>6.4999999999999996E-6</v>
      </c>
      <c r="H400" s="76">
        <v>0.17965</v>
      </c>
      <c r="I400" s="71">
        <v>0</v>
      </c>
      <c r="J400" s="76">
        <v>7.5699999999999995E-32</v>
      </c>
      <c r="K400" s="71">
        <v>4517.652</v>
      </c>
      <c r="L400" s="29">
        <f t="shared" si="34"/>
        <v>0</v>
      </c>
    </row>
    <row r="401" spans="5:12">
      <c r="E401" s="70">
        <v>46250.333333333336</v>
      </c>
      <c r="F401" s="71">
        <v>0</v>
      </c>
      <c r="G401" s="76">
        <v>3.2499999999999998E-6</v>
      </c>
      <c r="H401" s="76">
        <v>0.11504300000000001</v>
      </c>
      <c r="I401" s="71">
        <v>0</v>
      </c>
      <c r="J401" s="76">
        <v>4.75E-32</v>
      </c>
      <c r="K401" s="71">
        <v>4512.8429999999998</v>
      </c>
      <c r="L401" s="29">
        <f t="shared" si="34"/>
        <v>0</v>
      </c>
    </row>
    <row r="402" spans="5:12">
      <c r="E402" s="70">
        <v>46250.375</v>
      </c>
      <c r="F402" s="71">
        <v>0</v>
      </c>
      <c r="G402" s="76">
        <v>1.0100000000000001E-6</v>
      </c>
      <c r="H402" s="76">
        <v>7.0546999999999999E-2</v>
      </c>
      <c r="I402" s="71">
        <v>0</v>
      </c>
      <c r="J402" s="76">
        <v>2.2100000000000001E-32</v>
      </c>
      <c r="K402" s="71">
        <v>4509.53</v>
      </c>
      <c r="L402" s="29">
        <f t="shared" si="34"/>
        <v>0</v>
      </c>
    </row>
    <row r="403" spans="5:12">
      <c r="E403" s="70">
        <v>46250.416666666664</v>
      </c>
      <c r="F403" s="71">
        <v>0</v>
      </c>
      <c r="G403" s="76">
        <v>5.0299999999999999E-7</v>
      </c>
      <c r="H403" s="76">
        <v>4.5081999999999997E-2</v>
      </c>
      <c r="I403" s="71">
        <v>0</v>
      </c>
      <c r="J403" s="76">
        <v>1.38E-32</v>
      </c>
      <c r="K403" s="71">
        <v>4506.9040000000005</v>
      </c>
      <c r="L403" s="29">
        <f t="shared" si="34"/>
        <v>0</v>
      </c>
    </row>
    <row r="404" spans="5:12">
      <c r="E404" s="70">
        <v>46250.458333333336</v>
      </c>
      <c r="F404" s="71">
        <v>0</v>
      </c>
      <c r="G404" s="76">
        <v>1.54E-7</v>
      </c>
      <c r="H404" s="76">
        <v>2.7543999999999999E-2</v>
      </c>
      <c r="I404" s="71">
        <v>0</v>
      </c>
      <c r="J404" s="76">
        <v>6.4300000000000002E-33</v>
      </c>
      <c r="K404" s="71">
        <v>4505.0950000000003</v>
      </c>
      <c r="L404" s="29">
        <f t="shared" si="34"/>
        <v>0</v>
      </c>
    </row>
    <row r="405" spans="5:12">
      <c r="E405" s="70">
        <v>46250.5</v>
      </c>
      <c r="F405" s="71">
        <v>0</v>
      </c>
      <c r="G405" s="76">
        <v>7.6700000000000005E-8</v>
      </c>
      <c r="H405" s="76">
        <v>1.7576999999999999E-2</v>
      </c>
      <c r="I405" s="71">
        <v>0</v>
      </c>
      <c r="J405" s="76">
        <v>4.0300000000000002E-33</v>
      </c>
      <c r="K405" s="71">
        <v>4503.5929999999998</v>
      </c>
      <c r="L405" s="29">
        <f t="shared" si="34"/>
        <v>0</v>
      </c>
    </row>
    <row r="406" spans="5:12">
      <c r="E406" s="70">
        <v>46250.541666666664</v>
      </c>
      <c r="F406" s="71">
        <v>0</v>
      </c>
      <c r="G406" s="76">
        <v>2.33E-8</v>
      </c>
      <c r="H406" s="76">
        <v>1.0713E-2</v>
      </c>
      <c r="I406" s="71">
        <v>0</v>
      </c>
      <c r="J406" s="76">
        <v>1.87E-33</v>
      </c>
      <c r="K406" s="71">
        <v>4502.5590000000002</v>
      </c>
      <c r="L406" s="29">
        <f t="shared" si="34"/>
        <v>0</v>
      </c>
    </row>
    <row r="407" spans="5:12">
      <c r="E407" s="70">
        <v>46250.583333333336</v>
      </c>
      <c r="F407" s="71">
        <v>0</v>
      </c>
      <c r="G407" s="76">
        <v>1.16E-8</v>
      </c>
      <c r="H407" s="76">
        <v>6.8300000000000001E-3</v>
      </c>
      <c r="I407" s="71">
        <v>0</v>
      </c>
      <c r="J407" s="76">
        <v>1.1700000000000001E-33</v>
      </c>
      <c r="K407" s="71">
        <v>4501.8090000000002</v>
      </c>
      <c r="L407" s="29">
        <f t="shared" si="34"/>
        <v>0</v>
      </c>
    </row>
    <row r="408" spans="5:12">
      <c r="E408" s="70">
        <v>46250.625</v>
      </c>
      <c r="F408" s="71">
        <v>0</v>
      </c>
      <c r="G408" s="76">
        <v>3.4900000000000001E-9</v>
      </c>
      <c r="H408" s="76">
        <v>4.156E-3</v>
      </c>
      <c r="I408" s="71">
        <v>0</v>
      </c>
      <c r="J408" s="76">
        <v>5.4500000000000002E-34</v>
      </c>
      <c r="K408" s="71">
        <v>4501.2929999999997</v>
      </c>
      <c r="L408" s="29">
        <f t="shared" si="34"/>
        <v>0</v>
      </c>
    </row>
    <row r="409" spans="5:12">
      <c r="E409" s="70">
        <v>46250.666666666664</v>
      </c>
      <c r="F409" s="71">
        <v>0</v>
      </c>
      <c r="G409" s="76">
        <v>1.73E-9</v>
      </c>
      <c r="H409" s="76">
        <v>2.6480000000000002E-3</v>
      </c>
      <c r="I409" s="71">
        <v>0</v>
      </c>
      <c r="J409" s="76">
        <v>3.4099999999999999E-34</v>
      </c>
      <c r="K409" s="71">
        <v>4500.893</v>
      </c>
      <c r="L409" s="29">
        <f t="shared" si="34"/>
        <v>0</v>
      </c>
    </row>
    <row r="410" spans="5:12">
      <c r="E410" s="70">
        <v>46250.708333333336</v>
      </c>
      <c r="F410" s="71">
        <v>0</v>
      </c>
      <c r="G410" s="76">
        <v>5.1599999999999998E-10</v>
      </c>
      <c r="H410" s="76">
        <v>1.6100000000000001E-3</v>
      </c>
      <c r="I410" s="71">
        <v>0</v>
      </c>
      <c r="J410" s="76">
        <v>1.58E-34</v>
      </c>
      <c r="K410" s="71">
        <v>4500.6180000000004</v>
      </c>
      <c r="L410" s="29">
        <f t="shared" si="34"/>
        <v>0</v>
      </c>
    </row>
    <row r="411" spans="5:12">
      <c r="E411" s="70">
        <v>46250.75</v>
      </c>
      <c r="F411" s="71">
        <v>0</v>
      </c>
      <c r="G411" s="76">
        <v>2.5599999999999999E-10</v>
      </c>
      <c r="H411" s="76">
        <v>1.0250000000000001E-3</v>
      </c>
      <c r="I411" s="71">
        <v>0</v>
      </c>
      <c r="J411" s="76">
        <v>9.9199999999999995E-35</v>
      </c>
      <c r="K411" s="71">
        <v>4500.43</v>
      </c>
      <c r="L411" s="29">
        <f t="shared" si="34"/>
        <v>0</v>
      </c>
    </row>
    <row r="412" spans="5:12">
      <c r="E412" s="70">
        <v>46250.791666666664</v>
      </c>
      <c r="F412" s="71">
        <v>0</v>
      </c>
      <c r="G412" s="76">
        <v>7.5900000000000004E-11</v>
      </c>
      <c r="H412" s="76">
        <v>6.2299999999999996E-4</v>
      </c>
      <c r="I412" s="71">
        <v>0</v>
      </c>
      <c r="J412" s="76">
        <v>4.61E-35</v>
      </c>
      <c r="K412" s="71">
        <v>4500.3</v>
      </c>
      <c r="L412" s="29">
        <f t="shared" si="34"/>
        <v>0</v>
      </c>
    </row>
    <row r="413" spans="5:12">
      <c r="E413" s="70">
        <v>46250.833333333336</v>
      </c>
      <c r="F413" s="71">
        <v>0</v>
      </c>
      <c r="G413" s="76">
        <v>3.75E-11</v>
      </c>
      <c r="H413" s="76">
        <v>3.97E-4</v>
      </c>
      <c r="I413" s="71">
        <v>0</v>
      </c>
      <c r="J413" s="76">
        <v>2.8800000000000003E-35</v>
      </c>
      <c r="K413" s="71">
        <v>4500.2049999999999</v>
      </c>
      <c r="L413" s="29">
        <f t="shared" si="34"/>
        <v>0</v>
      </c>
    </row>
    <row r="414" spans="5:12">
      <c r="E414" s="70">
        <v>46250.875</v>
      </c>
      <c r="F414" s="71">
        <v>0</v>
      </c>
      <c r="G414" s="76">
        <v>1.1100000000000001E-11</v>
      </c>
      <c r="H414" s="76">
        <v>2.41E-4</v>
      </c>
      <c r="I414" s="71">
        <v>0</v>
      </c>
      <c r="J414" s="76">
        <v>1.3399999999999999E-35</v>
      </c>
      <c r="K414" s="71">
        <v>4500.1379999999999</v>
      </c>
      <c r="L414" s="29">
        <f t="shared" si="34"/>
        <v>0</v>
      </c>
    </row>
    <row r="415" spans="5:12">
      <c r="E415" s="70">
        <v>46250.916666666664</v>
      </c>
      <c r="F415" s="71">
        <v>0</v>
      </c>
      <c r="G415" s="76">
        <v>5.4699999999999999E-12</v>
      </c>
      <c r="H415" s="76">
        <v>1.5300000000000001E-4</v>
      </c>
      <c r="I415" s="71">
        <v>0</v>
      </c>
      <c r="J415" s="76">
        <v>8.3700000000000005E-36</v>
      </c>
      <c r="K415" s="71">
        <v>4500.0950000000003</v>
      </c>
      <c r="L415" s="29">
        <f t="shared" si="34"/>
        <v>0</v>
      </c>
    </row>
    <row r="416" spans="5:12">
      <c r="E416" s="70">
        <v>46250.958333333336</v>
      </c>
      <c r="F416" s="71">
        <v>0</v>
      </c>
      <c r="G416" s="76">
        <v>1.61E-12</v>
      </c>
      <c r="H416" s="76">
        <v>9.2999999999999997E-5</v>
      </c>
      <c r="I416" s="71">
        <v>0</v>
      </c>
      <c r="J416" s="76">
        <v>3.8899999999999997E-36</v>
      </c>
      <c r="K416" s="71">
        <v>4500.0649999999996</v>
      </c>
      <c r="L416" s="29">
        <f t="shared" si="34"/>
        <v>0</v>
      </c>
    </row>
    <row r="417" spans="5:12">
      <c r="E417" s="70">
        <v>46251</v>
      </c>
      <c r="F417" s="71">
        <v>0</v>
      </c>
      <c r="G417" s="76">
        <v>7.9299999999999995E-13</v>
      </c>
      <c r="H417" s="76">
        <v>5.9200000000000002E-5</v>
      </c>
      <c r="I417" s="71">
        <v>0</v>
      </c>
      <c r="J417" s="76">
        <v>2.4300000000000001E-36</v>
      </c>
      <c r="K417" s="71">
        <v>4500.0439999999999</v>
      </c>
      <c r="L417" s="29">
        <f t="shared" si="34"/>
        <v>0</v>
      </c>
    </row>
    <row r="418" spans="5:12">
      <c r="E418" s="70">
        <v>46251.041666666664</v>
      </c>
      <c r="F418" s="71">
        <v>0</v>
      </c>
      <c r="G418" s="76">
        <v>2.3200000000000002E-13</v>
      </c>
      <c r="H418" s="76">
        <v>3.5899999999999998E-5</v>
      </c>
      <c r="I418" s="71">
        <v>0</v>
      </c>
      <c r="J418" s="76">
        <v>1.1300000000000001E-36</v>
      </c>
      <c r="K418" s="71">
        <v>4500.0290000000005</v>
      </c>
      <c r="L418" s="29">
        <f t="shared" si="34"/>
        <v>0</v>
      </c>
    </row>
    <row r="419" spans="5:12">
      <c r="E419" s="70">
        <v>46251.083333333336</v>
      </c>
      <c r="F419" s="71">
        <v>0</v>
      </c>
      <c r="G419" s="76">
        <v>1.1399999999999999E-13</v>
      </c>
      <c r="H419" s="76">
        <v>2.2900000000000001E-5</v>
      </c>
      <c r="I419" s="71">
        <v>0</v>
      </c>
      <c r="J419" s="76">
        <v>7.0599999999999998E-37</v>
      </c>
      <c r="K419" s="71">
        <v>4500.0200000000004</v>
      </c>
      <c r="L419" s="29">
        <f t="shared" si="34"/>
        <v>0</v>
      </c>
    </row>
    <row r="420" spans="5:12">
      <c r="E420" s="70">
        <v>46251.125</v>
      </c>
      <c r="F420" s="71">
        <v>0</v>
      </c>
      <c r="G420" s="76">
        <v>3.3300000000000001E-14</v>
      </c>
      <c r="H420" s="76">
        <v>1.3900000000000001E-5</v>
      </c>
      <c r="I420" s="71">
        <v>0</v>
      </c>
      <c r="J420" s="76">
        <v>3.2799999999999998E-37</v>
      </c>
      <c r="K420" s="71">
        <v>4500.0140000000001</v>
      </c>
      <c r="L420" s="29">
        <f t="shared" si="34"/>
        <v>0</v>
      </c>
    </row>
    <row r="421" spans="5:12">
      <c r="E421" s="70">
        <v>46251.166666666664</v>
      </c>
      <c r="F421" s="71">
        <v>0</v>
      </c>
      <c r="G421" s="76">
        <v>1.6400000000000001E-14</v>
      </c>
      <c r="H421" s="76">
        <v>8.8300000000000002E-6</v>
      </c>
      <c r="I421" s="71">
        <v>0</v>
      </c>
      <c r="J421" s="76">
        <v>2.0499999999999999E-37</v>
      </c>
      <c r="K421" s="71">
        <v>4500.009</v>
      </c>
      <c r="L421" s="29">
        <f t="shared" si="34"/>
        <v>0</v>
      </c>
    </row>
    <row r="422" spans="5:12">
      <c r="E422" s="70">
        <v>46251.208333333336</v>
      </c>
      <c r="F422" s="71">
        <v>0</v>
      </c>
      <c r="G422" s="76">
        <v>4.7500000000000003E-15</v>
      </c>
      <c r="H422" s="76">
        <v>5.3600000000000004E-6</v>
      </c>
      <c r="I422" s="71">
        <v>0</v>
      </c>
      <c r="J422" s="76">
        <v>9.5000000000000009E-38</v>
      </c>
      <c r="K422" s="71">
        <v>4500.0060000000003</v>
      </c>
      <c r="L422" s="29">
        <f t="shared" si="34"/>
        <v>0</v>
      </c>
    </row>
    <row r="423" spans="5:12">
      <c r="E423" s="70">
        <v>46251.25</v>
      </c>
      <c r="F423" s="71">
        <v>0</v>
      </c>
      <c r="G423" s="76">
        <v>2.3400000000000002E-15</v>
      </c>
      <c r="H423" s="76">
        <v>3.41E-6</v>
      </c>
      <c r="I423" s="71">
        <v>0</v>
      </c>
      <c r="J423" s="76">
        <v>5.9300000000000004E-38</v>
      </c>
      <c r="K423" s="71">
        <v>4500.0039999999999</v>
      </c>
      <c r="L423" s="29">
        <f t="shared" si="34"/>
        <v>0</v>
      </c>
    </row>
    <row r="424" spans="5:12">
      <c r="E424" s="70">
        <v>46251.291666666664</v>
      </c>
      <c r="F424" s="71">
        <v>0</v>
      </c>
      <c r="G424" s="76">
        <v>6.7600000000000004E-16</v>
      </c>
      <c r="H424" s="76">
        <v>2.0700000000000001E-6</v>
      </c>
      <c r="I424" s="71">
        <v>0</v>
      </c>
      <c r="J424" s="76">
        <v>2.75E-38</v>
      </c>
      <c r="K424" s="71">
        <v>4500.0029999999997</v>
      </c>
      <c r="L424" s="29">
        <f t="shared" si="34"/>
        <v>0</v>
      </c>
    </row>
    <row r="425" spans="5:12">
      <c r="E425" s="70">
        <v>46251.333333333336</v>
      </c>
      <c r="F425" s="71">
        <v>0</v>
      </c>
      <c r="G425" s="76">
        <v>3.3200000000000002E-16</v>
      </c>
      <c r="H425" s="76">
        <v>1.3200000000000001E-6</v>
      </c>
      <c r="I425" s="71">
        <v>0</v>
      </c>
      <c r="J425" s="76">
        <v>1.72E-38</v>
      </c>
      <c r="K425" s="71">
        <v>4500.0020000000004</v>
      </c>
      <c r="L425" s="29">
        <f t="shared" si="34"/>
        <v>0</v>
      </c>
    </row>
    <row r="426" spans="5:12">
      <c r="E426" s="70">
        <v>46251.375</v>
      </c>
      <c r="F426" s="71">
        <v>0</v>
      </c>
      <c r="G426" s="76">
        <v>9.5799999999999999E-17</v>
      </c>
      <c r="H426" s="76">
        <v>7.9899999999999999E-7</v>
      </c>
      <c r="I426" s="71">
        <v>0</v>
      </c>
      <c r="J426" s="76">
        <v>7.9800000000000006E-39</v>
      </c>
      <c r="K426" s="71">
        <v>4500.0010000000002</v>
      </c>
      <c r="L426" s="29">
        <f t="shared" si="34"/>
        <v>0</v>
      </c>
    </row>
    <row r="427" spans="5:12">
      <c r="E427" s="70">
        <v>46251.416666666664</v>
      </c>
      <c r="F427" s="71">
        <v>0</v>
      </c>
      <c r="G427" s="76">
        <v>4.7099999999999997E-17</v>
      </c>
      <c r="H427" s="76">
        <v>5.0800000000000005E-7</v>
      </c>
      <c r="I427" s="71">
        <v>0</v>
      </c>
      <c r="J427" s="76">
        <v>4.9800000000000003E-39</v>
      </c>
      <c r="K427" s="71">
        <v>4500.0010000000002</v>
      </c>
      <c r="L427" s="29">
        <f t="shared" si="34"/>
        <v>0</v>
      </c>
    </row>
    <row r="428" spans="5:12">
      <c r="E428" s="70">
        <v>46251.458333333336</v>
      </c>
      <c r="F428" s="71">
        <v>0</v>
      </c>
      <c r="G428" s="76">
        <v>1.3500000000000001E-17</v>
      </c>
      <c r="H428" s="76">
        <v>3.0800000000000001E-7</v>
      </c>
      <c r="I428" s="71">
        <v>0</v>
      </c>
      <c r="J428" s="76">
        <v>2.3100000000000002E-39</v>
      </c>
      <c r="K428" s="71">
        <v>4500</v>
      </c>
      <c r="L428" s="29">
        <f t="shared" si="34"/>
        <v>0</v>
      </c>
    </row>
    <row r="429" spans="5:12">
      <c r="E429" s="70">
        <v>46251.5</v>
      </c>
      <c r="F429" s="71">
        <v>0</v>
      </c>
      <c r="G429" s="76">
        <v>6.6400000000000001E-18</v>
      </c>
      <c r="H429" s="76">
        <v>1.9600000000000001E-7</v>
      </c>
      <c r="I429" s="71">
        <v>0</v>
      </c>
      <c r="J429" s="76">
        <v>1.44E-39</v>
      </c>
      <c r="K429" s="71">
        <v>4500</v>
      </c>
      <c r="L429" s="29">
        <f t="shared" si="34"/>
        <v>0</v>
      </c>
    </row>
    <row r="430" spans="5:12">
      <c r="E430" s="70">
        <v>46251.541666666664</v>
      </c>
      <c r="F430" s="71">
        <v>0</v>
      </c>
      <c r="G430" s="76">
        <v>1.8999999999999999E-18</v>
      </c>
      <c r="H430" s="76">
        <v>1.1899999999999999E-7</v>
      </c>
      <c r="I430" s="71">
        <v>0</v>
      </c>
      <c r="J430" s="76">
        <v>6.6899999999999999E-40</v>
      </c>
      <c r="K430" s="71">
        <v>4500</v>
      </c>
      <c r="L430" s="29">
        <f t="shared" si="34"/>
        <v>0</v>
      </c>
    </row>
    <row r="431" spans="5:12">
      <c r="E431" s="70">
        <v>46251.583333333336</v>
      </c>
      <c r="F431" s="71">
        <v>0</v>
      </c>
      <c r="G431" s="76">
        <v>9.34E-19</v>
      </c>
      <c r="H431" s="76">
        <v>7.5699999999999996E-8</v>
      </c>
      <c r="I431" s="71">
        <v>0</v>
      </c>
      <c r="J431" s="76">
        <v>4.1799999999999997E-40</v>
      </c>
      <c r="K431" s="71">
        <v>4500</v>
      </c>
      <c r="L431" s="29">
        <f t="shared" si="34"/>
        <v>0</v>
      </c>
    </row>
    <row r="432" spans="5:12">
      <c r="E432" s="70">
        <v>46251.625</v>
      </c>
      <c r="F432" s="71">
        <v>0</v>
      </c>
      <c r="G432" s="76">
        <v>2.67E-19</v>
      </c>
      <c r="H432" s="76">
        <v>4.5900000000000001E-8</v>
      </c>
      <c r="I432" s="71">
        <v>0</v>
      </c>
      <c r="J432" s="76">
        <v>1.94E-40</v>
      </c>
      <c r="K432" s="71">
        <v>4500</v>
      </c>
      <c r="L432" s="29">
        <f t="shared" si="34"/>
        <v>0</v>
      </c>
    </row>
    <row r="433" spans="5:12">
      <c r="E433" s="70">
        <v>46251.666666666664</v>
      </c>
      <c r="F433" s="71">
        <v>0</v>
      </c>
      <c r="G433" s="76">
        <v>1.3099999999999999E-19</v>
      </c>
      <c r="H433" s="76">
        <v>2.92E-8</v>
      </c>
      <c r="I433" s="71">
        <v>0</v>
      </c>
      <c r="J433" s="76">
        <v>1.2100000000000001E-40</v>
      </c>
      <c r="K433" s="71">
        <v>4500</v>
      </c>
      <c r="L433" s="29">
        <f t="shared" si="34"/>
        <v>0</v>
      </c>
    </row>
    <row r="434" spans="5:12">
      <c r="E434" s="70">
        <v>46251.708333333336</v>
      </c>
      <c r="F434" s="71">
        <v>0</v>
      </c>
      <c r="G434" s="76">
        <v>3.7400000000000002E-20</v>
      </c>
      <c r="H434" s="76">
        <v>1.77E-8</v>
      </c>
      <c r="I434" s="71">
        <v>0</v>
      </c>
      <c r="J434" s="76">
        <v>5.6099999999999996E-41</v>
      </c>
      <c r="K434" s="71">
        <v>4500</v>
      </c>
      <c r="L434" s="29">
        <f t="shared" si="34"/>
        <v>0</v>
      </c>
    </row>
    <row r="435" spans="5:12">
      <c r="E435" s="70">
        <v>46251.75</v>
      </c>
      <c r="F435" s="71">
        <v>0</v>
      </c>
      <c r="G435" s="76">
        <v>1.83E-20</v>
      </c>
      <c r="H435" s="76">
        <v>1.13E-8</v>
      </c>
      <c r="I435" s="71">
        <v>0</v>
      </c>
      <c r="J435" s="76">
        <v>3.5E-41</v>
      </c>
      <c r="K435" s="71">
        <v>4500</v>
      </c>
      <c r="L435" s="29">
        <f t="shared" si="34"/>
        <v>0</v>
      </c>
    </row>
    <row r="436" spans="5:12">
      <c r="E436" s="70">
        <v>46251.791666666664</v>
      </c>
      <c r="F436" s="71">
        <v>0</v>
      </c>
      <c r="G436" s="76">
        <v>5.2100000000000002E-21</v>
      </c>
      <c r="H436" s="76">
        <v>6.8400000000000004E-9</v>
      </c>
      <c r="I436" s="71">
        <v>0</v>
      </c>
      <c r="J436" s="76">
        <v>1.6199999999999999E-41</v>
      </c>
      <c r="K436" s="71">
        <v>4500</v>
      </c>
      <c r="L436" s="29">
        <f t="shared" si="34"/>
        <v>0</v>
      </c>
    </row>
    <row r="437" spans="5:12">
      <c r="E437" s="70">
        <v>46251.833333333336</v>
      </c>
      <c r="F437" s="71">
        <v>0</v>
      </c>
      <c r="G437" s="76">
        <v>2.5599999999999999E-21</v>
      </c>
      <c r="H437" s="76">
        <v>4.3599999999999998E-9</v>
      </c>
      <c r="I437" s="71">
        <v>0</v>
      </c>
      <c r="J437" s="76">
        <v>1.0099999999999999E-41</v>
      </c>
      <c r="K437" s="71">
        <v>4500</v>
      </c>
      <c r="L437" s="29">
        <f t="shared" si="34"/>
        <v>0</v>
      </c>
    </row>
    <row r="438" spans="5:12">
      <c r="E438" s="70">
        <v>46251.875</v>
      </c>
      <c r="F438" s="71">
        <v>0</v>
      </c>
      <c r="G438" s="76">
        <v>7.2599999999999996E-22</v>
      </c>
      <c r="H438" s="76">
        <v>2.64E-9</v>
      </c>
      <c r="I438" s="71">
        <v>0</v>
      </c>
      <c r="J438" s="76">
        <v>4.6899999999999999E-42</v>
      </c>
      <c r="K438" s="71">
        <v>4500</v>
      </c>
      <c r="L438" s="29">
        <f t="shared" si="34"/>
        <v>0</v>
      </c>
    </row>
    <row r="439" spans="5:12">
      <c r="E439" s="70">
        <v>46251.916666666664</v>
      </c>
      <c r="F439" s="71">
        <v>0</v>
      </c>
      <c r="G439" s="76">
        <v>3.5600000000000001E-22</v>
      </c>
      <c r="H439" s="76">
        <v>1.68E-9</v>
      </c>
      <c r="I439" s="71">
        <v>0</v>
      </c>
      <c r="J439" s="76">
        <v>2.92E-42</v>
      </c>
      <c r="K439" s="71">
        <v>4500</v>
      </c>
      <c r="L439" s="29">
        <f t="shared" si="34"/>
        <v>0</v>
      </c>
    </row>
    <row r="440" spans="5:12">
      <c r="E440" s="70">
        <v>46251.958333333336</v>
      </c>
      <c r="F440" s="71">
        <v>0</v>
      </c>
      <c r="G440" s="76">
        <v>1.01E-22</v>
      </c>
      <c r="H440" s="76">
        <v>1.02E-9</v>
      </c>
      <c r="I440" s="71">
        <v>0</v>
      </c>
      <c r="J440" s="76">
        <v>1.36E-42</v>
      </c>
      <c r="K440" s="71">
        <v>4500</v>
      </c>
      <c r="L440" s="29">
        <f t="shared" si="34"/>
        <v>0</v>
      </c>
    </row>
    <row r="441" spans="5:12">
      <c r="E441" s="70">
        <v>46252</v>
      </c>
      <c r="F441" s="71">
        <v>0</v>
      </c>
      <c r="G441" s="76">
        <v>4.94E-23</v>
      </c>
      <c r="H441" s="76">
        <v>6.4900000000000003E-10</v>
      </c>
      <c r="I441" s="71">
        <v>0</v>
      </c>
      <c r="J441" s="76">
        <v>8.4600000000000001E-43</v>
      </c>
      <c r="K441" s="71">
        <v>4500</v>
      </c>
      <c r="L441" s="29">
        <f t="shared" si="34"/>
        <v>0</v>
      </c>
    </row>
    <row r="442" spans="5:12">
      <c r="E442" s="70">
        <v>46252.041666666664</v>
      </c>
      <c r="F442" s="71">
        <v>0</v>
      </c>
      <c r="G442" s="76">
        <v>1.3999999999999999E-23</v>
      </c>
      <c r="H442" s="76">
        <v>3.9399999999999998E-10</v>
      </c>
      <c r="I442" s="71">
        <v>0</v>
      </c>
      <c r="J442" s="76">
        <v>3.9099999999999997E-43</v>
      </c>
      <c r="K442" s="71">
        <v>4500</v>
      </c>
      <c r="L442" s="29">
        <f t="shared" si="34"/>
        <v>0</v>
      </c>
    </row>
    <row r="443" spans="5:12">
      <c r="E443" s="70">
        <v>46252.083333333336</v>
      </c>
      <c r="F443" s="71">
        <v>0</v>
      </c>
      <c r="G443" s="76">
        <v>6.8399999999999997E-24</v>
      </c>
      <c r="H443" s="76">
        <v>2.5100000000000001E-10</v>
      </c>
      <c r="I443" s="71">
        <v>0</v>
      </c>
      <c r="J443" s="76">
        <v>2.4499999999999999E-43</v>
      </c>
      <c r="K443" s="71">
        <v>4500</v>
      </c>
      <c r="L443" s="29">
        <f t="shared" si="34"/>
        <v>0</v>
      </c>
    </row>
    <row r="444" spans="5:12">
      <c r="E444" s="70">
        <v>46252.125</v>
      </c>
      <c r="F444" s="71">
        <v>0</v>
      </c>
      <c r="G444" s="76">
        <v>1.93E-24</v>
      </c>
      <c r="H444" s="76">
        <v>1.5199999999999999E-10</v>
      </c>
      <c r="I444" s="71">
        <v>0</v>
      </c>
      <c r="J444" s="76">
        <v>1.12E-43</v>
      </c>
      <c r="K444" s="71">
        <v>4500</v>
      </c>
      <c r="L444" s="29">
        <f t="shared" si="34"/>
        <v>0</v>
      </c>
    </row>
    <row r="445" spans="5:12">
      <c r="E445" s="70">
        <v>46252.166666666664</v>
      </c>
      <c r="F445" s="71">
        <v>0</v>
      </c>
      <c r="G445" s="76">
        <v>9.4600000000000008E-25</v>
      </c>
      <c r="H445" s="76">
        <v>9.67E-11</v>
      </c>
      <c r="I445" s="71">
        <v>0</v>
      </c>
      <c r="J445" s="76">
        <v>7.0099999999999999E-44</v>
      </c>
      <c r="K445" s="71">
        <v>4500</v>
      </c>
      <c r="L445" s="29">
        <f t="shared" si="34"/>
        <v>0</v>
      </c>
    </row>
    <row r="446" spans="5:12">
      <c r="E446" s="70">
        <v>46252.208333333336</v>
      </c>
      <c r="F446" s="71">
        <v>0</v>
      </c>
      <c r="G446" s="76">
        <v>2.6699999999999998E-25</v>
      </c>
      <c r="H446" s="76">
        <v>5.8700000000000002E-11</v>
      </c>
      <c r="I446" s="71">
        <v>0</v>
      </c>
      <c r="J446" s="76">
        <v>3.2200000000000001E-44</v>
      </c>
      <c r="K446" s="71">
        <v>4500</v>
      </c>
      <c r="L446" s="29">
        <f t="shared" si="34"/>
        <v>0</v>
      </c>
    </row>
    <row r="447" spans="5:12">
      <c r="E447" s="70">
        <v>46252.25</v>
      </c>
      <c r="F447" s="71">
        <v>0</v>
      </c>
      <c r="G447" s="76">
        <v>1.31E-25</v>
      </c>
      <c r="H447" s="76">
        <v>3.7300000000000003E-11</v>
      </c>
      <c r="I447" s="71">
        <v>0</v>
      </c>
      <c r="J447" s="76">
        <v>1.9599999999999999E-44</v>
      </c>
      <c r="K447" s="71">
        <v>4500</v>
      </c>
      <c r="L447" s="29">
        <f t="shared" si="34"/>
        <v>0</v>
      </c>
    </row>
    <row r="448" spans="5:12">
      <c r="E448" s="70">
        <v>46252.291666666664</v>
      </c>
      <c r="F448" s="71">
        <v>0</v>
      </c>
      <c r="G448" s="76">
        <v>3.6799999999999999E-26</v>
      </c>
      <c r="H448" s="76">
        <v>2.2600000000000001E-11</v>
      </c>
      <c r="I448" s="71">
        <v>0</v>
      </c>
      <c r="J448" s="76">
        <v>9.8099999999999996E-45</v>
      </c>
      <c r="K448" s="71">
        <v>4500</v>
      </c>
      <c r="L448" s="29">
        <f t="shared" si="34"/>
        <v>0</v>
      </c>
    </row>
    <row r="449" spans="5:12">
      <c r="E449" s="70">
        <v>46252.333333333336</v>
      </c>
      <c r="F449" s="71">
        <v>0</v>
      </c>
      <c r="G449" s="76">
        <v>1.8000000000000001E-26</v>
      </c>
      <c r="H449" s="76">
        <v>1.44E-11</v>
      </c>
      <c r="I449" s="71">
        <v>0</v>
      </c>
      <c r="J449" s="76">
        <v>5.6100000000000003E-45</v>
      </c>
      <c r="K449" s="71">
        <v>4500</v>
      </c>
      <c r="L449" s="29">
        <f t="shared" si="34"/>
        <v>0</v>
      </c>
    </row>
    <row r="450" spans="5:12">
      <c r="E450" s="70">
        <v>46252.375</v>
      </c>
      <c r="F450" s="71">
        <v>0</v>
      </c>
      <c r="G450" s="76">
        <v>5.0600000000000003E-27</v>
      </c>
      <c r="H450" s="76">
        <v>8.7400000000000003E-12</v>
      </c>
      <c r="I450" s="71">
        <v>0</v>
      </c>
      <c r="J450" s="76">
        <v>2.8000000000000001E-45</v>
      </c>
      <c r="K450" s="71">
        <v>4500</v>
      </c>
      <c r="L450" s="29">
        <f t="shared" si="34"/>
        <v>0</v>
      </c>
    </row>
    <row r="451" spans="5:12">
      <c r="E451" s="70">
        <v>46252.416666666664</v>
      </c>
      <c r="F451" s="71">
        <v>0</v>
      </c>
      <c r="G451" s="76">
        <v>2.4799999999999999E-27</v>
      </c>
      <c r="H451" s="76">
        <v>5.5599999999999997E-12</v>
      </c>
      <c r="I451" s="71">
        <v>0</v>
      </c>
      <c r="J451" s="76">
        <v>1.4000000000000001E-45</v>
      </c>
      <c r="K451" s="71">
        <v>4500</v>
      </c>
      <c r="L451" s="29">
        <f t="shared" ref="L451:L514" si="35">IF(K451&gt;10000,K451-10000,0)</f>
        <v>0</v>
      </c>
    </row>
    <row r="452" spans="5:12">
      <c r="E452" s="70">
        <v>46252.458333333336</v>
      </c>
      <c r="F452" s="71">
        <v>0</v>
      </c>
      <c r="G452" s="76">
        <v>6.9500000000000004E-28</v>
      </c>
      <c r="H452" s="76">
        <v>3.37E-12</v>
      </c>
      <c r="I452" s="71">
        <v>0</v>
      </c>
      <c r="J452" s="76">
        <v>1.4000000000000001E-45</v>
      </c>
      <c r="K452" s="71">
        <v>4500</v>
      </c>
      <c r="L452" s="29">
        <f t="shared" si="35"/>
        <v>0</v>
      </c>
    </row>
    <row r="453" spans="5:12">
      <c r="E453" s="70">
        <v>46252.5</v>
      </c>
      <c r="F453" s="71">
        <v>0</v>
      </c>
      <c r="G453" s="76">
        <v>3.4000000000000001E-28</v>
      </c>
      <c r="H453" s="76">
        <v>2.1499999999999999E-12</v>
      </c>
      <c r="I453" s="71">
        <v>0</v>
      </c>
      <c r="J453" s="71">
        <v>0</v>
      </c>
      <c r="K453" s="71">
        <v>4500</v>
      </c>
      <c r="L453" s="29">
        <f t="shared" si="35"/>
        <v>0</v>
      </c>
    </row>
    <row r="454" spans="5:12">
      <c r="E454" s="70">
        <v>46252.541666666664</v>
      </c>
      <c r="F454" s="71">
        <v>0</v>
      </c>
      <c r="G454" s="76">
        <v>9.5400000000000002E-29</v>
      </c>
      <c r="H454" s="76">
        <v>1.2999999999999999E-12</v>
      </c>
      <c r="I454" s="71">
        <v>0</v>
      </c>
      <c r="J454" s="71">
        <v>0</v>
      </c>
      <c r="K454" s="71">
        <v>4500</v>
      </c>
      <c r="L454" s="29">
        <f t="shared" si="35"/>
        <v>0</v>
      </c>
    </row>
    <row r="455" spans="5:12">
      <c r="E455" s="70">
        <v>46252.583333333336</v>
      </c>
      <c r="F455" s="71">
        <v>0</v>
      </c>
      <c r="G455" s="76">
        <v>4.6599999999999998E-29</v>
      </c>
      <c r="H455" s="76">
        <v>8.29E-13</v>
      </c>
      <c r="I455" s="71">
        <v>0</v>
      </c>
      <c r="J455" s="71">
        <v>0</v>
      </c>
      <c r="K455" s="71">
        <v>4500</v>
      </c>
      <c r="L455" s="29">
        <f t="shared" si="35"/>
        <v>0</v>
      </c>
    </row>
    <row r="456" spans="5:12">
      <c r="E456" s="70">
        <v>46252.625</v>
      </c>
      <c r="F456" s="71">
        <v>0</v>
      </c>
      <c r="G456" s="76">
        <v>1.3100000000000001E-29</v>
      </c>
      <c r="H456" s="76">
        <v>5.0299999999999998E-13</v>
      </c>
      <c r="I456" s="71">
        <v>0</v>
      </c>
      <c r="J456" s="71">
        <v>0</v>
      </c>
      <c r="K456" s="71">
        <v>4500</v>
      </c>
      <c r="L456" s="29">
        <f t="shared" si="35"/>
        <v>0</v>
      </c>
    </row>
    <row r="457" spans="5:12">
      <c r="E457" s="70">
        <v>46252.666666666664</v>
      </c>
      <c r="F457" s="71">
        <v>0</v>
      </c>
      <c r="G457" s="76">
        <v>6.3900000000000003E-30</v>
      </c>
      <c r="H457" s="76">
        <v>3.2E-13</v>
      </c>
      <c r="I457" s="71">
        <v>0</v>
      </c>
      <c r="J457" s="71">
        <v>0</v>
      </c>
      <c r="K457" s="71">
        <v>4500</v>
      </c>
      <c r="L457" s="29">
        <f t="shared" si="35"/>
        <v>0</v>
      </c>
    </row>
    <row r="458" spans="5:12">
      <c r="E458" s="70">
        <v>46252.708333333336</v>
      </c>
      <c r="F458" s="71">
        <v>0</v>
      </c>
      <c r="G458" s="76">
        <v>1.7899999999999999E-30</v>
      </c>
      <c r="H458" s="76">
        <v>1.9400000000000001E-13</v>
      </c>
      <c r="I458" s="71">
        <v>0</v>
      </c>
      <c r="J458" s="71">
        <v>0</v>
      </c>
      <c r="K458" s="71">
        <v>4500</v>
      </c>
      <c r="L458" s="29">
        <f t="shared" si="35"/>
        <v>0</v>
      </c>
    </row>
    <row r="459" spans="5:12">
      <c r="E459" s="70">
        <v>46252.75</v>
      </c>
      <c r="F459" s="71">
        <v>0</v>
      </c>
      <c r="G459" s="76">
        <v>8.7300000000000002E-31</v>
      </c>
      <c r="H459" s="76">
        <v>1.2300000000000001E-13</v>
      </c>
      <c r="I459" s="71">
        <v>0</v>
      </c>
      <c r="J459" s="71">
        <v>0</v>
      </c>
      <c r="K459" s="71">
        <v>4500</v>
      </c>
      <c r="L459" s="29">
        <f t="shared" si="35"/>
        <v>0</v>
      </c>
    </row>
    <row r="460" spans="5:12">
      <c r="E460" s="70">
        <v>46252.791666666664</v>
      </c>
      <c r="F460" s="71">
        <v>0</v>
      </c>
      <c r="G460" s="76">
        <v>2.4399999999999998E-31</v>
      </c>
      <c r="H460" s="76">
        <v>7.4900000000000001E-14</v>
      </c>
      <c r="I460" s="71">
        <v>0</v>
      </c>
      <c r="J460" s="71">
        <v>0</v>
      </c>
      <c r="K460" s="71">
        <v>4500</v>
      </c>
      <c r="L460" s="29">
        <f t="shared" si="35"/>
        <v>0</v>
      </c>
    </row>
    <row r="461" spans="5:12">
      <c r="E461" s="70">
        <v>46252.833333333336</v>
      </c>
      <c r="F461" s="71">
        <v>0</v>
      </c>
      <c r="G461" s="76">
        <v>1.19E-31</v>
      </c>
      <c r="H461" s="76">
        <v>4.7700000000000001E-14</v>
      </c>
      <c r="I461" s="71">
        <v>0</v>
      </c>
      <c r="J461" s="71">
        <v>0</v>
      </c>
      <c r="K461" s="71">
        <v>4500</v>
      </c>
      <c r="L461" s="29">
        <f t="shared" si="35"/>
        <v>0</v>
      </c>
    </row>
    <row r="462" spans="5:12">
      <c r="E462" s="70">
        <v>46252.875</v>
      </c>
      <c r="F462" s="71">
        <v>0</v>
      </c>
      <c r="G462" s="76">
        <v>3.3299999999999998E-32</v>
      </c>
      <c r="H462" s="76">
        <v>2.8900000000000002E-14</v>
      </c>
      <c r="I462" s="71">
        <v>0</v>
      </c>
      <c r="J462" s="71">
        <v>0</v>
      </c>
      <c r="K462" s="71">
        <v>4500</v>
      </c>
      <c r="L462" s="29">
        <f t="shared" si="35"/>
        <v>0</v>
      </c>
    </row>
    <row r="463" spans="5:12">
      <c r="E463" s="70">
        <v>46252.916666666664</v>
      </c>
      <c r="F463" s="71">
        <v>0</v>
      </c>
      <c r="G463" s="76">
        <v>1.6299999999999999E-32</v>
      </c>
      <c r="H463" s="76">
        <v>1.8399999999999999E-14</v>
      </c>
      <c r="I463" s="71">
        <v>0</v>
      </c>
      <c r="J463" s="71">
        <v>0</v>
      </c>
      <c r="K463" s="71">
        <v>4500</v>
      </c>
      <c r="L463" s="29">
        <f t="shared" si="35"/>
        <v>0</v>
      </c>
    </row>
    <row r="464" spans="5:12">
      <c r="E464" s="70">
        <v>46252.958333333336</v>
      </c>
      <c r="F464" s="71">
        <v>0</v>
      </c>
      <c r="G464" s="76">
        <v>4.5399999999999998E-33</v>
      </c>
      <c r="H464" s="76">
        <v>1.1200000000000001E-14</v>
      </c>
      <c r="I464" s="71">
        <v>0</v>
      </c>
      <c r="J464" s="71">
        <v>0</v>
      </c>
      <c r="K464" s="71">
        <v>4500</v>
      </c>
      <c r="L464" s="29">
        <f t="shared" si="35"/>
        <v>0</v>
      </c>
    </row>
    <row r="465" spans="5:12">
      <c r="E465" s="70">
        <v>46253</v>
      </c>
      <c r="F465" s="71">
        <v>0</v>
      </c>
      <c r="G465" s="76">
        <v>2.22E-33</v>
      </c>
      <c r="H465" s="76">
        <v>7.1000000000000002E-15</v>
      </c>
      <c r="I465" s="71">
        <v>0</v>
      </c>
      <c r="J465" s="71">
        <v>0</v>
      </c>
      <c r="K465" s="71">
        <v>4500</v>
      </c>
      <c r="L465" s="29">
        <f t="shared" si="35"/>
        <v>0</v>
      </c>
    </row>
    <row r="466" spans="5:12">
      <c r="E466" s="70">
        <v>46253.041666666664</v>
      </c>
      <c r="F466" s="71">
        <v>0</v>
      </c>
      <c r="G466" s="76">
        <v>6.18E-34</v>
      </c>
      <c r="H466" s="76">
        <v>4.3100000000000002E-15</v>
      </c>
      <c r="I466" s="71">
        <v>0</v>
      </c>
      <c r="J466" s="71">
        <v>0</v>
      </c>
      <c r="K466" s="71">
        <v>4500</v>
      </c>
      <c r="L466" s="29">
        <f t="shared" si="35"/>
        <v>0</v>
      </c>
    </row>
    <row r="467" spans="5:12">
      <c r="E467" s="70">
        <v>46253.083333333336</v>
      </c>
      <c r="F467" s="71">
        <v>0</v>
      </c>
      <c r="G467" s="76">
        <v>3.02E-34</v>
      </c>
      <c r="H467" s="76">
        <v>2.74E-15</v>
      </c>
      <c r="I467" s="71">
        <v>0</v>
      </c>
      <c r="J467" s="71">
        <v>0</v>
      </c>
      <c r="K467" s="71">
        <v>4500</v>
      </c>
      <c r="L467" s="29">
        <f t="shared" si="35"/>
        <v>0</v>
      </c>
    </row>
    <row r="468" spans="5:12">
      <c r="E468" s="70">
        <v>46253.125</v>
      </c>
      <c r="F468" s="71">
        <v>0</v>
      </c>
      <c r="G468" s="76">
        <v>8.4100000000000001E-35</v>
      </c>
      <c r="H468" s="76">
        <v>1.66E-15</v>
      </c>
      <c r="I468" s="71">
        <v>0</v>
      </c>
      <c r="J468" s="71">
        <v>0</v>
      </c>
      <c r="K468" s="71">
        <v>4500</v>
      </c>
      <c r="L468" s="29">
        <f t="shared" si="35"/>
        <v>0</v>
      </c>
    </row>
    <row r="469" spans="5:12">
      <c r="E469" s="70">
        <v>46253.166666666664</v>
      </c>
      <c r="F469" s="71">
        <v>0</v>
      </c>
      <c r="G469" s="76">
        <v>4.11E-35</v>
      </c>
      <c r="H469" s="76">
        <v>1.0600000000000001E-15</v>
      </c>
      <c r="I469" s="71">
        <v>0</v>
      </c>
      <c r="J469" s="71">
        <v>0</v>
      </c>
      <c r="K469" s="71">
        <v>4500</v>
      </c>
      <c r="L469" s="29">
        <f t="shared" si="35"/>
        <v>0</v>
      </c>
    </row>
    <row r="470" spans="5:12">
      <c r="E470" s="70">
        <v>46253.208333333336</v>
      </c>
      <c r="F470" s="71">
        <v>0</v>
      </c>
      <c r="G470" s="76">
        <v>1.14E-35</v>
      </c>
      <c r="H470" s="76">
        <v>6.4199999999999998E-16</v>
      </c>
      <c r="I470" s="71">
        <v>0</v>
      </c>
      <c r="J470" s="71">
        <v>0</v>
      </c>
      <c r="K470" s="71">
        <v>4500</v>
      </c>
      <c r="L470" s="29">
        <f t="shared" si="35"/>
        <v>0</v>
      </c>
    </row>
    <row r="471" spans="5:12">
      <c r="E471" s="70">
        <v>46253.25</v>
      </c>
      <c r="F471" s="71">
        <v>0</v>
      </c>
      <c r="G471" s="76">
        <v>5.5800000000000001E-36</v>
      </c>
      <c r="H471" s="76">
        <v>4.0800000000000002E-16</v>
      </c>
      <c r="I471" s="71">
        <v>0</v>
      </c>
      <c r="J471" s="71">
        <v>0</v>
      </c>
      <c r="K471" s="71">
        <v>4500</v>
      </c>
      <c r="L471" s="29">
        <f t="shared" si="35"/>
        <v>0</v>
      </c>
    </row>
    <row r="472" spans="5:12">
      <c r="E472" s="70">
        <v>46253.291666666664</v>
      </c>
      <c r="F472" s="71">
        <v>0</v>
      </c>
      <c r="G472" s="76">
        <v>1.5499999999999999E-36</v>
      </c>
      <c r="H472" s="76">
        <v>2.4799999999999999E-16</v>
      </c>
      <c r="I472" s="71">
        <v>0</v>
      </c>
      <c r="J472" s="71">
        <v>0</v>
      </c>
      <c r="K472" s="71">
        <v>4500</v>
      </c>
      <c r="L472" s="29">
        <f t="shared" si="35"/>
        <v>0</v>
      </c>
    </row>
    <row r="473" spans="5:12">
      <c r="E473" s="70">
        <v>46253.333333333336</v>
      </c>
      <c r="F473" s="71">
        <v>0</v>
      </c>
      <c r="G473" s="76">
        <v>7.5699999999999993E-37</v>
      </c>
      <c r="H473" s="76">
        <v>1.58E-16</v>
      </c>
      <c r="I473" s="71">
        <v>0</v>
      </c>
      <c r="J473" s="71">
        <v>0</v>
      </c>
      <c r="K473" s="71">
        <v>4500</v>
      </c>
      <c r="L473" s="29">
        <f t="shared" si="35"/>
        <v>0</v>
      </c>
    </row>
    <row r="474" spans="5:12">
      <c r="E474" s="70">
        <v>46253.375</v>
      </c>
      <c r="F474" s="71">
        <v>0</v>
      </c>
      <c r="G474" s="76">
        <v>2.1000000000000001E-37</v>
      </c>
      <c r="H474" s="76">
        <v>9.5600000000000003E-17</v>
      </c>
      <c r="I474" s="71">
        <v>0</v>
      </c>
      <c r="J474" s="71">
        <v>0</v>
      </c>
      <c r="K474" s="71">
        <v>4500</v>
      </c>
      <c r="L474" s="29">
        <f t="shared" si="35"/>
        <v>0</v>
      </c>
    </row>
    <row r="475" spans="5:12">
      <c r="E475" s="70">
        <v>46253.416666666664</v>
      </c>
      <c r="F475" s="71">
        <v>0</v>
      </c>
      <c r="G475" s="76">
        <v>1.03E-37</v>
      </c>
      <c r="H475" s="76">
        <v>6.0799999999999997E-17</v>
      </c>
      <c r="I475" s="71">
        <v>0</v>
      </c>
      <c r="J475" s="71">
        <v>0</v>
      </c>
      <c r="K475" s="71">
        <v>4500</v>
      </c>
      <c r="L475" s="29">
        <f t="shared" si="35"/>
        <v>0</v>
      </c>
    </row>
    <row r="476" spans="5:12">
      <c r="E476" s="70">
        <v>46253.458333333336</v>
      </c>
      <c r="F476" s="71">
        <v>0</v>
      </c>
      <c r="G476" s="76">
        <v>2.85E-38</v>
      </c>
      <c r="H476" s="76">
        <v>3.6899999999999999E-17</v>
      </c>
      <c r="I476" s="71">
        <v>0</v>
      </c>
      <c r="J476" s="71">
        <v>0</v>
      </c>
      <c r="K476" s="71">
        <v>4500</v>
      </c>
      <c r="L476" s="29">
        <f t="shared" si="35"/>
        <v>0</v>
      </c>
    </row>
    <row r="477" spans="5:12">
      <c r="E477" s="70">
        <v>46253.5</v>
      </c>
      <c r="F477" s="71">
        <v>0</v>
      </c>
      <c r="G477" s="76">
        <v>1.3900000000000001E-38</v>
      </c>
      <c r="H477" s="76">
        <v>2.35E-17</v>
      </c>
      <c r="I477" s="71">
        <v>0</v>
      </c>
      <c r="J477" s="71">
        <v>0</v>
      </c>
      <c r="K477" s="71">
        <v>4500</v>
      </c>
      <c r="L477" s="29">
        <f t="shared" si="35"/>
        <v>0</v>
      </c>
    </row>
    <row r="478" spans="5:12">
      <c r="E478" s="70">
        <v>46253.541666666664</v>
      </c>
      <c r="F478" s="71">
        <v>0</v>
      </c>
      <c r="G478" s="76">
        <v>3.86E-39</v>
      </c>
      <c r="H478" s="76">
        <v>1.4200000000000001E-17</v>
      </c>
      <c r="I478" s="71">
        <v>0</v>
      </c>
      <c r="J478" s="71">
        <v>0</v>
      </c>
      <c r="K478" s="71">
        <v>4500</v>
      </c>
      <c r="L478" s="29">
        <f t="shared" si="35"/>
        <v>0</v>
      </c>
    </row>
    <row r="479" spans="5:12">
      <c r="E479" s="70">
        <v>46253.583333333336</v>
      </c>
      <c r="F479" s="71">
        <v>0</v>
      </c>
      <c r="G479" s="76">
        <v>1.88E-39</v>
      </c>
      <c r="H479" s="76">
        <v>9.0700000000000003E-18</v>
      </c>
      <c r="I479" s="71">
        <v>0</v>
      </c>
      <c r="J479" s="71">
        <v>0</v>
      </c>
      <c r="K479" s="71">
        <v>4500</v>
      </c>
      <c r="L479" s="29">
        <f t="shared" si="35"/>
        <v>0</v>
      </c>
    </row>
    <row r="480" spans="5:12">
      <c r="E480" s="70">
        <v>46253.625</v>
      </c>
      <c r="F480" s="71">
        <v>0</v>
      </c>
      <c r="G480" s="76">
        <v>5.2200000000000001E-40</v>
      </c>
      <c r="H480" s="76">
        <v>5.5E-18</v>
      </c>
      <c r="I480" s="71">
        <v>0</v>
      </c>
      <c r="J480" s="71">
        <v>0</v>
      </c>
      <c r="K480" s="71">
        <v>4500</v>
      </c>
      <c r="L480" s="29">
        <f t="shared" si="35"/>
        <v>0</v>
      </c>
    </row>
    <row r="481" spans="5:12">
      <c r="E481" s="70">
        <v>46253.666666666664</v>
      </c>
      <c r="F481" s="71">
        <v>0</v>
      </c>
      <c r="G481" s="76">
        <v>2.5500000000000002E-40</v>
      </c>
      <c r="H481" s="76">
        <v>3.4999999999999999E-18</v>
      </c>
      <c r="I481" s="71">
        <v>0</v>
      </c>
      <c r="J481" s="71">
        <v>0</v>
      </c>
      <c r="K481" s="71">
        <v>4500</v>
      </c>
      <c r="L481" s="29">
        <f t="shared" si="35"/>
        <v>0</v>
      </c>
    </row>
    <row r="482" spans="5:12">
      <c r="E482" s="70">
        <v>46253.708333333336</v>
      </c>
      <c r="F482" s="71">
        <v>0</v>
      </c>
      <c r="G482" s="76">
        <v>7.0599999999999998E-41</v>
      </c>
      <c r="H482" s="76">
        <v>2.1199999999999999E-18</v>
      </c>
      <c r="I482" s="71">
        <v>0</v>
      </c>
      <c r="J482" s="71">
        <v>0</v>
      </c>
      <c r="K482" s="71">
        <v>4500</v>
      </c>
      <c r="L482" s="29">
        <f t="shared" si="35"/>
        <v>0</v>
      </c>
    </row>
    <row r="483" spans="5:12">
      <c r="E483" s="70">
        <v>46253.75</v>
      </c>
      <c r="F483" s="71">
        <v>0</v>
      </c>
      <c r="G483" s="76">
        <v>3.4400000000000001E-41</v>
      </c>
      <c r="H483" s="76">
        <v>1.3499999999999999E-18</v>
      </c>
      <c r="I483" s="71">
        <v>0</v>
      </c>
      <c r="J483" s="71">
        <v>0</v>
      </c>
      <c r="K483" s="71">
        <v>4500</v>
      </c>
      <c r="L483" s="29">
        <f t="shared" si="35"/>
        <v>0</v>
      </c>
    </row>
    <row r="484" spans="5:12">
      <c r="E484" s="70">
        <v>46253.791666666664</v>
      </c>
      <c r="F484" s="71">
        <v>0</v>
      </c>
      <c r="G484" s="76">
        <v>9.5400000000000002E-42</v>
      </c>
      <c r="H484" s="76">
        <v>8.1900000000000003E-19</v>
      </c>
      <c r="I484" s="71">
        <v>0</v>
      </c>
      <c r="J484" s="71">
        <v>0</v>
      </c>
      <c r="K484" s="71">
        <v>4500</v>
      </c>
      <c r="L484" s="29">
        <f t="shared" si="35"/>
        <v>0</v>
      </c>
    </row>
    <row r="485" spans="5:12">
      <c r="E485" s="70">
        <v>46253.833333333336</v>
      </c>
      <c r="F485" s="71">
        <v>0</v>
      </c>
      <c r="G485" s="76">
        <v>4.6499999999999998E-42</v>
      </c>
      <c r="H485" s="76">
        <v>5.2099999999999996E-19</v>
      </c>
      <c r="I485" s="71">
        <v>0</v>
      </c>
      <c r="J485" s="71">
        <v>0</v>
      </c>
      <c r="K485" s="71">
        <v>4500</v>
      </c>
      <c r="L485" s="29">
        <f t="shared" si="35"/>
        <v>0</v>
      </c>
    </row>
    <row r="486" spans="5:12">
      <c r="E486" s="70">
        <v>46253.875</v>
      </c>
      <c r="F486" s="71">
        <v>0</v>
      </c>
      <c r="G486" s="76">
        <v>1.29E-42</v>
      </c>
      <c r="H486" s="76">
        <v>3.1599999999999999E-19</v>
      </c>
      <c r="I486" s="71">
        <v>0</v>
      </c>
      <c r="J486" s="71">
        <v>0</v>
      </c>
      <c r="K486" s="71">
        <v>4500</v>
      </c>
      <c r="L486" s="29">
        <f t="shared" si="35"/>
        <v>0</v>
      </c>
    </row>
    <row r="487" spans="5:12">
      <c r="E487" s="70">
        <v>46253.916666666664</v>
      </c>
      <c r="F487" s="71">
        <v>0</v>
      </c>
      <c r="G487" s="76">
        <v>6.2899999999999997E-43</v>
      </c>
      <c r="H487" s="76">
        <v>2.01E-19</v>
      </c>
      <c r="I487" s="71">
        <v>0</v>
      </c>
      <c r="J487" s="71">
        <v>0</v>
      </c>
      <c r="K487" s="71">
        <v>4500</v>
      </c>
      <c r="L487" s="29">
        <f t="shared" si="35"/>
        <v>0</v>
      </c>
    </row>
    <row r="488" spans="5:12">
      <c r="E488" s="70">
        <v>46253.958333333336</v>
      </c>
      <c r="F488" s="71">
        <v>0</v>
      </c>
      <c r="G488" s="76">
        <v>1.7200000000000001E-43</v>
      </c>
      <c r="H488" s="76">
        <v>1.2200000000000001E-19</v>
      </c>
      <c r="I488" s="71">
        <v>0</v>
      </c>
      <c r="J488" s="71">
        <v>0</v>
      </c>
      <c r="K488" s="71">
        <v>4500</v>
      </c>
      <c r="L488" s="29">
        <f t="shared" si="35"/>
        <v>0</v>
      </c>
    </row>
    <row r="489" spans="5:12">
      <c r="E489" s="70">
        <v>46254</v>
      </c>
      <c r="F489" s="71">
        <v>0</v>
      </c>
      <c r="G489" s="76">
        <v>8.4100000000000004E-44</v>
      </c>
      <c r="H489" s="76">
        <v>7.7700000000000004E-20</v>
      </c>
      <c r="I489" s="71">
        <v>0</v>
      </c>
      <c r="J489" s="71">
        <v>0</v>
      </c>
      <c r="K489" s="71">
        <v>4500</v>
      </c>
      <c r="L489" s="29">
        <f t="shared" si="35"/>
        <v>0</v>
      </c>
    </row>
    <row r="490" spans="5:12">
      <c r="E490" s="70">
        <v>46254.041666666664</v>
      </c>
      <c r="F490" s="71">
        <v>0</v>
      </c>
      <c r="G490" s="76">
        <v>2.2400000000000001E-44</v>
      </c>
      <c r="H490" s="76">
        <v>4.7099999999999999E-20</v>
      </c>
      <c r="I490" s="71">
        <v>0</v>
      </c>
      <c r="J490" s="71">
        <v>0</v>
      </c>
      <c r="K490" s="71">
        <v>4500</v>
      </c>
      <c r="L490" s="29">
        <f t="shared" si="35"/>
        <v>0</v>
      </c>
    </row>
    <row r="491" spans="5:12">
      <c r="E491" s="70">
        <v>46254.083333333336</v>
      </c>
      <c r="F491" s="71">
        <v>0</v>
      </c>
      <c r="G491" s="76">
        <v>9.8099999999999996E-45</v>
      </c>
      <c r="H491" s="76">
        <v>3.0000000000000003E-20</v>
      </c>
      <c r="I491" s="71">
        <v>0</v>
      </c>
      <c r="J491" s="71">
        <v>0</v>
      </c>
      <c r="K491" s="71">
        <v>4500</v>
      </c>
      <c r="L491" s="29">
        <f t="shared" si="35"/>
        <v>0</v>
      </c>
    </row>
    <row r="492" spans="5:12">
      <c r="E492" s="70">
        <v>46254.125</v>
      </c>
      <c r="F492" s="71">
        <v>0</v>
      </c>
      <c r="G492" s="76">
        <v>2.8000000000000001E-45</v>
      </c>
      <c r="H492" s="76">
        <v>1.8199999999999999E-20</v>
      </c>
      <c r="I492" s="71">
        <v>0</v>
      </c>
      <c r="J492" s="71">
        <v>0</v>
      </c>
      <c r="K492" s="71">
        <v>4500</v>
      </c>
      <c r="L492" s="29">
        <f t="shared" si="35"/>
        <v>0</v>
      </c>
    </row>
    <row r="493" spans="5:12">
      <c r="E493" s="70">
        <v>46254.166666666664</v>
      </c>
      <c r="F493" s="71">
        <v>0</v>
      </c>
      <c r="G493" s="76">
        <v>1.4000000000000001E-45</v>
      </c>
      <c r="H493" s="76">
        <v>1.16E-20</v>
      </c>
      <c r="I493" s="71">
        <v>0</v>
      </c>
      <c r="J493" s="71">
        <v>0</v>
      </c>
      <c r="K493" s="71">
        <v>4500</v>
      </c>
      <c r="L493" s="29">
        <f t="shared" si="35"/>
        <v>0</v>
      </c>
    </row>
    <row r="494" spans="5:12">
      <c r="E494" s="70">
        <v>46254.208333333336</v>
      </c>
      <c r="F494" s="71">
        <v>0</v>
      </c>
      <c r="G494" s="71">
        <v>0</v>
      </c>
      <c r="H494" s="76">
        <v>7.0200000000000004E-21</v>
      </c>
      <c r="I494" s="71">
        <v>0</v>
      </c>
      <c r="J494" s="71">
        <v>0</v>
      </c>
      <c r="K494" s="71">
        <v>4500</v>
      </c>
      <c r="L494" s="29">
        <f t="shared" si="35"/>
        <v>0</v>
      </c>
    </row>
    <row r="495" spans="5:12">
      <c r="E495" s="70">
        <v>46254.25</v>
      </c>
      <c r="F495" s="71">
        <v>0</v>
      </c>
      <c r="G495" s="71">
        <v>0</v>
      </c>
      <c r="H495" s="76">
        <v>4.47E-21</v>
      </c>
      <c r="I495" s="71">
        <v>0</v>
      </c>
      <c r="J495" s="71">
        <v>0</v>
      </c>
      <c r="K495" s="71">
        <v>4500</v>
      </c>
      <c r="L495" s="29">
        <f t="shared" si="35"/>
        <v>0</v>
      </c>
    </row>
    <row r="496" spans="5:12">
      <c r="E496" s="70">
        <v>46254.291666666664</v>
      </c>
      <c r="F496" s="71">
        <v>0</v>
      </c>
      <c r="G496" s="71">
        <v>0</v>
      </c>
      <c r="H496" s="76">
        <v>2.71E-21</v>
      </c>
      <c r="I496" s="71">
        <v>0</v>
      </c>
      <c r="J496" s="71">
        <v>0</v>
      </c>
      <c r="K496" s="71">
        <v>4500</v>
      </c>
      <c r="L496" s="29">
        <f t="shared" si="35"/>
        <v>0</v>
      </c>
    </row>
    <row r="497" spans="5:12">
      <c r="E497" s="70">
        <v>46254.333333333336</v>
      </c>
      <c r="F497" s="71">
        <v>0</v>
      </c>
      <c r="G497" s="71">
        <v>0</v>
      </c>
      <c r="H497" s="76">
        <v>1.7200000000000001E-21</v>
      </c>
      <c r="I497" s="71">
        <v>0</v>
      </c>
      <c r="J497" s="71">
        <v>0</v>
      </c>
      <c r="K497" s="71">
        <v>4500</v>
      </c>
      <c r="L497" s="29">
        <f t="shared" si="35"/>
        <v>0</v>
      </c>
    </row>
    <row r="498" spans="5:12">
      <c r="E498" s="70">
        <v>46254.375</v>
      </c>
      <c r="F498" s="71">
        <v>0</v>
      </c>
      <c r="G498" s="71">
        <v>0</v>
      </c>
      <c r="H498" s="76">
        <v>1.0500000000000001E-21</v>
      </c>
      <c r="I498" s="71">
        <v>0</v>
      </c>
      <c r="J498" s="71">
        <v>0</v>
      </c>
      <c r="K498" s="71">
        <v>4500</v>
      </c>
      <c r="L498" s="29">
        <f t="shared" si="35"/>
        <v>0</v>
      </c>
    </row>
    <row r="499" spans="5:12">
      <c r="E499" s="70">
        <v>46254.416666666664</v>
      </c>
      <c r="F499" s="71">
        <v>0</v>
      </c>
      <c r="G499" s="71">
        <v>0</v>
      </c>
      <c r="H499" s="76">
        <v>6.6600000000000002E-22</v>
      </c>
      <c r="I499" s="71">
        <v>0</v>
      </c>
      <c r="J499" s="71">
        <v>0</v>
      </c>
      <c r="K499" s="71">
        <v>4500</v>
      </c>
      <c r="L499" s="29">
        <f t="shared" si="35"/>
        <v>0</v>
      </c>
    </row>
    <row r="500" spans="5:12">
      <c r="E500" s="70">
        <v>46254.458333333336</v>
      </c>
      <c r="F500" s="71">
        <v>0</v>
      </c>
      <c r="G500" s="71">
        <v>0</v>
      </c>
      <c r="H500" s="76">
        <v>4.0399999999999999E-22</v>
      </c>
      <c r="I500" s="71">
        <v>0</v>
      </c>
      <c r="J500" s="71">
        <v>0</v>
      </c>
      <c r="K500" s="71">
        <v>4500</v>
      </c>
      <c r="L500" s="29">
        <f t="shared" si="35"/>
        <v>0</v>
      </c>
    </row>
    <row r="501" spans="5:12">
      <c r="E501" s="70">
        <v>46254.5</v>
      </c>
      <c r="F501" s="71">
        <v>0</v>
      </c>
      <c r="G501" s="71">
        <v>0</v>
      </c>
      <c r="H501" s="76">
        <v>2.57E-22</v>
      </c>
      <c r="I501" s="71">
        <v>0</v>
      </c>
      <c r="J501" s="71">
        <v>0</v>
      </c>
      <c r="K501" s="71">
        <v>4500</v>
      </c>
      <c r="L501" s="29">
        <f t="shared" si="35"/>
        <v>0</v>
      </c>
    </row>
    <row r="502" spans="5:12">
      <c r="E502" s="70">
        <v>46254.541666666664</v>
      </c>
      <c r="F502" s="71">
        <v>0</v>
      </c>
      <c r="G502" s="71">
        <v>0</v>
      </c>
      <c r="H502" s="76">
        <v>1.56E-22</v>
      </c>
      <c r="I502" s="71">
        <v>0</v>
      </c>
      <c r="J502" s="71">
        <v>0</v>
      </c>
      <c r="K502" s="71">
        <v>4500</v>
      </c>
      <c r="L502" s="29">
        <f t="shared" si="35"/>
        <v>0</v>
      </c>
    </row>
    <row r="503" spans="5:12">
      <c r="E503" s="70">
        <v>46254.583333333336</v>
      </c>
      <c r="F503" s="71">
        <v>0</v>
      </c>
      <c r="G503" s="71">
        <v>0</v>
      </c>
      <c r="H503" s="76">
        <v>9.9200000000000001E-23</v>
      </c>
      <c r="I503" s="71">
        <v>0</v>
      </c>
      <c r="J503" s="71">
        <v>0</v>
      </c>
      <c r="K503" s="71">
        <v>4500</v>
      </c>
      <c r="L503" s="29">
        <f t="shared" si="35"/>
        <v>0</v>
      </c>
    </row>
    <row r="504" spans="5:12">
      <c r="E504" s="70">
        <v>46254.625</v>
      </c>
      <c r="F504" s="71">
        <v>0</v>
      </c>
      <c r="G504" s="71">
        <v>0</v>
      </c>
      <c r="H504" s="76">
        <v>6.0200000000000001E-23</v>
      </c>
      <c r="I504" s="71">
        <v>0</v>
      </c>
      <c r="J504" s="71">
        <v>0</v>
      </c>
      <c r="K504" s="71">
        <v>4500</v>
      </c>
      <c r="L504" s="29">
        <f t="shared" si="35"/>
        <v>0</v>
      </c>
    </row>
    <row r="505" spans="5:12">
      <c r="E505" s="70">
        <v>46254.666666666664</v>
      </c>
      <c r="F505" s="71">
        <v>0</v>
      </c>
      <c r="G505" s="71">
        <v>0</v>
      </c>
      <c r="H505" s="76">
        <v>3.8300000000000002E-23</v>
      </c>
      <c r="I505" s="71">
        <v>0</v>
      </c>
      <c r="J505" s="71">
        <v>0</v>
      </c>
      <c r="K505" s="71">
        <v>4500</v>
      </c>
      <c r="L505" s="29">
        <f t="shared" si="35"/>
        <v>0</v>
      </c>
    </row>
    <row r="506" spans="5:12">
      <c r="E506" s="70">
        <v>46254.708333333336</v>
      </c>
      <c r="F506" s="71">
        <v>0</v>
      </c>
      <c r="G506" s="71">
        <v>0</v>
      </c>
      <c r="H506" s="76">
        <v>2.3199999999999999E-23</v>
      </c>
      <c r="I506" s="71">
        <v>0</v>
      </c>
      <c r="J506" s="71">
        <v>0</v>
      </c>
      <c r="K506" s="71">
        <v>4500</v>
      </c>
      <c r="L506" s="29">
        <f t="shared" si="35"/>
        <v>0</v>
      </c>
    </row>
    <row r="507" spans="5:12">
      <c r="E507" s="70">
        <v>46254.75</v>
      </c>
      <c r="F507" s="71">
        <v>0</v>
      </c>
      <c r="G507" s="71">
        <v>0</v>
      </c>
      <c r="H507" s="76">
        <v>1.4799999999999999E-23</v>
      </c>
      <c r="I507" s="71">
        <v>0</v>
      </c>
      <c r="J507" s="71">
        <v>0</v>
      </c>
      <c r="K507" s="71">
        <v>4500</v>
      </c>
      <c r="L507" s="29">
        <f t="shared" si="35"/>
        <v>0</v>
      </c>
    </row>
    <row r="508" spans="5:12">
      <c r="E508" s="70">
        <v>46254.791666666664</v>
      </c>
      <c r="F508" s="71">
        <v>0</v>
      </c>
      <c r="G508" s="71">
        <v>0</v>
      </c>
      <c r="H508" s="76">
        <v>8.9599999999999996E-24</v>
      </c>
      <c r="I508" s="71">
        <v>0</v>
      </c>
      <c r="J508" s="71">
        <v>0</v>
      </c>
      <c r="K508" s="71">
        <v>4500</v>
      </c>
      <c r="L508" s="29">
        <f t="shared" si="35"/>
        <v>0</v>
      </c>
    </row>
    <row r="509" spans="5:12">
      <c r="E509" s="70">
        <v>46254.833333333336</v>
      </c>
      <c r="F509" s="71">
        <v>0</v>
      </c>
      <c r="G509" s="71">
        <v>0</v>
      </c>
      <c r="H509" s="76">
        <v>5.7E-24</v>
      </c>
      <c r="I509" s="71">
        <v>0</v>
      </c>
      <c r="J509" s="71">
        <v>0</v>
      </c>
      <c r="K509" s="71">
        <v>4500</v>
      </c>
      <c r="L509" s="29">
        <f t="shared" si="35"/>
        <v>0</v>
      </c>
    </row>
    <row r="510" spans="5:12">
      <c r="E510" s="70">
        <v>46254.875</v>
      </c>
      <c r="F510" s="71">
        <v>0</v>
      </c>
      <c r="G510" s="71">
        <v>0</v>
      </c>
      <c r="H510" s="76">
        <v>3.4599999999999998E-24</v>
      </c>
      <c r="I510" s="71">
        <v>0</v>
      </c>
      <c r="J510" s="71">
        <v>0</v>
      </c>
      <c r="K510" s="71">
        <v>4500</v>
      </c>
      <c r="L510" s="29">
        <f t="shared" si="35"/>
        <v>0</v>
      </c>
    </row>
    <row r="511" spans="5:12">
      <c r="E511" s="70">
        <v>46254.916666666664</v>
      </c>
      <c r="F511" s="71">
        <v>0</v>
      </c>
      <c r="G511" s="71">
        <v>0</v>
      </c>
      <c r="H511" s="76">
        <v>2.2E-24</v>
      </c>
      <c r="I511" s="71">
        <v>0</v>
      </c>
      <c r="J511" s="71">
        <v>0</v>
      </c>
      <c r="K511" s="71">
        <v>4500</v>
      </c>
      <c r="L511" s="29">
        <f t="shared" si="35"/>
        <v>0</v>
      </c>
    </row>
    <row r="512" spans="5:12">
      <c r="E512" s="70">
        <v>46254.958333333336</v>
      </c>
      <c r="F512" s="71">
        <v>0</v>
      </c>
      <c r="G512" s="71">
        <v>0</v>
      </c>
      <c r="H512" s="76">
        <v>1.3400000000000001E-24</v>
      </c>
      <c r="I512" s="71">
        <v>0</v>
      </c>
      <c r="J512" s="71">
        <v>0</v>
      </c>
      <c r="K512" s="71">
        <v>4500</v>
      </c>
      <c r="L512" s="29">
        <f t="shared" si="35"/>
        <v>0</v>
      </c>
    </row>
    <row r="513" spans="5:12">
      <c r="E513" s="70">
        <v>46255</v>
      </c>
      <c r="F513" s="71">
        <v>0</v>
      </c>
      <c r="G513" s="71">
        <v>0</v>
      </c>
      <c r="H513" s="76">
        <v>8.4999999999999998E-25</v>
      </c>
      <c r="I513" s="71">
        <v>0</v>
      </c>
      <c r="J513" s="71">
        <v>0</v>
      </c>
      <c r="K513" s="71">
        <v>4500</v>
      </c>
      <c r="L513" s="29">
        <f t="shared" si="35"/>
        <v>0</v>
      </c>
    </row>
    <row r="514" spans="5:12">
      <c r="E514" s="70">
        <v>46255.041666666664</v>
      </c>
      <c r="F514" s="71">
        <v>0</v>
      </c>
      <c r="G514" s="71">
        <v>0</v>
      </c>
      <c r="H514" s="76">
        <v>5.1600000000000001E-25</v>
      </c>
      <c r="I514" s="71">
        <v>0</v>
      </c>
      <c r="J514" s="71">
        <v>0</v>
      </c>
      <c r="K514" s="71">
        <v>4500</v>
      </c>
      <c r="L514" s="29">
        <f t="shared" si="35"/>
        <v>0</v>
      </c>
    </row>
    <row r="515" spans="5:12">
      <c r="E515" s="70">
        <v>46255.083333333336</v>
      </c>
      <c r="F515" s="71">
        <v>0</v>
      </c>
      <c r="G515" s="71">
        <v>0</v>
      </c>
      <c r="H515" s="76">
        <v>3.2799999999999999E-25</v>
      </c>
      <c r="I515" s="71">
        <v>0</v>
      </c>
      <c r="J515" s="71">
        <v>0</v>
      </c>
      <c r="K515" s="71">
        <v>4500</v>
      </c>
      <c r="L515" s="29">
        <f t="shared" ref="L515:L578" si="36">IF(K515&gt;10000,K515-10000,0)</f>
        <v>0</v>
      </c>
    </row>
    <row r="516" spans="5:12">
      <c r="E516" s="70">
        <v>46255.125</v>
      </c>
      <c r="F516" s="71">
        <v>0</v>
      </c>
      <c r="G516" s="71">
        <v>0</v>
      </c>
      <c r="H516" s="76">
        <v>1.9900000000000001E-25</v>
      </c>
      <c r="I516" s="71">
        <v>0</v>
      </c>
      <c r="J516" s="71">
        <v>0</v>
      </c>
      <c r="K516" s="71">
        <v>4500</v>
      </c>
      <c r="L516" s="29">
        <f t="shared" si="36"/>
        <v>0</v>
      </c>
    </row>
    <row r="517" spans="5:12">
      <c r="E517" s="70">
        <v>46255.166666666664</v>
      </c>
      <c r="F517" s="71">
        <v>0</v>
      </c>
      <c r="G517" s="71">
        <v>0</v>
      </c>
      <c r="H517" s="76">
        <v>1.2700000000000001E-25</v>
      </c>
      <c r="I517" s="71">
        <v>0</v>
      </c>
      <c r="J517" s="71">
        <v>0</v>
      </c>
      <c r="K517" s="71">
        <v>4500</v>
      </c>
      <c r="L517" s="29">
        <f t="shared" si="36"/>
        <v>0</v>
      </c>
    </row>
    <row r="518" spans="5:12">
      <c r="E518" s="70">
        <v>46255.208333333336</v>
      </c>
      <c r="F518" s="71">
        <v>0</v>
      </c>
      <c r="G518" s="71">
        <v>0</v>
      </c>
      <c r="H518" s="76">
        <v>7.6800000000000001E-26</v>
      </c>
      <c r="I518" s="71">
        <v>0</v>
      </c>
      <c r="J518" s="71">
        <v>0</v>
      </c>
      <c r="K518" s="71">
        <v>4500</v>
      </c>
      <c r="L518" s="29">
        <f t="shared" si="36"/>
        <v>0</v>
      </c>
    </row>
    <row r="519" spans="5:12">
      <c r="E519" s="70">
        <v>46255.25</v>
      </c>
      <c r="F519" s="71">
        <v>0</v>
      </c>
      <c r="G519" s="71">
        <v>0</v>
      </c>
      <c r="H519" s="76">
        <v>4.8899999999999999E-26</v>
      </c>
      <c r="I519" s="71">
        <v>0</v>
      </c>
      <c r="J519" s="71">
        <v>0</v>
      </c>
      <c r="K519" s="71">
        <v>4500</v>
      </c>
      <c r="L519" s="29">
        <f t="shared" si="36"/>
        <v>0</v>
      </c>
    </row>
    <row r="520" spans="5:12">
      <c r="E520" s="70">
        <v>46255.291666666664</v>
      </c>
      <c r="F520" s="71">
        <v>0</v>
      </c>
      <c r="G520" s="71">
        <v>0</v>
      </c>
      <c r="H520" s="76">
        <v>2.9600000000000002E-26</v>
      </c>
      <c r="I520" s="71">
        <v>0</v>
      </c>
      <c r="J520" s="71">
        <v>0</v>
      </c>
      <c r="K520" s="71">
        <v>4500</v>
      </c>
      <c r="L520" s="29">
        <f t="shared" si="36"/>
        <v>0</v>
      </c>
    </row>
    <row r="521" spans="5:12">
      <c r="E521" s="70">
        <v>46255.333333333336</v>
      </c>
      <c r="F521" s="71">
        <v>0</v>
      </c>
      <c r="G521" s="71">
        <v>0</v>
      </c>
      <c r="H521" s="76">
        <v>1.8900000000000001E-26</v>
      </c>
      <c r="I521" s="71">
        <v>0</v>
      </c>
      <c r="J521" s="71">
        <v>0</v>
      </c>
      <c r="K521" s="71">
        <v>4500</v>
      </c>
      <c r="L521" s="29">
        <f t="shared" si="36"/>
        <v>0</v>
      </c>
    </row>
    <row r="522" spans="5:12">
      <c r="E522" s="70">
        <v>46255.375</v>
      </c>
      <c r="F522" s="71">
        <v>0</v>
      </c>
      <c r="G522" s="71">
        <v>0</v>
      </c>
      <c r="H522" s="76">
        <v>1.1399999999999999E-26</v>
      </c>
      <c r="I522" s="71">
        <v>0</v>
      </c>
      <c r="J522" s="71">
        <v>0</v>
      </c>
      <c r="K522" s="71">
        <v>4500</v>
      </c>
      <c r="L522" s="29">
        <f t="shared" si="36"/>
        <v>0</v>
      </c>
    </row>
    <row r="523" spans="5:12">
      <c r="E523" s="70">
        <v>46255.416666666664</v>
      </c>
      <c r="F523" s="71">
        <v>0</v>
      </c>
      <c r="G523" s="71">
        <v>0</v>
      </c>
      <c r="H523" s="76">
        <v>7.2800000000000003E-27</v>
      </c>
      <c r="I523" s="71">
        <v>0</v>
      </c>
      <c r="J523" s="71">
        <v>0</v>
      </c>
      <c r="K523" s="71">
        <v>4500</v>
      </c>
      <c r="L523" s="29">
        <f t="shared" si="36"/>
        <v>0</v>
      </c>
    </row>
    <row r="524" spans="5:12">
      <c r="E524" s="70">
        <v>46255.458333333336</v>
      </c>
      <c r="F524" s="71">
        <v>0</v>
      </c>
      <c r="G524" s="71">
        <v>0</v>
      </c>
      <c r="H524" s="76">
        <v>4.4200000000000003E-27</v>
      </c>
      <c r="I524" s="71">
        <v>0</v>
      </c>
      <c r="J524" s="71">
        <v>0</v>
      </c>
      <c r="K524" s="71">
        <v>4500</v>
      </c>
      <c r="L524" s="29">
        <f t="shared" si="36"/>
        <v>0</v>
      </c>
    </row>
    <row r="525" spans="5:12">
      <c r="E525" s="70">
        <v>46255.5</v>
      </c>
      <c r="F525" s="71">
        <v>0</v>
      </c>
      <c r="G525" s="71">
        <v>0</v>
      </c>
      <c r="H525" s="76">
        <v>2.8099999999999999E-27</v>
      </c>
      <c r="I525" s="71">
        <v>0</v>
      </c>
      <c r="J525" s="71">
        <v>0</v>
      </c>
      <c r="K525" s="71">
        <v>4500</v>
      </c>
      <c r="L525" s="29">
        <f t="shared" si="36"/>
        <v>0</v>
      </c>
    </row>
    <row r="526" spans="5:12">
      <c r="E526" s="70">
        <v>46255.541666666664</v>
      </c>
      <c r="F526" s="71">
        <v>0</v>
      </c>
      <c r="G526" s="71">
        <v>0</v>
      </c>
      <c r="H526" s="76">
        <v>1.7100000000000001E-27</v>
      </c>
      <c r="I526" s="71">
        <v>0</v>
      </c>
      <c r="J526" s="71">
        <v>0</v>
      </c>
      <c r="K526" s="71">
        <v>4500</v>
      </c>
      <c r="L526" s="29">
        <f t="shared" si="36"/>
        <v>0</v>
      </c>
    </row>
    <row r="527" spans="5:12">
      <c r="E527" s="70">
        <v>46255.583333333336</v>
      </c>
      <c r="F527" s="71">
        <v>0</v>
      </c>
      <c r="G527" s="71">
        <v>0</v>
      </c>
      <c r="H527" s="76">
        <v>1.09E-27</v>
      </c>
      <c r="I527" s="71">
        <v>0</v>
      </c>
      <c r="J527" s="71">
        <v>0</v>
      </c>
      <c r="K527" s="71">
        <v>4500</v>
      </c>
      <c r="L527" s="29">
        <f t="shared" si="36"/>
        <v>0</v>
      </c>
    </row>
    <row r="528" spans="5:12">
      <c r="E528" s="70">
        <v>46255.625</v>
      </c>
      <c r="F528" s="71">
        <v>0</v>
      </c>
      <c r="G528" s="71">
        <v>0</v>
      </c>
      <c r="H528" s="76">
        <v>6.58E-28</v>
      </c>
      <c r="I528" s="71">
        <v>0</v>
      </c>
      <c r="J528" s="71">
        <v>0</v>
      </c>
      <c r="K528" s="71">
        <v>4500</v>
      </c>
      <c r="L528" s="29">
        <f t="shared" si="36"/>
        <v>0</v>
      </c>
    </row>
    <row r="529" spans="5:12">
      <c r="E529" s="70">
        <v>46255.666666666664</v>
      </c>
      <c r="F529" s="71">
        <v>0</v>
      </c>
      <c r="G529" s="71">
        <v>0</v>
      </c>
      <c r="H529" s="76">
        <v>4.1900000000000004E-28</v>
      </c>
      <c r="I529" s="71">
        <v>0</v>
      </c>
      <c r="J529" s="71">
        <v>0</v>
      </c>
      <c r="K529" s="71">
        <v>4500</v>
      </c>
      <c r="L529" s="29">
        <f t="shared" si="36"/>
        <v>0</v>
      </c>
    </row>
    <row r="530" spans="5:12">
      <c r="E530" s="70">
        <v>46255.708333333336</v>
      </c>
      <c r="F530" s="71">
        <v>0</v>
      </c>
      <c r="G530" s="71">
        <v>0</v>
      </c>
      <c r="H530" s="76">
        <v>2.5399999999999999E-28</v>
      </c>
      <c r="I530" s="71">
        <v>0</v>
      </c>
      <c r="J530" s="71">
        <v>0</v>
      </c>
      <c r="K530" s="71">
        <v>4500</v>
      </c>
      <c r="L530" s="29">
        <f t="shared" si="36"/>
        <v>0</v>
      </c>
    </row>
    <row r="531" spans="5:12">
      <c r="E531" s="70">
        <v>46255.75</v>
      </c>
      <c r="F531" s="71">
        <v>0</v>
      </c>
      <c r="G531" s="71">
        <v>0</v>
      </c>
      <c r="H531" s="76">
        <v>1.62E-28</v>
      </c>
      <c r="I531" s="71">
        <v>0</v>
      </c>
      <c r="J531" s="71">
        <v>0</v>
      </c>
      <c r="K531" s="71">
        <v>4500</v>
      </c>
      <c r="L531" s="29">
        <f t="shared" si="36"/>
        <v>0</v>
      </c>
    </row>
    <row r="532" spans="5:12">
      <c r="E532" s="70">
        <v>46255.791666666664</v>
      </c>
      <c r="F532" s="71">
        <v>0</v>
      </c>
      <c r="G532" s="71">
        <v>0</v>
      </c>
      <c r="H532" s="76">
        <v>9.8100000000000005E-29</v>
      </c>
      <c r="I532" s="71">
        <v>0</v>
      </c>
      <c r="J532" s="71">
        <v>0</v>
      </c>
      <c r="K532" s="71">
        <v>4500</v>
      </c>
      <c r="L532" s="29">
        <f t="shared" si="36"/>
        <v>0</v>
      </c>
    </row>
    <row r="533" spans="5:12">
      <c r="E533" s="70">
        <v>46255.833333333336</v>
      </c>
      <c r="F533" s="71">
        <v>0</v>
      </c>
      <c r="G533" s="71">
        <v>0</v>
      </c>
      <c r="H533" s="76">
        <v>6.2400000000000005E-29</v>
      </c>
      <c r="I533" s="71">
        <v>0</v>
      </c>
      <c r="J533" s="71">
        <v>0</v>
      </c>
      <c r="K533" s="71">
        <v>4500</v>
      </c>
      <c r="L533" s="29">
        <f t="shared" si="36"/>
        <v>0</v>
      </c>
    </row>
    <row r="534" spans="5:12">
      <c r="E534" s="70">
        <v>46255.875</v>
      </c>
      <c r="F534" s="71">
        <v>0</v>
      </c>
      <c r="G534" s="71">
        <v>0</v>
      </c>
      <c r="H534" s="76">
        <v>3.79E-29</v>
      </c>
      <c r="I534" s="71">
        <v>0</v>
      </c>
      <c r="J534" s="71">
        <v>0</v>
      </c>
      <c r="K534" s="71">
        <v>4500</v>
      </c>
      <c r="L534" s="29">
        <f t="shared" si="36"/>
        <v>0</v>
      </c>
    </row>
    <row r="535" spans="5:12">
      <c r="E535" s="70">
        <v>46255.916666666664</v>
      </c>
      <c r="F535" s="71">
        <v>0</v>
      </c>
      <c r="G535" s="71">
        <v>0</v>
      </c>
      <c r="H535" s="76">
        <v>2.4099999999999999E-29</v>
      </c>
      <c r="I535" s="71">
        <v>0</v>
      </c>
      <c r="J535" s="71">
        <v>0</v>
      </c>
      <c r="K535" s="71">
        <v>4500</v>
      </c>
      <c r="L535" s="29">
        <f t="shared" si="36"/>
        <v>0</v>
      </c>
    </row>
    <row r="536" spans="5:12">
      <c r="E536" s="70">
        <v>46255.958333333336</v>
      </c>
      <c r="F536" s="71">
        <v>0</v>
      </c>
      <c r="G536" s="71">
        <v>0</v>
      </c>
      <c r="H536" s="76">
        <v>1.4600000000000001E-29</v>
      </c>
      <c r="I536" s="71">
        <v>0</v>
      </c>
      <c r="J536" s="71">
        <v>0</v>
      </c>
      <c r="K536" s="71">
        <v>4500</v>
      </c>
      <c r="L536" s="29">
        <f t="shared" si="36"/>
        <v>0</v>
      </c>
    </row>
    <row r="537" spans="5:12">
      <c r="E537" s="70">
        <v>46256</v>
      </c>
      <c r="F537" s="71">
        <v>0</v>
      </c>
      <c r="G537" s="71">
        <v>0</v>
      </c>
      <c r="H537" s="76">
        <v>9.2999999999999994E-30</v>
      </c>
      <c r="I537" s="71">
        <v>0</v>
      </c>
      <c r="J537" s="71">
        <v>0</v>
      </c>
      <c r="K537" s="71">
        <v>4500</v>
      </c>
      <c r="L537" s="29">
        <f t="shared" si="36"/>
        <v>0</v>
      </c>
    </row>
    <row r="538" spans="5:12">
      <c r="E538" s="70">
        <v>46256.041666666664</v>
      </c>
      <c r="F538" s="71">
        <v>0</v>
      </c>
      <c r="G538" s="71">
        <v>0</v>
      </c>
      <c r="H538" s="76">
        <v>5.6400000000000002E-30</v>
      </c>
      <c r="I538" s="71">
        <v>0</v>
      </c>
      <c r="J538" s="71">
        <v>0</v>
      </c>
      <c r="K538" s="71">
        <v>4500</v>
      </c>
      <c r="L538" s="29">
        <f t="shared" si="36"/>
        <v>0</v>
      </c>
    </row>
    <row r="539" spans="5:12">
      <c r="E539" s="70">
        <v>46256.083333333336</v>
      </c>
      <c r="F539" s="71">
        <v>0</v>
      </c>
      <c r="G539" s="71">
        <v>0</v>
      </c>
      <c r="H539" s="76">
        <v>3.59E-30</v>
      </c>
      <c r="I539" s="71">
        <v>0</v>
      </c>
      <c r="J539" s="71">
        <v>0</v>
      </c>
      <c r="K539" s="71">
        <v>4500</v>
      </c>
      <c r="L539" s="29">
        <f t="shared" si="36"/>
        <v>0</v>
      </c>
    </row>
    <row r="540" spans="5:12">
      <c r="E540" s="70">
        <v>46256.125</v>
      </c>
      <c r="F540" s="71">
        <v>0</v>
      </c>
      <c r="G540" s="71">
        <v>0</v>
      </c>
      <c r="H540" s="76">
        <v>2.18E-30</v>
      </c>
      <c r="I540" s="71">
        <v>0</v>
      </c>
      <c r="J540" s="71">
        <v>0</v>
      </c>
      <c r="K540" s="71">
        <v>4500</v>
      </c>
      <c r="L540" s="29">
        <f t="shared" si="36"/>
        <v>0</v>
      </c>
    </row>
    <row r="541" spans="5:12">
      <c r="E541" s="70">
        <v>46256.166666666664</v>
      </c>
      <c r="F541" s="71">
        <v>0</v>
      </c>
      <c r="G541" s="71">
        <v>0</v>
      </c>
      <c r="H541" s="76">
        <v>1.39E-30</v>
      </c>
      <c r="I541" s="71">
        <v>0</v>
      </c>
      <c r="J541" s="71">
        <v>0</v>
      </c>
      <c r="K541" s="71">
        <v>4500</v>
      </c>
      <c r="L541" s="29">
        <f t="shared" si="36"/>
        <v>0</v>
      </c>
    </row>
    <row r="542" spans="5:12">
      <c r="E542" s="70">
        <v>46256.208333333336</v>
      </c>
      <c r="F542" s="71">
        <v>0</v>
      </c>
      <c r="G542" s="71">
        <v>0</v>
      </c>
      <c r="H542" s="76">
        <v>8.3999999999999996E-31</v>
      </c>
      <c r="I542" s="71">
        <v>0</v>
      </c>
      <c r="J542" s="71">
        <v>0</v>
      </c>
      <c r="K542" s="71">
        <v>4500</v>
      </c>
      <c r="L542" s="29">
        <f t="shared" si="36"/>
        <v>0</v>
      </c>
    </row>
    <row r="543" spans="5:12">
      <c r="E543" s="70">
        <v>46256.25</v>
      </c>
      <c r="F543" s="71">
        <v>0</v>
      </c>
      <c r="G543" s="71">
        <v>0</v>
      </c>
      <c r="H543" s="76">
        <v>5.3499999999999997E-31</v>
      </c>
      <c r="I543" s="71">
        <v>0</v>
      </c>
      <c r="J543" s="71">
        <v>0</v>
      </c>
      <c r="K543" s="71">
        <v>4500</v>
      </c>
      <c r="L543" s="29">
        <f t="shared" si="36"/>
        <v>0</v>
      </c>
    </row>
    <row r="544" spans="5:12">
      <c r="E544" s="70">
        <v>46256.291666666664</v>
      </c>
      <c r="F544" s="71">
        <v>0</v>
      </c>
      <c r="G544" s="71">
        <v>0</v>
      </c>
      <c r="H544" s="76">
        <v>3.24E-31</v>
      </c>
      <c r="I544" s="71">
        <v>0</v>
      </c>
      <c r="J544" s="71">
        <v>0</v>
      </c>
      <c r="K544" s="71">
        <v>4500</v>
      </c>
      <c r="L544" s="29">
        <f t="shared" si="36"/>
        <v>0</v>
      </c>
    </row>
    <row r="545" spans="5:12">
      <c r="E545" s="70">
        <v>46256.333333333336</v>
      </c>
      <c r="F545" s="71">
        <v>0</v>
      </c>
      <c r="G545" s="71">
        <v>0</v>
      </c>
      <c r="H545" s="76">
        <v>2.0600000000000001E-31</v>
      </c>
      <c r="I545" s="71">
        <v>0</v>
      </c>
      <c r="J545" s="71">
        <v>0</v>
      </c>
      <c r="K545" s="71">
        <v>4500</v>
      </c>
      <c r="L545" s="29">
        <f t="shared" si="36"/>
        <v>0</v>
      </c>
    </row>
    <row r="546" spans="5:12">
      <c r="E546" s="70">
        <v>46256.375</v>
      </c>
      <c r="F546" s="71">
        <v>0</v>
      </c>
      <c r="G546" s="71">
        <v>0</v>
      </c>
      <c r="H546" s="76">
        <v>1.2500000000000001E-31</v>
      </c>
      <c r="I546" s="71">
        <v>0</v>
      </c>
      <c r="J546" s="71">
        <v>0</v>
      </c>
      <c r="K546" s="71">
        <v>4500</v>
      </c>
      <c r="L546" s="29">
        <f t="shared" si="36"/>
        <v>0</v>
      </c>
    </row>
    <row r="547" spans="5:12">
      <c r="E547" s="70">
        <v>46256.416666666664</v>
      </c>
      <c r="F547" s="71">
        <v>0</v>
      </c>
      <c r="G547" s="71">
        <v>0</v>
      </c>
      <c r="H547" s="76">
        <v>7.9699999999999998E-32</v>
      </c>
      <c r="I547" s="71">
        <v>0</v>
      </c>
      <c r="J547" s="71">
        <v>0</v>
      </c>
      <c r="K547" s="71">
        <v>4500</v>
      </c>
      <c r="L547" s="29">
        <f t="shared" si="36"/>
        <v>0</v>
      </c>
    </row>
    <row r="548" spans="5:12">
      <c r="E548" s="70">
        <v>46256.458333333336</v>
      </c>
      <c r="F548" s="71">
        <v>0</v>
      </c>
      <c r="G548" s="71">
        <v>0</v>
      </c>
      <c r="H548" s="76">
        <v>4.8299999999999998E-32</v>
      </c>
      <c r="I548" s="71">
        <v>0</v>
      </c>
      <c r="J548" s="71">
        <v>0</v>
      </c>
      <c r="K548" s="71">
        <v>4500</v>
      </c>
      <c r="L548" s="29">
        <f t="shared" si="36"/>
        <v>0</v>
      </c>
    </row>
    <row r="549" spans="5:12">
      <c r="E549" s="70">
        <v>46256.5</v>
      </c>
      <c r="F549" s="71">
        <v>0</v>
      </c>
      <c r="G549" s="71">
        <v>0</v>
      </c>
      <c r="H549" s="76">
        <v>3.0799999999999999E-32</v>
      </c>
      <c r="I549" s="71">
        <v>0</v>
      </c>
      <c r="J549" s="71">
        <v>0</v>
      </c>
      <c r="K549" s="71">
        <v>4500</v>
      </c>
      <c r="L549" s="29">
        <f t="shared" si="36"/>
        <v>0</v>
      </c>
    </row>
    <row r="550" spans="5:12">
      <c r="E550" s="70">
        <v>46256.541666666664</v>
      </c>
      <c r="F550" s="71">
        <v>0</v>
      </c>
      <c r="G550" s="71">
        <v>0</v>
      </c>
      <c r="H550" s="76">
        <v>1.87E-32</v>
      </c>
      <c r="I550" s="71">
        <v>0</v>
      </c>
      <c r="J550" s="71">
        <v>0</v>
      </c>
      <c r="K550" s="71">
        <v>4500</v>
      </c>
      <c r="L550" s="29">
        <f t="shared" si="36"/>
        <v>0</v>
      </c>
    </row>
    <row r="551" spans="5:12">
      <c r="E551" s="70">
        <v>46256.583333333336</v>
      </c>
      <c r="F551" s="71">
        <v>0</v>
      </c>
      <c r="G551" s="71">
        <v>0</v>
      </c>
      <c r="H551" s="76">
        <v>1.19E-32</v>
      </c>
      <c r="I551" s="71">
        <v>0</v>
      </c>
      <c r="J551" s="71">
        <v>0</v>
      </c>
      <c r="K551" s="71">
        <v>4500</v>
      </c>
      <c r="L551" s="29">
        <f t="shared" si="36"/>
        <v>0</v>
      </c>
    </row>
    <row r="552" spans="5:12">
      <c r="E552" s="70">
        <v>46256.625</v>
      </c>
      <c r="F552" s="71">
        <v>0</v>
      </c>
      <c r="G552" s="71">
        <v>0</v>
      </c>
      <c r="H552" s="76">
        <v>7.2000000000000007E-33</v>
      </c>
      <c r="I552" s="71">
        <v>0</v>
      </c>
      <c r="J552" s="71">
        <v>0</v>
      </c>
      <c r="K552" s="71">
        <v>4500</v>
      </c>
      <c r="L552" s="29">
        <f t="shared" si="36"/>
        <v>0</v>
      </c>
    </row>
    <row r="553" spans="5:12">
      <c r="E553" s="70">
        <v>46256.666666666664</v>
      </c>
      <c r="F553" s="71">
        <v>0</v>
      </c>
      <c r="G553" s="71">
        <v>0</v>
      </c>
      <c r="H553" s="76">
        <v>4.5799999999999998E-33</v>
      </c>
      <c r="I553" s="71">
        <v>0</v>
      </c>
      <c r="J553" s="71">
        <v>0</v>
      </c>
      <c r="K553" s="71">
        <v>4500</v>
      </c>
      <c r="L553" s="29">
        <f t="shared" si="36"/>
        <v>0</v>
      </c>
    </row>
    <row r="554" spans="5:12">
      <c r="E554" s="70">
        <v>46256.708333333336</v>
      </c>
      <c r="F554" s="71">
        <v>0</v>
      </c>
      <c r="G554" s="71">
        <v>0</v>
      </c>
      <c r="H554" s="76">
        <v>2.7799999999999999E-33</v>
      </c>
      <c r="I554" s="71">
        <v>0</v>
      </c>
      <c r="J554" s="71">
        <v>0</v>
      </c>
      <c r="K554" s="71">
        <v>4500</v>
      </c>
      <c r="L554" s="29">
        <f t="shared" si="36"/>
        <v>0</v>
      </c>
    </row>
    <row r="555" spans="5:12">
      <c r="E555" s="70">
        <v>46256.75</v>
      </c>
      <c r="F555" s="71">
        <v>0</v>
      </c>
      <c r="G555" s="71">
        <v>0</v>
      </c>
      <c r="H555" s="76">
        <v>1.7699999999999999E-33</v>
      </c>
      <c r="I555" s="71">
        <v>0</v>
      </c>
      <c r="J555" s="71">
        <v>0</v>
      </c>
      <c r="K555" s="71">
        <v>4500</v>
      </c>
      <c r="L555" s="29">
        <f t="shared" si="36"/>
        <v>0</v>
      </c>
    </row>
    <row r="556" spans="5:12">
      <c r="E556" s="70">
        <v>46256.791666666664</v>
      </c>
      <c r="F556" s="71">
        <v>0</v>
      </c>
      <c r="G556" s="71">
        <v>0</v>
      </c>
      <c r="H556" s="76">
        <v>1.0699999999999999E-33</v>
      </c>
      <c r="I556" s="71">
        <v>0</v>
      </c>
      <c r="J556" s="71">
        <v>0</v>
      </c>
      <c r="K556" s="71">
        <v>4500</v>
      </c>
      <c r="L556" s="29">
        <f t="shared" si="36"/>
        <v>0</v>
      </c>
    </row>
    <row r="557" spans="5:12">
      <c r="E557" s="70">
        <v>46256.833333333336</v>
      </c>
      <c r="F557" s="71">
        <v>0</v>
      </c>
      <c r="G557" s="71">
        <v>0</v>
      </c>
      <c r="H557" s="76">
        <v>6.8300000000000004E-34</v>
      </c>
      <c r="I557" s="71">
        <v>0</v>
      </c>
      <c r="J557" s="71">
        <v>0</v>
      </c>
      <c r="K557" s="71">
        <v>4500</v>
      </c>
      <c r="L557" s="29">
        <f t="shared" si="36"/>
        <v>0</v>
      </c>
    </row>
    <row r="558" spans="5:12">
      <c r="E558" s="70">
        <v>46256.875</v>
      </c>
      <c r="F558" s="71">
        <v>0</v>
      </c>
      <c r="G558" s="71">
        <v>0</v>
      </c>
      <c r="H558" s="76">
        <v>4.1399999999999996E-34</v>
      </c>
      <c r="I558" s="71">
        <v>0</v>
      </c>
      <c r="J558" s="71">
        <v>0</v>
      </c>
      <c r="K558" s="71">
        <v>4500</v>
      </c>
      <c r="L558" s="29">
        <f t="shared" si="36"/>
        <v>0</v>
      </c>
    </row>
    <row r="559" spans="5:12">
      <c r="E559" s="70">
        <v>46256.916666666664</v>
      </c>
      <c r="F559" s="71">
        <v>0</v>
      </c>
      <c r="G559" s="71">
        <v>0</v>
      </c>
      <c r="H559" s="76">
        <v>2.64E-34</v>
      </c>
      <c r="I559" s="71">
        <v>0</v>
      </c>
      <c r="J559" s="71">
        <v>0</v>
      </c>
      <c r="K559" s="71">
        <v>4500</v>
      </c>
      <c r="L559" s="29">
        <f t="shared" si="36"/>
        <v>0</v>
      </c>
    </row>
    <row r="560" spans="5:12">
      <c r="E560" s="70">
        <v>46256.958333333336</v>
      </c>
      <c r="F560" s="71">
        <v>0</v>
      </c>
      <c r="G560" s="71">
        <v>0</v>
      </c>
      <c r="H560" s="76">
        <v>1.6E-34</v>
      </c>
      <c r="I560" s="71">
        <v>0</v>
      </c>
      <c r="J560" s="71">
        <v>0</v>
      </c>
      <c r="K560" s="71">
        <v>4500</v>
      </c>
      <c r="L560" s="29">
        <f t="shared" si="36"/>
        <v>0</v>
      </c>
    </row>
    <row r="561" spans="5:12">
      <c r="E561" s="70">
        <v>46257</v>
      </c>
      <c r="F561" s="71">
        <v>0</v>
      </c>
      <c r="G561" s="71">
        <v>0</v>
      </c>
      <c r="H561" s="76">
        <v>1.02E-34</v>
      </c>
      <c r="I561" s="71">
        <v>0</v>
      </c>
      <c r="J561" s="71">
        <v>0</v>
      </c>
      <c r="K561" s="71">
        <v>4500</v>
      </c>
      <c r="L561" s="29">
        <f t="shared" si="36"/>
        <v>0</v>
      </c>
    </row>
    <row r="562" spans="5:12">
      <c r="E562" s="70">
        <v>46257.041666666664</v>
      </c>
      <c r="F562" s="71">
        <v>0</v>
      </c>
      <c r="G562" s="71">
        <v>0</v>
      </c>
      <c r="H562" s="76">
        <v>6.1699999999999995E-35</v>
      </c>
      <c r="I562" s="71">
        <v>0</v>
      </c>
      <c r="J562" s="71">
        <v>0</v>
      </c>
      <c r="K562" s="71">
        <v>4500</v>
      </c>
      <c r="L562" s="29">
        <f t="shared" si="36"/>
        <v>0</v>
      </c>
    </row>
    <row r="563" spans="5:12">
      <c r="E563" s="70">
        <v>46257.083333333336</v>
      </c>
      <c r="F563" s="71">
        <v>0</v>
      </c>
      <c r="G563" s="71">
        <v>0</v>
      </c>
      <c r="H563" s="76">
        <v>3.93E-35</v>
      </c>
      <c r="I563" s="71">
        <v>0</v>
      </c>
      <c r="J563" s="71">
        <v>0</v>
      </c>
      <c r="K563" s="71">
        <v>4500</v>
      </c>
      <c r="L563" s="29">
        <f t="shared" si="36"/>
        <v>0</v>
      </c>
    </row>
    <row r="564" spans="5:12">
      <c r="E564" s="70">
        <v>46257.125</v>
      </c>
      <c r="F564" s="71">
        <v>0</v>
      </c>
      <c r="G564" s="71">
        <v>0</v>
      </c>
      <c r="H564" s="76">
        <v>2.3799999999999999E-35</v>
      </c>
      <c r="I564" s="71">
        <v>0</v>
      </c>
      <c r="J564" s="71">
        <v>0</v>
      </c>
      <c r="K564" s="71">
        <v>4494.5429999999997</v>
      </c>
      <c r="L564" s="29">
        <f t="shared" si="36"/>
        <v>0</v>
      </c>
    </row>
    <row r="565" spans="5:12">
      <c r="E565" s="70">
        <v>46257.166666666664</v>
      </c>
      <c r="F565" s="71">
        <v>0</v>
      </c>
      <c r="G565" s="71">
        <v>0</v>
      </c>
      <c r="H565" s="76">
        <v>1.5199999999999999E-35</v>
      </c>
      <c r="I565" s="71">
        <v>0</v>
      </c>
      <c r="J565" s="71">
        <v>0</v>
      </c>
      <c r="K565" s="71">
        <v>4494.5429999999997</v>
      </c>
      <c r="L565" s="29">
        <f t="shared" si="36"/>
        <v>0</v>
      </c>
    </row>
    <row r="566" spans="5:12">
      <c r="E566" s="70">
        <v>46257.208333333336</v>
      </c>
      <c r="F566" s="71">
        <v>0</v>
      </c>
      <c r="G566" s="71">
        <v>0</v>
      </c>
      <c r="H566" s="76">
        <v>9.1900000000000002E-36</v>
      </c>
      <c r="I566" s="71">
        <v>0</v>
      </c>
      <c r="J566" s="71">
        <v>0</v>
      </c>
      <c r="K566" s="71">
        <v>4494.5429999999997</v>
      </c>
      <c r="L566" s="29">
        <f t="shared" si="36"/>
        <v>0</v>
      </c>
    </row>
    <row r="567" spans="5:12">
      <c r="E567" s="70">
        <v>46257.25</v>
      </c>
      <c r="F567" s="71">
        <v>0</v>
      </c>
      <c r="G567" s="71">
        <v>0</v>
      </c>
      <c r="H567" s="76">
        <v>5.8500000000000001E-36</v>
      </c>
      <c r="I567" s="71">
        <v>0</v>
      </c>
      <c r="J567" s="71">
        <v>0</v>
      </c>
      <c r="K567" s="71">
        <v>4494.5429999999997</v>
      </c>
      <c r="L567" s="29">
        <f t="shared" si="36"/>
        <v>0</v>
      </c>
    </row>
    <row r="568" spans="5:12">
      <c r="E568" s="70">
        <v>46257.291666666664</v>
      </c>
      <c r="F568" s="71">
        <v>0</v>
      </c>
      <c r="G568" s="71">
        <v>0</v>
      </c>
      <c r="H568" s="76">
        <v>3.5499999999999998E-36</v>
      </c>
      <c r="I568" s="71">
        <v>0</v>
      </c>
      <c r="J568" s="71">
        <v>0</v>
      </c>
      <c r="K568" s="71">
        <v>4403.0990000000002</v>
      </c>
      <c r="L568" s="29">
        <f t="shared" si="36"/>
        <v>0</v>
      </c>
    </row>
    <row r="569" spans="5:12">
      <c r="E569" s="70">
        <v>46257.333333333336</v>
      </c>
      <c r="F569" s="71">
        <v>0</v>
      </c>
      <c r="G569" s="71">
        <v>0</v>
      </c>
      <c r="H569" s="76">
        <v>2.2600000000000002E-36</v>
      </c>
      <c r="I569" s="71">
        <v>0</v>
      </c>
      <c r="J569" s="71">
        <v>0</v>
      </c>
      <c r="K569" s="71">
        <v>4403.0990000000002</v>
      </c>
      <c r="L569" s="29">
        <f t="shared" si="36"/>
        <v>0</v>
      </c>
    </row>
    <row r="570" spans="5:12">
      <c r="E570" s="70">
        <v>46257.375</v>
      </c>
      <c r="F570" s="71">
        <v>0</v>
      </c>
      <c r="G570" s="71">
        <v>0</v>
      </c>
      <c r="H570" s="76">
        <v>1.3699999999999999E-36</v>
      </c>
      <c r="I570" s="71">
        <v>0</v>
      </c>
      <c r="J570" s="71">
        <v>0</v>
      </c>
      <c r="K570" s="71">
        <v>4403.0990000000002</v>
      </c>
      <c r="L570" s="29">
        <f t="shared" si="36"/>
        <v>0</v>
      </c>
    </row>
    <row r="571" spans="5:12">
      <c r="E571" s="70">
        <v>46257.416666666664</v>
      </c>
      <c r="F571" s="71">
        <v>0</v>
      </c>
      <c r="G571" s="71">
        <v>0</v>
      </c>
      <c r="H571" s="76">
        <v>8.7200000000000001E-37</v>
      </c>
      <c r="I571" s="71">
        <v>0</v>
      </c>
      <c r="J571" s="71">
        <v>0</v>
      </c>
      <c r="K571" s="71">
        <v>4403.0990000000002</v>
      </c>
      <c r="L571" s="29">
        <f t="shared" si="36"/>
        <v>0</v>
      </c>
    </row>
    <row r="572" spans="5:12">
      <c r="E572" s="70">
        <v>46257.458333333336</v>
      </c>
      <c r="F572" s="71">
        <v>0</v>
      </c>
      <c r="G572" s="71">
        <v>0</v>
      </c>
      <c r="H572" s="76">
        <v>5.2899999999999998E-37</v>
      </c>
      <c r="I572" s="71">
        <v>0</v>
      </c>
      <c r="J572" s="71">
        <v>0</v>
      </c>
      <c r="K572" s="71">
        <v>3871.1320000000001</v>
      </c>
      <c r="L572" s="29">
        <f t="shared" si="36"/>
        <v>0</v>
      </c>
    </row>
    <row r="573" spans="5:12">
      <c r="E573" s="70">
        <v>46257.5</v>
      </c>
      <c r="F573" s="71">
        <v>0</v>
      </c>
      <c r="G573" s="71">
        <v>0</v>
      </c>
      <c r="H573" s="76">
        <v>3.37E-37</v>
      </c>
      <c r="I573" s="71">
        <v>0</v>
      </c>
      <c r="J573" s="71">
        <v>0</v>
      </c>
      <c r="K573" s="71">
        <v>3871.1320000000001</v>
      </c>
      <c r="L573" s="29">
        <f t="shared" si="36"/>
        <v>0</v>
      </c>
    </row>
    <row r="574" spans="5:12">
      <c r="E574" s="70">
        <v>46257.541666666664</v>
      </c>
      <c r="F574" s="71">
        <v>0</v>
      </c>
      <c r="G574" s="71">
        <v>0</v>
      </c>
      <c r="H574" s="76">
        <v>2.0400000000000001E-37</v>
      </c>
      <c r="I574" s="71">
        <v>0</v>
      </c>
      <c r="J574" s="71">
        <v>0</v>
      </c>
      <c r="K574" s="71">
        <v>3871.1320000000001</v>
      </c>
      <c r="L574" s="29">
        <f t="shared" si="36"/>
        <v>0</v>
      </c>
    </row>
    <row r="575" spans="5:12">
      <c r="E575" s="70">
        <v>46257.583333333336</v>
      </c>
      <c r="F575" s="71">
        <v>0</v>
      </c>
      <c r="G575" s="71">
        <v>0</v>
      </c>
      <c r="H575" s="76">
        <v>1.2999999999999999E-37</v>
      </c>
      <c r="I575" s="71">
        <v>0</v>
      </c>
      <c r="J575" s="71">
        <v>0</v>
      </c>
      <c r="K575" s="71">
        <v>3871.1320000000001</v>
      </c>
      <c r="L575" s="29">
        <f t="shared" si="36"/>
        <v>0</v>
      </c>
    </row>
    <row r="576" spans="5:12">
      <c r="E576" s="70">
        <v>46257.625</v>
      </c>
      <c r="F576" s="71">
        <v>0</v>
      </c>
      <c r="G576" s="71">
        <v>0</v>
      </c>
      <c r="H576" s="76">
        <v>7.8800000000000004E-38</v>
      </c>
      <c r="I576" s="71">
        <v>0</v>
      </c>
      <c r="J576" s="71">
        <v>0</v>
      </c>
      <c r="K576" s="71">
        <v>2678.989</v>
      </c>
      <c r="L576" s="29">
        <f t="shared" si="36"/>
        <v>0</v>
      </c>
    </row>
    <row r="577" spans="5:12">
      <c r="E577" s="70">
        <v>46257.666666666664</v>
      </c>
      <c r="F577" s="71">
        <v>0</v>
      </c>
      <c r="G577" s="71">
        <v>0</v>
      </c>
      <c r="H577" s="76">
        <v>5.0099999999999995E-38</v>
      </c>
      <c r="I577" s="71">
        <v>0</v>
      </c>
      <c r="J577" s="71">
        <v>0</v>
      </c>
      <c r="K577" s="71">
        <v>2678.989</v>
      </c>
      <c r="L577" s="29">
        <f t="shared" si="36"/>
        <v>0</v>
      </c>
    </row>
    <row r="578" spans="5:12">
      <c r="E578" s="70">
        <v>46257.708333333336</v>
      </c>
      <c r="F578" s="71">
        <v>0</v>
      </c>
      <c r="G578" s="71">
        <v>0</v>
      </c>
      <c r="H578" s="76">
        <v>3.0400000000000002E-38</v>
      </c>
      <c r="I578" s="71">
        <v>0</v>
      </c>
      <c r="J578" s="71">
        <v>0</v>
      </c>
      <c r="K578" s="71">
        <v>2678.989</v>
      </c>
      <c r="L578" s="29">
        <f t="shared" si="36"/>
        <v>0</v>
      </c>
    </row>
    <row r="579" spans="5:12">
      <c r="E579" s="70">
        <v>46257.75</v>
      </c>
      <c r="F579" s="71">
        <v>0</v>
      </c>
      <c r="G579" s="71">
        <v>0</v>
      </c>
      <c r="H579" s="76">
        <v>1.94E-38</v>
      </c>
      <c r="I579" s="71">
        <v>0</v>
      </c>
      <c r="J579" s="71">
        <v>0</v>
      </c>
      <c r="K579" s="71">
        <v>2678.989</v>
      </c>
      <c r="L579" s="29">
        <f t="shared" ref="L579:L642" si="37">IF(K579&gt;10000,K579-10000,0)</f>
        <v>0</v>
      </c>
    </row>
    <row r="580" spans="5:12">
      <c r="E580" s="70">
        <v>46257.791666666664</v>
      </c>
      <c r="F580" s="71">
        <v>0</v>
      </c>
      <c r="G580" s="71">
        <v>0</v>
      </c>
      <c r="H580" s="76">
        <v>1.17E-38</v>
      </c>
      <c r="I580" s="71">
        <v>0</v>
      </c>
      <c r="J580" s="71">
        <v>0</v>
      </c>
      <c r="K580" s="71">
        <v>1936.866</v>
      </c>
      <c r="L580" s="29">
        <f t="shared" si="37"/>
        <v>0</v>
      </c>
    </row>
    <row r="581" spans="5:12">
      <c r="E581" s="70">
        <v>46257.833333333336</v>
      </c>
      <c r="F581" s="71">
        <v>0</v>
      </c>
      <c r="G581" s="71">
        <v>0</v>
      </c>
      <c r="H581" s="76">
        <v>7.4700000000000001E-39</v>
      </c>
      <c r="I581" s="71">
        <v>0</v>
      </c>
      <c r="J581" s="71">
        <v>0</v>
      </c>
      <c r="K581" s="71">
        <v>1936.866</v>
      </c>
      <c r="L581" s="29">
        <f t="shared" si="37"/>
        <v>0</v>
      </c>
    </row>
    <row r="582" spans="5:12">
      <c r="E582" s="70">
        <v>46257.875</v>
      </c>
      <c r="F582" s="71">
        <v>0</v>
      </c>
      <c r="G582" s="71">
        <v>0</v>
      </c>
      <c r="H582" s="76">
        <v>4.5300000000000003E-39</v>
      </c>
      <c r="I582" s="71">
        <v>0</v>
      </c>
      <c r="J582" s="71">
        <v>0</v>
      </c>
      <c r="K582" s="71">
        <v>1936.866</v>
      </c>
      <c r="L582" s="29">
        <f t="shared" si="37"/>
        <v>0</v>
      </c>
    </row>
    <row r="583" spans="5:12">
      <c r="E583" s="70">
        <v>46257.916666666664</v>
      </c>
      <c r="F583" s="71">
        <v>0</v>
      </c>
      <c r="G583" s="71">
        <v>0</v>
      </c>
      <c r="H583" s="76">
        <v>2.8800000000000001E-39</v>
      </c>
      <c r="I583" s="71">
        <v>0</v>
      </c>
      <c r="J583" s="71">
        <v>0</v>
      </c>
      <c r="K583" s="71">
        <v>1936.866</v>
      </c>
      <c r="L583" s="29">
        <f t="shared" si="37"/>
        <v>0</v>
      </c>
    </row>
    <row r="584" spans="5:12">
      <c r="E584" s="70">
        <v>46257.958333333336</v>
      </c>
      <c r="F584" s="71">
        <v>0</v>
      </c>
      <c r="G584" s="71">
        <v>0</v>
      </c>
      <c r="H584" s="76">
        <v>1.75E-39</v>
      </c>
      <c r="I584" s="71">
        <v>0</v>
      </c>
      <c r="J584" s="71">
        <v>0</v>
      </c>
      <c r="K584" s="71">
        <v>1606.8589999999999</v>
      </c>
      <c r="L584" s="29">
        <f t="shared" si="37"/>
        <v>0</v>
      </c>
    </row>
    <row r="585" spans="5:12">
      <c r="E585" s="70">
        <v>46258</v>
      </c>
      <c r="F585" s="71">
        <v>0</v>
      </c>
      <c r="G585" s="71">
        <v>0</v>
      </c>
      <c r="H585" s="76">
        <v>1.1100000000000001E-39</v>
      </c>
      <c r="I585" s="71">
        <v>0</v>
      </c>
      <c r="J585" s="71">
        <v>0</v>
      </c>
      <c r="K585" s="71">
        <v>1606.8589999999999</v>
      </c>
      <c r="L585" s="29">
        <f t="shared" si="37"/>
        <v>0</v>
      </c>
    </row>
    <row r="586" spans="5:12">
      <c r="E586" s="70">
        <v>46258.041666666664</v>
      </c>
      <c r="F586" s="71">
        <v>0</v>
      </c>
      <c r="G586" s="71">
        <v>0</v>
      </c>
      <c r="H586" s="76">
        <v>6.7500000000000001E-40</v>
      </c>
      <c r="I586" s="71">
        <v>0</v>
      </c>
      <c r="J586" s="71">
        <v>0</v>
      </c>
      <c r="K586" s="71">
        <v>1606.8589999999999</v>
      </c>
      <c r="L586" s="29">
        <f t="shared" si="37"/>
        <v>0</v>
      </c>
    </row>
    <row r="587" spans="5:12">
      <c r="E587" s="70">
        <v>46258.083333333336</v>
      </c>
      <c r="F587" s="71">
        <v>0</v>
      </c>
      <c r="G587" s="71">
        <v>0</v>
      </c>
      <c r="H587" s="76">
        <v>4.3000000000000003E-40</v>
      </c>
      <c r="I587" s="71">
        <v>0</v>
      </c>
      <c r="J587" s="71">
        <v>0</v>
      </c>
      <c r="K587" s="71">
        <v>1606.8589999999999</v>
      </c>
      <c r="L587" s="29">
        <f t="shared" si="37"/>
        <v>0</v>
      </c>
    </row>
    <row r="588" spans="5:12">
      <c r="E588" s="70">
        <v>46258.125</v>
      </c>
      <c r="F588" s="71">
        <v>0</v>
      </c>
      <c r="G588" s="71">
        <v>0</v>
      </c>
      <c r="H588" s="76">
        <v>2.6100000000000001E-40</v>
      </c>
      <c r="I588" s="71">
        <v>0</v>
      </c>
      <c r="J588" s="71">
        <v>0</v>
      </c>
      <c r="K588" s="71">
        <v>1482.271</v>
      </c>
      <c r="L588" s="29">
        <f t="shared" si="37"/>
        <v>0</v>
      </c>
    </row>
    <row r="589" spans="5:12">
      <c r="E589" s="70">
        <v>46258.166666666664</v>
      </c>
      <c r="F589" s="71">
        <v>0</v>
      </c>
      <c r="G589" s="71">
        <v>0</v>
      </c>
      <c r="H589" s="76">
        <v>1.6600000000000001E-40</v>
      </c>
      <c r="I589" s="71">
        <v>0</v>
      </c>
      <c r="J589" s="71">
        <v>0</v>
      </c>
      <c r="K589" s="71">
        <v>1482.271</v>
      </c>
      <c r="L589" s="29">
        <f t="shared" si="37"/>
        <v>0</v>
      </c>
    </row>
    <row r="590" spans="5:12">
      <c r="E590" s="70">
        <v>46258.208333333336</v>
      </c>
      <c r="F590" s="71">
        <v>0</v>
      </c>
      <c r="G590" s="71">
        <v>0</v>
      </c>
      <c r="H590" s="76">
        <v>1.01E-40</v>
      </c>
      <c r="I590" s="71">
        <v>0</v>
      </c>
      <c r="J590" s="71">
        <v>0</v>
      </c>
      <c r="K590" s="71">
        <v>1482.271</v>
      </c>
      <c r="L590" s="29">
        <f t="shared" si="37"/>
        <v>0</v>
      </c>
    </row>
    <row r="591" spans="5:12">
      <c r="E591" s="70">
        <v>46258.25</v>
      </c>
      <c r="F591" s="71">
        <v>0</v>
      </c>
      <c r="G591" s="71">
        <v>0</v>
      </c>
      <c r="H591" s="76">
        <v>6.4000000000000002E-41</v>
      </c>
      <c r="I591" s="71">
        <v>0</v>
      </c>
      <c r="J591" s="71">
        <v>0</v>
      </c>
      <c r="K591" s="71">
        <v>1482.271</v>
      </c>
      <c r="L591" s="29">
        <f t="shared" si="37"/>
        <v>0</v>
      </c>
    </row>
    <row r="592" spans="5:12">
      <c r="E592" s="70">
        <v>46258.291666666664</v>
      </c>
      <c r="F592" s="71">
        <v>0</v>
      </c>
      <c r="G592" s="71">
        <v>0</v>
      </c>
      <c r="H592" s="76">
        <v>3.8799999999999998E-41</v>
      </c>
      <c r="I592" s="71">
        <v>0</v>
      </c>
      <c r="J592" s="71">
        <v>0</v>
      </c>
      <c r="K592" s="71">
        <v>1439.6120000000001</v>
      </c>
      <c r="L592" s="29">
        <f t="shared" si="37"/>
        <v>0</v>
      </c>
    </row>
    <row r="593" spans="5:12">
      <c r="E593" s="70">
        <v>46258.333333333336</v>
      </c>
      <c r="F593" s="71">
        <v>0</v>
      </c>
      <c r="G593" s="71">
        <v>0</v>
      </c>
      <c r="H593" s="76">
        <v>2.4699999999999999E-41</v>
      </c>
      <c r="I593" s="71">
        <v>0</v>
      </c>
      <c r="J593" s="71">
        <v>0</v>
      </c>
      <c r="K593" s="71">
        <v>1439.6120000000001</v>
      </c>
      <c r="L593" s="29">
        <f t="shared" si="37"/>
        <v>0</v>
      </c>
    </row>
    <row r="594" spans="5:12">
      <c r="E594" s="70">
        <v>46258.375</v>
      </c>
      <c r="F594" s="71">
        <v>0</v>
      </c>
      <c r="G594" s="71">
        <v>0</v>
      </c>
      <c r="H594" s="76">
        <v>1.4999999999999999E-41</v>
      </c>
      <c r="I594" s="71">
        <v>0</v>
      </c>
      <c r="J594" s="71">
        <v>0</v>
      </c>
      <c r="K594" s="71">
        <v>1439.6120000000001</v>
      </c>
      <c r="L594" s="29">
        <f t="shared" si="37"/>
        <v>0</v>
      </c>
    </row>
    <row r="595" spans="5:12">
      <c r="E595" s="70">
        <v>46258.416666666664</v>
      </c>
      <c r="F595" s="71">
        <v>0</v>
      </c>
      <c r="G595" s="71">
        <v>0</v>
      </c>
      <c r="H595" s="76">
        <v>9.5400000000000002E-42</v>
      </c>
      <c r="I595" s="71">
        <v>0</v>
      </c>
      <c r="J595" s="71">
        <v>0</v>
      </c>
      <c r="K595" s="71">
        <v>1439.6120000000001</v>
      </c>
      <c r="L595" s="29">
        <f t="shared" si="37"/>
        <v>0</v>
      </c>
    </row>
    <row r="596" spans="5:12">
      <c r="E596" s="70">
        <v>46258.458333333336</v>
      </c>
      <c r="F596" s="71">
        <v>0</v>
      </c>
      <c r="G596" s="71">
        <v>0</v>
      </c>
      <c r="H596" s="76">
        <v>5.7899999999999997E-42</v>
      </c>
      <c r="I596" s="71">
        <v>0</v>
      </c>
      <c r="J596" s="71">
        <v>0</v>
      </c>
      <c r="K596" s="71">
        <v>1425.9259999999999</v>
      </c>
      <c r="L596" s="29">
        <f t="shared" si="37"/>
        <v>0</v>
      </c>
    </row>
    <row r="597" spans="5:12">
      <c r="E597" s="70">
        <v>46258.5</v>
      </c>
      <c r="F597" s="71">
        <v>0</v>
      </c>
      <c r="G597" s="71">
        <v>0</v>
      </c>
      <c r="H597" s="76">
        <v>3.6799999999999998E-42</v>
      </c>
      <c r="I597" s="71">
        <v>0</v>
      </c>
      <c r="J597" s="71">
        <v>0</v>
      </c>
      <c r="K597" s="71">
        <v>1425.9259999999999</v>
      </c>
      <c r="L597" s="29">
        <f t="shared" si="37"/>
        <v>0</v>
      </c>
    </row>
    <row r="598" spans="5:12">
      <c r="E598" s="70">
        <v>46258.541666666664</v>
      </c>
      <c r="F598" s="71">
        <v>0</v>
      </c>
      <c r="G598" s="71">
        <v>0</v>
      </c>
      <c r="H598" s="76">
        <v>2.23E-42</v>
      </c>
      <c r="I598" s="71">
        <v>0</v>
      </c>
      <c r="J598" s="71">
        <v>0</v>
      </c>
      <c r="K598" s="71">
        <v>1425.9259999999999</v>
      </c>
      <c r="L598" s="29">
        <f t="shared" si="37"/>
        <v>0</v>
      </c>
    </row>
    <row r="599" spans="5:12">
      <c r="E599" s="70">
        <v>46258.583333333336</v>
      </c>
      <c r="F599" s="71">
        <v>0</v>
      </c>
      <c r="G599" s="71">
        <v>0</v>
      </c>
      <c r="H599" s="76">
        <v>1.4200000000000001E-42</v>
      </c>
      <c r="I599" s="71">
        <v>0</v>
      </c>
      <c r="J599" s="71">
        <v>0</v>
      </c>
      <c r="K599" s="71">
        <v>1425.9259999999999</v>
      </c>
      <c r="L599" s="29">
        <f t="shared" si="37"/>
        <v>0</v>
      </c>
    </row>
    <row r="600" spans="5:12">
      <c r="E600" s="70">
        <v>46258.625</v>
      </c>
      <c r="F600" s="71">
        <v>0</v>
      </c>
      <c r="G600" s="71">
        <v>0</v>
      </c>
      <c r="H600" s="76">
        <v>8.6200000000000003E-43</v>
      </c>
      <c r="I600" s="71">
        <v>0</v>
      </c>
      <c r="J600" s="71">
        <v>0</v>
      </c>
      <c r="K600" s="71">
        <v>1421.7349999999999</v>
      </c>
      <c r="L600" s="29">
        <f t="shared" si="37"/>
        <v>0</v>
      </c>
    </row>
    <row r="601" spans="5:12">
      <c r="E601" s="70">
        <v>46258.666666666664</v>
      </c>
      <c r="F601" s="71">
        <v>0</v>
      </c>
      <c r="G601" s="71">
        <v>0</v>
      </c>
      <c r="H601" s="76">
        <v>5.4799999999999999E-43</v>
      </c>
      <c r="I601" s="71">
        <v>0</v>
      </c>
      <c r="J601" s="71">
        <v>0</v>
      </c>
      <c r="K601" s="71">
        <v>1421.7349999999999</v>
      </c>
      <c r="L601" s="29">
        <f t="shared" si="37"/>
        <v>0</v>
      </c>
    </row>
    <row r="602" spans="5:12">
      <c r="E602" s="70">
        <v>46258.708333333336</v>
      </c>
      <c r="F602" s="71">
        <v>0</v>
      </c>
      <c r="G602" s="71">
        <v>0</v>
      </c>
      <c r="H602" s="76">
        <v>3.32E-43</v>
      </c>
      <c r="I602" s="71">
        <v>0</v>
      </c>
      <c r="J602" s="71">
        <v>0</v>
      </c>
      <c r="K602" s="71">
        <v>1421.7349999999999</v>
      </c>
      <c r="L602" s="29">
        <f t="shared" si="37"/>
        <v>0</v>
      </c>
    </row>
    <row r="603" spans="5:12">
      <c r="E603" s="70">
        <v>46258.75</v>
      </c>
      <c r="F603" s="71">
        <v>0</v>
      </c>
      <c r="G603" s="71">
        <v>0</v>
      </c>
      <c r="H603" s="76">
        <v>2.1199999999999999E-43</v>
      </c>
      <c r="I603" s="71">
        <v>0</v>
      </c>
      <c r="J603" s="71">
        <v>0</v>
      </c>
      <c r="K603" s="71">
        <v>1421.7349999999999</v>
      </c>
      <c r="L603" s="29">
        <f t="shared" si="37"/>
        <v>0</v>
      </c>
    </row>
    <row r="604" spans="5:12">
      <c r="E604" s="70">
        <v>46258.791666666664</v>
      </c>
      <c r="F604" s="71">
        <v>0</v>
      </c>
      <c r="G604" s="71">
        <v>0</v>
      </c>
      <c r="H604" s="76">
        <v>1.28E-43</v>
      </c>
      <c r="I604" s="71">
        <v>0</v>
      </c>
      <c r="J604" s="71">
        <v>0</v>
      </c>
      <c r="K604" s="71">
        <v>1420.4949999999999</v>
      </c>
      <c r="L604" s="29">
        <f t="shared" si="37"/>
        <v>0</v>
      </c>
    </row>
    <row r="605" spans="5:12">
      <c r="E605" s="70">
        <v>46258.833333333336</v>
      </c>
      <c r="F605" s="71">
        <v>0</v>
      </c>
      <c r="G605" s="71">
        <v>0</v>
      </c>
      <c r="H605" s="76">
        <v>8.1299999999999997E-44</v>
      </c>
      <c r="I605" s="71">
        <v>0</v>
      </c>
      <c r="J605" s="71">
        <v>0</v>
      </c>
      <c r="K605" s="71">
        <v>1420.4949999999999</v>
      </c>
      <c r="L605" s="29">
        <f t="shared" si="37"/>
        <v>0</v>
      </c>
    </row>
    <row r="606" spans="5:12">
      <c r="E606" s="70">
        <v>46258.875</v>
      </c>
      <c r="F606" s="71">
        <v>0</v>
      </c>
      <c r="G606" s="71">
        <v>0</v>
      </c>
      <c r="H606" s="76">
        <v>4.9000000000000003E-44</v>
      </c>
      <c r="I606" s="71">
        <v>0</v>
      </c>
      <c r="J606" s="71">
        <v>0</v>
      </c>
      <c r="K606" s="71">
        <v>1420.4949999999999</v>
      </c>
      <c r="L606" s="29">
        <f t="shared" si="37"/>
        <v>0</v>
      </c>
    </row>
    <row r="607" spans="5:12">
      <c r="E607" s="70">
        <v>46258.916666666664</v>
      </c>
      <c r="F607" s="71">
        <v>0</v>
      </c>
      <c r="G607" s="71">
        <v>0</v>
      </c>
      <c r="H607" s="76">
        <v>3.0800000000000002E-44</v>
      </c>
      <c r="I607" s="71">
        <v>0</v>
      </c>
      <c r="J607" s="71">
        <v>0</v>
      </c>
      <c r="K607" s="71">
        <v>1420.4949999999999</v>
      </c>
      <c r="L607" s="29">
        <f t="shared" si="37"/>
        <v>0</v>
      </c>
    </row>
    <row r="608" spans="5:12">
      <c r="E608" s="70">
        <v>46258.958333333336</v>
      </c>
      <c r="F608" s="71">
        <v>0</v>
      </c>
      <c r="G608" s="71">
        <v>0</v>
      </c>
      <c r="H608" s="76">
        <v>1.9599999999999999E-44</v>
      </c>
      <c r="I608" s="71">
        <v>0</v>
      </c>
      <c r="J608" s="71">
        <v>0</v>
      </c>
      <c r="K608" s="71">
        <v>1420.1389999999999</v>
      </c>
      <c r="L608" s="29">
        <f t="shared" si="37"/>
        <v>0</v>
      </c>
    </row>
    <row r="609" spans="5:12">
      <c r="E609" s="70">
        <v>46259</v>
      </c>
      <c r="F609" s="71">
        <v>0</v>
      </c>
      <c r="G609" s="71">
        <v>0</v>
      </c>
      <c r="H609" s="76">
        <v>1.1200000000000001E-44</v>
      </c>
      <c r="I609" s="71">
        <v>0</v>
      </c>
      <c r="J609" s="71">
        <v>0</v>
      </c>
      <c r="K609" s="71">
        <v>1420.1389999999999</v>
      </c>
      <c r="L609" s="29">
        <f t="shared" si="37"/>
        <v>0</v>
      </c>
    </row>
    <row r="610" spans="5:12">
      <c r="E610" s="70">
        <v>46259.041666666664</v>
      </c>
      <c r="F610" s="71">
        <v>0</v>
      </c>
      <c r="G610" s="71">
        <v>0</v>
      </c>
      <c r="H610" s="76">
        <v>7.0100000000000001E-45</v>
      </c>
      <c r="I610" s="71">
        <v>0</v>
      </c>
      <c r="J610" s="71">
        <v>0</v>
      </c>
      <c r="K610" s="71">
        <v>1420.1389999999999</v>
      </c>
      <c r="L610" s="29">
        <f t="shared" si="37"/>
        <v>0</v>
      </c>
    </row>
    <row r="611" spans="5:12">
      <c r="E611" s="70">
        <v>46259.083333333336</v>
      </c>
      <c r="F611" s="71">
        <v>0</v>
      </c>
      <c r="G611" s="71">
        <v>0</v>
      </c>
      <c r="H611" s="76">
        <v>4.1999999999999999E-45</v>
      </c>
      <c r="I611" s="71">
        <v>0</v>
      </c>
      <c r="J611" s="71">
        <v>0</v>
      </c>
      <c r="K611" s="71">
        <v>1420.1389999999999</v>
      </c>
      <c r="L611" s="29">
        <f t="shared" si="37"/>
        <v>0</v>
      </c>
    </row>
    <row r="612" spans="5:12">
      <c r="E612" s="70">
        <v>46259.125</v>
      </c>
      <c r="F612" s="71">
        <v>0</v>
      </c>
      <c r="G612" s="71">
        <v>0</v>
      </c>
      <c r="H612" s="76">
        <v>2.8000000000000001E-45</v>
      </c>
      <c r="I612" s="71">
        <v>0</v>
      </c>
      <c r="J612" s="71">
        <v>0</v>
      </c>
      <c r="K612" s="71">
        <v>1420.038</v>
      </c>
      <c r="L612" s="29">
        <f t="shared" si="37"/>
        <v>0</v>
      </c>
    </row>
    <row r="613" spans="5:12">
      <c r="E613" s="70">
        <v>46259.166666666664</v>
      </c>
      <c r="F613" s="71">
        <v>0</v>
      </c>
      <c r="G613" s="71">
        <v>0</v>
      </c>
      <c r="H613" s="76">
        <v>1.4000000000000001E-45</v>
      </c>
      <c r="I613" s="71">
        <v>0</v>
      </c>
      <c r="J613" s="71">
        <v>0</v>
      </c>
      <c r="K613" s="71">
        <v>1420.038</v>
      </c>
      <c r="L613" s="29">
        <f t="shared" si="37"/>
        <v>0</v>
      </c>
    </row>
    <row r="614" spans="5:12">
      <c r="E614" s="70">
        <v>46259.208333333336</v>
      </c>
      <c r="F614" s="71">
        <v>0</v>
      </c>
      <c r="G614" s="71">
        <v>0</v>
      </c>
      <c r="H614" s="76">
        <v>1.4000000000000001E-45</v>
      </c>
      <c r="I614" s="71">
        <v>0</v>
      </c>
      <c r="J614" s="71">
        <v>0</v>
      </c>
      <c r="K614" s="71">
        <v>1420.038</v>
      </c>
      <c r="L614" s="29">
        <f t="shared" si="37"/>
        <v>0</v>
      </c>
    </row>
    <row r="615" spans="5:12">
      <c r="E615" s="70">
        <v>46259.25</v>
      </c>
      <c r="F615" s="71">
        <v>0</v>
      </c>
      <c r="G615" s="71">
        <v>0</v>
      </c>
      <c r="H615" s="71">
        <v>0</v>
      </c>
      <c r="I615" s="71">
        <v>0</v>
      </c>
      <c r="J615" s="71">
        <v>0</v>
      </c>
      <c r="K615" s="71">
        <v>1420.038</v>
      </c>
      <c r="L615" s="29">
        <f t="shared" si="37"/>
        <v>0</v>
      </c>
    </row>
    <row r="616" spans="5:12">
      <c r="E616" s="70">
        <v>46259.291666666664</v>
      </c>
      <c r="F616" s="71">
        <v>0</v>
      </c>
      <c r="G616" s="71">
        <v>0</v>
      </c>
      <c r="H616" s="71">
        <v>0</v>
      </c>
      <c r="I616" s="71">
        <v>0</v>
      </c>
      <c r="J616" s="71">
        <v>0</v>
      </c>
      <c r="K616" s="71">
        <v>1420.01</v>
      </c>
      <c r="L616" s="29">
        <f t="shared" si="37"/>
        <v>0</v>
      </c>
    </row>
    <row r="617" spans="5:12">
      <c r="E617" s="70">
        <v>46259.333333333336</v>
      </c>
      <c r="F617" s="71">
        <v>0</v>
      </c>
      <c r="G617" s="71">
        <v>0</v>
      </c>
      <c r="H617" s="71">
        <v>0</v>
      </c>
      <c r="I617" s="71">
        <v>0</v>
      </c>
      <c r="J617" s="71">
        <v>0</v>
      </c>
      <c r="K617" s="71">
        <v>1420.01</v>
      </c>
      <c r="L617" s="29">
        <f t="shared" si="37"/>
        <v>0</v>
      </c>
    </row>
    <row r="618" spans="5:12">
      <c r="E618" s="70">
        <v>46259.375</v>
      </c>
      <c r="F618" s="71">
        <v>0</v>
      </c>
      <c r="G618" s="71">
        <v>0</v>
      </c>
      <c r="H618" s="71">
        <v>0</v>
      </c>
      <c r="I618" s="71">
        <v>0</v>
      </c>
      <c r="J618" s="71">
        <v>0</v>
      </c>
      <c r="K618" s="71">
        <v>1420.01</v>
      </c>
      <c r="L618" s="29">
        <f t="shared" si="37"/>
        <v>0</v>
      </c>
    </row>
    <row r="619" spans="5:12">
      <c r="E619" s="70">
        <v>46259.416666666664</v>
      </c>
      <c r="F619" s="71">
        <v>0</v>
      </c>
      <c r="G619" s="71">
        <v>0</v>
      </c>
      <c r="H619" s="71">
        <v>0</v>
      </c>
      <c r="I619" s="71">
        <v>0</v>
      </c>
      <c r="J619" s="71">
        <v>0</v>
      </c>
      <c r="K619" s="71">
        <v>1420.01</v>
      </c>
      <c r="L619" s="29">
        <f t="shared" si="37"/>
        <v>0</v>
      </c>
    </row>
    <row r="620" spans="5:12">
      <c r="E620" s="70">
        <v>46259.458333333336</v>
      </c>
      <c r="F620" s="71">
        <v>0</v>
      </c>
      <c r="G620" s="71">
        <v>0</v>
      </c>
      <c r="H620" s="71">
        <v>0</v>
      </c>
      <c r="I620" s="71">
        <v>0</v>
      </c>
      <c r="J620" s="71">
        <v>0</v>
      </c>
      <c r="K620" s="71">
        <v>1420.0029999999999</v>
      </c>
      <c r="L620" s="29">
        <f t="shared" si="37"/>
        <v>0</v>
      </c>
    </row>
    <row r="621" spans="5:12">
      <c r="E621" s="70">
        <v>46259.5</v>
      </c>
      <c r="F621" s="71">
        <v>0</v>
      </c>
      <c r="G621" s="71">
        <v>0</v>
      </c>
      <c r="H621" s="71">
        <v>0</v>
      </c>
      <c r="I621" s="71">
        <v>0</v>
      </c>
      <c r="J621" s="71">
        <v>0</v>
      </c>
      <c r="K621" s="71">
        <v>1420.0029999999999</v>
      </c>
      <c r="L621" s="29">
        <f t="shared" si="37"/>
        <v>0</v>
      </c>
    </row>
    <row r="622" spans="5:12">
      <c r="E622" s="70">
        <v>46259.541666666664</v>
      </c>
      <c r="F622" s="71">
        <v>0</v>
      </c>
      <c r="G622" s="71">
        <v>0</v>
      </c>
      <c r="H622" s="71">
        <v>0</v>
      </c>
      <c r="I622" s="71">
        <v>0</v>
      </c>
      <c r="J622" s="71">
        <v>0</v>
      </c>
      <c r="K622" s="71">
        <v>1420.0029999999999</v>
      </c>
      <c r="L622" s="29">
        <f t="shared" si="37"/>
        <v>0</v>
      </c>
    </row>
    <row r="623" spans="5:12">
      <c r="E623" s="70">
        <v>46259.583333333336</v>
      </c>
      <c r="F623" s="71">
        <v>0</v>
      </c>
      <c r="G623" s="71">
        <v>0</v>
      </c>
      <c r="H623" s="71">
        <v>0</v>
      </c>
      <c r="I623" s="71">
        <v>0</v>
      </c>
      <c r="J623" s="71">
        <v>0</v>
      </c>
      <c r="K623" s="71">
        <v>1420.0029999999999</v>
      </c>
      <c r="L623" s="29">
        <f t="shared" si="37"/>
        <v>0</v>
      </c>
    </row>
    <row r="624" spans="5:12">
      <c r="E624" s="70">
        <v>46259.625</v>
      </c>
      <c r="F624" s="71">
        <v>0</v>
      </c>
      <c r="G624" s="71">
        <v>0</v>
      </c>
      <c r="H624" s="71">
        <v>0</v>
      </c>
      <c r="I624" s="71">
        <v>0</v>
      </c>
      <c r="J624" s="71">
        <v>0</v>
      </c>
      <c r="K624" s="71">
        <v>1420.001</v>
      </c>
      <c r="L624" s="29">
        <f t="shared" si="37"/>
        <v>0</v>
      </c>
    </row>
    <row r="625" spans="5:12">
      <c r="E625" s="70">
        <v>46259.666666666664</v>
      </c>
      <c r="F625" s="71">
        <v>0</v>
      </c>
      <c r="G625" s="71">
        <v>0</v>
      </c>
      <c r="H625" s="71">
        <v>0</v>
      </c>
      <c r="I625" s="71">
        <v>0</v>
      </c>
      <c r="J625" s="71">
        <v>0</v>
      </c>
      <c r="K625" s="71">
        <v>1420.001</v>
      </c>
      <c r="L625" s="29">
        <f t="shared" si="37"/>
        <v>0</v>
      </c>
    </row>
    <row r="626" spans="5:12">
      <c r="E626" s="70">
        <v>46259.708333333336</v>
      </c>
      <c r="F626" s="71">
        <v>0</v>
      </c>
      <c r="G626" s="71">
        <v>0</v>
      </c>
      <c r="H626" s="71">
        <v>0</v>
      </c>
      <c r="I626" s="71">
        <v>0</v>
      </c>
      <c r="J626" s="71">
        <v>0</v>
      </c>
      <c r="K626" s="71">
        <v>1420.001</v>
      </c>
      <c r="L626" s="29">
        <f t="shared" si="37"/>
        <v>0</v>
      </c>
    </row>
    <row r="627" spans="5:12">
      <c r="E627" s="70">
        <v>46259.75</v>
      </c>
      <c r="F627" s="71">
        <v>0</v>
      </c>
      <c r="G627" s="71">
        <v>0</v>
      </c>
      <c r="H627" s="71">
        <v>0</v>
      </c>
      <c r="I627" s="71">
        <v>0</v>
      </c>
      <c r="J627" s="71">
        <v>0</v>
      </c>
      <c r="K627" s="71">
        <v>1420.001</v>
      </c>
      <c r="L627" s="29">
        <f t="shared" si="37"/>
        <v>0</v>
      </c>
    </row>
    <row r="628" spans="5:12">
      <c r="E628" s="70">
        <v>46259.791666666664</v>
      </c>
      <c r="F628" s="71">
        <v>0</v>
      </c>
      <c r="G628" s="71">
        <v>0</v>
      </c>
      <c r="H628" s="71">
        <v>0</v>
      </c>
      <c r="I628" s="71">
        <v>0</v>
      </c>
      <c r="J628" s="71">
        <v>0</v>
      </c>
      <c r="K628" s="71">
        <v>1420</v>
      </c>
      <c r="L628" s="29">
        <f t="shared" si="37"/>
        <v>0</v>
      </c>
    </row>
    <row r="629" spans="5:12">
      <c r="E629" s="70">
        <v>46259.833333333336</v>
      </c>
      <c r="F629" s="71">
        <v>0</v>
      </c>
      <c r="G629" s="71">
        <v>0</v>
      </c>
      <c r="H629" s="71">
        <v>0</v>
      </c>
      <c r="I629" s="71">
        <v>0</v>
      </c>
      <c r="J629" s="71">
        <v>0</v>
      </c>
      <c r="K629" s="71">
        <v>1420</v>
      </c>
      <c r="L629" s="29">
        <f t="shared" si="37"/>
        <v>0</v>
      </c>
    </row>
    <row r="630" spans="5:12">
      <c r="E630" s="70">
        <v>46259.875</v>
      </c>
      <c r="F630" s="71">
        <v>0</v>
      </c>
      <c r="G630" s="71">
        <v>0</v>
      </c>
      <c r="H630" s="71">
        <v>0</v>
      </c>
      <c r="I630" s="71">
        <v>0</v>
      </c>
      <c r="J630" s="71">
        <v>0</v>
      </c>
      <c r="K630" s="71">
        <v>1420</v>
      </c>
      <c r="L630" s="29">
        <f t="shared" si="37"/>
        <v>0</v>
      </c>
    </row>
    <row r="631" spans="5:12">
      <c r="E631" s="70">
        <v>46259.916666666664</v>
      </c>
      <c r="F631" s="71">
        <v>0</v>
      </c>
      <c r="G631" s="71">
        <v>0</v>
      </c>
      <c r="H631" s="71">
        <v>0</v>
      </c>
      <c r="I631" s="71">
        <v>0</v>
      </c>
      <c r="J631" s="71">
        <v>0</v>
      </c>
      <c r="K631" s="71">
        <v>1420</v>
      </c>
      <c r="L631" s="29">
        <f t="shared" si="37"/>
        <v>0</v>
      </c>
    </row>
    <row r="632" spans="5:12">
      <c r="E632" s="70">
        <v>46259.958333333336</v>
      </c>
      <c r="F632" s="71">
        <v>0</v>
      </c>
      <c r="G632" s="71">
        <v>0</v>
      </c>
      <c r="H632" s="71">
        <v>0</v>
      </c>
      <c r="I632" s="71">
        <v>0</v>
      </c>
      <c r="J632" s="71">
        <v>0</v>
      </c>
      <c r="K632" s="71">
        <v>1420</v>
      </c>
      <c r="L632" s="29">
        <f t="shared" si="37"/>
        <v>0</v>
      </c>
    </row>
    <row r="633" spans="5:12">
      <c r="E633" s="70">
        <v>46260</v>
      </c>
      <c r="F633" s="71">
        <v>0</v>
      </c>
      <c r="G633" s="71">
        <v>0</v>
      </c>
      <c r="H633" s="71">
        <v>0</v>
      </c>
      <c r="I633" s="71">
        <v>0</v>
      </c>
      <c r="J633" s="71">
        <v>0</v>
      </c>
      <c r="K633" s="71">
        <v>1420</v>
      </c>
      <c r="L633" s="29">
        <f t="shared" si="37"/>
        <v>0</v>
      </c>
    </row>
    <row r="634" spans="5:12">
      <c r="E634" s="70">
        <v>46260.041666666664</v>
      </c>
      <c r="F634" s="71">
        <v>0</v>
      </c>
      <c r="G634" s="71">
        <v>0</v>
      </c>
      <c r="H634" s="71">
        <v>0</v>
      </c>
      <c r="I634" s="71">
        <v>0</v>
      </c>
      <c r="J634" s="71">
        <v>0</v>
      </c>
      <c r="K634" s="71">
        <v>1420</v>
      </c>
      <c r="L634" s="29">
        <f t="shared" si="37"/>
        <v>0</v>
      </c>
    </row>
    <row r="635" spans="5:12">
      <c r="E635" s="70">
        <v>46260.083333333336</v>
      </c>
      <c r="F635" s="71">
        <v>0</v>
      </c>
      <c r="G635" s="71">
        <v>0</v>
      </c>
      <c r="H635" s="71">
        <v>0</v>
      </c>
      <c r="I635" s="71">
        <v>0</v>
      </c>
      <c r="J635" s="71">
        <v>0</v>
      </c>
      <c r="K635" s="71">
        <v>1420</v>
      </c>
      <c r="L635" s="29">
        <f t="shared" si="37"/>
        <v>0</v>
      </c>
    </row>
    <row r="636" spans="5:12">
      <c r="E636" s="70">
        <v>46260.125</v>
      </c>
      <c r="F636" s="71">
        <v>0</v>
      </c>
      <c r="G636" s="71">
        <v>0</v>
      </c>
      <c r="H636" s="71">
        <v>0</v>
      </c>
      <c r="I636" s="71">
        <v>0</v>
      </c>
      <c r="J636" s="71">
        <v>0</v>
      </c>
      <c r="K636" s="71">
        <v>1420</v>
      </c>
      <c r="L636" s="29">
        <f t="shared" si="37"/>
        <v>0</v>
      </c>
    </row>
    <row r="637" spans="5:12">
      <c r="E637" s="70">
        <v>46260.166666666664</v>
      </c>
      <c r="F637" s="71">
        <v>0</v>
      </c>
      <c r="G637" s="71">
        <v>0</v>
      </c>
      <c r="H637" s="71">
        <v>0</v>
      </c>
      <c r="I637" s="71">
        <v>0</v>
      </c>
      <c r="J637" s="71">
        <v>0</v>
      </c>
      <c r="K637" s="71">
        <v>1420</v>
      </c>
      <c r="L637" s="29">
        <f t="shared" si="37"/>
        <v>0</v>
      </c>
    </row>
    <row r="638" spans="5:12">
      <c r="E638" s="70">
        <v>46260.208333333336</v>
      </c>
      <c r="F638" s="71">
        <v>0</v>
      </c>
      <c r="G638" s="71">
        <v>0</v>
      </c>
      <c r="H638" s="71">
        <v>0</v>
      </c>
      <c r="I638" s="71">
        <v>0</v>
      </c>
      <c r="J638" s="71">
        <v>0</v>
      </c>
      <c r="K638" s="71">
        <v>1420</v>
      </c>
      <c r="L638" s="29">
        <f t="shared" si="37"/>
        <v>0</v>
      </c>
    </row>
    <row r="639" spans="5:12">
      <c r="E639" s="70">
        <v>46260.25</v>
      </c>
      <c r="F639" s="71">
        <v>0</v>
      </c>
      <c r="G639" s="71">
        <v>0</v>
      </c>
      <c r="H639" s="71">
        <v>0</v>
      </c>
      <c r="I639" s="71">
        <v>0</v>
      </c>
      <c r="J639" s="71">
        <v>0</v>
      </c>
      <c r="K639" s="71">
        <v>1420</v>
      </c>
      <c r="L639" s="29">
        <f t="shared" si="37"/>
        <v>0</v>
      </c>
    </row>
    <row r="640" spans="5:12">
      <c r="E640" s="70">
        <v>46260.291666666664</v>
      </c>
      <c r="F640" s="71">
        <v>0</v>
      </c>
      <c r="G640" s="71">
        <v>0</v>
      </c>
      <c r="H640" s="71">
        <v>0</v>
      </c>
      <c r="I640" s="71">
        <v>0</v>
      </c>
      <c r="J640" s="71">
        <v>0</v>
      </c>
      <c r="K640" s="71">
        <v>1420</v>
      </c>
      <c r="L640" s="29">
        <f t="shared" si="37"/>
        <v>0</v>
      </c>
    </row>
    <row r="641" spans="5:12">
      <c r="E641" s="70">
        <v>46260.333333333336</v>
      </c>
      <c r="F641" s="71">
        <v>0</v>
      </c>
      <c r="G641" s="71">
        <v>0</v>
      </c>
      <c r="H641" s="71">
        <v>0</v>
      </c>
      <c r="I641" s="71">
        <v>0</v>
      </c>
      <c r="J641" s="71">
        <v>0</v>
      </c>
      <c r="K641" s="71">
        <v>1420</v>
      </c>
      <c r="L641" s="29">
        <f t="shared" si="37"/>
        <v>0</v>
      </c>
    </row>
    <row r="642" spans="5:12">
      <c r="E642" s="70">
        <v>46260.375</v>
      </c>
      <c r="F642" s="71">
        <v>0</v>
      </c>
      <c r="G642" s="71">
        <v>0</v>
      </c>
      <c r="H642" s="71">
        <v>0</v>
      </c>
      <c r="I642" s="71">
        <v>0</v>
      </c>
      <c r="J642" s="71">
        <v>0</v>
      </c>
      <c r="K642" s="71">
        <v>1420</v>
      </c>
      <c r="L642" s="29">
        <f t="shared" si="37"/>
        <v>0</v>
      </c>
    </row>
    <row r="643" spans="5:12">
      <c r="E643" s="70">
        <v>46260.416666666664</v>
      </c>
      <c r="F643" s="71">
        <v>0</v>
      </c>
      <c r="G643" s="71">
        <v>0</v>
      </c>
      <c r="H643" s="71">
        <v>0</v>
      </c>
      <c r="I643" s="71">
        <v>0</v>
      </c>
      <c r="J643" s="71">
        <v>0</v>
      </c>
      <c r="K643" s="71">
        <v>1420</v>
      </c>
      <c r="L643" s="29">
        <f t="shared" ref="L643" si="38">IF(K643&gt;10000,K643-10000,0)</f>
        <v>0</v>
      </c>
    </row>
    <row r="644" spans="5:12">
      <c r="L644" s="29"/>
    </row>
    <row r="645" spans="5:12">
      <c r="L645" s="29"/>
    </row>
    <row r="646" spans="5:12">
      <c r="L646" s="29"/>
    </row>
    <row r="647" spans="5:12">
      <c r="L647" s="29"/>
    </row>
    <row r="648" spans="5:12">
      <c r="L648" s="29"/>
    </row>
    <row r="649" spans="5:12">
      <c r="L649" s="29"/>
    </row>
    <row r="650" spans="5:12">
      <c r="L650" s="29"/>
    </row>
    <row r="651" spans="5:12">
      <c r="L651" s="29"/>
    </row>
    <row r="652" spans="5:12">
      <c r="L652" s="29"/>
    </row>
    <row r="653" spans="5:12">
      <c r="L653" s="29"/>
    </row>
    <row r="654" spans="5:12">
      <c r="L654" s="29"/>
    </row>
    <row r="655" spans="5:12">
      <c r="L655" s="29"/>
    </row>
    <row r="656" spans="5:12">
      <c r="L656" s="29"/>
    </row>
    <row r="657" spans="12:12">
      <c r="L657" s="29"/>
    </row>
    <row r="658" spans="12:12">
      <c r="L658" s="29"/>
    </row>
    <row r="659" spans="12:12">
      <c r="L659" s="29"/>
    </row>
    <row r="660" spans="12:12">
      <c r="L660" s="29"/>
    </row>
    <row r="661" spans="12:12">
      <c r="L661" s="29"/>
    </row>
    <row r="662" spans="12:12">
      <c r="L662" s="29"/>
    </row>
    <row r="663" spans="12:12">
      <c r="L663" s="29"/>
    </row>
    <row r="664" spans="12:12">
      <c r="L664" s="29"/>
    </row>
    <row r="665" spans="12:12">
      <c r="L665" s="29"/>
    </row>
    <row r="666" spans="12:12">
      <c r="L666" s="29"/>
    </row>
    <row r="667" spans="12:12">
      <c r="L667" s="29"/>
    </row>
    <row r="668" spans="12:12">
      <c r="L668" s="29"/>
    </row>
    <row r="669" spans="12:12">
      <c r="L669" s="29"/>
    </row>
    <row r="670" spans="12:12">
      <c r="L670" s="29"/>
    </row>
    <row r="671" spans="12:12">
      <c r="L671" s="29"/>
    </row>
    <row r="672" spans="12:12">
      <c r="L672" s="29"/>
    </row>
    <row r="673" spans="12:12">
      <c r="L673" s="29"/>
    </row>
    <row r="674" spans="12:12">
      <c r="L674" s="29"/>
    </row>
    <row r="675" spans="12:12">
      <c r="L675" s="29"/>
    </row>
    <row r="676" spans="12:12">
      <c r="L676" s="29"/>
    </row>
    <row r="677" spans="12:12">
      <c r="L677" s="29"/>
    </row>
    <row r="678" spans="12:12">
      <c r="L678" s="29"/>
    </row>
    <row r="679" spans="12:12">
      <c r="L679" s="29"/>
    </row>
    <row r="680" spans="12:12">
      <c r="L680" s="29"/>
    </row>
    <row r="681" spans="12:12">
      <c r="L681" s="29"/>
    </row>
    <row r="682" spans="12:12">
      <c r="L682" s="29"/>
    </row>
    <row r="683" spans="12:12">
      <c r="L683" s="29"/>
    </row>
    <row r="684" spans="12:12">
      <c r="L684" s="29"/>
    </row>
    <row r="685" spans="12:12">
      <c r="L685" s="29"/>
    </row>
    <row r="686" spans="12:12">
      <c r="L686" s="29"/>
    </row>
    <row r="687" spans="12:12">
      <c r="L687" s="29"/>
    </row>
    <row r="688" spans="12:12">
      <c r="L688" s="29"/>
    </row>
    <row r="689" spans="12:12">
      <c r="L689" s="29"/>
    </row>
    <row r="690" spans="12:12">
      <c r="L690" s="29"/>
    </row>
    <row r="691" spans="12:12">
      <c r="L691" s="29"/>
    </row>
    <row r="692" spans="12:12">
      <c r="L692" s="29"/>
    </row>
    <row r="693" spans="12:12">
      <c r="L693" s="29"/>
    </row>
    <row r="694" spans="12:12">
      <c r="L694" s="29"/>
    </row>
    <row r="695" spans="12:12">
      <c r="L695" s="29"/>
    </row>
    <row r="696" spans="12:12">
      <c r="L696" s="29"/>
    </row>
    <row r="697" spans="12:12">
      <c r="L697" s="29"/>
    </row>
    <row r="698" spans="12:12">
      <c r="L698" s="29"/>
    </row>
    <row r="699" spans="12:12">
      <c r="L699" s="29"/>
    </row>
    <row r="700" spans="12:12">
      <c r="L700" s="29"/>
    </row>
    <row r="701" spans="12:12">
      <c r="L701" s="29"/>
    </row>
    <row r="702" spans="12:12">
      <c r="L702" s="29"/>
    </row>
    <row r="703" spans="12:12">
      <c r="L703" s="29"/>
    </row>
    <row r="704" spans="12:12">
      <c r="L704" s="29"/>
    </row>
    <row r="705" spans="12:12">
      <c r="L705" s="29"/>
    </row>
    <row r="706" spans="12:12">
      <c r="L706" s="29"/>
    </row>
    <row r="707" spans="12:12">
      <c r="L707" s="29"/>
    </row>
    <row r="708" spans="12:12">
      <c r="L708" s="29"/>
    </row>
    <row r="709" spans="12:12">
      <c r="L709" s="29"/>
    </row>
    <row r="710" spans="12:12">
      <c r="L710" s="29"/>
    </row>
    <row r="711" spans="12:12">
      <c r="L711" s="29"/>
    </row>
    <row r="712" spans="12:12">
      <c r="L712" s="29"/>
    </row>
    <row r="713" spans="12:12">
      <c r="L713" s="29"/>
    </row>
    <row r="714" spans="12:12">
      <c r="L714" s="29"/>
    </row>
    <row r="715" spans="12:12">
      <c r="L715" s="29"/>
    </row>
    <row r="716" spans="12:12">
      <c r="L716" s="29"/>
    </row>
    <row r="717" spans="12:12">
      <c r="L717" s="29"/>
    </row>
    <row r="718" spans="12:12">
      <c r="L718" s="29"/>
    </row>
    <row r="719" spans="12:12">
      <c r="L719" s="29"/>
    </row>
    <row r="720" spans="12:12">
      <c r="L720" s="29"/>
    </row>
    <row r="721" spans="12:12">
      <c r="L721" s="29"/>
    </row>
    <row r="722" spans="12:12">
      <c r="L722" s="29"/>
    </row>
    <row r="723" spans="12:12">
      <c r="L723" s="29"/>
    </row>
    <row r="724" spans="12:12">
      <c r="L724" s="29"/>
    </row>
    <row r="725" spans="12:12">
      <c r="L725" s="29"/>
    </row>
    <row r="726" spans="12:12">
      <c r="L726" s="29"/>
    </row>
    <row r="727" spans="12:12">
      <c r="L727" s="29"/>
    </row>
    <row r="728" spans="12:12">
      <c r="L728" s="29"/>
    </row>
    <row r="729" spans="12:12">
      <c r="L729" s="29"/>
    </row>
    <row r="730" spans="12:12">
      <c r="L730" s="29"/>
    </row>
    <row r="731" spans="12:12">
      <c r="L731" s="29"/>
    </row>
    <row r="732" spans="12:12">
      <c r="L732" s="29"/>
    </row>
    <row r="733" spans="12:12">
      <c r="L733" s="29"/>
    </row>
    <row r="734" spans="12:12">
      <c r="L734" s="29"/>
    </row>
    <row r="735" spans="12:12">
      <c r="L735" s="29"/>
    </row>
    <row r="736" spans="12:12">
      <c r="L736" s="29"/>
    </row>
    <row r="737" spans="12:12">
      <c r="L737" s="29"/>
    </row>
    <row r="738" spans="12:12">
      <c r="L738" s="29"/>
    </row>
    <row r="739" spans="12:12">
      <c r="L739" s="29"/>
    </row>
    <row r="740" spans="12:12">
      <c r="L740" s="29"/>
    </row>
    <row r="741" spans="12:12">
      <c r="L741" s="29"/>
    </row>
    <row r="742" spans="12:12">
      <c r="L742" s="29"/>
    </row>
    <row r="743" spans="12:12">
      <c r="L743" s="29"/>
    </row>
    <row r="744" spans="12:12">
      <c r="L744" s="29"/>
    </row>
    <row r="745" spans="12:12">
      <c r="L745" s="29"/>
    </row>
    <row r="746" spans="12:12">
      <c r="L746" s="29"/>
    </row>
  </sheetData>
  <phoneticPr fontId="3" type="noConversion"/>
  <conditionalFormatting sqref="K255:K1048576">
    <cfRule type="cellIs" dxfId="3" priority="1" operator="greaterThan">
      <formula>5000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43"/>
  <sheetViews>
    <sheetView tabSelected="1" workbookViewId="0">
      <selection activeCell="K1" sqref="K1:S1048576"/>
    </sheetView>
  </sheetViews>
  <sheetFormatPr defaultRowHeight="13.5"/>
  <cols>
    <col min="1" max="1" width="16.625" style="19" customWidth="1"/>
    <col min="2" max="2" width="9" style="15"/>
    <col min="6" max="6" width="9" style="21"/>
    <col min="7" max="8" width="9" style="29"/>
  </cols>
  <sheetData>
    <row r="1" spans="1:45">
      <c r="A1" s="31" t="s">
        <v>30</v>
      </c>
      <c r="B1" s="30" t="s">
        <v>17</v>
      </c>
      <c r="C1" s="32" t="s">
        <v>32</v>
      </c>
      <c r="D1" s="32" t="s">
        <v>33</v>
      </c>
      <c r="E1" s="32" t="s">
        <v>19</v>
      </c>
      <c r="F1" s="24" t="s">
        <v>34</v>
      </c>
      <c r="G1" s="45" t="s">
        <v>39</v>
      </c>
      <c r="H1" s="45" t="s">
        <v>40</v>
      </c>
      <c r="S1" s="15"/>
      <c r="AF1" s="15"/>
      <c r="AS1" s="15"/>
    </row>
    <row r="2" spans="1:45">
      <c r="A2" s="72">
        <v>46233.708333333336</v>
      </c>
      <c r="B2" s="73">
        <v>4496.7889999999998</v>
      </c>
      <c r="C2" s="74">
        <v>4496.7889999999998</v>
      </c>
      <c r="D2" s="74">
        <v>4496.7889999999998</v>
      </c>
      <c r="E2" s="74">
        <v>4496.7889999999998</v>
      </c>
      <c r="F2" s="74">
        <v>4496.7889999999998</v>
      </c>
      <c r="G2" s="74">
        <v>4496.7889999999998</v>
      </c>
      <c r="H2" s="74">
        <v>4496.7889999999998</v>
      </c>
    </row>
    <row r="3" spans="1:45">
      <c r="A3" s="72">
        <v>46233.75</v>
      </c>
      <c r="B3" s="73">
        <v>4493.5950000000003</v>
      </c>
      <c r="C3" s="74">
        <v>4493.5950000000003</v>
      </c>
      <c r="D3" s="74">
        <v>4493.5950000000003</v>
      </c>
      <c r="E3" s="74">
        <v>4493.5950000000003</v>
      </c>
      <c r="F3" s="74">
        <v>4493.5950000000003</v>
      </c>
      <c r="G3" s="74">
        <v>4493.5950000000003</v>
      </c>
      <c r="H3" s="74">
        <v>4493.5950000000003</v>
      </c>
    </row>
    <row r="4" spans="1:45">
      <c r="A4" s="72">
        <v>46233.791666666664</v>
      </c>
      <c r="B4" s="73">
        <v>4485.3440000000001</v>
      </c>
      <c r="C4" s="74">
        <v>4485.3440000000001</v>
      </c>
      <c r="D4" s="74">
        <v>4485.3440000000001</v>
      </c>
      <c r="E4" s="74">
        <v>4485.3440000000001</v>
      </c>
      <c r="F4" s="74">
        <v>4485.3440000000001</v>
      </c>
      <c r="G4" s="74">
        <v>4496.7889999999998</v>
      </c>
      <c r="H4" s="74">
        <v>4496.7889999999998</v>
      </c>
    </row>
    <row r="5" spans="1:45">
      <c r="A5" s="72">
        <v>46233.833333333336</v>
      </c>
      <c r="B5" s="73">
        <v>4477.0950000000003</v>
      </c>
      <c r="C5" s="74">
        <v>4477.0950000000003</v>
      </c>
      <c r="D5" s="74">
        <v>4477.0950000000003</v>
      </c>
      <c r="E5" s="74">
        <v>4477.0950000000003</v>
      </c>
      <c r="F5" s="74">
        <v>4477.0950000000003</v>
      </c>
      <c r="G5" s="74">
        <v>4493.5950000000003</v>
      </c>
      <c r="H5" s="74">
        <v>4493.5950000000003</v>
      </c>
    </row>
    <row r="6" spans="1:45">
      <c r="A6" s="72">
        <v>46233.875</v>
      </c>
      <c r="B6" s="73">
        <v>4496.7280000000001</v>
      </c>
      <c r="C6" s="74">
        <v>4496.7280000000001</v>
      </c>
      <c r="D6" s="74">
        <v>4496.7280000000001</v>
      </c>
      <c r="E6" s="74">
        <v>4496.7280000000001</v>
      </c>
      <c r="F6" s="74">
        <v>4496.7280000000001</v>
      </c>
      <c r="G6" s="74">
        <v>4496.7870000000003</v>
      </c>
      <c r="H6" s="74">
        <v>4496.7889999999998</v>
      </c>
    </row>
    <row r="7" spans="1:45">
      <c r="A7" s="72">
        <v>46233.916666666664</v>
      </c>
      <c r="B7" s="73">
        <v>4493.5150000000003</v>
      </c>
      <c r="C7" s="74">
        <v>4493.5150000000003</v>
      </c>
      <c r="D7" s="74">
        <v>4493.5150000000003</v>
      </c>
      <c r="E7" s="74">
        <v>4493.5150000000003</v>
      </c>
      <c r="F7" s="74">
        <v>4493.5150000000003</v>
      </c>
      <c r="G7" s="74">
        <v>4493.5929999999998</v>
      </c>
      <c r="H7" s="74">
        <v>4493.5950000000003</v>
      </c>
    </row>
    <row r="8" spans="1:45">
      <c r="A8" s="72">
        <v>46233.958333333336</v>
      </c>
      <c r="B8" s="73">
        <v>4485.2439999999997</v>
      </c>
      <c r="C8" s="74">
        <v>4485.2439999999997</v>
      </c>
      <c r="D8" s="74">
        <v>4485.2439999999997</v>
      </c>
      <c r="E8" s="74">
        <v>4485.2439999999997</v>
      </c>
      <c r="F8" s="74">
        <v>4485.2439999999997</v>
      </c>
      <c r="G8" s="74">
        <v>4496.768</v>
      </c>
      <c r="H8" s="74">
        <v>4496.7889999999998</v>
      </c>
    </row>
    <row r="9" spans="1:45">
      <c r="A9" s="72">
        <v>46234</v>
      </c>
      <c r="B9" s="73">
        <v>4476.9780000000001</v>
      </c>
      <c r="C9" s="74">
        <v>4476.9780000000001</v>
      </c>
      <c r="D9" s="74">
        <v>4476.9780000000001</v>
      </c>
      <c r="E9" s="74">
        <v>4476.9780000000001</v>
      </c>
      <c r="F9" s="74">
        <v>4476.9780000000001</v>
      </c>
      <c r="G9" s="74">
        <v>4493.5649999999996</v>
      </c>
      <c r="H9" s="74">
        <v>4493.5950000000003</v>
      </c>
    </row>
    <row r="10" spans="1:45">
      <c r="A10" s="72">
        <v>46234.041666666664</v>
      </c>
      <c r="B10" s="73">
        <v>4498.7079999999996</v>
      </c>
      <c r="C10" s="74">
        <v>4496.8599999999997</v>
      </c>
      <c r="D10" s="74">
        <v>4496.7950000000001</v>
      </c>
      <c r="E10" s="74">
        <v>4496.7889999999998</v>
      </c>
      <c r="F10" s="74">
        <v>4496.7889999999998</v>
      </c>
      <c r="G10" s="74">
        <v>4496.6499999999996</v>
      </c>
      <c r="H10" s="74">
        <v>4496.7889999999998</v>
      </c>
    </row>
    <row r="11" spans="1:45">
      <c r="A11" s="72">
        <v>46234.083333333336</v>
      </c>
      <c r="B11" s="73">
        <v>4498.2719999999999</v>
      </c>
      <c r="C11" s="74">
        <v>4493.7709999999997</v>
      </c>
      <c r="D11" s="74">
        <v>4493.6120000000001</v>
      </c>
      <c r="E11" s="74">
        <v>4493.5959999999995</v>
      </c>
      <c r="F11" s="74">
        <v>4493.5950000000003</v>
      </c>
      <c r="G11" s="74">
        <v>4493.3959999999997</v>
      </c>
      <c r="H11" s="74">
        <v>4493.5950000000003</v>
      </c>
    </row>
    <row r="12" spans="1:45">
      <c r="A12" s="72">
        <v>46234.125</v>
      </c>
      <c r="B12" s="73">
        <v>4497.848</v>
      </c>
      <c r="C12" s="74">
        <v>4485.8119999999999</v>
      </c>
      <c r="D12" s="74">
        <v>4485.3890000000001</v>
      </c>
      <c r="E12" s="74">
        <v>4485.3459999999995</v>
      </c>
      <c r="F12" s="74">
        <v>4485.3440000000001</v>
      </c>
      <c r="G12" s="74">
        <v>4496.2160000000003</v>
      </c>
      <c r="H12" s="74">
        <v>4496.7889999999998</v>
      </c>
    </row>
    <row r="13" spans="1:45">
      <c r="A13" s="72">
        <v>46234.166666666664</v>
      </c>
      <c r="B13" s="73">
        <v>4497.4269999999997</v>
      </c>
      <c r="C13" s="74">
        <v>4477.8559999999998</v>
      </c>
      <c r="D13" s="74">
        <v>4477.1679999999997</v>
      </c>
      <c r="E13" s="74">
        <v>4477.098</v>
      </c>
      <c r="F13" s="74">
        <v>4477.0959999999995</v>
      </c>
      <c r="G13" s="74">
        <v>4492.7709999999997</v>
      </c>
      <c r="H13" s="74">
        <v>4493.5950000000003</v>
      </c>
    </row>
    <row r="14" spans="1:45">
      <c r="A14" s="72">
        <v>46234.208333333336</v>
      </c>
      <c r="B14" s="73">
        <v>4526.1459999999997</v>
      </c>
      <c r="C14" s="74">
        <v>4497.83</v>
      </c>
      <c r="D14" s="74">
        <v>4496.8339999999998</v>
      </c>
      <c r="E14" s="74">
        <v>4496.732</v>
      </c>
      <c r="F14" s="74">
        <v>4496.7290000000003</v>
      </c>
      <c r="G14" s="74">
        <v>4495.2060000000001</v>
      </c>
      <c r="H14" s="74">
        <v>4496.7879999999996</v>
      </c>
    </row>
    <row r="15" spans="1:45">
      <c r="A15" s="72">
        <v>46234.25</v>
      </c>
      <c r="B15" s="73">
        <v>4536.643</v>
      </c>
      <c r="C15" s="74">
        <v>4495.1289999999999</v>
      </c>
      <c r="D15" s="74">
        <v>4493.67</v>
      </c>
      <c r="E15" s="74">
        <v>4493.5209999999997</v>
      </c>
      <c r="F15" s="74">
        <v>4493.5159999999996</v>
      </c>
      <c r="G15" s="74">
        <v>4491.3140000000003</v>
      </c>
      <c r="H15" s="74">
        <v>4493.5940000000001</v>
      </c>
    </row>
    <row r="16" spans="1:45">
      <c r="A16" s="72">
        <v>46234.291666666664</v>
      </c>
      <c r="B16" s="73">
        <v>4546.9880000000003</v>
      </c>
      <c r="C16" s="74">
        <v>4487.5559999999996</v>
      </c>
      <c r="D16" s="74">
        <v>4485.4660000000003</v>
      </c>
      <c r="E16" s="74">
        <v>4485.2539999999999</v>
      </c>
      <c r="F16" s="74">
        <v>4485.2470000000003</v>
      </c>
      <c r="G16" s="74">
        <v>4493.7479999999996</v>
      </c>
      <c r="H16" s="74">
        <v>4496.7849999999999</v>
      </c>
    </row>
    <row r="17" spans="1:8">
      <c r="A17" s="72">
        <v>46234.333333333336</v>
      </c>
      <c r="B17" s="73">
        <v>4557.2939999999999</v>
      </c>
      <c r="C17" s="74">
        <v>4479.9849999999997</v>
      </c>
      <c r="D17" s="74">
        <v>4477.2669999999998</v>
      </c>
      <c r="E17" s="74">
        <v>4476.991</v>
      </c>
      <c r="F17" s="74">
        <v>4476.9809999999998</v>
      </c>
      <c r="G17" s="74">
        <v>4489.2129999999997</v>
      </c>
      <c r="H17" s="74">
        <v>4493.5889999999999</v>
      </c>
    </row>
    <row r="18" spans="1:8">
      <c r="A18" s="72">
        <v>46234.375</v>
      </c>
      <c r="B18" s="73">
        <v>4577.5039999999999</v>
      </c>
      <c r="C18" s="74">
        <v>4500.2430000000004</v>
      </c>
      <c r="D18" s="74">
        <v>4497.1509999999998</v>
      </c>
      <c r="E18" s="74">
        <v>4496.8059999999996</v>
      </c>
      <c r="F18" s="74">
        <v>4496.7920000000004</v>
      </c>
      <c r="G18" s="74">
        <v>4492.4589999999998</v>
      </c>
      <c r="H18" s="74">
        <v>4496.7690000000002</v>
      </c>
    </row>
    <row r="19" spans="1:8">
      <c r="A19" s="72">
        <v>46234.416666666664</v>
      </c>
      <c r="B19" s="73">
        <v>4588.1769999999997</v>
      </c>
      <c r="C19" s="74">
        <v>4498.1880000000001</v>
      </c>
      <c r="D19" s="74">
        <v>4494.1099999999997</v>
      </c>
      <c r="E19" s="74">
        <v>4493.6210000000001</v>
      </c>
      <c r="F19" s="74">
        <v>4493.6019999999999</v>
      </c>
      <c r="G19" s="74">
        <v>4487.3580000000002</v>
      </c>
      <c r="H19" s="74">
        <v>4493.567</v>
      </c>
    </row>
    <row r="20" spans="1:8">
      <c r="A20" s="72">
        <v>46234.458333333336</v>
      </c>
      <c r="B20" s="73">
        <v>4596.8270000000002</v>
      </c>
      <c r="C20" s="74">
        <v>4492.3310000000001</v>
      </c>
      <c r="D20" s="74">
        <v>4486.2120000000004</v>
      </c>
      <c r="E20" s="74">
        <v>4485.3909999999996</v>
      </c>
      <c r="F20" s="74">
        <v>4485.3549999999996</v>
      </c>
      <c r="G20" s="74">
        <v>4491.6859999999997</v>
      </c>
      <c r="H20" s="74">
        <v>4496.7139999999999</v>
      </c>
    </row>
    <row r="21" spans="1:8">
      <c r="A21" s="72">
        <v>46234.5</v>
      </c>
      <c r="B21" s="73">
        <v>4605.009</v>
      </c>
      <c r="C21" s="74">
        <v>4486.4579999999996</v>
      </c>
      <c r="D21" s="74">
        <v>4478.3149999999996</v>
      </c>
      <c r="E21" s="74">
        <v>4477.1629999999996</v>
      </c>
      <c r="F21" s="74">
        <v>4477.1120000000001</v>
      </c>
      <c r="G21" s="74">
        <v>4486.2460000000001</v>
      </c>
      <c r="H21" s="74">
        <v>4493.4870000000001</v>
      </c>
    </row>
    <row r="22" spans="1:8">
      <c r="A22" s="72">
        <v>46234.541666666664</v>
      </c>
      <c r="B22" s="73">
        <v>4617.1850000000004</v>
      </c>
      <c r="C22" s="74">
        <v>4507.8559999999998</v>
      </c>
      <c r="D22" s="74">
        <v>4498.26</v>
      </c>
      <c r="E22" s="74">
        <v>4496.8159999999998</v>
      </c>
      <c r="F22" s="74">
        <v>4496.75</v>
      </c>
      <c r="G22" s="74">
        <v>4491.2820000000002</v>
      </c>
      <c r="H22" s="74">
        <v>4496.5609999999997</v>
      </c>
    </row>
    <row r="23" spans="1:8">
      <c r="A23" s="72">
        <v>46234.583333333336</v>
      </c>
      <c r="B23" s="73">
        <v>4624.8500000000004</v>
      </c>
      <c r="C23" s="74">
        <v>4508.1350000000002</v>
      </c>
      <c r="D23" s="74">
        <v>4495.598</v>
      </c>
      <c r="E23" s="74">
        <v>4493.6369999999997</v>
      </c>
      <c r="F23" s="74">
        <v>4493.5460000000003</v>
      </c>
      <c r="G23" s="74">
        <v>4485.6639999999998</v>
      </c>
      <c r="H23" s="74">
        <v>4493.2669999999998</v>
      </c>
    </row>
    <row r="24" spans="1:8">
      <c r="A24" s="72">
        <v>46234.625</v>
      </c>
      <c r="B24" s="73">
        <v>4631.2269999999999</v>
      </c>
      <c r="C24" s="74">
        <v>4504.6009999999997</v>
      </c>
      <c r="D24" s="74">
        <v>4488.076</v>
      </c>
      <c r="E24" s="74">
        <v>4485.4129999999996</v>
      </c>
      <c r="F24" s="74">
        <v>4485.2879999999996</v>
      </c>
      <c r="G24" s="74">
        <v>4491.134</v>
      </c>
      <c r="H24" s="74">
        <v>4496.2219999999998</v>
      </c>
    </row>
    <row r="25" spans="1:8">
      <c r="A25" s="72">
        <v>46234.666666666664</v>
      </c>
      <c r="B25" s="73">
        <v>4637.3559999999998</v>
      </c>
      <c r="C25" s="74">
        <v>4501.0519999999997</v>
      </c>
      <c r="D25" s="74">
        <v>4480.5550000000003</v>
      </c>
      <c r="E25" s="74">
        <v>4477.192</v>
      </c>
      <c r="F25" s="74">
        <v>4477.0339999999997</v>
      </c>
      <c r="G25" s="74">
        <v>4485.451</v>
      </c>
      <c r="H25" s="74">
        <v>4492.7780000000002</v>
      </c>
    </row>
    <row r="26" spans="1:8">
      <c r="A26" s="72">
        <v>46234.708333333336</v>
      </c>
      <c r="B26" s="73">
        <v>4657.5619999999999</v>
      </c>
      <c r="C26" s="74">
        <v>4521.7359999999999</v>
      </c>
      <c r="D26" s="74">
        <v>4500.6689999999999</v>
      </c>
      <c r="E26" s="74">
        <v>4497.0330000000004</v>
      </c>
      <c r="F26" s="74">
        <v>4496.8530000000001</v>
      </c>
      <c r="G26" s="74">
        <v>4491.0540000000001</v>
      </c>
      <c r="H26" s="74">
        <v>4495.6239999999998</v>
      </c>
    </row>
    <row r="27" spans="1:8">
      <c r="A27" s="72">
        <v>46234.75</v>
      </c>
      <c r="B27" s="73">
        <v>4674.5889999999999</v>
      </c>
      <c r="C27" s="74">
        <v>4523.5219999999999</v>
      </c>
      <c r="D27" s="74">
        <v>4498.4790000000003</v>
      </c>
      <c r="E27" s="74">
        <v>4493.9170000000004</v>
      </c>
      <c r="F27" s="74">
        <v>4493.6819999999998</v>
      </c>
      <c r="G27" s="74">
        <v>4485.3339999999998</v>
      </c>
      <c r="H27" s="74">
        <v>4491.9160000000002</v>
      </c>
    </row>
    <row r="28" spans="1:8">
      <c r="A28" s="72">
        <v>46234.791666666664</v>
      </c>
      <c r="B28" s="73">
        <v>4763.799</v>
      </c>
      <c r="C28" s="74">
        <v>4525.8559999999998</v>
      </c>
      <c r="D28" s="74">
        <v>4492.384</v>
      </c>
      <c r="E28" s="74">
        <v>4485.8410000000003</v>
      </c>
      <c r="F28" s="74">
        <v>4485.4809999999998</v>
      </c>
      <c r="G28" s="74">
        <v>4491.0439999999999</v>
      </c>
      <c r="H28" s="74">
        <v>4494.7749999999996</v>
      </c>
    </row>
    <row r="29" spans="1:8">
      <c r="A29" s="72">
        <v>46234.833333333336</v>
      </c>
      <c r="B29" s="73">
        <v>4854.7460000000001</v>
      </c>
      <c r="C29" s="74">
        <v>4528.152</v>
      </c>
      <c r="D29" s="74">
        <v>4486.2790000000005</v>
      </c>
      <c r="E29" s="74">
        <v>4477.7659999999996</v>
      </c>
      <c r="F29" s="74">
        <v>4477.2830000000004</v>
      </c>
      <c r="G29" s="74">
        <v>4485.3220000000001</v>
      </c>
      <c r="H29" s="74">
        <v>4490.6940000000004</v>
      </c>
    </row>
    <row r="30" spans="1:8">
      <c r="A30" s="72">
        <v>46234.875</v>
      </c>
      <c r="B30" s="73">
        <v>5231.491</v>
      </c>
      <c r="C30" s="74">
        <v>4563.1149999999998</v>
      </c>
      <c r="D30" s="74">
        <v>4508.2820000000002</v>
      </c>
      <c r="E30" s="74">
        <v>4497.576</v>
      </c>
      <c r="F30" s="74">
        <v>4496.9660000000003</v>
      </c>
      <c r="G30" s="74">
        <v>4491.0249999999996</v>
      </c>
      <c r="H30" s="74">
        <v>4493.8019999999997</v>
      </c>
    </row>
    <row r="31" spans="1:8">
      <c r="A31" s="72">
        <v>46234.916666666664</v>
      </c>
      <c r="B31" s="73">
        <v>5582.8339999999998</v>
      </c>
      <c r="C31" s="74">
        <v>4581.1120000000001</v>
      </c>
      <c r="D31" s="74">
        <v>4508.8069999999998</v>
      </c>
      <c r="E31" s="74">
        <v>4494.6530000000002</v>
      </c>
      <c r="F31" s="74">
        <v>4493.8370000000004</v>
      </c>
      <c r="G31" s="74">
        <v>4485.2950000000001</v>
      </c>
      <c r="H31" s="74">
        <v>4489.2929999999997</v>
      </c>
    </row>
    <row r="32" spans="1:8">
      <c r="A32" s="72">
        <v>46234.958333333336</v>
      </c>
      <c r="B32" s="73">
        <v>6376.7690000000002</v>
      </c>
      <c r="C32" s="74">
        <v>4613.6239999999998</v>
      </c>
      <c r="D32" s="74">
        <v>4506.7629999999999</v>
      </c>
      <c r="E32" s="74">
        <v>4486.8280000000004</v>
      </c>
      <c r="F32" s="74">
        <v>4485.6909999999998</v>
      </c>
      <c r="G32" s="74">
        <v>4491.0479999999998</v>
      </c>
      <c r="H32" s="74">
        <v>4492.8850000000002</v>
      </c>
    </row>
    <row r="33" spans="1:8">
      <c r="A33" s="72">
        <v>46235</v>
      </c>
      <c r="B33" s="73">
        <v>7119.8990000000003</v>
      </c>
      <c r="C33" s="74">
        <v>4644.1629999999996</v>
      </c>
      <c r="D33" s="74">
        <v>4504.5249999999996</v>
      </c>
      <c r="E33" s="74">
        <v>4478.9970000000003</v>
      </c>
      <c r="F33" s="74">
        <v>4477.5479999999998</v>
      </c>
      <c r="G33" s="74">
        <v>4485.326</v>
      </c>
      <c r="H33" s="74">
        <v>4487.9719999999998</v>
      </c>
    </row>
    <row r="34" spans="1:8">
      <c r="A34" s="72">
        <v>46235.041666666664</v>
      </c>
      <c r="B34" s="73">
        <v>8458.4750000000004</v>
      </c>
      <c r="C34" s="74">
        <v>4713.9920000000002</v>
      </c>
      <c r="D34" s="74">
        <v>4529.72</v>
      </c>
      <c r="E34" s="74">
        <v>4499.13</v>
      </c>
      <c r="F34" s="74">
        <v>4497.4480000000003</v>
      </c>
      <c r="G34" s="74">
        <v>4491.0389999999998</v>
      </c>
      <c r="H34" s="74">
        <v>4492.1549999999997</v>
      </c>
    </row>
    <row r="35" spans="1:8">
      <c r="A35" s="72">
        <v>46235.083333333336</v>
      </c>
      <c r="B35" s="73">
        <v>9694.1170000000002</v>
      </c>
      <c r="C35" s="74">
        <v>4767.848</v>
      </c>
      <c r="D35" s="74">
        <v>4534.625</v>
      </c>
      <c r="E35" s="74">
        <v>4496.5460000000003</v>
      </c>
      <c r="F35" s="74">
        <v>4494.4350000000004</v>
      </c>
      <c r="G35" s="74">
        <v>4485.3130000000001</v>
      </c>
      <c r="H35" s="74">
        <v>4486.9210000000003</v>
      </c>
    </row>
    <row r="36" spans="1:8">
      <c r="A36" s="72">
        <v>46235.125</v>
      </c>
      <c r="B36" s="73">
        <v>10662.86</v>
      </c>
      <c r="C36" s="74">
        <v>4857.6989999999996</v>
      </c>
      <c r="D36" s="74">
        <v>4541.3490000000002</v>
      </c>
      <c r="E36" s="74">
        <v>4489.509</v>
      </c>
      <c r="F36" s="74">
        <v>4486.55</v>
      </c>
      <c r="G36" s="74">
        <v>4491.067</v>
      </c>
      <c r="H36" s="74">
        <v>4491.6530000000002</v>
      </c>
    </row>
    <row r="37" spans="1:8">
      <c r="A37" s="72">
        <v>46235.166666666664</v>
      </c>
      <c r="B37" s="73">
        <v>11120.88</v>
      </c>
      <c r="C37" s="74">
        <v>4902.7430000000004</v>
      </c>
      <c r="D37" s="74">
        <v>4543.7380000000003</v>
      </c>
      <c r="E37" s="74">
        <v>4482.2820000000002</v>
      </c>
      <c r="F37" s="74">
        <v>4478.6239999999998</v>
      </c>
      <c r="G37" s="74">
        <v>4485.3519999999999</v>
      </c>
      <c r="H37" s="74">
        <v>4486.1989999999996</v>
      </c>
    </row>
    <row r="38" spans="1:8">
      <c r="A38" s="72">
        <v>46235.208333333336</v>
      </c>
      <c r="B38" s="73">
        <v>11780.82</v>
      </c>
      <c r="C38" s="74">
        <v>5043.1660000000002</v>
      </c>
      <c r="D38" s="74">
        <v>4582.232</v>
      </c>
      <c r="E38" s="74">
        <v>4503.3289999999997</v>
      </c>
      <c r="F38" s="74">
        <v>4498.6710000000003</v>
      </c>
      <c r="G38" s="74">
        <v>4491.0829999999996</v>
      </c>
      <c r="H38" s="74">
        <v>4491.348</v>
      </c>
    </row>
    <row r="39" spans="1:8">
      <c r="A39" s="72">
        <v>46235.25</v>
      </c>
      <c r="B39" s="73">
        <v>12388.99</v>
      </c>
      <c r="C39" s="74">
        <v>5166.5370000000003</v>
      </c>
      <c r="D39" s="74">
        <v>4601.6940000000004</v>
      </c>
      <c r="E39" s="74">
        <v>4502.0569999999998</v>
      </c>
      <c r="F39" s="74">
        <v>4496.05</v>
      </c>
      <c r="G39" s="74">
        <v>4485.3710000000001</v>
      </c>
      <c r="H39" s="74">
        <v>4485.759</v>
      </c>
    </row>
    <row r="40" spans="1:8">
      <c r="A40" s="72">
        <v>46235.291666666664</v>
      </c>
      <c r="B40" s="73">
        <v>13058.17</v>
      </c>
      <c r="C40" s="74">
        <v>5409.4960000000001</v>
      </c>
      <c r="D40" s="74">
        <v>4636.8680000000004</v>
      </c>
      <c r="E40" s="74">
        <v>4497.2039999999997</v>
      </c>
      <c r="F40" s="74">
        <v>4488.7879999999996</v>
      </c>
      <c r="G40" s="74">
        <v>4491.1540000000005</v>
      </c>
      <c r="H40" s="74">
        <v>4491.1809999999996</v>
      </c>
    </row>
    <row r="41" spans="1:8">
      <c r="A41" s="72">
        <v>46235.333333333336</v>
      </c>
      <c r="B41" s="73">
        <v>13525.06</v>
      </c>
      <c r="C41" s="74">
        <v>5630.4560000000001</v>
      </c>
      <c r="D41" s="74">
        <v>4669.0910000000003</v>
      </c>
      <c r="E41" s="74">
        <v>4492.1869999999999</v>
      </c>
      <c r="F41" s="74">
        <v>4481.4880000000003</v>
      </c>
      <c r="G41" s="74">
        <v>4485.4660000000003</v>
      </c>
      <c r="H41" s="74">
        <v>4485.5190000000002</v>
      </c>
    </row>
    <row r="42" spans="1:8">
      <c r="A42" s="72">
        <v>46235.375</v>
      </c>
      <c r="B42" s="73">
        <v>13830.54</v>
      </c>
      <c r="C42" s="74">
        <v>6014.6719999999996</v>
      </c>
      <c r="D42" s="74">
        <v>4745.3389999999999</v>
      </c>
      <c r="E42" s="74">
        <v>4515.6660000000002</v>
      </c>
      <c r="F42" s="74">
        <v>4502.3040000000001</v>
      </c>
      <c r="G42" s="74">
        <v>4491.2269999999999</v>
      </c>
      <c r="H42" s="74">
        <v>4491.0990000000002</v>
      </c>
    </row>
    <row r="43" spans="1:8">
      <c r="A43" s="72">
        <v>46235.416666666664</v>
      </c>
      <c r="B43" s="73">
        <v>13914.53</v>
      </c>
      <c r="C43" s="74">
        <v>6466.0820000000003</v>
      </c>
      <c r="D43" s="74">
        <v>4812.1000000000004</v>
      </c>
      <c r="E43" s="74">
        <v>4517.5339999999997</v>
      </c>
      <c r="F43" s="74">
        <v>4500.5829999999996</v>
      </c>
      <c r="G43" s="74">
        <v>4485.558</v>
      </c>
      <c r="H43" s="74">
        <v>4485.3999999999996</v>
      </c>
    </row>
    <row r="44" spans="1:8">
      <c r="A44" s="72">
        <v>46235.458333333336</v>
      </c>
      <c r="B44" s="73">
        <v>13857.6</v>
      </c>
      <c r="C44" s="74">
        <v>6901.9539999999997</v>
      </c>
      <c r="D44" s="74">
        <v>4892.5889999999999</v>
      </c>
      <c r="E44" s="74">
        <v>4516.9920000000002</v>
      </c>
      <c r="F44" s="74">
        <v>4494.7209999999995</v>
      </c>
      <c r="G44" s="74">
        <v>4491.3890000000001</v>
      </c>
      <c r="H44" s="74">
        <v>4491.0640000000003</v>
      </c>
    </row>
    <row r="45" spans="1:8">
      <c r="A45" s="72">
        <v>46235.5</v>
      </c>
      <c r="B45" s="73">
        <v>13590.62</v>
      </c>
      <c r="C45" s="74">
        <v>7085.5069999999996</v>
      </c>
      <c r="D45" s="74">
        <v>4930.0029999999997</v>
      </c>
      <c r="E45" s="74">
        <v>4513.6959999999999</v>
      </c>
      <c r="F45" s="74">
        <v>4488.134</v>
      </c>
      <c r="G45" s="74">
        <v>4485.7669999999998</v>
      </c>
      <c r="H45" s="74">
        <v>4485.3500000000004</v>
      </c>
    </row>
    <row r="46" spans="1:8">
      <c r="A46" s="72">
        <v>46235.541666666664</v>
      </c>
      <c r="B46" s="73">
        <v>13116.51</v>
      </c>
      <c r="C46" s="74">
        <v>7494.58</v>
      </c>
      <c r="D46" s="74">
        <v>5044.7700000000004</v>
      </c>
      <c r="E46" s="74">
        <v>4542.16</v>
      </c>
      <c r="F46" s="74">
        <v>4510.51</v>
      </c>
      <c r="G46" s="74">
        <v>4491.625</v>
      </c>
      <c r="H46" s="74">
        <v>4491.0550000000003</v>
      </c>
    </row>
    <row r="47" spans="1:8">
      <c r="A47" s="72">
        <v>46235.583333333336</v>
      </c>
      <c r="B47" s="73">
        <v>12307.2</v>
      </c>
      <c r="C47" s="74">
        <v>7858.9309999999996</v>
      </c>
      <c r="D47" s="74">
        <v>5139.741</v>
      </c>
      <c r="E47" s="74">
        <v>4549.2070000000003</v>
      </c>
      <c r="F47" s="74">
        <v>4510.6419999999998</v>
      </c>
      <c r="G47" s="74">
        <v>4486.0640000000003</v>
      </c>
      <c r="H47" s="74">
        <v>4485.3360000000002</v>
      </c>
    </row>
    <row r="48" spans="1:8">
      <c r="A48" s="72">
        <v>46235.625</v>
      </c>
      <c r="B48" s="73">
        <v>11557.83</v>
      </c>
      <c r="C48" s="74">
        <v>8509.6319999999996</v>
      </c>
      <c r="D48" s="74">
        <v>5318.8919999999998</v>
      </c>
      <c r="E48" s="74">
        <v>4560.1610000000001</v>
      </c>
      <c r="F48" s="74">
        <v>4508.5150000000003</v>
      </c>
      <c r="G48" s="74">
        <v>4492.0640000000003</v>
      </c>
      <c r="H48" s="74">
        <v>4491.0630000000001</v>
      </c>
    </row>
    <row r="49" spans="1:8">
      <c r="A49" s="72">
        <v>46235.666666666664</v>
      </c>
      <c r="B49" s="73">
        <v>10659.8</v>
      </c>
      <c r="C49" s="74">
        <v>9062.518</v>
      </c>
      <c r="D49" s="74">
        <v>5478.51</v>
      </c>
      <c r="E49" s="74">
        <v>4537.9210000000003</v>
      </c>
      <c r="F49" s="74">
        <v>4498.643</v>
      </c>
      <c r="G49" s="74">
        <v>4486.6260000000002</v>
      </c>
      <c r="H49" s="74">
        <v>4485.3450000000003</v>
      </c>
    </row>
    <row r="50" spans="1:8">
      <c r="A50" s="72">
        <v>46235.708333333336</v>
      </c>
      <c r="B50" s="73">
        <v>9910.7189999999991</v>
      </c>
      <c r="C50" s="74">
        <v>9707.5810000000001</v>
      </c>
      <c r="D50" s="74">
        <v>5734.0360000000001</v>
      </c>
      <c r="E50" s="74">
        <v>4573.4780000000001</v>
      </c>
      <c r="F50" s="74">
        <v>4523.8900000000003</v>
      </c>
      <c r="G50" s="74">
        <v>4492.7529999999997</v>
      </c>
      <c r="H50" s="74">
        <v>4491.085</v>
      </c>
    </row>
    <row r="51" spans="1:8">
      <c r="A51" s="72">
        <v>46235.75</v>
      </c>
      <c r="B51" s="73">
        <v>8918.7880000000005</v>
      </c>
      <c r="C51" s="74">
        <v>10491.75</v>
      </c>
      <c r="D51" s="74">
        <v>5918.299</v>
      </c>
      <c r="E51" s="74">
        <v>4588.8019999999997</v>
      </c>
      <c r="F51" s="74">
        <v>4527.4880000000003</v>
      </c>
      <c r="G51" s="74">
        <v>4487.491</v>
      </c>
      <c r="H51" s="74">
        <v>4485.375</v>
      </c>
    </row>
    <row r="52" spans="1:8">
      <c r="A52" s="72">
        <v>46235.791666666664</v>
      </c>
      <c r="B52" s="73">
        <v>8245.2690000000002</v>
      </c>
      <c r="C52" s="74">
        <v>11088.29</v>
      </c>
      <c r="D52" s="74">
        <v>6190.1049999999996</v>
      </c>
      <c r="E52" s="74">
        <v>4606.7190000000001</v>
      </c>
      <c r="F52" s="74">
        <v>4529.1670000000004</v>
      </c>
      <c r="G52" s="74">
        <v>4493.92</v>
      </c>
      <c r="H52" s="74">
        <v>4491.1289999999999</v>
      </c>
    </row>
    <row r="53" spans="1:8">
      <c r="A53" s="72">
        <v>46235.833333333336</v>
      </c>
      <c r="B53" s="73">
        <v>7327.134</v>
      </c>
      <c r="C53" s="74">
        <v>11284.21</v>
      </c>
      <c r="D53" s="74">
        <v>6303.7089999999998</v>
      </c>
      <c r="E53" s="74">
        <v>4612.9589999999998</v>
      </c>
      <c r="F53" s="74">
        <v>4526.8100000000004</v>
      </c>
      <c r="G53" s="74">
        <v>4488.9279999999999</v>
      </c>
      <c r="H53" s="74">
        <v>4485.4319999999998</v>
      </c>
    </row>
    <row r="54" spans="1:8">
      <c r="A54" s="72">
        <v>46235.875</v>
      </c>
      <c r="B54" s="73">
        <v>6828.9369999999999</v>
      </c>
      <c r="C54" s="74">
        <v>11585.26</v>
      </c>
      <c r="D54" s="74">
        <v>6566.1819999999998</v>
      </c>
      <c r="E54" s="74">
        <v>4660.7479999999996</v>
      </c>
      <c r="F54" s="74">
        <v>4557.3999999999996</v>
      </c>
      <c r="G54" s="74">
        <v>4495.7330000000002</v>
      </c>
      <c r="H54" s="74">
        <v>4491.2060000000001</v>
      </c>
    </row>
    <row r="55" spans="1:8">
      <c r="A55" s="72">
        <v>46235.916666666664</v>
      </c>
      <c r="B55" s="73">
        <v>6069.1989999999996</v>
      </c>
      <c r="C55" s="74">
        <v>11753.56</v>
      </c>
      <c r="D55" s="74">
        <v>6790.991</v>
      </c>
      <c r="E55" s="74">
        <v>4687.7929999999997</v>
      </c>
      <c r="F55" s="74">
        <v>4566.4110000000001</v>
      </c>
      <c r="G55" s="74">
        <v>4491.0609999999997</v>
      </c>
      <c r="H55" s="74">
        <v>4485.53</v>
      </c>
    </row>
    <row r="56" spans="1:8">
      <c r="A56" s="72">
        <v>46235.958333333336</v>
      </c>
      <c r="B56" s="73">
        <v>5726.63</v>
      </c>
      <c r="C56" s="74">
        <v>12015.22</v>
      </c>
      <c r="D56" s="74">
        <v>7200.1809999999996</v>
      </c>
      <c r="E56" s="74">
        <v>4736.7560000000003</v>
      </c>
      <c r="F56" s="74">
        <v>4581.1229999999996</v>
      </c>
      <c r="G56" s="74">
        <v>4498.5339999999997</v>
      </c>
      <c r="H56" s="74">
        <v>4491.3339999999998</v>
      </c>
    </row>
    <row r="57" spans="1:8">
      <c r="A57" s="72">
        <v>46236</v>
      </c>
      <c r="B57" s="73">
        <v>5167.8119999999999</v>
      </c>
      <c r="C57" s="74">
        <v>12097.04</v>
      </c>
      <c r="D57" s="74">
        <v>7543.8829999999998</v>
      </c>
      <c r="E57" s="74">
        <v>4626.3059999999996</v>
      </c>
      <c r="F57" s="74">
        <v>4543.2550000000001</v>
      </c>
      <c r="G57" s="74">
        <v>4494.2049999999999</v>
      </c>
      <c r="H57" s="74">
        <v>4485.6949999999997</v>
      </c>
    </row>
    <row r="58" spans="1:8">
      <c r="A58" s="72">
        <v>46236.041666666664</v>
      </c>
      <c r="B58" s="73">
        <v>4992.2290000000003</v>
      </c>
      <c r="C58" s="74">
        <v>10795.26</v>
      </c>
      <c r="D58" s="74">
        <v>7896.9930000000004</v>
      </c>
      <c r="E58" s="74">
        <v>4681.3869999999997</v>
      </c>
      <c r="F58" s="74">
        <v>4579.3630000000003</v>
      </c>
      <c r="G58" s="74">
        <v>4502.558</v>
      </c>
      <c r="H58" s="74">
        <v>4491.5510000000004</v>
      </c>
    </row>
    <row r="59" spans="1:8">
      <c r="A59" s="72">
        <v>46236.083333333336</v>
      </c>
      <c r="B59" s="73">
        <v>4653.4110000000001</v>
      </c>
      <c r="C59" s="74">
        <v>10970.88</v>
      </c>
      <c r="D59" s="74">
        <v>7403.2259999999997</v>
      </c>
      <c r="E59" s="74">
        <v>4709.97</v>
      </c>
      <c r="F59" s="74">
        <v>4593.2470000000003</v>
      </c>
      <c r="G59" s="74">
        <v>4498.5469999999996</v>
      </c>
      <c r="H59" s="74">
        <v>4485.9709999999995</v>
      </c>
    </row>
    <row r="60" spans="1:8">
      <c r="A60" s="72">
        <v>46236.125</v>
      </c>
      <c r="B60" s="73">
        <v>4613.1629999999996</v>
      </c>
      <c r="C60" s="74">
        <v>11093.79</v>
      </c>
      <c r="D60" s="74">
        <v>7803.3969999999999</v>
      </c>
      <c r="E60" s="74">
        <v>4753.2359999999999</v>
      </c>
      <c r="F60" s="74">
        <v>4610.7849999999999</v>
      </c>
      <c r="G60" s="74">
        <v>4508.1890000000003</v>
      </c>
      <c r="H60" s="74">
        <v>4491.9129999999996</v>
      </c>
    </row>
    <row r="61" spans="1:8">
      <c r="A61" s="72">
        <v>46236.166666666664</v>
      </c>
      <c r="B61" s="73">
        <v>4470.8140000000003</v>
      </c>
      <c r="C61" s="74">
        <v>10912.93</v>
      </c>
      <c r="D61" s="74">
        <v>7948.9690000000001</v>
      </c>
      <c r="E61" s="74">
        <v>4770.9830000000002</v>
      </c>
      <c r="F61" s="74">
        <v>4616.3810000000003</v>
      </c>
      <c r="G61" s="74">
        <v>4504.652</v>
      </c>
      <c r="H61" s="74">
        <v>4486.424</v>
      </c>
    </row>
    <row r="62" spans="1:8">
      <c r="A62" s="72">
        <v>46236.208333333336</v>
      </c>
      <c r="B62" s="73">
        <v>4583.13</v>
      </c>
      <c r="C62" s="74">
        <v>10817.16</v>
      </c>
      <c r="D62" s="74">
        <v>8257.1460000000006</v>
      </c>
      <c r="E62" s="74">
        <v>4834.4790000000003</v>
      </c>
      <c r="F62" s="74">
        <v>4661.1940000000004</v>
      </c>
      <c r="G62" s="74">
        <v>4515.8850000000002</v>
      </c>
      <c r="H62" s="74">
        <v>4492.5039999999999</v>
      </c>
    </row>
    <row r="63" spans="1:8">
      <c r="A63" s="72">
        <v>46236.25</v>
      </c>
      <c r="B63" s="73">
        <v>4634.8959999999997</v>
      </c>
      <c r="C63" s="74">
        <v>10505.54</v>
      </c>
      <c r="D63" s="74">
        <v>8495.3209999999999</v>
      </c>
      <c r="E63" s="74">
        <v>4883.8220000000001</v>
      </c>
      <c r="F63" s="74">
        <v>4686.4650000000001</v>
      </c>
      <c r="G63" s="74">
        <v>4513.0990000000002</v>
      </c>
      <c r="H63" s="74">
        <v>4487.1540000000005</v>
      </c>
    </row>
    <row r="64" spans="1:8">
      <c r="A64" s="72">
        <v>46236.291666666664</v>
      </c>
      <c r="B64" s="73">
        <v>4900.0439999999999</v>
      </c>
      <c r="C64" s="74">
        <v>10347.43</v>
      </c>
      <c r="D64" s="74">
        <v>8930.5759999999991</v>
      </c>
      <c r="E64" s="74">
        <v>4974.4780000000001</v>
      </c>
      <c r="F64" s="74">
        <v>4731.9070000000002</v>
      </c>
      <c r="G64" s="74">
        <v>4526.5249999999996</v>
      </c>
      <c r="H64" s="74">
        <v>4493.4530000000004</v>
      </c>
    </row>
    <row r="65" spans="1:8">
      <c r="A65" s="72">
        <v>46236.333333333336</v>
      </c>
      <c r="B65" s="73">
        <v>5143.1440000000002</v>
      </c>
      <c r="C65" s="74">
        <v>10015.99</v>
      </c>
      <c r="D65" s="74">
        <v>9257.4719999999998</v>
      </c>
      <c r="E65" s="74">
        <v>4967.8559999999998</v>
      </c>
      <c r="F65" s="74">
        <v>4673.3130000000001</v>
      </c>
      <c r="G65" s="74">
        <v>4524.2020000000002</v>
      </c>
      <c r="H65" s="74">
        <v>4488.2950000000001</v>
      </c>
    </row>
    <row r="66" spans="1:8">
      <c r="A66" s="72">
        <v>46236.375</v>
      </c>
      <c r="B66" s="73">
        <v>5467.1120000000001</v>
      </c>
      <c r="C66" s="74">
        <v>9248.5879999999997</v>
      </c>
      <c r="D66" s="74">
        <v>9272.2749999999996</v>
      </c>
      <c r="E66" s="74">
        <v>5078.1239999999998</v>
      </c>
      <c r="F66" s="74">
        <v>4733.8559999999998</v>
      </c>
      <c r="G66" s="74">
        <v>4540.45</v>
      </c>
      <c r="H66" s="74">
        <v>4494.9319999999998</v>
      </c>
    </row>
    <row r="67" spans="1:8">
      <c r="A67" s="72">
        <v>46236.416666666664</v>
      </c>
      <c r="B67" s="73">
        <v>5794.558</v>
      </c>
      <c r="C67" s="74">
        <v>8953.9320000000007</v>
      </c>
      <c r="D67" s="74">
        <v>9429.5650000000005</v>
      </c>
      <c r="E67" s="74">
        <v>5108.6270000000004</v>
      </c>
      <c r="F67" s="74">
        <v>4757.2380000000003</v>
      </c>
      <c r="G67" s="74">
        <v>4537.3010000000004</v>
      </c>
      <c r="H67" s="74">
        <v>4490.0200000000004</v>
      </c>
    </row>
    <row r="68" spans="1:8">
      <c r="A68" s="72">
        <v>46236.458333333336</v>
      </c>
      <c r="B68" s="73">
        <v>6220.3469999999998</v>
      </c>
      <c r="C68" s="74">
        <v>8797.3619999999992</v>
      </c>
      <c r="D68" s="74">
        <v>9805.375</v>
      </c>
      <c r="E68" s="74">
        <v>5219.2129999999997</v>
      </c>
      <c r="F68" s="74">
        <v>4806.1750000000002</v>
      </c>
      <c r="G68" s="74">
        <v>4556.9790000000003</v>
      </c>
      <c r="H68" s="74">
        <v>4497.1610000000001</v>
      </c>
    </row>
    <row r="69" spans="1:8">
      <c r="A69" s="72">
        <v>46236.5</v>
      </c>
      <c r="B69" s="73">
        <v>6683.7510000000002</v>
      </c>
      <c r="C69" s="74">
        <v>8414.8109999999997</v>
      </c>
      <c r="D69" s="74">
        <v>9863.9740000000002</v>
      </c>
      <c r="E69" s="74">
        <v>5264.2510000000002</v>
      </c>
      <c r="F69" s="74">
        <v>4825.5609999999997</v>
      </c>
      <c r="G69" s="74">
        <v>4552.6210000000001</v>
      </c>
      <c r="H69" s="74">
        <v>4492.5439999999999</v>
      </c>
    </row>
    <row r="70" spans="1:8">
      <c r="A70" s="72">
        <v>46236.541666666664</v>
      </c>
      <c r="B70" s="73">
        <v>6975.0110000000004</v>
      </c>
      <c r="C70" s="74">
        <v>8233.8490000000002</v>
      </c>
      <c r="D70" s="74">
        <v>10049.219999999999</v>
      </c>
      <c r="E70" s="74">
        <v>5321.518</v>
      </c>
      <c r="F70" s="74">
        <v>4880.4440000000004</v>
      </c>
      <c r="G70" s="74">
        <v>4575.8599999999997</v>
      </c>
      <c r="H70" s="74">
        <v>4500.4110000000001</v>
      </c>
    </row>
    <row r="71" spans="1:8">
      <c r="A71" s="72">
        <v>46236.583333333336</v>
      </c>
      <c r="B71" s="73">
        <v>7390.5910000000003</v>
      </c>
      <c r="C71" s="74">
        <v>7862.4260000000004</v>
      </c>
      <c r="D71" s="74">
        <v>10570.24</v>
      </c>
      <c r="E71" s="74">
        <v>5418.7340000000004</v>
      </c>
      <c r="F71" s="74">
        <v>4931.6019999999999</v>
      </c>
      <c r="G71" s="74">
        <v>4572.4139999999998</v>
      </c>
      <c r="H71" s="74">
        <v>4496.1400000000003</v>
      </c>
    </row>
    <row r="72" spans="1:8">
      <c r="A72" s="72">
        <v>46236.625</v>
      </c>
      <c r="B72" s="73">
        <v>7635.5249999999996</v>
      </c>
      <c r="C72" s="74">
        <v>7722.4610000000002</v>
      </c>
      <c r="D72" s="74">
        <v>10656.26</v>
      </c>
      <c r="E72" s="74">
        <v>5594.5029999999997</v>
      </c>
      <c r="F72" s="74">
        <v>5024.5569999999998</v>
      </c>
      <c r="G72" s="74">
        <v>4599.7820000000002</v>
      </c>
      <c r="H72" s="74">
        <v>4505.0150000000003</v>
      </c>
    </row>
    <row r="73" spans="1:8">
      <c r="A73" s="72">
        <v>46236.666666666664</v>
      </c>
      <c r="B73" s="73">
        <v>8156.7340000000004</v>
      </c>
      <c r="C73" s="74">
        <v>7445.4449999999997</v>
      </c>
      <c r="D73" s="74">
        <v>10576.27</v>
      </c>
      <c r="E73" s="74">
        <v>5699.4120000000003</v>
      </c>
      <c r="F73" s="74">
        <v>5023.741</v>
      </c>
      <c r="G73" s="74">
        <v>4599.027</v>
      </c>
      <c r="H73" s="74">
        <v>4501.1369999999997</v>
      </c>
    </row>
    <row r="74" spans="1:8">
      <c r="A74" s="72">
        <v>46236.708333333336</v>
      </c>
      <c r="B74" s="73">
        <v>8310.6730000000007</v>
      </c>
      <c r="C74" s="74">
        <v>7140.6149999999998</v>
      </c>
      <c r="D74" s="74">
        <v>9715.8709999999992</v>
      </c>
      <c r="E74" s="74">
        <v>5873.8209999999999</v>
      </c>
      <c r="F74" s="74">
        <v>5129.7309999999998</v>
      </c>
      <c r="G74" s="74">
        <v>4631.7910000000002</v>
      </c>
      <c r="H74" s="74">
        <v>4511.37</v>
      </c>
    </row>
    <row r="75" spans="1:8">
      <c r="A75" s="72">
        <v>46236.75</v>
      </c>
      <c r="B75" s="73">
        <v>8884.2790000000005</v>
      </c>
      <c r="C75" s="74">
        <v>6957.232</v>
      </c>
      <c r="D75" s="74">
        <v>9662.3819999999996</v>
      </c>
      <c r="E75" s="74">
        <v>5841.0469999999996</v>
      </c>
      <c r="F75" s="74">
        <v>5142.8829999999998</v>
      </c>
      <c r="G75" s="74">
        <v>4631.6260000000002</v>
      </c>
      <c r="H75" s="74">
        <v>4507.8869999999997</v>
      </c>
    </row>
    <row r="76" spans="1:8">
      <c r="A76" s="72">
        <v>46236.791666666664</v>
      </c>
      <c r="B76" s="73">
        <v>8983.6409999999996</v>
      </c>
      <c r="C76" s="74">
        <v>6940.0789999999997</v>
      </c>
      <c r="D76" s="74">
        <v>9671.2019999999993</v>
      </c>
      <c r="E76" s="74">
        <v>6043.2820000000002</v>
      </c>
      <c r="F76" s="74">
        <v>4570.3649999999998</v>
      </c>
      <c r="G76" s="74">
        <v>4671.0630000000001</v>
      </c>
      <c r="H76" s="74">
        <v>4519.902</v>
      </c>
    </row>
    <row r="77" spans="1:8">
      <c r="A77" s="72">
        <v>46236.833333333336</v>
      </c>
      <c r="B77" s="73">
        <v>9486.3320000000003</v>
      </c>
      <c r="C77" s="74">
        <v>6814.68</v>
      </c>
      <c r="D77" s="74">
        <v>9426.34</v>
      </c>
      <c r="E77" s="74">
        <v>6119.0150000000003</v>
      </c>
      <c r="F77" s="74">
        <v>4583.8940000000002</v>
      </c>
      <c r="G77" s="74">
        <v>4669.7299999999996</v>
      </c>
      <c r="H77" s="74">
        <v>4516.6940000000004</v>
      </c>
    </row>
    <row r="78" spans="1:8">
      <c r="A78" s="72">
        <v>46236.875</v>
      </c>
      <c r="B78" s="73">
        <v>9577.9279999999999</v>
      </c>
      <c r="C78" s="74">
        <v>6815.2969999999996</v>
      </c>
      <c r="D78" s="74">
        <v>9321.0879999999997</v>
      </c>
      <c r="E78" s="74">
        <v>6119.5950000000003</v>
      </c>
      <c r="F78" s="74">
        <v>4663.7749999999996</v>
      </c>
      <c r="G78" s="74">
        <v>4715.6090000000004</v>
      </c>
      <c r="H78" s="74">
        <v>4530.9740000000002</v>
      </c>
    </row>
    <row r="79" spans="1:8">
      <c r="A79" s="72">
        <v>46236.916666666664</v>
      </c>
      <c r="B79" s="73">
        <v>10081.14</v>
      </c>
      <c r="C79" s="74">
        <v>6838.6940000000004</v>
      </c>
      <c r="D79" s="74">
        <v>9064.5120000000006</v>
      </c>
      <c r="E79" s="74">
        <v>6275.36</v>
      </c>
      <c r="F79" s="74">
        <v>4702.9409999999998</v>
      </c>
      <c r="G79" s="74">
        <v>4716.6369999999997</v>
      </c>
      <c r="H79" s="74">
        <v>4527.8310000000001</v>
      </c>
    </row>
    <row r="80" spans="1:8">
      <c r="A80" s="72">
        <v>46236.958333333336</v>
      </c>
      <c r="B80" s="73">
        <v>10260.32</v>
      </c>
      <c r="C80" s="74">
        <v>6910.6059999999998</v>
      </c>
      <c r="D80" s="74">
        <v>8950.5519999999997</v>
      </c>
      <c r="E80" s="74">
        <v>6529.6679999999997</v>
      </c>
      <c r="F80" s="74">
        <v>4785.8059999999996</v>
      </c>
      <c r="G80" s="74">
        <v>4767.5749999999998</v>
      </c>
      <c r="H80" s="74">
        <v>4544.8810000000003</v>
      </c>
    </row>
    <row r="81" spans="1:8">
      <c r="A81" s="72">
        <v>46237</v>
      </c>
      <c r="B81" s="73">
        <v>10920.89</v>
      </c>
      <c r="C81" s="74">
        <v>7004.7209999999995</v>
      </c>
      <c r="D81" s="74">
        <v>8697.491</v>
      </c>
      <c r="E81" s="74">
        <v>6712.14</v>
      </c>
      <c r="F81" s="74">
        <v>4781.8469999999998</v>
      </c>
      <c r="G81" s="74">
        <v>4776.3149999999996</v>
      </c>
      <c r="H81" s="74">
        <v>4541.723</v>
      </c>
    </row>
    <row r="82" spans="1:8">
      <c r="A82" s="72">
        <v>46237.041666666664</v>
      </c>
      <c r="B82" s="73">
        <v>10864.89</v>
      </c>
      <c r="C82" s="74">
        <v>7014.4809999999998</v>
      </c>
      <c r="D82" s="74">
        <v>8190.3180000000002</v>
      </c>
      <c r="E82" s="74">
        <v>6871.4070000000002</v>
      </c>
      <c r="F82" s="74">
        <v>4913.8329999999996</v>
      </c>
      <c r="G82" s="74">
        <v>4828.16</v>
      </c>
      <c r="H82" s="74">
        <v>4562.0630000000001</v>
      </c>
    </row>
    <row r="83" spans="1:8">
      <c r="A83" s="72">
        <v>46237.083333333336</v>
      </c>
      <c r="B83" s="73">
        <v>11663.77</v>
      </c>
      <c r="C83" s="74">
        <v>7195.473</v>
      </c>
      <c r="D83" s="74">
        <v>8001.7929999999997</v>
      </c>
      <c r="E83" s="74">
        <v>6783.1109999999999</v>
      </c>
      <c r="F83" s="74">
        <v>4937.7139999999999</v>
      </c>
      <c r="G83" s="74">
        <v>4844.0640000000003</v>
      </c>
      <c r="H83" s="74">
        <v>4559.1210000000001</v>
      </c>
    </row>
    <row r="84" spans="1:8">
      <c r="A84" s="72">
        <v>46237.125</v>
      </c>
      <c r="B84" s="73">
        <v>11735.58</v>
      </c>
      <c r="C84" s="74">
        <v>7332.3109999999997</v>
      </c>
      <c r="D84" s="74">
        <v>7940.8879999999999</v>
      </c>
      <c r="E84" s="74">
        <v>7043.598</v>
      </c>
      <c r="F84" s="74">
        <v>4561.0110000000004</v>
      </c>
      <c r="G84" s="74">
        <v>4882.24</v>
      </c>
      <c r="H84" s="74">
        <v>4583.33</v>
      </c>
    </row>
    <row r="85" spans="1:8">
      <c r="A85" s="72">
        <v>46237.166666666664</v>
      </c>
      <c r="B85" s="73">
        <v>12551.6</v>
      </c>
      <c r="C85" s="74">
        <v>7567.5410000000002</v>
      </c>
      <c r="D85" s="74">
        <v>7732.2359999999999</v>
      </c>
      <c r="E85" s="74">
        <v>7122.1490000000003</v>
      </c>
      <c r="F85" s="74">
        <v>4591.0590000000002</v>
      </c>
      <c r="G85" s="74">
        <v>4900.57</v>
      </c>
      <c r="H85" s="74">
        <v>4580.9859999999999</v>
      </c>
    </row>
    <row r="86" spans="1:8">
      <c r="A86" s="72">
        <v>46237.208333333336</v>
      </c>
      <c r="B86" s="73">
        <v>12611.9</v>
      </c>
      <c r="C86" s="74">
        <v>7718.5630000000001</v>
      </c>
      <c r="D86" s="74">
        <v>7662.7340000000004</v>
      </c>
      <c r="E86" s="74">
        <v>7157.9160000000002</v>
      </c>
      <c r="F86" s="74">
        <v>4633.2439999999997</v>
      </c>
      <c r="G86" s="74">
        <v>4897.393</v>
      </c>
      <c r="H86" s="74">
        <v>4609.7250000000004</v>
      </c>
    </row>
    <row r="87" spans="1:8">
      <c r="A87" s="72">
        <v>46237.25</v>
      </c>
      <c r="B87" s="73">
        <v>13185.44</v>
      </c>
      <c r="C87" s="74">
        <v>8361.0550000000003</v>
      </c>
      <c r="D87" s="74">
        <v>7558.7610000000004</v>
      </c>
      <c r="E87" s="74">
        <v>7365.2340000000004</v>
      </c>
      <c r="F87" s="74">
        <v>4683.5240000000003</v>
      </c>
      <c r="G87" s="74">
        <v>4914.8549999999996</v>
      </c>
      <c r="H87" s="74">
        <v>4608.2359999999999</v>
      </c>
    </row>
    <row r="88" spans="1:8">
      <c r="A88" s="72">
        <v>46237.291666666664</v>
      </c>
      <c r="B88" s="73">
        <v>13273.17</v>
      </c>
      <c r="C88" s="74">
        <v>8567.9989999999998</v>
      </c>
      <c r="D88" s="74">
        <v>7541.2650000000003</v>
      </c>
      <c r="E88" s="74">
        <v>7630.5309999999999</v>
      </c>
      <c r="F88" s="74">
        <v>4810.5360000000001</v>
      </c>
      <c r="G88" s="74">
        <v>4858.3109999999997</v>
      </c>
      <c r="H88" s="74">
        <v>4642.0659999999998</v>
      </c>
    </row>
    <row r="89" spans="1:8">
      <c r="A89" s="72">
        <v>46237.333333333336</v>
      </c>
      <c r="B89" s="73">
        <v>13656.1</v>
      </c>
      <c r="C89" s="74">
        <v>9093.4599999999991</v>
      </c>
      <c r="D89" s="74">
        <v>7496.2640000000001</v>
      </c>
      <c r="E89" s="74">
        <v>7805.9809999999998</v>
      </c>
      <c r="F89" s="74">
        <v>4862.7219999999998</v>
      </c>
      <c r="G89" s="74">
        <v>4875.5309999999999</v>
      </c>
      <c r="H89" s="74">
        <v>4641.7290000000003</v>
      </c>
    </row>
    <row r="90" spans="1:8">
      <c r="A90" s="72">
        <v>46237.375</v>
      </c>
      <c r="B90" s="73">
        <v>13740.09</v>
      </c>
      <c r="C90" s="74">
        <v>9173.6270000000004</v>
      </c>
      <c r="D90" s="74">
        <v>7346.4989999999998</v>
      </c>
      <c r="E90" s="74">
        <v>7804.63</v>
      </c>
      <c r="F90" s="74">
        <v>5071.3879999999999</v>
      </c>
      <c r="G90" s="74">
        <v>4801.3389999999999</v>
      </c>
      <c r="H90" s="74">
        <v>4680.6139999999996</v>
      </c>
    </row>
    <row r="91" spans="1:8">
      <c r="A91" s="72">
        <v>46237.416666666664</v>
      </c>
      <c r="B91" s="73">
        <v>13946.59</v>
      </c>
      <c r="C91" s="74">
        <v>9771.2029999999995</v>
      </c>
      <c r="D91" s="74">
        <v>7388.5370000000003</v>
      </c>
      <c r="E91" s="74">
        <v>7731.7250000000004</v>
      </c>
      <c r="F91" s="74">
        <v>5056.6970000000001</v>
      </c>
      <c r="G91" s="74">
        <v>4819.2380000000003</v>
      </c>
      <c r="H91" s="74">
        <v>4682.241</v>
      </c>
    </row>
    <row r="92" spans="1:8">
      <c r="A92" s="72">
        <v>46237.458333333336</v>
      </c>
      <c r="B92" s="73">
        <v>13688.79</v>
      </c>
      <c r="C92" s="74">
        <v>9853.8310000000001</v>
      </c>
      <c r="D92" s="74">
        <v>7442.0060000000003</v>
      </c>
      <c r="E92" s="74">
        <v>7950.0839999999998</v>
      </c>
      <c r="F92" s="74">
        <v>4879.6660000000002</v>
      </c>
      <c r="G92" s="74">
        <v>4770.3190000000004</v>
      </c>
      <c r="H92" s="74">
        <v>4724.6549999999997</v>
      </c>
    </row>
    <row r="93" spans="1:8">
      <c r="A93" s="72">
        <v>46237.5</v>
      </c>
      <c r="B93" s="73">
        <v>13508.61</v>
      </c>
      <c r="C93" s="74">
        <v>10405.44</v>
      </c>
      <c r="D93" s="74">
        <v>7460.0969999999998</v>
      </c>
      <c r="E93" s="74">
        <v>7975.5940000000001</v>
      </c>
      <c r="F93" s="74">
        <v>4946.2920000000004</v>
      </c>
      <c r="G93" s="74">
        <v>4788.8320000000003</v>
      </c>
      <c r="H93" s="74">
        <v>4729.4979999999996</v>
      </c>
    </row>
    <row r="94" spans="1:8">
      <c r="A94" s="72">
        <v>46237.541666666664</v>
      </c>
      <c r="B94" s="73">
        <v>13262.27</v>
      </c>
      <c r="C94" s="74">
        <v>10479.469999999999</v>
      </c>
      <c r="D94" s="74">
        <v>7524.415</v>
      </c>
      <c r="E94" s="74">
        <v>8019.7460000000001</v>
      </c>
      <c r="F94" s="74">
        <v>4983.05</v>
      </c>
      <c r="G94" s="74">
        <v>4756.9059999999999</v>
      </c>
      <c r="H94" s="74">
        <v>4771.1469999999999</v>
      </c>
    </row>
    <row r="95" spans="1:8">
      <c r="A95" s="72">
        <v>46237.583333333336</v>
      </c>
      <c r="B95" s="73">
        <v>13041.5</v>
      </c>
      <c r="C95" s="74">
        <v>10988.31</v>
      </c>
      <c r="D95" s="74">
        <v>7833.951</v>
      </c>
      <c r="E95" s="74">
        <v>8208.8989999999994</v>
      </c>
      <c r="F95" s="74">
        <v>5085.8789999999999</v>
      </c>
      <c r="G95" s="74">
        <v>4777.3029999999999</v>
      </c>
      <c r="H95" s="74">
        <v>4780.0140000000001</v>
      </c>
    </row>
    <row r="96" spans="1:8">
      <c r="A96" s="72">
        <v>46237.625</v>
      </c>
      <c r="B96" s="73">
        <v>12765.74</v>
      </c>
      <c r="C96" s="74">
        <v>11124.75</v>
      </c>
      <c r="D96" s="74">
        <v>7961.375</v>
      </c>
      <c r="E96" s="74">
        <v>8398.4889999999996</v>
      </c>
      <c r="F96" s="74">
        <v>5284.78</v>
      </c>
      <c r="G96" s="74">
        <v>4739.7079999999996</v>
      </c>
      <c r="H96" s="74">
        <v>4813.0439999999999</v>
      </c>
    </row>
    <row r="97" spans="1:8">
      <c r="A97" s="72">
        <v>46237.666666666664</v>
      </c>
      <c r="B97" s="73">
        <v>12506.47</v>
      </c>
      <c r="C97" s="74">
        <v>11655.24</v>
      </c>
      <c r="D97" s="74">
        <v>8259.5</v>
      </c>
      <c r="E97" s="74">
        <v>8484.35</v>
      </c>
      <c r="F97" s="74">
        <v>5410.5309999999999</v>
      </c>
      <c r="G97" s="74">
        <v>4764.99</v>
      </c>
      <c r="H97" s="74">
        <v>4825.616</v>
      </c>
    </row>
    <row r="98" spans="1:8">
      <c r="A98" s="72">
        <v>46237.708333333336</v>
      </c>
      <c r="B98" s="73">
        <v>12348.87</v>
      </c>
      <c r="C98" s="74">
        <v>11648.92</v>
      </c>
      <c r="D98" s="74">
        <v>8287.6380000000008</v>
      </c>
      <c r="E98" s="74">
        <v>8278.4359999999997</v>
      </c>
      <c r="F98" s="74">
        <v>5647.0990000000002</v>
      </c>
      <c r="G98" s="74">
        <v>4733.8040000000001</v>
      </c>
      <c r="H98" s="74">
        <v>4840.4549999999999</v>
      </c>
    </row>
    <row r="99" spans="1:8">
      <c r="A99" s="72">
        <v>46237.75</v>
      </c>
      <c r="B99" s="73">
        <v>12196.13</v>
      </c>
      <c r="C99" s="74">
        <v>12216.28</v>
      </c>
      <c r="D99" s="74">
        <v>8157.6890000000003</v>
      </c>
      <c r="E99" s="74">
        <v>8208.2489999999998</v>
      </c>
      <c r="F99" s="74">
        <v>5614.6509999999998</v>
      </c>
      <c r="G99" s="74">
        <v>4764.7719999999999</v>
      </c>
      <c r="H99" s="74">
        <v>4855.5950000000003</v>
      </c>
    </row>
    <row r="100" spans="1:8">
      <c r="A100" s="72">
        <v>46237.791666666664</v>
      </c>
      <c r="B100" s="73">
        <v>12077.7</v>
      </c>
      <c r="C100" s="74">
        <v>12182.37</v>
      </c>
      <c r="D100" s="74">
        <v>8246.4040000000005</v>
      </c>
      <c r="E100" s="74">
        <v>8292.3970000000008</v>
      </c>
      <c r="F100" s="74">
        <v>5607.8819999999996</v>
      </c>
      <c r="G100" s="74">
        <v>4768.7150000000001</v>
      </c>
      <c r="H100" s="74">
        <v>4846.4179999999997</v>
      </c>
    </row>
    <row r="101" spans="1:8">
      <c r="A101" s="72">
        <v>46237.833333333336</v>
      </c>
      <c r="B101" s="73">
        <v>11957.7</v>
      </c>
      <c r="C101" s="74">
        <v>12640.6</v>
      </c>
      <c r="D101" s="74">
        <v>8406.6440000000002</v>
      </c>
      <c r="E101" s="74">
        <v>8238.1360000000004</v>
      </c>
      <c r="F101" s="74">
        <v>5697.0119999999997</v>
      </c>
      <c r="G101" s="74">
        <v>4803.2129999999997</v>
      </c>
      <c r="H101" s="74">
        <v>4863.0230000000001</v>
      </c>
    </row>
    <row r="102" spans="1:8">
      <c r="A102" s="72">
        <v>46237.875</v>
      </c>
      <c r="B102" s="73">
        <v>11797.76</v>
      </c>
      <c r="C102" s="74">
        <v>12601.12</v>
      </c>
      <c r="D102" s="74">
        <v>8499.4570000000003</v>
      </c>
      <c r="E102" s="74">
        <v>8248.9220000000005</v>
      </c>
      <c r="F102" s="74">
        <v>5750.192</v>
      </c>
      <c r="G102" s="74">
        <v>4836.9660000000003</v>
      </c>
      <c r="H102" s="74">
        <v>4832.7610000000004</v>
      </c>
    </row>
    <row r="103" spans="1:8">
      <c r="A103" s="72">
        <v>46237.916666666664</v>
      </c>
      <c r="B103" s="73">
        <v>11638.5</v>
      </c>
      <c r="C103" s="74">
        <v>12901.5</v>
      </c>
      <c r="D103" s="74">
        <v>8972.3919999999998</v>
      </c>
      <c r="E103" s="74">
        <v>8341.9660000000003</v>
      </c>
      <c r="F103" s="74">
        <v>5918.8540000000003</v>
      </c>
      <c r="G103" s="74">
        <v>4874.4470000000001</v>
      </c>
      <c r="H103" s="74">
        <v>4850.299</v>
      </c>
    </row>
    <row r="104" spans="1:8">
      <c r="A104" s="72">
        <v>46237.958333333336</v>
      </c>
      <c r="B104" s="73">
        <v>11370.7</v>
      </c>
      <c r="C104" s="74">
        <v>12870</v>
      </c>
      <c r="D104" s="74">
        <v>9123.4599999999991</v>
      </c>
      <c r="E104" s="74">
        <v>8444.0010000000002</v>
      </c>
      <c r="F104" s="74">
        <v>6152.6629999999996</v>
      </c>
      <c r="G104" s="74">
        <v>4914.8729999999996</v>
      </c>
      <c r="H104" s="74">
        <v>4808.9809999999998</v>
      </c>
    </row>
    <row r="105" spans="1:8">
      <c r="A105" s="72">
        <v>46238</v>
      </c>
      <c r="B105" s="73">
        <v>11102.71</v>
      </c>
      <c r="C105" s="74">
        <v>13046.82</v>
      </c>
      <c r="D105" s="74">
        <v>9551.5439999999999</v>
      </c>
      <c r="E105" s="74">
        <v>8464.52</v>
      </c>
      <c r="F105" s="74">
        <v>6295.076</v>
      </c>
      <c r="G105" s="74">
        <v>4960.8980000000001</v>
      </c>
      <c r="H105" s="74">
        <v>4827.5510000000004</v>
      </c>
    </row>
    <row r="106" spans="1:8">
      <c r="A106" s="72">
        <v>46238.041666666664</v>
      </c>
      <c r="B106" s="73">
        <v>10760.56</v>
      </c>
      <c r="C106" s="74">
        <v>13033.73</v>
      </c>
      <c r="D106" s="74">
        <v>9588.4320000000007</v>
      </c>
      <c r="E106" s="74">
        <v>8198.6939999999995</v>
      </c>
      <c r="F106" s="74">
        <v>6431.2389999999996</v>
      </c>
      <c r="G106" s="74">
        <v>5008.8180000000002</v>
      </c>
      <c r="H106" s="74">
        <v>4785.1499999999996</v>
      </c>
    </row>
    <row r="107" spans="1:8">
      <c r="A107" s="72">
        <v>46238.083333333336</v>
      </c>
      <c r="B107" s="73">
        <v>10412.790000000001</v>
      </c>
      <c r="C107" s="74">
        <v>13140.84</v>
      </c>
      <c r="D107" s="74">
        <v>9917.18</v>
      </c>
      <c r="E107" s="74">
        <v>8131.2650000000003</v>
      </c>
      <c r="F107" s="74">
        <v>6386.8530000000001</v>
      </c>
      <c r="G107" s="74">
        <v>5068.3469999999998</v>
      </c>
      <c r="H107" s="74">
        <v>4805.3860000000004</v>
      </c>
    </row>
    <row r="108" spans="1:8">
      <c r="A108" s="72">
        <v>46238.125</v>
      </c>
      <c r="B108" s="73">
        <v>10018.59</v>
      </c>
      <c r="C108" s="74">
        <v>12938.21</v>
      </c>
      <c r="D108" s="74">
        <v>9963.4189999999999</v>
      </c>
      <c r="E108" s="74">
        <v>8165.5640000000003</v>
      </c>
      <c r="F108" s="74">
        <v>6427.38</v>
      </c>
      <c r="G108" s="74">
        <v>5144.5910000000003</v>
      </c>
      <c r="H108" s="74">
        <v>4767.8850000000002</v>
      </c>
    </row>
    <row r="109" spans="1:8">
      <c r="A109" s="72">
        <v>46238.166666666664</v>
      </c>
      <c r="B109" s="73">
        <v>9623.4320000000007</v>
      </c>
      <c r="C109" s="74">
        <v>12893.79</v>
      </c>
      <c r="D109" s="74">
        <v>10327.469999999999</v>
      </c>
      <c r="E109" s="74">
        <v>8096.7259999999997</v>
      </c>
      <c r="F109" s="74">
        <v>6481.8969999999999</v>
      </c>
      <c r="G109" s="74">
        <v>5212.7160000000003</v>
      </c>
      <c r="H109" s="74">
        <v>4790.75</v>
      </c>
    </row>
    <row r="110" spans="1:8">
      <c r="A110" s="72">
        <v>46238.208333333336</v>
      </c>
      <c r="B110" s="73">
        <v>9229.4480000000003</v>
      </c>
      <c r="C110" s="74">
        <v>12682.54</v>
      </c>
      <c r="D110" s="74">
        <v>10370.35</v>
      </c>
      <c r="E110" s="74">
        <v>8102.28</v>
      </c>
      <c r="F110" s="74">
        <v>6525.2389999999996</v>
      </c>
      <c r="G110" s="74">
        <v>5316.2079999999996</v>
      </c>
      <c r="H110" s="74">
        <v>4762.5640000000003</v>
      </c>
    </row>
    <row r="111" spans="1:8">
      <c r="A111" s="72">
        <v>46238.25</v>
      </c>
      <c r="B111" s="73">
        <v>8718.5849999999991</v>
      </c>
      <c r="C111" s="74">
        <v>12512.44</v>
      </c>
      <c r="D111" s="74">
        <v>10792.45</v>
      </c>
      <c r="E111" s="74">
        <v>8201.3009999999995</v>
      </c>
      <c r="F111" s="74">
        <v>6669.7860000000001</v>
      </c>
      <c r="G111" s="74">
        <v>5386.0339999999997</v>
      </c>
      <c r="H111" s="74">
        <v>4788.9620000000004</v>
      </c>
    </row>
    <row r="112" spans="1:8">
      <c r="A112" s="72">
        <v>46238.291666666664</v>
      </c>
      <c r="B112" s="73">
        <v>8296.8130000000001</v>
      </c>
      <c r="C112" s="74">
        <v>12254.47</v>
      </c>
      <c r="D112" s="74">
        <v>10878.61</v>
      </c>
      <c r="E112" s="74">
        <v>8277.0759999999991</v>
      </c>
      <c r="F112" s="74">
        <v>6877.3050000000003</v>
      </c>
      <c r="G112" s="74">
        <v>5496.1130000000003</v>
      </c>
      <c r="H112" s="74">
        <v>4775.1310000000003</v>
      </c>
    </row>
    <row r="113" spans="1:8">
      <c r="A113" s="72">
        <v>46238.333333333336</v>
      </c>
      <c r="B113" s="73">
        <v>7855.2839999999997</v>
      </c>
      <c r="C113" s="74">
        <v>12023.67</v>
      </c>
      <c r="D113" s="74">
        <v>11258.88</v>
      </c>
      <c r="E113" s="74">
        <v>8338.2350000000006</v>
      </c>
      <c r="F113" s="74">
        <v>6967.5429999999997</v>
      </c>
      <c r="G113" s="74">
        <v>5571.5259999999998</v>
      </c>
      <c r="H113" s="74">
        <v>4805.7089999999998</v>
      </c>
    </row>
    <row r="114" spans="1:8">
      <c r="A114" s="72">
        <v>46238.375</v>
      </c>
      <c r="B114" s="73">
        <v>7558.7690000000002</v>
      </c>
      <c r="C114" s="74">
        <v>11825.46</v>
      </c>
      <c r="D114" s="74">
        <v>11259.29</v>
      </c>
      <c r="E114" s="74">
        <v>8119.1180000000004</v>
      </c>
      <c r="F114" s="74">
        <v>6969.1019999999999</v>
      </c>
      <c r="G114" s="74">
        <v>5680.3429999999998</v>
      </c>
      <c r="H114" s="74">
        <v>4809.8109999999997</v>
      </c>
    </row>
    <row r="115" spans="1:8">
      <c r="A115" s="72">
        <v>46238.416666666664</v>
      </c>
      <c r="B115" s="73">
        <v>7229.9790000000003</v>
      </c>
      <c r="C115" s="74">
        <v>11637.18</v>
      </c>
      <c r="D115" s="74">
        <v>11609.05</v>
      </c>
      <c r="E115" s="74">
        <v>8073.2960000000003</v>
      </c>
      <c r="F115" s="74">
        <v>6908.8779999999997</v>
      </c>
      <c r="G115" s="74">
        <v>5767.8850000000002</v>
      </c>
      <c r="H115" s="74">
        <v>4845.3180000000002</v>
      </c>
    </row>
    <row r="116" spans="1:8">
      <c r="A116" s="72">
        <v>46238.458333333336</v>
      </c>
      <c r="B116" s="73">
        <v>7047.643</v>
      </c>
      <c r="C116" s="74">
        <v>11436.76</v>
      </c>
      <c r="D116" s="74">
        <v>11556.51</v>
      </c>
      <c r="E116" s="74">
        <v>8105.4430000000002</v>
      </c>
      <c r="F116" s="74">
        <v>6948.5550000000003</v>
      </c>
      <c r="G116" s="74">
        <v>5883.2370000000001</v>
      </c>
      <c r="H116" s="74">
        <v>4867.6530000000002</v>
      </c>
    </row>
    <row r="117" spans="1:8">
      <c r="A117" s="72">
        <v>46238.5</v>
      </c>
      <c r="B117" s="73">
        <v>6854.9129999999996</v>
      </c>
      <c r="C117" s="74">
        <v>11722.5</v>
      </c>
      <c r="D117" s="74">
        <v>11857.75</v>
      </c>
      <c r="E117" s="74">
        <v>8086.8689999999997</v>
      </c>
      <c r="F117" s="74">
        <v>6946.3519999999999</v>
      </c>
      <c r="G117" s="74">
        <v>5974.09</v>
      </c>
      <c r="H117" s="74">
        <v>4909.3370000000004</v>
      </c>
    </row>
    <row r="118" spans="1:8">
      <c r="A118" s="72">
        <v>46238.541666666664</v>
      </c>
      <c r="B118" s="73">
        <v>6782.5060000000003</v>
      </c>
      <c r="C118" s="74">
        <v>11491.56</v>
      </c>
      <c r="D118" s="74">
        <v>11798.52</v>
      </c>
      <c r="E118" s="74">
        <v>8109.89</v>
      </c>
      <c r="F118" s="74">
        <v>6971.4309999999996</v>
      </c>
      <c r="G118" s="74">
        <v>6092.8519999999999</v>
      </c>
      <c r="H118" s="74">
        <v>4949.0619999999999</v>
      </c>
    </row>
    <row r="119" spans="1:8">
      <c r="A119" s="72">
        <v>46238.583333333336</v>
      </c>
      <c r="B119" s="73">
        <v>6703.9560000000001</v>
      </c>
      <c r="C119" s="74">
        <v>11252.58</v>
      </c>
      <c r="D119" s="74">
        <v>12008</v>
      </c>
      <c r="E119" s="74">
        <v>8292.8169999999991</v>
      </c>
      <c r="F119" s="74">
        <v>7067.0069999999996</v>
      </c>
      <c r="G119" s="74">
        <v>6173.0060000000003</v>
      </c>
      <c r="H119" s="74">
        <v>4998.21</v>
      </c>
    </row>
    <row r="120" spans="1:8">
      <c r="A120" s="72">
        <v>46238.625</v>
      </c>
      <c r="B120" s="73">
        <v>6688.9369999999999</v>
      </c>
      <c r="C120" s="74">
        <v>10964.63</v>
      </c>
      <c r="D120" s="74">
        <v>11953.68</v>
      </c>
      <c r="E120" s="74">
        <v>8378.1669999999995</v>
      </c>
      <c r="F120" s="74">
        <v>7232.8720000000003</v>
      </c>
      <c r="G120" s="74">
        <v>6282.6049999999996</v>
      </c>
      <c r="H120" s="74">
        <v>5055.6030000000001</v>
      </c>
    </row>
    <row r="121" spans="1:8">
      <c r="A121" s="72">
        <v>46238.666666666664</v>
      </c>
      <c r="B121" s="73">
        <v>6683.777</v>
      </c>
      <c r="C121" s="74">
        <v>10683.78</v>
      </c>
      <c r="D121" s="74">
        <v>12088.21</v>
      </c>
      <c r="E121" s="74">
        <v>8535.2440000000006</v>
      </c>
      <c r="F121" s="74">
        <v>7273.674</v>
      </c>
      <c r="G121" s="74">
        <v>6353.0119999999997</v>
      </c>
      <c r="H121" s="74">
        <v>5112.5950000000003</v>
      </c>
    </row>
    <row r="122" spans="1:8">
      <c r="A122" s="72">
        <v>46238.708333333336</v>
      </c>
      <c r="B122" s="73">
        <v>6707.56</v>
      </c>
      <c r="C122" s="74">
        <v>10430.25</v>
      </c>
      <c r="D122" s="74">
        <v>12025.1</v>
      </c>
      <c r="E122" s="74">
        <v>8399.5439999999999</v>
      </c>
      <c r="F122" s="74">
        <v>7176.5529999999999</v>
      </c>
      <c r="G122" s="74">
        <v>6451.47</v>
      </c>
      <c r="H122" s="74">
        <v>5187.6379999999999</v>
      </c>
    </row>
    <row r="123" spans="1:8">
      <c r="A123" s="72">
        <v>46238.75</v>
      </c>
      <c r="B123" s="73">
        <v>6786.7110000000002</v>
      </c>
      <c r="C123" s="74">
        <v>10174.030000000001</v>
      </c>
      <c r="D123" s="74">
        <v>12136.81</v>
      </c>
      <c r="E123" s="74">
        <v>8406.1059999999998</v>
      </c>
      <c r="F123" s="74">
        <v>7097.9610000000002</v>
      </c>
      <c r="G123" s="74">
        <v>6520.8</v>
      </c>
      <c r="H123" s="74">
        <v>5251.8919999999998</v>
      </c>
    </row>
    <row r="124" spans="1:8">
      <c r="A124" s="72">
        <v>46238.791666666664</v>
      </c>
      <c r="B124" s="73">
        <v>6833.759</v>
      </c>
      <c r="C124" s="74">
        <v>9930.9490000000005</v>
      </c>
      <c r="D124" s="74">
        <v>11956.85</v>
      </c>
      <c r="E124" s="74">
        <v>8444.3389999999999</v>
      </c>
      <c r="F124" s="74">
        <v>7132.8810000000003</v>
      </c>
      <c r="G124" s="74">
        <v>6612.5119999999997</v>
      </c>
      <c r="H124" s="74">
        <v>5342.0190000000002</v>
      </c>
    </row>
    <row r="125" spans="1:8">
      <c r="A125" s="72">
        <v>46238.833333333336</v>
      </c>
      <c r="B125" s="73">
        <v>7047.3310000000001</v>
      </c>
      <c r="C125" s="74">
        <v>9881.0570000000007</v>
      </c>
      <c r="D125" s="74">
        <v>12116.99</v>
      </c>
      <c r="E125" s="74">
        <v>8517.9120000000003</v>
      </c>
      <c r="F125" s="74">
        <v>7086.4809999999998</v>
      </c>
      <c r="G125" s="74">
        <v>6675.9709999999995</v>
      </c>
      <c r="H125" s="74">
        <v>5412.8410000000003</v>
      </c>
    </row>
    <row r="126" spans="1:8">
      <c r="A126" s="72">
        <v>46238.875</v>
      </c>
      <c r="B126" s="73">
        <v>6967.42</v>
      </c>
      <c r="C126" s="74">
        <v>9641.32</v>
      </c>
      <c r="D126" s="74">
        <v>11953.01</v>
      </c>
      <c r="E126" s="74">
        <v>8553.9230000000007</v>
      </c>
      <c r="F126" s="74">
        <v>7105.4009999999998</v>
      </c>
      <c r="G126" s="74">
        <v>6757.4380000000001</v>
      </c>
      <c r="H126" s="74">
        <v>5513.6710000000003</v>
      </c>
    </row>
    <row r="127" spans="1:8">
      <c r="A127" s="72">
        <v>46238.916666666664</v>
      </c>
      <c r="B127" s="73">
        <v>7271.8609999999999</v>
      </c>
      <c r="C127" s="74">
        <v>9374.6209999999992</v>
      </c>
      <c r="D127" s="74">
        <v>11895.93</v>
      </c>
      <c r="E127" s="74">
        <v>8825.0030000000006</v>
      </c>
      <c r="F127" s="74">
        <v>7188.0550000000003</v>
      </c>
      <c r="G127" s="74">
        <v>6804.1490000000003</v>
      </c>
      <c r="H127" s="74">
        <v>5590.25</v>
      </c>
    </row>
    <row r="128" spans="1:8">
      <c r="A128" s="72">
        <v>46238.958333333336</v>
      </c>
      <c r="B128" s="73">
        <v>7150.009</v>
      </c>
      <c r="C128" s="74">
        <v>9109.1209999999992</v>
      </c>
      <c r="D128" s="74">
        <v>11701.87</v>
      </c>
      <c r="E128" s="74">
        <v>8916.7990000000009</v>
      </c>
      <c r="F128" s="74">
        <v>7328.2079999999996</v>
      </c>
      <c r="G128" s="74">
        <v>6871.085</v>
      </c>
      <c r="H128" s="74">
        <v>5697.6450000000004</v>
      </c>
    </row>
    <row r="129" spans="1:8">
      <c r="A129" s="72">
        <v>46239</v>
      </c>
      <c r="B129" s="73">
        <v>7400.4260000000004</v>
      </c>
      <c r="C129" s="74">
        <v>8855.9639999999999</v>
      </c>
      <c r="D129" s="74">
        <v>11586.32</v>
      </c>
      <c r="E129" s="74">
        <v>9158.6820000000007</v>
      </c>
      <c r="F129" s="74">
        <v>7365.7669999999998</v>
      </c>
      <c r="G129" s="74">
        <v>6903.3639999999996</v>
      </c>
      <c r="H129" s="74">
        <v>5777.91</v>
      </c>
    </row>
    <row r="130" spans="1:8">
      <c r="A130" s="72">
        <v>46239.041666666664</v>
      </c>
      <c r="B130" s="73">
        <v>7267.6940000000004</v>
      </c>
      <c r="C130" s="74">
        <v>8647.3889999999992</v>
      </c>
      <c r="D130" s="74">
        <v>11039.11</v>
      </c>
      <c r="E130" s="74">
        <v>9084.7819999999992</v>
      </c>
      <c r="F130" s="74">
        <v>7231.1379999999999</v>
      </c>
      <c r="G130" s="74">
        <v>6960.8670000000002</v>
      </c>
      <c r="H130" s="74">
        <v>5888.2389999999996</v>
      </c>
    </row>
    <row r="131" spans="1:8">
      <c r="A131" s="72">
        <v>46239.083333333336</v>
      </c>
      <c r="B131" s="73">
        <v>7419.2579999999998</v>
      </c>
      <c r="C131" s="74">
        <v>8449.5329999999994</v>
      </c>
      <c r="D131" s="74">
        <v>10853.06</v>
      </c>
      <c r="E131" s="74">
        <v>9187.0490000000009</v>
      </c>
      <c r="F131" s="74">
        <v>7135.7579999999998</v>
      </c>
      <c r="G131" s="74">
        <v>6988.5529999999999</v>
      </c>
      <c r="H131" s="74">
        <v>5968.7240000000002</v>
      </c>
    </row>
    <row r="132" spans="1:8">
      <c r="A132" s="72">
        <v>46239.125</v>
      </c>
      <c r="B132" s="73">
        <v>7044.3860000000004</v>
      </c>
      <c r="C132" s="74">
        <v>8274.3590000000004</v>
      </c>
      <c r="D132" s="74">
        <v>10541.25</v>
      </c>
      <c r="E132" s="74">
        <v>9209.6440000000002</v>
      </c>
      <c r="F132" s="74">
        <v>7178.3310000000001</v>
      </c>
      <c r="G132" s="74">
        <v>7039.0230000000001</v>
      </c>
      <c r="H132" s="74">
        <v>6078.1670000000004</v>
      </c>
    </row>
    <row r="133" spans="1:8">
      <c r="A133" s="72">
        <v>46239.166666666664</v>
      </c>
      <c r="B133" s="73">
        <v>6847.4960000000001</v>
      </c>
      <c r="C133" s="74">
        <v>8207.3960000000006</v>
      </c>
      <c r="D133" s="74">
        <v>10646.62</v>
      </c>
      <c r="E133" s="74">
        <v>9373.9390000000003</v>
      </c>
      <c r="F133" s="74">
        <v>7127.2030000000004</v>
      </c>
      <c r="G133" s="74">
        <v>7060.6409999999996</v>
      </c>
      <c r="H133" s="74">
        <v>6155.6040000000003</v>
      </c>
    </row>
    <row r="134" spans="1:8">
      <c r="A134" s="72">
        <v>46239.208333333336</v>
      </c>
      <c r="B134" s="73">
        <v>6384.585</v>
      </c>
      <c r="C134" s="74">
        <v>8037.7529999999997</v>
      </c>
      <c r="D134" s="74">
        <v>10421.75</v>
      </c>
      <c r="E134" s="74">
        <v>9396.018</v>
      </c>
      <c r="F134" s="74">
        <v>7156.9709999999995</v>
      </c>
      <c r="G134" s="74">
        <v>7099.3559999999998</v>
      </c>
      <c r="H134" s="74">
        <v>6260.5730000000003</v>
      </c>
    </row>
    <row r="135" spans="1:8">
      <c r="A135" s="72">
        <v>46239.25</v>
      </c>
      <c r="B135" s="73">
        <v>6026.9139999999998</v>
      </c>
      <c r="C135" s="74">
        <v>7934.3940000000002</v>
      </c>
      <c r="D135" s="74">
        <v>10194.74</v>
      </c>
      <c r="E135" s="74">
        <v>9690.5149999999994</v>
      </c>
      <c r="F135" s="74">
        <v>7283.2809999999999</v>
      </c>
      <c r="G135" s="74">
        <v>7107.527</v>
      </c>
      <c r="H135" s="74">
        <v>6332.91</v>
      </c>
    </row>
    <row r="136" spans="1:8">
      <c r="A136" s="72">
        <v>46239.291666666664</v>
      </c>
      <c r="B136" s="73">
        <v>5564.2560000000003</v>
      </c>
      <c r="C136" s="74">
        <v>7762.1530000000002</v>
      </c>
      <c r="D136" s="74">
        <v>9932.5570000000007</v>
      </c>
      <c r="E136" s="74">
        <v>9756.2240000000002</v>
      </c>
      <c r="F136" s="74">
        <v>7420.8429999999998</v>
      </c>
      <c r="G136" s="74">
        <v>7135.29</v>
      </c>
      <c r="H136" s="74">
        <v>6430.8149999999996</v>
      </c>
    </row>
    <row r="137" spans="1:8">
      <c r="A137" s="72">
        <v>46239.333333333336</v>
      </c>
      <c r="B137" s="73">
        <v>5153.7929999999997</v>
      </c>
      <c r="C137" s="74">
        <v>7676.9269999999997</v>
      </c>
      <c r="D137" s="74">
        <v>9691.402</v>
      </c>
      <c r="E137" s="74">
        <v>10012.42</v>
      </c>
      <c r="F137" s="74">
        <v>7515.8220000000001</v>
      </c>
      <c r="G137" s="74">
        <v>7134.4009999999998</v>
      </c>
      <c r="H137" s="74">
        <v>6496.4009999999998</v>
      </c>
    </row>
    <row r="138" spans="1:8">
      <c r="A138" s="72">
        <v>46239.375</v>
      </c>
      <c r="B138" s="73">
        <v>4765.1170000000002</v>
      </c>
      <c r="C138" s="74">
        <v>7545.0940000000001</v>
      </c>
      <c r="D138" s="74">
        <v>9451.866</v>
      </c>
      <c r="E138" s="74">
        <v>9948.6299999999992</v>
      </c>
      <c r="F138" s="74">
        <v>7388.8360000000002</v>
      </c>
      <c r="G138" s="74">
        <v>7160.7309999999998</v>
      </c>
      <c r="H138" s="74">
        <v>6585.53</v>
      </c>
    </row>
    <row r="139" spans="1:8">
      <c r="A139" s="72">
        <v>46239.416666666664</v>
      </c>
      <c r="B139" s="73">
        <v>4425.9970000000003</v>
      </c>
      <c r="C139" s="74">
        <v>7494.7089999999998</v>
      </c>
      <c r="D139" s="74">
        <v>9243.7029999999995</v>
      </c>
      <c r="E139" s="74">
        <v>10099.43</v>
      </c>
      <c r="F139" s="74">
        <v>7371.62</v>
      </c>
      <c r="G139" s="74">
        <v>7161.8559999999998</v>
      </c>
      <c r="H139" s="74">
        <v>6642.4629999999997</v>
      </c>
    </row>
    <row r="140" spans="1:8">
      <c r="A140" s="72">
        <v>46239.458333333336</v>
      </c>
      <c r="B140" s="73">
        <v>4172.5950000000003</v>
      </c>
      <c r="C140" s="74">
        <v>7342.7839999999997</v>
      </c>
      <c r="D140" s="74">
        <v>9033.3250000000007</v>
      </c>
      <c r="E140" s="74">
        <v>10073.14</v>
      </c>
      <c r="F140" s="74">
        <v>7418.192</v>
      </c>
      <c r="G140" s="74">
        <v>7187.4679999999998</v>
      </c>
      <c r="H140" s="74">
        <v>6721.6989999999996</v>
      </c>
    </row>
    <row r="141" spans="1:8">
      <c r="A141" s="72">
        <v>46239.5</v>
      </c>
      <c r="B141" s="73">
        <v>3928.3809999999999</v>
      </c>
      <c r="C141" s="74">
        <v>7319.3130000000001</v>
      </c>
      <c r="D141" s="74">
        <v>8988.1880000000001</v>
      </c>
      <c r="E141" s="74">
        <v>10276.09</v>
      </c>
      <c r="F141" s="74">
        <v>7498.9430000000002</v>
      </c>
      <c r="G141" s="74">
        <v>7189.9859999999999</v>
      </c>
      <c r="H141" s="74">
        <v>6768.723</v>
      </c>
    </row>
    <row r="142" spans="1:8">
      <c r="A142" s="72">
        <v>46239.541666666664</v>
      </c>
      <c r="B142" s="73">
        <v>3733.5970000000002</v>
      </c>
      <c r="C142" s="74">
        <v>7119.1580000000004</v>
      </c>
      <c r="D142" s="74">
        <v>8782.107</v>
      </c>
      <c r="E142" s="74">
        <v>10253.629999999999</v>
      </c>
      <c r="F142" s="74">
        <v>7535.991</v>
      </c>
      <c r="G142" s="74">
        <v>7208.5590000000002</v>
      </c>
      <c r="H142" s="74">
        <v>6837.7049999999999</v>
      </c>
    </row>
    <row r="143" spans="1:8">
      <c r="A143" s="72">
        <v>46239.583333333336</v>
      </c>
      <c r="B143" s="73">
        <v>3596.663</v>
      </c>
      <c r="C143" s="74">
        <v>7088.4340000000002</v>
      </c>
      <c r="D143" s="74">
        <v>8607.9660000000003</v>
      </c>
      <c r="E143" s="74">
        <v>10483.61</v>
      </c>
      <c r="F143" s="74">
        <v>7836.5730000000003</v>
      </c>
      <c r="G143" s="74">
        <v>7205.4880000000003</v>
      </c>
      <c r="H143" s="74">
        <v>6874.9059999999999</v>
      </c>
    </row>
    <row r="144" spans="1:8">
      <c r="A144" s="72">
        <v>46239.625</v>
      </c>
      <c r="B144" s="73">
        <v>3572.8989999999999</v>
      </c>
      <c r="C144" s="74">
        <v>6883.6019999999999</v>
      </c>
      <c r="D144" s="74">
        <v>8387.0349999999999</v>
      </c>
      <c r="E144" s="74">
        <v>10485.36</v>
      </c>
      <c r="F144" s="74">
        <v>7981.8459999999995</v>
      </c>
      <c r="G144" s="74">
        <v>7219.4970000000003</v>
      </c>
      <c r="H144" s="74">
        <v>6933.875</v>
      </c>
    </row>
    <row r="145" spans="1:8">
      <c r="A145" s="72">
        <v>46239.666666666664</v>
      </c>
      <c r="B145" s="73">
        <v>3533.0830000000001</v>
      </c>
      <c r="C145" s="74">
        <v>6839.7910000000002</v>
      </c>
      <c r="D145" s="74">
        <v>8224.125</v>
      </c>
      <c r="E145" s="74">
        <v>10668.59</v>
      </c>
      <c r="F145" s="74">
        <v>8223.8130000000001</v>
      </c>
      <c r="G145" s="74">
        <v>7218.1040000000003</v>
      </c>
      <c r="H145" s="74">
        <v>6961.9040000000005</v>
      </c>
    </row>
    <row r="146" spans="1:8">
      <c r="A146" s="72">
        <v>46239.708333333336</v>
      </c>
      <c r="B146" s="73">
        <v>3496.3339999999998</v>
      </c>
      <c r="C146" s="74">
        <v>6664.7070000000003</v>
      </c>
      <c r="D146" s="74">
        <v>8048.7120000000004</v>
      </c>
      <c r="E146" s="74">
        <v>10545.42</v>
      </c>
      <c r="F146" s="74">
        <v>8096.3389999999999</v>
      </c>
      <c r="G146" s="74">
        <v>7238.1279999999997</v>
      </c>
      <c r="H146" s="74">
        <v>7011.3140000000003</v>
      </c>
    </row>
    <row r="147" spans="1:8">
      <c r="A147" s="72">
        <v>46239.75</v>
      </c>
      <c r="B147" s="73">
        <v>3491.4540000000002</v>
      </c>
      <c r="C147" s="74">
        <v>6624.4769999999999</v>
      </c>
      <c r="D147" s="74">
        <v>7926.3590000000004</v>
      </c>
      <c r="E147" s="74">
        <v>10644.43</v>
      </c>
      <c r="F147" s="74">
        <v>8120.7079999999996</v>
      </c>
      <c r="G147" s="74">
        <v>7255.2430000000004</v>
      </c>
      <c r="H147" s="74">
        <v>7030.7219999999998</v>
      </c>
    </row>
    <row r="148" spans="1:8">
      <c r="A148" s="72">
        <v>46239.791666666664</v>
      </c>
      <c r="B148" s="73">
        <v>3581.0439999999999</v>
      </c>
      <c r="C148" s="74">
        <v>6400.7060000000001</v>
      </c>
      <c r="D148" s="74">
        <v>7754.0379999999996</v>
      </c>
      <c r="E148" s="74">
        <v>10546.42</v>
      </c>
      <c r="F148" s="74">
        <v>8154.0069999999996</v>
      </c>
      <c r="G148" s="74">
        <v>7279.9840000000004</v>
      </c>
      <c r="H148" s="74">
        <v>7071.4719999999998</v>
      </c>
    </row>
    <row r="149" spans="1:8">
      <c r="A149" s="72">
        <v>46239.833333333336</v>
      </c>
      <c r="B149" s="73">
        <v>3590.779</v>
      </c>
      <c r="C149" s="74">
        <v>6288.5550000000003</v>
      </c>
      <c r="D149" s="74">
        <v>7701.9759999999997</v>
      </c>
      <c r="E149" s="74">
        <v>10732.52</v>
      </c>
      <c r="F149" s="74">
        <v>8211.7440000000006</v>
      </c>
      <c r="G149" s="74">
        <v>7320.3450000000003</v>
      </c>
      <c r="H149" s="74">
        <v>7083.357</v>
      </c>
    </row>
    <row r="150" spans="1:8">
      <c r="A150" s="72">
        <v>46239.875</v>
      </c>
      <c r="B150" s="73">
        <v>3589.5549999999998</v>
      </c>
      <c r="C150" s="74">
        <v>6021.598</v>
      </c>
      <c r="D150" s="74">
        <v>7508.1819999999998</v>
      </c>
      <c r="E150" s="74">
        <v>10650.09</v>
      </c>
      <c r="F150" s="74">
        <v>8238.2330000000002</v>
      </c>
      <c r="G150" s="74">
        <v>7341.1149999999998</v>
      </c>
      <c r="H150" s="74">
        <v>7117.0590000000002</v>
      </c>
    </row>
    <row r="151" spans="1:8">
      <c r="A151" s="72">
        <v>46239.916666666664</v>
      </c>
      <c r="B151" s="73">
        <v>3600.8560000000002</v>
      </c>
      <c r="C151" s="74">
        <v>5885.4690000000001</v>
      </c>
      <c r="D151" s="74">
        <v>7427.4750000000004</v>
      </c>
      <c r="E151" s="74">
        <v>10758.73</v>
      </c>
      <c r="F151" s="74">
        <v>8453.1489999999994</v>
      </c>
      <c r="G151" s="74">
        <v>7401.4639999999999</v>
      </c>
      <c r="H151" s="74">
        <v>7123.5169999999998</v>
      </c>
    </row>
    <row r="152" spans="1:8">
      <c r="A152" s="72">
        <v>46239.958333333336</v>
      </c>
      <c r="B152" s="73">
        <v>3745.232</v>
      </c>
      <c r="C152" s="74">
        <v>5656.5360000000001</v>
      </c>
      <c r="D152" s="74">
        <v>7233.4059999999999</v>
      </c>
      <c r="E152" s="74">
        <v>10680.1</v>
      </c>
      <c r="F152" s="74">
        <v>8557.02</v>
      </c>
      <c r="G152" s="74">
        <v>7419.4269999999997</v>
      </c>
      <c r="H152" s="74">
        <v>7151.8789999999999</v>
      </c>
    </row>
    <row r="153" spans="1:8">
      <c r="A153" s="72">
        <v>46240</v>
      </c>
      <c r="B153" s="73">
        <v>3723.86</v>
      </c>
      <c r="C153" s="74">
        <v>5515.6629999999996</v>
      </c>
      <c r="D153" s="74">
        <v>7155.3190000000004</v>
      </c>
      <c r="E153" s="74">
        <v>10744.07</v>
      </c>
      <c r="F153" s="74">
        <v>8730.0249999999996</v>
      </c>
      <c r="G153" s="74">
        <v>7508.3950000000004</v>
      </c>
      <c r="H153" s="74">
        <v>7155.2340000000004</v>
      </c>
    </row>
    <row r="154" spans="1:8">
      <c r="A154" s="72">
        <v>46240.041666666664</v>
      </c>
      <c r="B154" s="73">
        <v>3696.0540000000001</v>
      </c>
      <c r="C154" s="74">
        <v>5311.6719999999996</v>
      </c>
      <c r="D154" s="74">
        <v>6996.0739999999996</v>
      </c>
      <c r="E154" s="74">
        <v>10536.15</v>
      </c>
      <c r="F154" s="74">
        <v>8638.8829999999998</v>
      </c>
      <c r="G154" s="74">
        <v>7533.1080000000002</v>
      </c>
      <c r="H154" s="74">
        <v>7179.4790000000003</v>
      </c>
    </row>
    <row r="155" spans="1:8">
      <c r="A155" s="72">
        <v>46240.083333333336</v>
      </c>
      <c r="B155" s="73">
        <v>3670.0259999999998</v>
      </c>
      <c r="C155" s="74">
        <v>5196.9120000000003</v>
      </c>
      <c r="D155" s="74">
        <v>6939.41</v>
      </c>
      <c r="E155" s="74">
        <v>10477.86</v>
      </c>
      <c r="F155" s="74">
        <v>8656.3060000000005</v>
      </c>
      <c r="G155" s="74">
        <v>7660.7089999999998</v>
      </c>
      <c r="H155" s="74">
        <v>7181.9639999999999</v>
      </c>
    </row>
    <row r="156" spans="1:8">
      <c r="A156" s="72">
        <v>46240.125</v>
      </c>
      <c r="B156" s="73">
        <v>3739.9720000000002</v>
      </c>
      <c r="C156" s="74">
        <v>5034.3760000000002</v>
      </c>
      <c r="D156" s="74">
        <v>6755.5559999999996</v>
      </c>
      <c r="E156" s="74">
        <v>10319.92</v>
      </c>
      <c r="F156" s="74">
        <v>8680.1139999999996</v>
      </c>
      <c r="G156" s="74">
        <v>7689.46</v>
      </c>
      <c r="H156" s="74">
        <v>7203.3559999999998</v>
      </c>
    </row>
    <row r="157" spans="1:8">
      <c r="A157" s="72">
        <v>46240.166666666664</v>
      </c>
      <c r="B157" s="73">
        <v>3729.95</v>
      </c>
      <c r="C157" s="74">
        <v>4907.4530000000004</v>
      </c>
      <c r="D157" s="74">
        <v>6683.7640000000001</v>
      </c>
      <c r="E157" s="74">
        <v>10451.35</v>
      </c>
      <c r="F157" s="74">
        <v>8721.3960000000006</v>
      </c>
      <c r="G157" s="74">
        <v>7840.8459999999995</v>
      </c>
      <c r="H157" s="74">
        <v>7208.2849999999999</v>
      </c>
    </row>
    <row r="158" spans="1:8">
      <c r="A158" s="72">
        <v>46240.208333333336</v>
      </c>
      <c r="B158" s="73">
        <v>3719.183</v>
      </c>
      <c r="C158" s="74">
        <v>4719.2790000000005</v>
      </c>
      <c r="D158" s="74">
        <v>6457.5320000000002</v>
      </c>
      <c r="E158" s="74">
        <v>10316.540000000001</v>
      </c>
      <c r="F158" s="74">
        <v>8740.3369999999995</v>
      </c>
      <c r="G158" s="74">
        <v>7862.8239999999996</v>
      </c>
      <c r="H158" s="74">
        <v>7228.5309999999999</v>
      </c>
    </row>
    <row r="159" spans="1:8">
      <c r="A159" s="72">
        <v>46240.25</v>
      </c>
      <c r="B159" s="73">
        <v>3711.7420000000002</v>
      </c>
      <c r="C159" s="74">
        <v>4609.7809999999999</v>
      </c>
      <c r="D159" s="74">
        <v>6372.692</v>
      </c>
      <c r="E159" s="74">
        <v>10312.299999999999</v>
      </c>
      <c r="F159" s="74">
        <v>8894.0020000000004</v>
      </c>
      <c r="G159" s="74">
        <v>8008.9210000000003</v>
      </c>
      <c r="H159" s="74">
        <v>7241.0720000000001</v>
      </c>
    </row>
    <row r="160" spans="1:8">
      <c r="A160" s="72">
        <v>46240.291666666664</v>
      </c>
      <c r="B160" s="73">
        <v>3754.09</v>
      </c>
      <c r="C160" s="74">
        <v>4522.3760000000002</v>
      </c>
      <c r="D160" s="74">
        <v>6169.8459999999995</v>
      </c>
      <c r="E160" s="74">
        <v>10169.219999999999</v>
      </c>
      <c r="F160" s="74">
        <v>8968.2690000000002</v>
      </c>
      <c r="G160" s="74">
        <v>8023.4759999999997</v>
      </c>
      <c r="H160" s="74">
        <v>7261.4989999999998</v>
      </c>
    </row>
    <row r="161" spans="1:8">
      <c r="A161" s="72">
        <v>46240.333333333336</v>
      </c>
      <c r="B161" s="73">
        <v>3780.145</v>
      </c>
      <c r="C161" s="74">
        <v>4432.808</v>
      </c>
      <c r="D161" s="74">
        <v>6079.4809999999998</v>
      </c>
      <c r="E161" s="74">
        <v>10133.35</v>
      </c>
      <c r="F161" s="74">
        <v>9091.9680000000008</v>
      </c>
      <c r="G161" s="74">
        <v>8155.5559999999996</v>
      </c>
      <c r="H161" s="74">
        <v>7287.558</v>
      </c>
    </row>
    <row r="162" spans="1:8">
      <c r="A162" s="72">
        <v>46240.375</v>
      </c>
      <c r="B162" s="73">
        <v>3812.48</v>
      </c>
      <c r="C162" s="74">
        <v>4317.8919999999998</v>
      </c>
      <c r="D162" s="74">
        <v>5899.1880000000001</v>
      </c>
      <c r="E162" s="74">
        <v>9904.5720000000001</v>
      </c>
      <c r="F162" s="74">
        <v>9067.7389999999996</v>
      </c>
      <c r="G162" s="74">
        <v>8172.4340000000002</v>
      </c>
      <c r="H162" s="74">
        <v>7308.4620000000004</v>
      </c>
    </row>
    <row r="163" spans="1:8">
      <c r="A163" s="72">
        <v>46240.416666666664</v>
      </c>
      <c r="B163" s="73">
        <v>3855.87</v>
      </c>
      <c r="C163" s="74">
        <v>4252</v>
      </c>
      <c r="D163" s="74">
        <v>5824.7139999999999</v>
      </c>
      <c r="E163" s="74">
        <v>9663.6319999999996</v>
      </c>
      <c r="F163" s="74">
        <v>9183.5609999999997</v>
      </c>
      <c r="G163" s="74">
        <v>8301.0190000000002</v>
      </c>
      <c r="H163" s="74">
        <v>7353.2790000000005</v>
      </c>
    </row>
    <row r="164" spans="1:8">
      <c r="A164" s="72">
        <v>46240.458333333336</v>
      </c>
      <c r="B164" s="73">
        <v>3923.5410000000002</v>
      </c>
      <c r="C164" s="74">
        <v>4220.2790000000005</v>
      </c>
      <c r="D164" s="74">
        <v>5647.1180000000004</v>
      </c>
      <c r="E164" s="74">
        <v>9484.67</v>
      </c>
      <c r="F164" s="74">
        <v>9277.3580000000002</v>
      </c>
      <c r="G164" s="74">
        <v>8320.5079999999998</v>
      </c>
      <c r="H164" s="74">
        <v>7374.6540000000005</v>
      </c>
    </row>
    <row r="165" spans="1:8">
      <c r="A165" s="72">
        <v>46240.5</v>
      </c>
      <c r="B165" s="73">
        <v>3983.3890000000001</v>
      </c>
      <c r="C165" s="74">
        <v>4161.0559999999996</v>
      </c>
      <c r="D165" s="74">
        <v>5536.3609999999999</v>
      </c>
      <c r="E165" s="74">
        <v>9542.7440000000006</v>
      </c>
      <c r="F165" s="74">
        <v>9281.9609999999993</v>
      </c>
      <c r="G165" s="74">
        <v>8446.1890000000003</v>
      </c>
      <c r="H165" s="74">
        <v>7442.2870000000003</v>
      </c>
    </row>
    <row r="166" spans="1:8">
      <c r="A166" s="72">
        <v>46240.541666666664</v>
      </c>
      <c r="B166" s="73">
        <v>4046.7919999999999</v>
      </c>
      <c r="C166" s="74">
        <v>4076.4850000000001</v>
      </c>
      <c r="D166" s="74">
        <v>5321.9459999999999</v>
      </c>
      <c r="E166" s="74">
        <v>9374.9009999999998</v>
      </c>
      <c r="F166" s="74">
        <v>9367.5079999999998</v>
      </c>
      <c r="G166" s="74">
        <v>8461.3060000000005</v>
      </c>
      <c r="H166" s="74">
        <v>7464.4539999999997</v>
      </c>
    </row>
    <row r="167" spans="1:8">
      <c r="A167" s="72">
        <v>46240.583333333336</v>
      </c>
      <c r="B167" s="73">
        <v>4097.6049999999996</v>
      </c>
      <c r="C167" s="74">
        <v>4029.424</v>
      </c>
      <c r="D167" s="74">
        <v>5208.46</v>
      </c>
      <c r="E167" s="74">
        <v>9312.3950000000004</v>
      </c>
      <c r="F167" s="74">
        <v>9504.1939999999995</v>
      </c>
      <c r="G167" s="74">
        <v>8573.1470000000008</v>
      </c>
      <c r="H167" s="74">
        <v>7556.5720000000001</v>
      </c>
    </row>
    <row r="168" spans="1:8">
      <c r="A168" s="72">
        <v>46240.625</v>
      </c>
      <c r="B168" s="73">
        <v>4160.7640000000001</v>
      </c>
      <c r="C168" s="74">
        <v>4049.3670000000002</v>
      </c>
      <c r="D168" s="74">
        <v>5063.5320000000002</v>
      </c>
      <c r="E168" s="74">
        <v>9136.8729999999996</v>
      </c>
      <c r="F168" s="74">
        <v>9632.5930000000008</v>
      </c>
      <c r="G168" s="74">
        <v>8583.86</v>
      </c>
      <c r="H168" s="74">
        <v>7579.4250000000002</v>
      </c>
    </row>
    <row r="169" spans="1:8">
      <c r="A169" s="72">
        <v>46240.666666666664</v>
      </c>
      <c r="B169" s="73">
        <v>4202.174</v>
      </c>
      <c r="C169" s="74">
        <v>4011.1759999999999</v>
      </c>
      <c r="D169" s="74">
        <v>4956.7619999999997</v>
      </c>
      <c r="E169" s="74">
        <v>9057.4500000000007</v>
      </c>
      <c r="F169" s="74">
        <v>9755.11</v>
      </c>
      <c r="G169" s="74">
        <v>8682.1839999999993</v>
      </c>
      <c r="H169" s="74">
        <v>7693.08</v>
      </c>
    </row>
    <row r="170" spans="1:8">
      <c r="A170" s="72">
        <v>46240.708333333336</v>
      </c>
      <c r="B170" s="73">
        <v>4250.8990000000003</v>
      </c>
      <c r="C170" s="74">
        <v>3963.4580000000001</v>
      </c>
      <c r="D170" s="74">
        <v>4806.04</v>
      </c>
      <c r="E170" s="74">
        <v>8845.8680000000004</v>
      </c>
      <c r="F170" s="74">
        <v>9760.4210000000003</v>
      </c>
      <c r="G170" s="74">
        <v>8697.14</v>
      </c>
      <c r="H170" s="74">
        <v>7715.4859999999999</v>
      </c>
    </row>
    <row r="171" spans="1:8">
      <c r="A171" s="72">
        <v>46240.75</v>
      </c>
      <c r="B171" s="73">
        <v>4278.7269999999999</v>
      </c>
      <c r="C171" s="74">
        <v>3938.1959999999999</v>
      </c>
      <c r="D171" s="74">
        <v>4722.4949999999999</v>
      </c>
      <c r="E171" s="74">
        <v>8625.1440000000002</v>
      </c>
      <c r="F171" s="74">
        <v>9765.8919999999998</v>
      </c>
      <c r="G171" s="74">
        <v>8794.7420000000002</v>
      </c>
      <c r="H171" s="74">
        <v>7843.0349999999999</v>
      </c>
    </row>
    <row r="172" spans="1:8">
      <c r="A172" s="72">
        <v>46240.791666666664</v>
      </c>
      <c r="B172" s="73">
        <v>4314.8789999999999</v>
      </c>
      <c r="C172" s="74">
        <v>3967.5540000000001</v>
      </c>
      <c r="D172" s="74">
        <v>4631.5969999999998</v>
      </c>
      <c r="E172" s="74">
        <v>8443.2620000000006</v>
      </c>
      <c r="F172" s="74">
        <v>9783.2060000000001</v>
      </c>
      <c r="G172" s="74">
        <v>8818.4670000000006</v>
      </c>
      <c r="H172" s="74">
        <v>7863.8289999999997</v>
      </c>
    </row>
    <row r="173" spans="1:8">
      <c r="A173" s="72">
        <v>46240.833333333336</v>
      </c>
      <c r="B173" s="73">
        <v>4333.3599999999997</v>
      </c>
      <c r="C173" s="74">
        <v>3954.3919999999998</v>
      </c>
      <c r="D173" s="74">
        <v>4544.5619999999999</v>
      </c>
      <c r="E173" s="74">
        <v>8443.6910000000007</v>
      </c>
      <c r="F173" s="74">
        <v>9827.777</v>
      </c>
      <c r="G173" s="74">
        <v>8920.8179999999993</v>
      </c>
      <c r="H173" s="74">
        <v>7996.5119999999997</v>
      </c>
    </row>
    <row r="174" spans="1:8">
      <c r="A174" s="72">
        <v>46240.875</v>
      </c>
      <c r="B174" s="73">
        <v>4357.6350000000002</v>
      </c>
      <c r="C174" s="74">
        <v>3932.53</v>
      </c>
      <c r="D174" s="74">
        <v>4413.6480000000001</v>
      </c>
      <c r="E174" s="74">
        <v>8187.5429999999997</v>
      </c>
      <c r="F174" s="74">
        <v>9878.991</v>
      </c>
      <c r="G174" s="74">
        <v>8954.4500000000007</v>
      </c>
      <c r="H174" s="74">
        <v>8015.5730000000003</v>
      </c>
    </row>
    <row r="175" spans="1:8">
      <c r="A175" s="72">
        <v>46240.916666666664</v>
      </c>
      <c r="B175" s="73">
        <v>4369.6509999999998</v>
      </c>
      <c r="C175" s="74">
        <v>3923.4409999999998</v>
      </c>
      <c r="D175" s="74">
        <v>4339.375</v>
      </c>
      <c r="E175" s="74">
        <v>8106.0640000000003</v>
      </c>
      <c r="F175" s="74">
        <v>9967.0470000000005</v>
      </c>
      <c r="G175" s="74">
        <v>9055.1219999999994</v>
      </c>
      <c r="H175" s="74">
        <v>8147.1180000000004</v>
      </c>
    </row>
    <row r="176" spans="1:8">
      <c r="A176" s="72">
        <v>46240.958333333336</v>
      </c>
      <c r="B176" s="73">
        <v>4386.3990000000003</v>
      </c>
      <c r="C176" s="74">
        <v>3966.5169999999998</v>
      </c>
      <c r="D176" s="74">
        <v>4305.4719999999998</v>
      </c>
      <c r="E176" s="74">
        <v>7923.3490000000002</v>
      </c>
      <c r="F176" s="74">
        <v>10000</v>
      </c>
      <c r="G176" s="74">
        <v>9101.8629999999994</v>
      </c>
      <c r="H176" s="74">
        <v>8164.8919999999998</v>
      </c>
    </row>
    <row r="177" spans="1:8">
      <c r="A177" s="72">
        <v>46241</v>
      </c>
      <c r="B177" s="73">
        <v>4395.183</v>
      </c>
      <c r="C177" s="74">
        <v>3968.1129999999998</v>
      </c>
      <c r="D177" s="74">
        <v>4244.88</v>
      </c>
      <c r="E177" s="74">
        <v>7833.6350000000002</v>
      </c>
      <c r="F177" s="74">
        <v>10000</v>
      </c>
      <c r="G177" s="74">
        <v>9195.6239999999998</v>
      </c>
      <c r="H177" s="74">
        <v>8291.7659999999996</v>
      </c>
    </row>
    <row r="178" spans="1:8">
      <c r="A178" s="72">
        <v>46241.041666666664</v>
      </c>
      <c r="B178" s="73">
        <v>4406.6369999999997</v>
      </c>
      <c r="C178" s="74">
        <v>3969.6790000000001</v>
      </c>
      <c r="D178" s="74">
        <v>4166.8149999999996</v>
      </c>
      <c r="E178" s="74">
        <v>7642.4719999999998</v>
      </c>
      <c r="F178" s="74">
        <v>10000</v>
      </c>
      <c r="G178" s="74">
        <v>9257.2900000000009</v>
      </c>
      <c r="H178" s="74">
        <v>8308.4509999999991</v>
      </c>
    </row>
    <row r="179" spans="1:8">
      <c r="A179" s="72">
        <v>46241.083333333336</v>
      </c>
      <c r="B179" s="73">
        <v>4413.4250000000002</v>
      </c>
      <c r="C179" s="74">
        <v>3978.6350000000002</v>
      </c>
      <c r="D179" s="74">
        <v>4123.8620000000001</v>
      </c>
      <c r="E179" s="74">
        <v>7479.9570000000003</v>
      </c>
      <c r="F179" s="74">
        <v>9932.0630000000001</v>
      </c>
      <c r="G179" s="74">
        <v>9346.3430000000008</v>
      </c>
      <c r="H179" s="74">
        <v>8428.5380000000005</v>
      </c>
    </row>
    <row r="180" spans="1:8">
      <c r="A180" s="72">
        <v>46241.125</v>
      </c>
      <c r="B180" s="73">
        <v>4421.2920000000004</v>
      </c>
      <c r="C180" s="74">
        <v>4023.8910000000001</v>
      </c>
      <c r="D180" s="74">
        <v>4121.2780000000002</v>
      </c>
      <c r="E180" s="74">
        <v>7307.4250000000002</v>
      </c>
      <c r="F180" s="74">
        <v>9888.5959999999995</v>
      </c>
      <c r="G180" s="74">
        <v>9414.6820000000007</v>
      </c>
      <c r="H180" s="74">
        <v>8444.5889999999999</v>
      </c>
    </row>
    <row r="181" spans="1:8">
      <c r="A181" s="72">
        <v>46241.166666666664</v>
      </c>
      <c r="B181" s="73">
        <v>4426.5140000000001</v>
      </c>
      <c r="C181" s="74">
        <v>4041.6849999999999</v>
      </c>
      <c r="D181" s="74">
        <v>4086.848</v>
      </c>
      <c r="E181" s="74">
        <v>7266.1819999999998</v>
      </c>
      <c r="F181" s="74">
        <v>9938.4639999999999</v>
      </c>
      <c r="G181" s="74">
        <v>9499.607</v>
      </c>
      <c r="H181" s="74">
        <v>8557.2360000000008</v>
      </c>
    </row>
    <row r="182" spans="1:8">
      <c r="A182" s="72">
        <v>46241.208333333336</v>
      </c>
      <c r="B182" s="73">
        <v>4432.42</v>
      </c>
      <c r="C182" s="74">
        <v>4058.7669999999998</v>
      </c>
      <c r="D182" s="74">
        <v>4035.2269999999999</v>
      </c>
      <c r="E182" s="74">
        <v>6228.8230000000003</v>
      </c>
      <c r="F182" s="74">
        <v>10000</v>
      </c>
      <c r="G182" s="74">
        <v>9561.5969999999998</v>
      </c>
      <c r="H182" s="74">
        <v>8574.3289999999997</v>
      </c>
    </row>
    <row r="183" spans="1:8">
      <c r="A183" s="72">
        <v>46241.25</v>
      </c>
      <c r="B183" s="73">
        <v>4436.9219999999996</v>
      </c>
      <c r="C183" s="74">
        <v>4074.0430000000001</v>
      </c>
      <c r="D183" s="74">
        <v>4008.2420000000002</v>
      </c>
      <c r="E183" s="74">
        <v>6140.768</v>
      </c>
      <c r="F183" s="74">
        <v>10000</v>
      </c>
      <c r="G183" s="74">
        <v>9635.8780000000006</v>
      </c>
      <c r="H183" s="74">
        <v>8680.884</v>
      </c>
    </row>
    <row r="184" spans="1:8">
      <c r="A184" s="72">
        <v>46241.291666666664</v>
      </c>
      <c r="B184" s="73">
        <v>4441.7969999999996</v>
      </c>
      <c r="C184" s="74">
        <v>4117.6629999999996</v>
      </c>
      <c r="D184" s="74">
        <v>4036.8310000000001</v>
      </c>
      <c r="E184" s="74">
        <v>6001.8249999999998</v>
      </c>
      <c r="F184" s="74">
        <v>10000</v>
      </c>
      <c r="G184" s="74">
        <v>9685.0450000000001</v>
      </c>
      <c r="H184" s="74">
        <v>8701.8109999999997</v>
      </c>
    </row>
    <row r="185" spans="1:8">
      <c r="A185" s="72">
        <v>46241.333333333336</v>
      </c>
      <c r="B185" s="73">
        <v>4445.9380000000001</v>
      </c>
      <c r="C185" s="74">
        <v>4134.9260000000004</v>
      </c>
      <c r="D185" s="74">
        <v>4019.0929999999998</v>
      </c>
      <c r="E185" s="74">
        <v>5915.375</v>
      </c>
      <c r="F185" s="74">
        <v>8253.6180000000004</v>
      </c>
      <c r="G185" s="74">
        <v>9745.9210000000003</v>
      </c>
      <c r="H185" s="74">
        <v>8804.4920000000002</v>
      </c>
    </row>
    <row r="186" spans="1:8">
      <c r="A186" s="72">
        <v>46241.375</v>
      </c>
      <c r="B186" s="73">
        <v>4449.5469999999996</v>
      </c>
      <c r="C186" s="74">
        <v>4155.4579999999996</v>
      </c>
      <c r="D186" s="74">
        <v>3996.5169999999998</v>
      </c>
      <c r="E186" s="74">
        <v>5766.3969999999999</v>
      </c>
      <c r="F186" s="74">
        <v>8120.5450000000001</v>
      </c>
      <c r="G186" s="74">
        <v>9784.8289999999997</v>
      </c>
      <c r="H186" s="74">
        <v>8832.2090000000007</v>
      </c>
    </row>
    <row r="187" spans="1:8">
      <c r="A187" s="72">
        <v>46241.416666666664</v>
      </c>
      <c r="B187" s="73">
        <v>4452.7879999999996</v>
      </c>
      <c r="C187" s="74">
        <v>4171.6180000000004</v>
      </c>
      <c r="D187" s="74">
        <v>3988.335</v>
      </c>
      <c r="E187" s="74">
        <v>5670.0140000000001</v>
      </c>
      <c r="F187" s="74">
        <v>8003.4690000000001</v>
      </c>
      <c r="G187" s="74">
        <v>9832.8539999999994</v>
      </c>
      <c r="H187" s="74">
        <v>8932.2060000000001</v>
      </c>
    </row>
    <row r="188" spans="1:8">
      <c r="A188" s="72">
        <v>46241.458333333336</v>
      </c>
      <c r="B188" s="73">
        <v>4456.4660000000003</v>
      </c>
      <c r="C188" s="74">
        <v>4206.3710000000001</v>
      </c>
      <c r="D188" s="74">
        <v>4022.895</v>
      </c>
      <c r="E188" s="74">
        <v>5559.8040000000001</v>
      </c>
      <c r="F188" s="74">
        <v>7894.8940000000002</v>
      </c>
      <c r="G188" s="74">
        <v>9862.982</v>
      </c>
      <c r="H188" s="74">
        <v>8968.9050000000007</v>
      </c>
    </row>
    <row r="189" spans="1:8">
      <c r="A189" s="72">
        <v>46241.5</v>
      </c>
      <c r="B189" s="73">
        <v>4459.9620000000004</v>
      </c>
      <c r="C189" s="74">
        <v>4223.6210000000001</v>
      </c>
      <c r="D189" s="74">
        <v>4024.1950000000002</v>
      </c>
      <c r="E189" s="74">
        <v>5497.3360000000002</v>
      </c>
      <c r="F189" s="74">
        <v>7883.7349999999997</v>
      </c>
      <c r="G189" s="74">
        <v>9892.1929999999993</v>
      </c>
      <c r="H189" s="74">
        <v>9065.8770000000004</v>
      </c>
    </row>
    <row r="190" spans="1:8">
      <c r="A190" s="72">
        <v>46241.541666666664</v>
      </c>
      <c r="B190" s="73">
        <v>4462.241</v>
      </c>
      <c r="C190" s="74">
        <v>4242.8419999999996</v>
      </c>
      <c r="D190" s="74">
        <v>4020.6219999999998</v>
      </c>
      <c r="E190" s="74">
        <v>5074.4139999999998</v>
      </c>
      <c r="F190" s="74">
        <v>7501.3789999999999</v>
      </c>
      <c r="G190" s="74">
        <v>9911.8510000000006</v>
      </c>
      <c r="H190" s="74">
        <v>9112.0110000000004</v>
      </c>
    </row>
    <row r="191" spans="1:8">
      <c r="A191" s="72">
        <v>46241.583333333336</v>
      </c>
      <c r="B191" s="73">
        <v>4464.433</v>
      </c>
      <c r="C191" s="74">
        <v>4256.3860000000004</v>
      </c>
      <c r="D191" s="74">
        <v>4022.723</v>
      </c>
      <c r="E191" s="74">
        <v>5001.4870000000001</v>
      </c>
      <c r="F191" s="74">
        <v>7466.9740000000002</v>
      </c>
      <c r="G191" s="74">
        <v>9906.6880000000001</v>
      </c>
      <c r="H191" s="74">
        <v>9204.8700000000008</v>
      </c>
    </row>
    <row r="192" spans="1:8">
      <c r="A192" s="72">
        <v>46241.625</v>
      </c>
      <c r="B192" s="73">
        <v>4466.1440000000002</v>
      </c>
      <c r="C192" s="74">
        <v>4283.1030000000001</v>
      </c>
      <c r="D192" s="74">
        <v>4063.598</v>
      </c>
      <c r="E192" s="74">
        <v>4928.4260000000004</v>
      </c>
      <c r="F192" s="74">
        <v>7381.7150000000001</v>
      </c>
      <c r="G192" s="74">
        <v>9916.5429999999997</v>
      </c>
      <c r="H192" s="74">
        <v>9258.2420000000002</v>
      </c>
    </row>
    <row r="193" spans="1:8">
      <c r="A193" s="72">
        <v>46241.666666666664</v>
      </c>
      <c r="B193" s="73">
        <v>4467.8119999999999</v>
      </c>
      <c r="C193" s="74">
        <v>4295.9449999999997</v>
      </c>
      <c r="D193" s="74">
        <v>4071.6060000000002</v>
      </c>
      <c r="E193" s="74">
        <v>4862.7849999999999</v>
      </c>
      <c r="F193" s="74">
        <v>6570.1120000000001</v>
      </c>
      <c r="G193" s="74">
        <v>9838.2450000000008</v>
      </c>
      <c r="H193" s="74">
        <v>9345.59</v>
      </c>
    </row>
    <row r="194" spans="1:8">
      <c r="A194" s="72">
        <v>46241.708333333336</v>
      </c>
      <c r="B194" s="73">
        <v>4469.4790000000003</v>
      </c>
      <c r="C194" s="74">
        <v>4311.2430000000004</v>
      </c>
      <c r="D194" s="74">
        <v>4080.9029999999998</v>
      </c>
      <c r="E194" s="74">
        <v>4763.2269999999999</v>
      </c>
      <c r="F194" s="74">
        <v>6438.6580000000004</v>
      </c>
      <c r="G194" s="74">
        <v>9839.3410000000003</v>
      </c>
      <c r="H194" s="74">
        <v>9401.6180000000004</v>
      </c>
    </row>
    <row r="195" spans="1:8">
      <c r="A195" s="72">
        <v>46241.75</v>
      </c>
      <c r="B195" s="73">
        <v>4471.1279999999997</v>
      </c>
      <c r="C195" s="74">
        <v>4322.1689999999999</v>
      </c>
      <c r="D195" s="74">
        <v>4092.009</v>
      </c>
      <c r="E195" s="74">
        <v>4705.8119999999999</v>
      </c>
      <c r="F195" s="74">
        <v>6343.33</v>
      </c>
      <c r="G195" s="74">
        <v>9618.9509999999991</v>
      </c>
      <c r="H195" s="74">
        <v>9481.5120000000006</v>
      </c>
    </row>
    <row r="196" spans="1:8">
      <c r="A196" s="72">
        <v>46241.791666666664</v>
      </c>
      <c r="B196" s="73">
        <v>4472.5619999999999</v>
      </c>
      <c r="C196" s="74">
        <v>4341.058</v>
      </c>
      <c r="D196" s="74">
        <v>4129.7560000000003</v>
      </c>
      <c r="E196" s="74">
        <v>4660.5370000000003</v>
      </c>
      <c r="F196" s="74">
        <v>6248.7479999999996</v>
      </c>
      <c r="G196" s="74">
        <v>9602.0650000000005</v>
      </c>
      <c r="H196" s="74">
        <v>9535.0290000000005</v>
      </c>
    </row>
    <row r="197" spans="1:8">
      <c r="A197" s="72">
        <v>46241.833333333336</v>
      </c>
      <c r="B197" s="73">
        <v>4473.9859999999999</v>
      </c>
      <c r="C197" s="74">
        <v>4351.5240000000003</v>
      </c>
      <c r="D197" s="74">
        <v>4145.6419999999998</v>
      </c>
      <c r="E197" s="74">
        <v>4615.9799999999996</v>
      </c>
      <c r="F197" s="74">
        <v>6210.12</v>
      </c>
      <c r="G197" s="74">
        <v>9214.2160000000003</v>
      </c>
      <c r="H197" s="74">
        <v>9604.8590000000004</v>
      </c>
    </row>
    <row r="198" spans="1:8">
      <c r="A198" s="72">
        <v>46241.875</v>
      </c>
      <c r="B198" s="73">
        <v>4475.3980000000001</v>
      </c>
      <c r="C198" s="74">
        <v>4363.0839999999998</v>
      </c>
      <c r="D198" s="74">
        <v>4161.8530000000001</v>
      </c>
      <c r="E198" s="74">
        <v>4447.402</v>
      </c>
      <c r="F198" s="74">
        <v>5861.5290000000005</v>
      </c>
      <c r="G198" s="74">
        <v>9159.9979999999996</v>
      </c>
      <c r="H198" s="74">
        <v>9652.0079999999998</v>
      </c>
    </row>
    <row r="199" spans="1:8">
      <c r="A199" s="72">
        <v>46241.916666666664</v>
      </c>
      <c r="B199" s="73">
        <v>4476.8059999999996</v>
      </c>
      <c r="C199" s="74">
        <v>4371.2110000000002</v>
      </c>
      <c r="D199" s="74">
        <v>4174.9430000000002</v>
      </c>
      <c r="E199" s="74">
        <v>4403.8459999999995</v>
      </c>
      <c r="F199" s="74">
        <v>5810.1790000000001</v>
      </c>
      <c r="G199" s="74">
        <v>8708.7870000000003</v>
      </c>
      <c r="H199" s="74">
        <v>9708.0229999999992</v>
      </c>
    </row>
    <row r="200" spans="1:8">
      <c r="A200" s="72">
        <v>46241.958333333336</v>
      </c>
      <c r="B200" s="73">
        <v>4478.2030000000004</v>
      </c>
      <c r="C200" s="74">
        <v>4384.5140000000001</v>
      </c>
      <c r="D200" s="74">
        <v>4208.4989999999998</v>
      </c>
      <c r="E200" s="74">
        <v>4389.3590000000004</v>
      </c>
      <c r="F200" s="74">
        <v>5745.9650000000001</v>
      </c>
      <c r="G200" s="74">
        <v>8604.3439999999991</v>
      </c>
      <c r="H200" s="74">
        <v>9746.7340000000004</v>
      </c>
    </row>
    <row r="201" spans="1:8">
      <c r="A201" s="72">
        <v>46242</v>
      </c>
      <c r="B201" s="73">
        <v>4479.5969999999998</v>
      </c>
      <c r="C201" s="74">
        <v>4391.8909999999996</v>
      </c>
      <c r="D201" s="74">
        <v>4222.4359999999997</v>
      </c>
      <c r="E201" s="74">
        <v>4354.0910000000003</v>
      </c>
      <c r="F201" s="74">
        <v>5400.89</v>
      </c>
      <c r="G201" s="74">
        <v>8219.8639999999996</v>
      </c>
      <c r="H201" s="74">
        <v>9781.9850000000006</v>
      </c>
    </row>
    <row r="202" spans="1:8">
      <c r="A202" s="72">
        <v>46242.041666666664</v>
      </c>
      <c r="B202" s="73">
        <v>4480.732</v>
      </c>
      <c r="C202" s="74">
        <v>4400.2290000000003</v>
      </c>
      <c r="D202" s="74">
        <v>4238.9660000000003</v>
      </c>
      <c r="E202" s="74">
        <v>4303.5330000000004</v>
      </c>
      <c r="F202" s="74">
        <v>5300.4030000000002</v>
      </c>
      <c r="G202" s="74">
        <v>8071.6509999999998</v>
      </c>
      <c r="H202" s="74">
        <v>9811.2639999999992</v>
      </c>
    </row>
    <row r="203" spans="1:8">
      <c r="A203" s="72">
        <v>46242.083333333336</v>
      </c>
      <c r="B203" s="73">
        <v>4481.8649999999998</v>
      </c>
      <c r="C203" s="74">
        <v>4406.3580000000002</v>
      </c>
      <c r="D203" s="74">
        <v>4251.7</v>
      </c>
      <c r="E203" s="74">
        <v>4277.5389999999998</v>
      </c>
      <c r="F203" s="74">
        <v>5235.6880000000001</v>
      </c>
      <c r="G203" s="74">
        <v>7756.2520000000004</v>
      </c>
      <c r="H203" s="74">
        <v>9812.223</v>
      </c>
    </row>
    <row r="204" spans="1:8">
      <c r="A204" s="72">
        <v>46242.125</v>
      </c>
      <c r="B204" s="73">
        <v>4482.88</v>
      </c>
      <c r="C204" s="74">
        <v>4415.576</v>
      </c>
      <c r="D204" s="74">
        <v>4277.6180000000004</v>
      </c>
      <c r="E204" s="74">
        <v>4278.6540000000005</v>
      </c>
      <c r="F204" s="74">
        <v>5182.1949999999997</v>
      </c>
      <c r="G204" s="74">
        <v>7589.6130000000003</v>
      </c>
      <c r="H204" s="74">
        <v>9831.1440000000002</v>
      </c>
    </row>
    <row r="205" spans="1:8">
      <c r="A205" s="72">
        <v>46242.166666666664</v>
      </c>
      <c r="B205" s="73">
        <v>4483.8950000000004</v>
      </c>
      <c r="C205" s="74">
        <v>4421.3869999999997</v>
      </c>
      <c r="D205" s="74">
        <v>4290.8850000000002</v>
      </c>
      <c r="E205" s="74">
        <v>4261.0789999999997</v>
      </c>
      <c r="F205" s="74">
        <v>5146.1469999999999</v>
      </c>
      <c r="G205" s="74">
        <v>7294.1030000000001</v>
      </c>
      <c r="H205" s="74">
        <v>9776.0959999999995</v>
      </c>
    </row>
    <row r="206" spans="1:8">
      <c r="A206" s="72">
        <v>46242.208333333336</v>
      </c>
      <c r="B206" s="73">
        <v>4484.6289999999999</v>
      </c>
      <c r="C206" s="74">
        <v>4427.3050000000003</v>
      </c>
      <c r="D206" s="74">
        <v>4305.4840000000004</v>
      </c>
      <c r="E206" s="74">
        <v>4202.0140000000001</v>
      </c>
      <c r="F206" s="74">
        <v>4933.7420000000002</v>
      </c>
      <c r="G206" s="74">
        <v>7130.7659999999996</v>
      </c>
      <c r="H206" s="74">
        <v>9782.5400000000009</v>
      </c>
    </row>
    <row r="207" spans="1:8">
      <c r="A207" s="72">
        <v>46242.25</v>
      </c>
      <c r="B207" s="73">
        <v>4485.3630000000003</v>
      </c>
      <c r="C207" s="74">
        <v>4431.7209999999995</v>
      </c>
      <c r="D207" s="74">
        <v>4315.8850000000002</v>
      </c>
      <c r="E207" s="74">
        <v>4185.8959999999997</v>
      </c>
      <c r="F207" s="74">
        <v>4893.5309999999999</v>
      </c>
      <c r="G207" s="74">
        <v>6857.7280000000001</v>
      </c>
      <c r="H207" s="74">
        <v>9647.3539999999994</v>
      </c>
    </row>
    <row r="208" spans="1:8">
      <c r="A208" s="72">
        <v>46242.291666666664</v>
      </c>
      <c r="B208" s="73">
        <v>4485.9449999999997</v>
      </c>
      <c r="C208" s="74">
        <v>4437.8710000000001</v>
      </c>
      <c r="D208" s="74">
        <v>4335.4859999999999</v>
      </c>
      <c r="E208" s="74">
        <v>4203.4989999999998</v>
      </c>
      <c r="F208" s="74">
        <v>4867.3620000000001</v>
      </c>
      <c r="G208" s="74">
        <v>6695.9579999999996</v>
      </c>
      <c r="H208" s="74">
        <v>9636.6450000000004</v>
      </c>
    </row>
    <row r="209" spans="1:8">
      <c r="A209" s="72">
        <v>46242.333333333336</v>
      </c>
      <c r="B209" s="73">
        <v>4486.527</v>
      </c>
      <c r="C209" s="74">
        <v>4441.768</v>
      </c>
      <c r="D209" s="74">
        <v>4345.2749999999996</v>
      </c>
      <c r="E209" s="74">
        <v>4193.5140000000001</v>
      </c>
      <c r="F209" s="74">
        <v>4718.9690000000001</v>
      </c>
      <c r="G209" s="74">
        <v>6477.1210000000001</v>
      </c>
      <c r="H209" s="74">
        <v>9409.9519999999993</v>
      </c>
    </row>
    <row r="210" spans="1:8">
      <c r="A210" s="72">
        <v>46242.375</v>
      </c>
      <c r="B210" s="73">
        <v>4487.0590000000002</v>
      </c>
      <c r="C210" s="74">
        <v>4445.9579999999996</v>
      </c>
      <c r="D210" s="74">
        <v>4356.7030000000004</v>
      </c>
      <c r="E210" s="74">
        <v>4178.5450000000001</v>
      </c>
      <c r="F210" s="74">
        <v>4657.4589999999998</v>
      </c>
      <c r="G210" s="74">
        <v>6312.1559999999999</v>
      </c>
      <c r="H210" s="74">
        <v>9374.9580000000005</v>
      </c>
    </row>
    <row r="211" spans="1:8">
      <c r="A211" s="72">
        <v>46242.416666666664</v>
      </c>
      <c r="B211" s="73">
        <v>4487.59</v>
      </c>
      <c r="C211" s="74">
        <v>4449.2460000000001</v>
      </c>
      <c r="D211" s="74">
        <v>4365.0200000000004</v>
      </c>
      <c r="E211" s="74">
        <v>4174.0190000000002</v>
      </c>
      <c r="F211" s="74">
        <v>4621.5550000000003</v>
      </c>
      <c r="G211" s="74">
        <v>6138.018</v>
      </c>
      <c r="H211" s="74">
        <v>9071.8780000000006</v>
      </c>
    </row>
    <row r="212" spans="1:8">
      <c r="A212" s="72">
        <v>46242.458333333336</v>
      </c>
      <c r="B212" s="73">
        <v>4488.05</v>
      </c>
      <c r="C212" s="74">
        <v>4453.5590000000002</v>
      </c>
      <c r="D212" s="74">
        <v>4378.9260000000004</v>
      </c>
      <c r="E212" s="74">
        <v>4195.6670000000004</v>
      </c>
      <c r="F212" s="74">
        <v>4606.4440000000004</v>
      </c>
      <c r="G212" s="74">
        <v>5980.3</v>
      </c>
      <c r="H212" s="74">
        <v>9005.9789999999994</v>
      </c>
    </row>
    <row r="213" spans="1:8">
      <c r="A213" s="72">
        <v>46242.5</v>
      </c>
      <c r="B213" s="73">
        <v>4488.509</v>
      </c>
      <c r="C213" s="74">
        <v>4456.616</v>
      </c>
      <c r="D213" s="74">
        <v>4386.9210000000003</v>
      </c>
      <c r="E213" s="74">
        <v>4196.7479999999996</v>
      </c>
      <c r="F213" s="74">
        <v>4586.0839999999998</v>
      </c>
      <c r="G213" s="74">
        <v>5825.0659999999998</v>
      </c>
      <c r="H213" s="74">
        <v>8663.4770000000008</v>
      </c>
    </row>
    <row r="214" spans="1:8">
      <c r="A214" s="72">
        <v>46242.541666666664</v>
      </c>
      <c r="B214" s="73">
        <v>4489.21</v>
      </c>
      <c r="C214" s="74">
        <v>4459.5969999999998</v>
      </c>
      <c r="D214" s="74">
        <v>4395.5050000000001</v>
      </c>
      <c r="E214" s="74">
        <v>4184.924</v>
      </c>
      <c r="F214" s="74">
        <v>4479.05</v>
      </c>
      <c r="G214" s="74">
        <v>5687.8329999999996</v>
      </c>
      <c r="H214" s="74">
        <v>8564.8670000000002</v>
      </c>
    </row>
    <row r="215" spans="1:8">
      <c r="A215" s="72">
        <v>46242.583333333336</v>
      </c>
      <c r="B215" s="73">
        <v>4489.9110000000001</v>
      </c>
      <c r="C215" s="74">
        <v>4462.0020000000004</v>
      </c>
      <c r="D215" s="74">
        <v>4401.683</v>
      </c>
      <c r="E215" s="74">
        <v>4185.4269999999997</v>
      </c>
      <c r="F215" s="74">
        <v>4457.5200000000004</v>
      </c>
      <c r="G215" s="74">
        <v>5548.7240000000002</v>
      </c>
      <c r="H215" s="74">
        <v>8220.4249999999993</v>
      </c>
    </row>
    <row r="216" spans="1:8">
      <c r="A216" s="72">
        <v>46242.625</v>
      </c>
      <c r="B216" s="73">
        <v>4490.6689999999999</v>
      </c>
      <c r="C216" s="74">
        <v>4464.9459999999999</v>
      </c>
      <c r="D216" s="74">
        <v>4411.4059999999999</v>
      </c>
      <c r="E216" s="74">
        <v>4211.45</v>
      </c>
      <c r="F216" s="74">
        <v>4460.259</v>
      </c>
      <c r="G216" s="74">
        <v>5428.6859999999997</v>
      </c>
      <c r="H216" s="74">
        <v>8094.0110000000004</v>
      </c>
    </row>
    <row r="217" spans="1:8">
      <c r="A217" s="72">
        <v>46242.666666666664</v>
      </c>
      <c r="B217" s="73">
        <v>4491.4269999999997</v>
      </c>
      <c r="C217" s="74">
        <v>4467.0879999999997</v>
      </c>
      <c r="D217" s="74">
        <v>4416.9830000000002</v>
      </c>
      <c r="E217" s="74">
        <v>4215.1149999999998</v>
      </c>
      <c r="F217" s="74">
        <v>4400.2780000000002</v>
      </c>
      <c r="G217" s="74">
        <v>5316.0919999999996</v>
      </c>
      <c r="H217" s="74">
        <v>7770.1390000000001</v>
      </c>
    </row>
    <row r="218" spans="1:8">
      <c r="A218" s="72">
        <v>46242.708333333336</v>
      </c>
      <c r="B218" s="73">
        <v>4492.0770000000002</v>
      </c>
      <c r="C218" s="74">
        <v>4469.232</v>
      </c>
      <c r="D218" s="74">
        <v>4423.1940000000004</v>
      </c>
      <c r="E218" s="74">
        <v>4218.4030000000002</v>
      </c>
      <c r="F218" s="74">
        <v>4371.6549999999997</v>
      </c>
      <c r="G218" s="74">
        <v>5206.42</v>
      </c>
      <c r="H218" s="74">
        <v>7625.0460000000003</v>
      </c>
    </row>
    <row r="219" spans="1:8">
      <c r="A219" s="72">
        <v>46242.75</v>
      </c>
      <c r="B219" s="73">
        <v>4492.7269999999999</v>
      </c>
      <c r="C219" s="74">
        <v>4471.0429999999997</v>
      </c>
      <c r="D219" s="74">
        <v>4427.8639999999996</v>
      </c>
      <c r="E219" s="74">
        <v>4223.8580000000002</v>
      </c>
      <c r="F219" s="74">
        <v>4357.3850000000002</v>
      </c>
      <c r="G219" s="74">
        <v>5115.723</v>
      </c>
      <c r="H219" s="74">
        <v>7331.3590000000004</v>
      </c>
    </row>
    <row r="220" spans="1:8">
      <c r="A220" s="72">
        <v>46242.791666666664</v>
      </c>
      <c r="B220" s="73">
        <v>4493.3639999999996</v>
      </c>
      <c r="C220" s="74">
        <v>4473.1409999999996</v>
      </c>
      <c r="D220" s="74">
        <v>4434.6459999999997</v>
      </c>
      <c r="E220" s="74">
        <v>4247.4979999999996</v>
      </c>
      <c r="F220" s="74">
        <v>4365.3779999999997</v>
      </c>
      <c r="G220" s="74">
        <v>5018.7340000000004</v>
      </c>
      <c r="H220" s="74">
        <v>7176.5349999999999</v>
      </c>
    </row>
    <row r="221" spans="1:8">
      <c r="A221" s="72">
        <v>46242.833333333336</v>
      </c>
      <c r="B221" s="73">
        <v>4494.0020000000004</v>
      </c>
      <c r="C221" s="74">
        <v>4474.799</v>
      </c>
      <c r="D221" s="74">
        <v>4439.049</v>
      </c>
      <c r="E221" s="74">
        <v>4255.7290000000003</v>
      </c>
      <c r="F221" s="74">
        <v>4359.8779999999997</v>
      </c>
      <c r="G221" s="74">
        <v>4939.509</v>
      </c>
      <c r="H221" s="74">
        <v>6917.4449999999997</v>
      </c>
    </row>
    <row r="222" spans="1:8">
      <c r="A222" s="72">
        <v>46242.875</v>
      </c>
      <c r="B222" s="73">
        <v>4494.6390000000001</v>
      </c>
      <c r="C222" s="74">
        <v>4476.3779999999997</v>
      </c>
      <c r="D222" s="74">
        <v>4443.4939999999997</v>
      </c>
      <c r="E222" s="74">
        <v>4260.6440000000002</v>
      </c>
      <c r="F222" s="74">
        <v>4315.3599999999997</v>
      </c>
      <c r="G222" s="74">
        <v>4860.585</v>
      </c>
      <c r="H222" s="74">
        <v>6759.6890000000003</v>
      </c>
    </row>
    <row r="223" spans="1:8">
      <c r="A223" s="72">
        <v>46242.916666666664</v>
      </c>
      <c r="B223" s="73">
        <v>4495.2759999999998</v>
      </c>
      <c r="C223" s="74">
        <v>4477.7510000000002</v>
      </c>
      <c r="D223" s="74">
        <v>4446.8909999999996</v>
      </c>
      <c r="E223" s="74">
        <v>4267.116</v>
      </c>
      <c r="F223" s="74">
        <v>4308.7809999999999</v>
      </c>
      <c r="G223" s="74">
        <v>4791.5720000000001</v>
      </c>
      <c r="H223" s="74">
        <v>6536.2579999999998</v>
      </c>
    </row>
    <row r="224" spans="1:8">
      <c r="A224" s="72">
        <v>46242.958333333336</v>
      </c>
      <c r="B224" s="73">
        <v>4495.8370000000004</v>
      </c>
      <c r="C224" s="74">
        <v>4479.2579999999998</v>
      </c>
      <c r="D224" s="74">
        <v>4451.4799999999996</v>
      </c>
      <c r="E224" s="74">
        <v>4288.99</v>
      </c>
      <c r="F224" s="74">
        <v>4324.9040000000005</v>
      </c>
      <c r="G224" s="74">
        <v>4727.6260000000002</v>
      </c>
      <c r="H224" s="74">
        <v>6381.21</v>
      </c>
    </row>
    <row r="225" spans="1:8">
      <c r="A225" s="72">
        <v>46243</v>
      </c>
      <c r="B225" s="73">
        <v>4496.3980000000001</v>
      </c>
      <c r="C225" s="74">
        <v>4480.491</v>
      </c>
      <c r="D225" s="74">
        <v>4454.4939999999997</v>
      </c>
      <c r="E225" s="74">
        <v>4296.4229999999998</v>
      </c>
      <c r="F225" s="74">
        <v>4305</v>
      </c>
      <c r="G225" s="74">
        <v>4672.5450000000001</v>
      </c>
      <c r="H225" s="74">
        <v>6190.5010000000002</v>
      </c>
    </row>
    <row r="226" spans="1:8">
      <c r="A226" s="72">
        <v>46243.041666666664</v>
      </c>
      <c r="B226" s="73">
        <v>4496.8980000000001</v>
      </c>
      <c r="C226" s="74">
        <v>4481.6639999999998</v>
      </c>
      <c r="D226" s="74">
        <v>4457.6679999999997</v>
      </c>
      <c r="E226" s="74">
        <v>4304.78</v>
      </c>
      <c r="F226" s="74">
        <v>4297.2049999999999</v>
      </c>
      <c r="G226" s="74">
        <v>4618.7650000000003</v>
      </c>
      <c r="H226" s="74">
        <v>6043.3119999999999</v>
      </c>
    </row>
    <row r="227" spans="1:8">
      <c r="A227" s="72">
        <v>46243.083333333336</v>
      </c>
      <c r="B227" s="73">
        <v>4497.3990000000003</v>
      </c>
      <c r="C227" s="74">
        <v>4482.7209999999995</v>
      </c>
      <c r="D227" s="74">
        <v>4460.2129999999997</v>
      </c>
      <c r="E227" s="74">
        <v>4312.0619999999999</v>
      </c>
      <c r="F227" s="74">
        <v>4295.5069999999996</v>
      </c>
      <c r="G227" s="74">
        <v>4575.3649999999998</v>
      </c>
      <c r="H227" s="74">
        <v>5880.652</v>
      </c>
    </row>
    <row r="228" spans="1:8">
      <c r="A228" s="72">
        <v>46243.125</v>
      </c>
      <c r="B228" s="73">
        <v>4497.7820000000002</v>
      </c>
      <c r="C228" s="74">
        <v>4483.8310000000001</v>
      </c>
      <c r="D228" s="74">
        <v>4463.4470000000001</v>
      </c>
      <c r="E228" s="74">
        <v>4329.7169999999996</v>
      </c>
      <c r="F228" s="74">
        <v>4311.7560000000003</v>
      </c>
      <c r="G228" s="74">
        <v>4531.4690000000001</v>
      </c>
      <c r="H228" s="74">
        <v>5744.9920000000002</v>
      </c>
    </row>
    <row r="229" spans="1:8">
      <c r="A229" s="72">
        <v>46243.166666666664</v>
      </c>
      <c r="B229" s="73">
        <v>4498.1639999999998</v>
      </c>
      <c r="C229" s="74">
        <v>4484.7929999999997</v>
      </c>
      <c r="D229" s="74">
        <v>4465.8050000000003</v>
      </c>
      <c r="E229" s="74">
        <v>4337.9139999999998</v>
      </c>
      <c r="F229" s="74">
        <v>4314.7070000000003</v>
      </c>
      <c r="G229" s="74">
        <v>4495.2939999999999</v>
      </c>
      <c r="H229" s="74">
        <v>5606.6530000000002</v>
      </c>
    </row>
    <row r="230" spans="1:8">
      <c r="A230" s="72">
        <v>46243.208333333336</v>
      </c>
      <c r="B230" s="73">
        <v>4498.4650000000001</v>
      </c>
      <c r="C230" s="74">
        <v>4485.7809999999999</v>
      </c>
      <c r="D230" s="74">
        <v>4468.1009999999997</v>
      </c>
      <c r="E230" s="74">
        <v>4345.5600000000004</v>
      </c>
      <c r="F230" s="74">
        <v>4301.2709999999997</v>
      </c>
      <c r="G230" s="74">
        <v>4462.8980000000001</v>
      </c>
      <c r="H230" s="74">
        <v>5484.1620000000003</v>
      </c>
    </row>
    <row r="231" spans="1:8">
      <c r="A231" s="72">
        <v>46243.25</v>
      </c>
      <c r="B231" s="73">
        <v>4498.7650000000003</v>
      </c>
      <c r="C231" s="74">
        <v>4486.6980000000003</v>
      </c>
      <c r="D231" s="74">
        <v>4469.9949999999999</v>
      </c>
      <c r="E231" s="74">
        <v>4351.982</v>
      </c>
      <c r="F231" s="74">
        <v>4302.7190000000001</v>
      </c>
      <c r="G231" s="74">
        <v>4433.1540000000005</v>
      </c>
      <c r="H231" s="74">
        <v>5367.2830000000004</v>
      </c>
    </row>
    <row r="232" spans="1:8">
      <c r="A232" s="72">
        <v>46243.291666666664</v>
      </c>
      <c r="B232" s="73">
        <v>4498.973</v>
      </c>
      <c r="C232" s="74">
        <v>4487.6459999999997</v>
      </c>
      <c r="D232" s="74">
        <v>4472.25</v>
      </c>
      <c r="E232" s="74">
        <v>4366.3689999999997</v>
      </c>
      <c r="F232" s="74">
        <v>4320.6549999999997</v>
      </c>
      <c r="G232" s="74">
        <v>4409.9660000000003</v>
      </c>
      <c r="H232" s="74">
        <v>5258.5389999999998</v>
      </c>
    </row>
    <row r="233" spans="1:8">
      <c r="A233" s="72">
        <v>46243.333333333336</v>
      </c>
      <c r="B233" s="73">
        <v>4499.1809999999996</v>
      </c>
      <c r="C233" s="74">
        <v>4488.5010000000002</v>
      </c>
      <c r="D233" s="74">
        <v>4473.9440000000004</v>
      </c>
      <c r="E233" s="74">
        <v>4372.7690000000002</v>
      </c>
      <c r="F233" s="74">
        <v>4317.3530000000001</v>
      </c>
      <c r="G233" s="74">
        <v>4387.7250000000004</v>
      </c>
      <c r="H233" s="74">
        <v>5160.1149999999998</v>
      </c>
    </row>
    <row r="234" spans="1:8">
      <c r="A234" s="72">
        <v>46243.375</v>
      </c>
      <c r="B234" s="73">
        <v>4499.33</v>
      </c>
      <c r="C234" s="74">
        <v>4489.2790000000005</v>
      </c>
      <c r="D234" s="74">
        <v>4475.616</v>
      </c>
      <c r="E234" s="74">
        <v>4379.9939999999997</v>
      </c>
      <c r="F234" s="74">
        <v>4319.2460000000001</v>
      </c>
      <c r="G234" s="74">
        <v>4370.8779999999997</v>
      </c>
      <c r="H234" s="74">
        <v>5065.4859999999999</v>
      </c>
    </row>
    <row r="235" spans="1:8">
      <c r="A235" s="72">
        <v>46243.416666666664</v>
      </c>
      <c r="B235" s="73">
        <v>4499.4790000000003</v>
      </c>
      <c r="C235" s="74">
        <v>4490.018</v>
      </c>
      <c r="D235" s="74">
        <v>4477.0559999999996</v>
      </c>
      <c r="E235" s="74">
        <v>4385.7340000000004</v>
      </c>
      <c r="F235" s="74">
        <v>4322.723</v>
      </c>
      <c r="G235" s="74">
        <v>4354.8059999999996</v>
      </c>
      <c r="H235" s="74">
        <v>4982.6580000000004</v>
      </c>
    </row>
    <row r="236" spans="1:8">
      <c r="A236" s="72">
        <v>46243.458333333336</v>
      </c>
      <c r="B236" s="73">
        <v>4499.5739999999996</v>
      </c>
      <c r="C236" s="74">
        <v>4490.7340000000004</v>
      </c>
      <c r="D236" s="74">
        <v>4478.6790000000001</v>
      </c>
      <c r="E236" s="74">
        <v>4396.6220000000003</v>
      </c>
      <c r="F236" s="74">
        <v>4338.2749999999996</v>
      </c>
      <c r="G236" s="74">
        <v>4343.4849999999997</v>
      </c>
      <c r="H236" s="74">
        <v>4902.0550000000003</v>
      </c>
    </row>
    <row r="237" spans="1:8">
      <c r="A237" s="72">
        <v>46243.5</v>
      </c>
      <c r="B237" s="73">
        <v>4499.67</v>
      </c>
      <c r="C237" s="74">
        <v>4491.4030000000002</v>
      </c>
      <c r="D237" s="74">
        <v>4479.9960000000001</v>
      </c>
      <c r="E237" s="74">
        <v>4402.4949999999999</v>
      </c>
      <c r="F237" s="74">
        <v>4343.92</v>
      </c>
      <c r="G237" s="74">
        <v>4331.4409999999998</v>
      </c>
      <c r="H237" s="74">
        <v>4832.7439999999997</v>
      </c>
    </row>
    <row r="238" spans="1:8">
      <c r="A238" s="72">
        <v>46243.541666666664</v>
      </c>
      <c r="B238" s="73">
        <v>4499.7340000000004</v>
      </c>
      <c r="C238" s="74">
        <v>4492.0730000000003</v>
      </c>
      <c r="D238" s="74">
        <v>4481.2860000000001</v>
      </c>
      <c r="E238" s="74">
        <v>4408.3530000000001</v>
      </c>
      <c r="F238" s="74">
        <v>4343.058</v>
      </c>
      <c r="G238" s="74">
        <v>4325.8680000000004</v>
      </c>
      <c r="H238" s="74">
        <v>4765.3289999999997</v>
      </c>
    </row>
    <row r="239" spans="1:8">
      <c r="A239" s="72">
        <v>46243.583333333336</v>
      </c>
      <c r="B239" s="73">
        <v>4499.799</v>
      </c>
      <c r="C239" s="74">
        <v>4492.72</v>
      </c>
      <c r="D239" s="74">
        <v>4482.4309999999996</v>
      </c>
      <c r="E239" s="74">
        <v>4412.942</v>
      </c>
      <c r="F239" s="74">
        <v>4347.1469999999999</v>
      </c>
      <c r="G239" s="74">
        <v>4317.2659999999996</v>
      </c>
      <c r="H239" s="74">
        <v>4707.96</v>
      </c>
    </row>
    <row r="240" spans="1:8">
      <c r="A240" s="72">
        <v>46243.625</v>
      </c>
      <c r="B240" s="73">
        <v>4499.8379999999997</v>
      </c>
      <c r="C240" s="74">
        <v>4493.3320000000003</v>
      </c>
      <c r="D240" s="74">
        <v>4483.665</v>
      </c>
      <c r="E240" s="74">
        <v>4421.1809999999996</v>
      </c>
      <c r="F240" s="74">
        <v>4361.4769999999999</v>
      </c>
      <c r="G240" s="74">
        <v>4315.982</v>
      </c>
      <c r="H240" s="74">
        <v>4652.576</v>
      </c>
    </row>
    <row r="241" spans="1:8">
      <c r="A241" s="72">
        <v>46243.666666666664</v>
      </c>
      <c r="B241" s="73">
        <v>4499.8770000000004</v>
      </c>
      <c r="C241" s="74">
        <v>4493.9139999999998</v>
      </c>
      <c r="D241" s="74">
        <v>4484.7060000000001</v>
      </c>
      <c r="E241" s="74">
        <v>4425.5029999999997</v>
      </c>
      <c r="F241" s="74">
        <v>4363.67</v>
      </c>
      <c r="G241" s="74">
        <v>4310.9780000000001</v>
      </c>
      <c r="H241" s="74">
        <v>4605.5749999999998</v>
      </c>
    </row>
    <row r="242" spans="1:8">
      <c r="A242" s="72">
        <v>46243.708333333336</v>
      </c>
      <c r="B242" s="73">
        <v>4499.9030000000002</v>
      </c>
      <c r="C242" s="74">
        <v>4494.4279999999999</v>
      </c>
      <c r="D242" s="74">
        <v>4485.6819999999998</v>
      </c>
      <c r="E242" s="74">
        <v>4430.2650000000003</v>
      </c>
      <c r="F242" s="74">
        <v>4368.2790000000005</v>
      </c>
      <c r="G242" s="74">
        <v>4312.4530000000004</v>
      </c>
      <c r="H242" s="74">
        <v>4561.1549999999997</v>
      </c>
    </row>
    <row r="243" spans="1:8">
      <c r="A243" s="72">
        <v>46243.75</v>
      </c>
      <c r="B243" s="73">
        <v>4499.9279999999999</v>
      </c>
      <c r="C243" s="74">
        <v>4494.9290000000001</v>
      </c>
      <c r="D243" s="74">
        <v>4486.5770000000002</v>
      </c>
      <c r="E243" s="74">
        <v>4434.0140000000001</v>
      </c>
      <c r="F243" s="74">
        <v>4372.6899999999996</v>
      </c>
      <c r="G243" s="74">
        <v>4310.2460000000001</v>
      </c>
      <c r="H243" s="74">
        <v>4523.027</v>
      </c>
    </row>
    <row r="244" spans="1:8">
      <c r="A244" s="72">
        <v>46243.791666666664</v>
      </c>
      <c r="B244" s="73">
        <v>4499.942</v>
      </c>
      <c r="C244" s="74">
        <v>4495.37</v>
      </c>
      <c r="D244" s="74">
        <v>4487.49</v>
      </c>
      <c r="E244" s="74">
        <v>4440.0469999999996</v>
      </c>
      <c r="F244" s="74">
        <v>4384.2479999999996</v>
      </c>
      <c r="G244" s="74">
        <v>4313.8450000000003</v>
      </c>
      <c r="H244" s="74">
        <v>4488.4840000000004</v>
      </c>
    </row>
    <row r="245" spans="1:8">
      <c r="A245" s="72">
        <v>46243.833333333336</v>
      </c>
      <c r="B245" s="73">
        <v>4499.9570000000003</v>
      </c>
      <c r="C245" s="74">
        <v>4495.7950000000001</v>
      </c>
      <c r="D245" s="74">
        <v>4488.3</v>
      </c>
      <c r="E245" s="74">
        <v>4443.7049999999999</v>
      </c>
      <c r="F245" s="74">
        <v>4389.5219999999999</v>
      </c>
      <c r="G245" s="74">
        <v>4313.366</v>
      </c>
      <c r="H245" s="74">
        <v>4458.04</v>
      </c>
    </row>
    <row r="246" spans="1:8">
      <c r="A246" s="72">
        <v>46243.875</v>
      </c>
      <c r="B246" s="73">
        <v>4499.9660000000003</v>
      </c>
      <c r="C246" s="74">
        <v>4496.1890000000003</v>
      </c>
      <c r="D246" s="74">
        <v>4489.1180000000004</v>
      </c>
      <c r="E246" s="74">
        <v>4447.37</v>
      </c>
      <c r="F246" s="74">
        <v>4392.2920000000004</v>
      </c>
      <c r="G246" s="74">
        <v>4319.0020000000004</v>
      </c>
      <c r="H246" s="74">
        <v>4432.1059999999998</v>
      </c>
    </row>
    <row r="247" spans="1:8">
      <c r="A247" s="72">
        <v>46243.916666666664</v>
      </c>
      <c r="B247" s="73">
        <v>4499.9759999999997</v>
      </c>
      <c r="C247" s="74">
        <v>4496.5770000000002</v>
      </c>
      <c r="D247" s="74">
        <v>4489.8850000000002</v>
      </c>
      <c r="E247" s="74">
        <v>4450.2619999999997</v>
      </c>
      <c r="F247" s="74">
        <v>4396.2979999999998</v>
      </c>
      <c r="G247" s="74">
        <v>4319.8900000000003</v>
      </c>
      <c r="H247" s="74">
        <v>4408.3500000000004</v>
      </c>
    </row>
    <row r="248" spans="1:8">
      <c r="A248" s="72">
        <v>46243.958333333336</v>
      </c>
      <c r="B248" s="73">
        <v>4499.9799999999996</v>
      </c>
      <c r="C248" s="74">
        <v>4496.9110000000001</v>
      </c>
      <c r="D248" s="74">
        <v>4490.652</v>
      </c>
      <c r="E248" s="74">
        <v>4454.6660000000002</v>
      </c>
      <c r="F248" s="74">
        <v>4405.99</v>
      </c>
      <c r="G248" s="74">
        <v>4326.7929999999997</v>
      </c>
      <c r="H248" s="74">
        <v>4389.7430000000004</v>
      </c>
    </row>
    <row r="249" spans="1:8">
      <c r="A249" s="72">
        <v>46244</v>
      </c>
      <c r="B249" s="73">
        <v>4499.9859999999999</v>
      </c>
      <c r="C249" s="74">
        <v>4497.2359999999999</v>
      </c>
      <c r="D249" s="74">
        <v>4491.3540000000003</v>
      </c>
      <c r="E249" s="74">
        <v>4457.3190000000004</v>
      </c>
      <c r="F249" s="74">
        <v>4409.1090000000004</v>
      </c>
      <c r="G249" s="74">
        <v>4329.0039999999999</v>
      </c>
      <c r="H249" s="74">
        <v>4371.6850000000004</v>
      </c>
    </row>
    <row r="250" spans="1:8">
      <c r="A250" s="72">
        <v>46244.041666666664</v>
      </c>
      <c r="B250" s="73">
        <v>4499.9889999999996</v>
      </c>
      <c r="C250" s="74">
        <v>4497.509</v>
      </c>
      <c r="D250" s="74">
        <v>4491.9859999999999</v>
      </c>
      <c r="E250" s="74">
        <v>4460.1310000000003</v>
      </c>
      <c r="F250" s="74">
        <v>4413.3609999999999</v>
      </c>
      <c r="G250" s="74">
        <v>4336.4750000000004</v>
      </c>
      <c r="H250" s="74">
        <v>4359.2830000000004</v>
      </c>
    </row>
    <row r="251" spans="1:8">
      <c r="A251" s="72">
        <v>46244.083333333336</v>
      </c>
      <c r="B251" s="73">
        <v>4499.9920000000002</v>
      </c>
      <c r="C251" s="74">
        <v>4497.7790000000005</v>
      </c>
      <c r="D251" s="74">
        <v>4492.5910000000003</v>
      </c>
      <c r="E251" s="74">
        <v>4462.4049999999997</v>
      </c>
      <c r="F251" s="74">
        <v>4417.0240000000003</v>
      </c>
      <c r="G251" s="74">
        <v>4339.5940000000001</v>
      </c>
      <c r="H251" s="74">
        <v>4345.9880000000003</v>
      </c>
    </row>
    <row r="252" spans="1:8">
      <c r="A252" s="72">
        <v>46244.125</v>
      </c>
      <c r="B252" s="73">
        <v>4499.9939999999997</v>
      </c>
      <c r="C252" s="74">
        <v>4497.9989999999998</v>
      </c>
      <c r="D252" s="74">
        <v>4493.1570000000002</v>
      </c>
      <c r="E252" s="74">
        <v>4465.5919999999996</v>
      </c>
      <c r="F252" s="74">
        <v>4424.5209999999997</v>
      </c>
      <c r="G252" s="74">
        <v>4347.3140000000003</v>
      </c>
      <c r="H252" s="74">
        <v>4338.7740000000003</v>
      </c>
    </row>
    <row r="253" spans="1:8">
      <c r="A253" s="72">
        <v>46244.166666666664</v>
      </c>
      <c r="B253" s="73">
        <v>4499.9960000000001</v>
      </c>
      <c r="C253" s="74">
        <v>4498.2139999999999</v>
      </c>
      <c r="D253" s="74">
        <v>4493.6899999999996</v>
      </c>
      <c r="E253" s="74">
        <v>4467.7470000000003</v>
      </c>
      <c r="F253" s="74">
        <v>4428.4520000000002</v>
      </c>
      <c r="G253" s="74">
        <v>4350.8490000000002</v>
      </c>
      <c r="H253" s="74">
        <v>4329.46</v>
      </c>
    </row>
    <row r="254" spans="1:8">
      <c r="A254" s="72">
        <v>46244.208333333336</v>
      </c>
      <c r="B254" s="73">
        <v>4499.9970000000003</v>
      </c>
      <c r="C254" s="74">
        <v>4498.4030000000002</v>
      </c>
      <c r="D254" s="74">
        <v>4494.2079999999996</v>
      </c>
      <c r="E254" s="74">
        <v>4469.8909999999996</v>
      </c>
      <c r="F254" s="74">
        <v>4431.4219999999996</v>
      </c>
      <c r="G254" s="74">
        <v>4358.777</v>
      </c>
      <c r="H254" s="74">
        <v>4326.4440000000004</v>
      </c>
    </row>
    <row r="255" spans="1:8">
      <c r="A255" s="72">
        <v>46244.25</v>
      </c>
      <c r="B255" s="73">
        <v>4499.9979999999996</v>
      </c>
      <c r="C255" s="74">
        <v>4498.5889999999999</v>
      </c>
      <c r="D255" s="74">
        <v>4494.7110000000002</v>
      </c>
      <c r="E255" s="74">
        <v>4471.6530000000002</v>
      </c>
      <c r="F255" s="74">
        <v>4434.4809999999998</v>
      </c>
      <c r="G255" s="74">
        <v>4362.5630000000001</v>
      </c>
      <c r="H255" s="74">
        <v>4320.4399999999996</v>
      </c>
    </row>
    <row r="256" spans="1:8">
      <c r="A256" s="72">
        <v>46244.291666666664</v>
      </c>
      <c r="B256" s="73">
        <v>4500.6660000000002</v>
      </c>
      <c r="C256" s="74">
        <v>4498.7650000000003</v>
      </c>
      <c r="D256" s="74">
        <v>4495.1750000000002</v>
      </c>
      <c r="E256" s="74">
        <v>4473.9840000000004</v>
      </c>
      <c r="F256" s="74">
        <v>4440.4369999999999</v>
      </c>
      <c r="G256" s="74">
        <v>4370.3850000000002</v>
      </c>
      <c r="H256" s="74">
        <v>4320.7150000000001</v>
      </c>
    </row>
    <row r="257" spans="1:8">
      <c r="A257" s="72">
        <v>46244.333333333336</v>
      </c>
      <c r="B257" s="73">
        <v>4500.8829999999998</v>
      </c>
      <c r="C257" s="74">
        <v>4498.9219999999996</v>
      </c>
      <c r="D257" s="74">
        <v>4495.6170000000002</v>
      </c>
      <c r="E257" s="74">
        <v>4475.5870000000004</v>
      </c>
      <c r="F257" s="74">
        <v>4443.0259999999998</v>
      </c>
      <c r="G257" s="74">
        <v>4374.3999999999996</v>
      </c>
      <c r="H257" s="74">
        <v>4317.3879999999999</v>
      </c>
    </row>
    <row r="258" spans="1:8">
      <c r="A258" s="72">
        <v>46244.375</v>
      </c>
      <c r="B258" s="73">
        <v>4500.8580000000002</v>
      </c>
      <c r="C258" s="74">
        <v>4499.0420000000004</v>
      </c>
      <c r="D258" s="74">
        <v>4496.0010000000002</v>
      </c>
      <c r="E258" s="74">
        <v>4477.2049999999999</v>
      </c>
      <c r="F258" s="74">
        <v>4446.1149999999998</v>
      </c>
      <c r="G258" s="74">
        <v>4381.8689999999997</v>
      </c>
      <c r="H258" s="74">
        <v>4320.1959999999999</v>
      </c>
    </row>
    <row r="259" spans="1:8">
      <c r="A259" s="72">
        <v>46244.416666666664</v>
      </c>
      <c r="B259" s="73">
        <v>4500.8500000000004</v>
      </c>
      <c r="C259" s="74">
        <v>4499.1610000000001</v>
      </c>
      <c r="D259" s="74">
        <v>4496.375</v>
      </c>
      <c r="E259" s="74">
        <v>4478.5749999999998</v>
      </c>
      <c r="F259" s="74">
        <v>4448.7139999999999</v>
      </c>
      <c r="G259" s="74">
        <v>4385.9430000000002</v>
      </c>
      <c r="H259" s="74">
        <v>4318.9750000000004</v>
      </c>
    </row>
    <row r="260" spans="1:8">
      <c r="A260" s="72">
        <v>46244.458333333336</v>
      </c>
      <c r="B260" s="73">
        <v>4511.7349999999997</v>
      </c>
      <c r="C260" s="74">
        <v>4499.6620000000003</v>
      </c>
      <c r="D260" s="74">
        <v>4496.7380000000003</v>
      </c>
      <c r="E260" s="74">
        <v>4480.2659999999996</v>
      </c>
      <c r="F260" s="74">
        <v>4453.21</v>
      </c>
      <c r="G260" s="74">
        <v>4392.9620000000004</v>
      </c>
      <c r="H260" s="74">
        <v>4323.6760000000004</v>
      </c>
    </row>
    <row r="261" spans="1:8">
      <c r="A261" s="72">
        <v>46244.5</v>
      </c>
      <c r="B261" s="73">
        <v>4515.2730000000001</v>
      </c>
      <c r="C261" s="74">
        <v>4499.8860000000004</v>
      </c>
      <c r="D261" s="74">
        <v>4497.0640000000003</v>
      </c>
      <c r="E261" s="74">
        <v>4481.5349999999999</v>
      </c>
      <c r="F261" s="74">
        <v>4455.8429999999998</v>
      </c>
      <c r="G261" s="74">
        <v>4396.9009999999998</v>
      </c>
      <c r="H261" s="74">
        <v>4324.0919999999996</v>
      </c>
    </row>
    <row r="262" spans="1:8">
      <c r="A262" s="72">
        <v>46244.541666666664</v>
      </c>
      <c r="B262" s="73">
        <v>4513.0919999999996</v>
      </c>
      <c r="C262" s="74">
        <v>4499.8819999999996</v>
      </c>
      <c r="D262" s="74">
        <v>4497.3419999999996</v>
      </c>
      <c r="E262" s="74">
        <v>4482.7929999999997</v>
      </c>
      <c r="F262" s="74">
        <v>4458.1000000000004</v>
      </c>
      <c r="G262" s="74">
        <v>4403.5039999999999</v>
      </c>
      <c r="H262" s="74">
        <v>4330.1210000000001</v>
      </c>
    </row>
    <row r="263" spans="1:8">
      <c r="A263" s="72">
        <v>46244.583333333336</v>
      </c>
      <c r="B263" s="73">
        <v>4512.3829999999998</v>
      </c>
      <c r="C263" s="74">
        <v>4499.9319999999998</v>
      </c>
      <c r="D263" s="74">
        <v>4497.6210000000001</v>
      </c>
      <c r="E263" s="74">
        <v>4483.8829999999998</v>
      </c>
      <c r="F263" s="74">
        <v>4460.2039999999997</v>
      </c>
      <c r="G263" s="74">
        <v>4407.2650000000003</v>
      </c>
      <c r="H263" s="74">
        <v>4331.7839999999997</v>
      </c>
    </row>
    <row r="264" spans="1:8">
      <c r="A264" s="72">
        <v>46244.625</v>
      </c>
      <c r="B264" s="73">
        <v>4567.2700000000004</v>
      </c>
      <c r="C264" s="74">
        <v>4502.1970000000001</v>
      </c>
      <c r="D264" s="74">
        <v>4498.0829999999996</v>
      </c>
      <c r="E264" s="74">
        <v>4485.1670000000004</v>
      </c>
      <c r="F264" s="74">
        <v>4463.6859999999997</v>
      </c>
      <c r="G264" s="74">
        <v>4413.37</v>
      </c>
      <c r="H264" s="74">
        <v>4338.6620000000003</v>
      </c>
    </row>
    <row r="265" spans="1:8">
      <c r="A265" s="72">
        <v>46244.666666666664</v>
      </c>
      <c r="B265" s="73">
        <v>4585.1109999999999</v>
      </c>
      <c r="C265" s="74">
        <v>4502.9740000000002</v>
      </c>
      <c r="D265" s="74">
        <v>4498.3890000000001</v>
      </c>
      <c r="E265" s="74">
        <v>4486.1589999999997</v>
      </c>
      <c r="F265" s="74">
        <v>4465.5259999999998</v>
      </c>
      <c r="G265" s="74">
        <v>4416.97</v>
      </c>
      <c r="H265" s="74">
        <v>4341.2290000000003</v>
      </c>
    </row>
    <row r="266" spans="1:8">
      <c r="A266" s="72">
        <v>46244.708333333336</v>
      </c>
      <c r="B266" s="73">
        <v>4547.3959999999997</v>
      </c>
      <c r="C266" s="74">
        <v>4501.6030000000001</v>
      </c>
      <c r="D266" s="74">
        <v>4498.4470000000001</v>
      </c>
      <c r="E266" s="74">
        <v>4487.1019999999999</v>
      </c>
      <c r="F266" s="74">
        <v>4467.5519999999997</v>
      </c>
      <c r="G266" s="74">
        <v>4422.5320000000002</v>
      </c>
      <c r="H266" s="74">
        <v>4348.585</v>
      </c>
    </row>
    <row r="267" spans="1:8">
      <c r="A267" s="72">
        <v>46244.75</v>
      </c>
      <c r="B267" s="73">
        <v>4535.1369999999997</v>
      </c>
      <c r="C267" s="74">
        <v>4501.1890000000003</v>
      </c>
      <c r="D267" s="74">
        <v>4498.5950000000003</v>
      </c>
      <c r="E267" s="74">
        <v>4487.9440000000004</v>
      </c>
      <c r="F267" s="74">
        <v>4469.2719999999999</v>
      </c>
      <c r="G267" s="74">
        <v>4425.924</v>
      </c>
      <c r="H267" s="74">
        <v>4351.7669999999998</v>
      </c>
    </row>
    <row r="268" spans="1:8">
      <c r="A268" s="72">
        <v>46244.791666666664</v>
      </c>
      <c r="B268" s="73">
        <v>4593.085</v>
      </c>
      <c r="C268" s="74">
        <v>4505.8429999999998</v>
      </c>
      <c r="D268" s="74">
        <v>4499.366</v>
      </c>
      <c r="E268" s="74">
        <v>4488.9049999999997</v>
      </c>
      <c r="F268" s="74">
        <v>4471.8720000000003</v>
      </c>
      <c r="G268" s="74">
        <v>4430.951</v>
      </c>
      <c r="H268" s="74">
        <v>4359.3100000000004</v>
      </c>
    </row>
    <row r="269" spans="1:8">
      <c r="A269" s="72">
        <v>46244.833333333336</v>
      </c>
      <c r="B269" s="73">
        <v>4611.9219999999996</v>
      </c>
      <c r="C269" s="74">
        <v>4507.38</v>
      </c>
      <c r="D269" s="74">
        <v>4499.7190000000001</v>
      </c>
      <c r="E269" s="74">
        <v>4489.68</v>
      </c>
      <c r="F269" s="74">
        <v>4473.5510000000004</v>
      </c>
      <c r="G269" s="74">
        <v>4434.0749999999998</v>
      </c>
      <c r="H269" s="74">
        <v>4362.8810000000003</v>
      </c>
    </row>
    <row r="270" spans="1:8">
      <c r="A270" s="72">
        <v>46244.875</v>
      </c>
      <c r="B270" s="73">
        <v>4526.192</v>
      </c>
      <c r="C270" s="74">
        <v>4503.7079999999996</v>
      </c>
      <c r="D270" s="74">
        <v>4499.4620000000004</v>
      </c>
      <c r="E270" s="74">
        <v>4490.4120000000003</v>
      </c>
      <c r="F270" s="74">
        <v>4475.0709999999999</v>
      </c>
      <c r="G270" s="74">
        <v>4438.625</v>
      </c>
      <c r="H270" s="74">
        <v>4370.3789999999999</v>
      </c>
    </row>
    <row r="271" spans="1:8">
      <c r="A271" s="72">
        <v>46244.916666666664</v>
      </c>
      <c r="B271" s="73">
        <v>4498.3249999999998</v>
      </c>
      <c r="C271" s="74">
        <v>4502.5349999999999</v>
      </c>
      <c r="D271" s="74">
        <v>4499.4660000000003</v>
      </c>
      <c r="E271" s="74">
        <v>4491.0879999999997</v>
      </c>
      <c r="F271" s="74">
        <v>4476.4549999999999</v>
      </c>
      <c r="G271" s="74">
        <v>4441.49</v>
      </c>
      <c r="H271" s="74">
        <v>4374.1660000000002</v>
      </c>
    </row>
    <row r="272" spans="1:8">
      <c r="A272" s="72">
        <v>46244.958333333336</v>
      </c>
      <c r="B272" s="73">
        <v>4523.808</v>
      </c>
      <c r="C272" s="74">
        <v>4516.1260000000002</v>
      </c>
      <c r="D272" s="74">
        <v>4501.8140000000003</v>
      </c>
      <c r="E272" s="74">
        <v>4491.951</v>
      </c>
      <c r="F272" s="74">
        <v>4478.4849999999997</v>
      </c>
      <c r="G272" s="74">
        <v>4445.5730000000003</v>
      </c>
      <c r="H272" s="74">
        <v>4381.442</v>
      </c>
    </row>
    <row r="273" spans="1:8">
      <c r="A273" s="72">
        <v>46245</v>
      </c>
      <c r="B273" s="73">
        <v>4532.09</v>
      </c>
      <c r="C273" s="74">
        <v>4520.5590000000002</v>
      </c>
      <c r="D273" s="74">
        <v>4502.6469999999999</v>
      </c>
      <c r="E273" s="74">
        <v>4492.6090000000004</v>
      </c>
      <c r="F273" s="74">
        <v>4479.7259999999997</v>
      </c>
      <c r="G273" s="74">
        <v>4448.2089999999998</v>
      </c>
      <c r="H273" s="74">
        <v>4385.3019999999997</v>
      </c>
    </row>
    <row r="274" spans="1:8">
      <c r="A274" s="72">
        <v>46245.041666666664</v>
      </c>
      <c r="B274" s="73">
        <v>4491.0469999999996</v>
      </c>
      <c r="C274" s="74">
        <v>4510.5439999999999</v>
      </c>
      <c r="D274" s="74">
        <v>4501.1719999999996</v>
      </c>
      <c r="E274" s="74">
        <v>4493.0749999999998</v>
      </c>
      <c r="F274" s="74">
        <v>4480.9750000000004</v>
      </c>
      <c r="G274" s="74">
        <v>4451.8469999999998</v>
      </c>
      <c r="H274" s="74">
        <v>4392.2380000000003</v>
      </c>
    </row>
    <row r="275" spans="1:8">
      <c r="A275" s="72">
        <v>46245.083333333336</v>
      </c>
      <c r="B275" s="73">
        <v>4477.7060000000001</v>
      </c>
      <c r="C275" s="74">
        <v>4507.3</v>
      </c>
      <c r="D275" s="74">
        <v>4500.7489999999998</v>
      </c>
      <c r="E275" s="74">
        <v>4493.5640000000003</v>
      </c>
      <c r="F275" s="74">
        <v>4482.0730000000003</v>
      </c>
      <c r="G275" s="74">
        <v>4454.2550000000001</v>
      </c>
      <c r="H275" s="74">
        <v>4396.0590000000002</v>
      </c>
    </row>
    <row r="276" spans="1:8">
      <c r="A276" s="72">
        <v>46245.125</v>
      </c>
      <c r="B276" s="73">
        <v>4494.8100000000004</v>
      </c>
      <c r="C276" s="74">
        <v>4525.348</v>
      </c>
      <c r="D276" s="74">
        <v>4504.6710000000003</v>
      </c>
      <c r="E276" s="74">
        <v>4494.3869999999997</v>
      </c>
      <c r="F276" s="74">
        <v>4483.6310000000003</v>
      </c>
      <c r="G276" s="74">
        <v>4457.4809999999998</v>
      </c>
      <c r="H276" s="74">
        <v>4402.5770000000002</v>
      </c>
    </row>
    <row r="277" spans="1:8">
      <c r="A277" s="72">
        <v>46245.166666666664</v>
      </c>
      <c r="B277" s="73">
        <v>4500.3689999999997</v>
      </c>
      <c r="C277" s="74">
        <v>4531.223</v>
      </c>
      <c r="D277" s="74">
        <v>4505.9889999999996</v>
      </c>
      <c r="E277" s="74">
        <v>4494.9430000000002</v>
      </c>
      <c r="F277" s="74">
        <v>4484.7020000000002</v>
      </c>
      <c r="G277" s="74">
        <v>4459.6559999999999</v>
      </c>
      <c r="H277" s="74">
        <v>4406.2830000000004</v>
      </c>
    </row>
    <row r="278" spans="1:8">
      <c r="A278" s="72">
        <v>46245.208333333336</v>
      </c>
      <c r="B278" s="73">
        <v>4488.2460000000001</v>
      </c>
      <c r="C278" s="74">
        <v>4510.6189999999997</v>
      </c>
      <c r="D278" s="74">
        <v>4502.4719999999998</v>
      </c>
      <c r="E278" s="74">
        <v>4495.1450000000004</v>
      </c>
      <c r="F278" s="74">
        <v>4485.6139999999996</v>
      </c>
      <c r="G278" s="74">
        <v>4462.5219999999999</v>
      </c>
      <c r="H278" s="74">
        <v>4412.3339999999998</v>
      </c>
    </row>
    <row r="279" spans="1:8">
      <c r="A279" s="72">
        <v>46245.25</v>
      </c>
      <c r="B279" s="73">
        <v>4484.3050000000003</v>
      </c>
      <c r="C279" s="74">
        <v>4503.9279999999999</v>
      </c>
      <c r="D279" s="74">
        <v>4501.3649999999998</v>
      </c>
      <c r="E279" s="74">
        <v>4495.4809999999998</v>
      </c>
      <c r="F279" s="74">
        <v>4486.4840000000004</v>
      </c>
      <c r="G279" s="74">
        <v>4464.482</v>
      </c>
      <c r="H279" s="74">
        <v>4415.8739999999998</v>
      </c>
    </row>
    <row r="280" spans="1:8">
      <c r="A280" s="72">
        <v>46245.291666666664</v>
      </c>
      <c r="B280" s="73">
        <v>4493.5860000000002</v>
      </c>
      <c r="C280" s="74">
        <v>4532.1270000000004</v>
      </c>
      <c r="D280" s="74">
        <v>4510.8130000000001</v>
      </c>
      <c r="E280" s="74">
        <v>4496.8180000000002</v>
      </c>
      <c r="F280" s="74">
        <v>4487.9040000000005</v>
      </c>
      <c r="G280" s="74">
        <v>4467.0190000000002</v>
      </c>
      <c r="H280" s="74">
        <v>4421.4319999999998</v>
      </c>
    </row>
    <row r="281" spans="1:8">
      <c r="A281" s="72">
        <v>46245.333333333336</v>
      </c>
      <c r="B281" s="73">
        <v>4496.6030000000001</v>
      </c>
      <c r="C281" s="74">
        <v>4541.2979999999998</v>
      </c>
      <c r="D281" s="74">
        <v>4513.9110000000001</v>
      </c>
      <c r="E281" s="74">
        <v>4497.4830000000002</v>
      </c>
      <c r="F281" s="74">
        <v>4488.7879999999996</v>
      </c>
      <c r="G281" s="74">
        <v>4468.79</v>
      </c>
      <c r="H281" s="74">
        <v>4424.7690000000002</v>
      </c>
    </row>
    <row r="282" spans="1:8">
      <c r="A282" s="72">
        <v>46245.375</v>
      </c>
      <c r="B282" s="73">
        <v>4494.6019999999999</v>
      </c>
      <c r="C282" s="74">
        <v>4516.8919999999998</v>
      </c>
      <c r="D282" s="74">
        <v>4506.7449999999999</v>
      </c>
      <c r="E282" s="74">
        <v>4497.1289999999999</v>
      </c>
      <c r="F282" s="74">
        <v>4489.3649999999998</v>
      </c>
      <c r="G282" s="74">
        <v>4471.0290000000005</v>
      </c>
      <c r="H282" s="74">
        <v>4429.8329999999996</v>
      </c>
    </row>
    <row r="283" spans="1:8">
      <c r="A283" s="72">
        <v>46245.416666666664</v>
      </c>
      <c r="B283" s="73">
        <v>4493.7700000000004</v>
      </c>
      <c r="C283" s="74">
        <v>4508.9549999999999</v>
      </c>
      <c r="D283" s="74">
        <v>4504.4369999999999</v>
      </c>
      <c r="E283" s="74">
        <v>4497.2150000000001</v>
      </c>
      <c r="F283" s="74">
        <v>4489.9949999999999</v>
      </c>
      <c r="G283" s="74">
        <v>4472.6270000000004</v>
      </c>
      <c r="H283" s="74">
        <v>4432.9440000000004</v>
      </c>
    </row>
    <row r="284" spans="1:8">
      <c r="A284" s="72">
        <v>46245.458333333336</v>
      </c>
      <c r="B284" s="73">
        <v>4497.7190000000001</v>
      </c>
      <c r="C284" s="74">
        <v>4538.3940000000002</v>
      </c>
      <c r="D284" s="74">
        <v>4516.9690000000001</v>
      </c>
      <c r="E284" s="74">
        <v>4499.0349999999999</v>
      </c>
      <c r="F284" s="74">
        <v>4491.33</v>
      </c>
      <c r="G284" s="74">
        <v>4474.6009999999997</v>
      </c>
      <c r="H284" s="74">
        <v>4437.5259999999998</v>
      </c>
    </row>
    <row r="285" spans="1:8">
      <c r="A285" s="72">
        <v>46245.5</v>
      </c>
      <c r="B285" s="73">
        <v>4499.0029999999997</v>
      </c>
      <c r="C285" s="74">
        <v>4547.9660000000003</v>
      </c>
      <c r="D285" s="74">
        <v>4521.0590000000002</v>
      </c>
      <c r="E285" s="74">
        <v>4499.7929999999997</v>
      </c>
      <c r="F285" s="74">
        <v>4492.1310000000003</v>
      </c>
      <c r="G285" s="74">
        <v>4476.0330000000004</v>
      </c>
      <c r="H285" s="74">
        <v>4440.4030000000002</v>
      </c>
    </row>
    <row r="286" spans="1:8">
      <c r="A286" s="72">
        <v>46245.541666666664</v>
      </c>
      <c r="B286" s="73">
        <v>4511.9399999999996</v>
      </c>
      <c r="C286" s="74">
        <v>4510.9579999999996</v>
      </c>
      <c r="D286" s="74">
        <v>4507.1890000000003</v>
      </c>
      <c r="E286" s="74">
        <v>4498.576</v>
      </c>
      <c r="F286" s="74">
        <v>4492.2780000000002</v>
      </c>
      <c r="G286" s="74">
        <v>4477.7790000000005</v>
      </c>
      <c r="H286" s="74">
        <v>4444.5240000000003</v>
      </c>
    </row>
    <row r="287" spans="1:8">
      <c r="A287" s="72">
        <v>46245.583333333336</v>
      </c>
      <c r="B287" s="73">
        <v>4513.1019999999999</v>
      </c>
      <c r="C287" s="74">
        <v>4498.8159999999998</v>
      </c>
      <c r="D287" s="74">
        <v>4502.683</v>
      </c>
      <c r="E287" s="74">
        <v>4498.3329999999996</v>
      </c>
      <c r="F287" s="74">
        <v>4492.6850000000004</v>
      </c>
      <c r="G287" s="74">
        <v>4479.0609999999997</v>
      </c>
      <c r="H287" s="74">
        <v>4447.1679999999997</v>
      </c>
    </row>
    <row r="288" spans="1:8">
      <c r="A288" s="72">
        <v>46245.625</v>
      </c>
      <c r="B288" s="73">
        <v>4514.5349999999999</v>
      </c>
      <c r="C288" s="74">
        <v>4522.5129999999999</v>
      </c>
      <c r="D288" s="74">
        <v>4523.0389999999998</v>
      </c>
      <c r="E288" s="74">
        <v>4502.1400000000003</v>
      </c>
      <c r="F288" s="74">
        <v>4494.625</v>
      </c>
      <c r="G288" s="74">
        <v>4480.6049999999996</v>
      </c>
      <c r="H288" s="74">
        <v>4450.8549999999996</v>
      </c>
    </row>
    <row r="289" spans="1:8">
      <c r="A289" s="72">
        <v>46245.666666666664</v>
      </c>
      <c r="B289" s="73">
        <v>4515</v>
      </c>
      <c r="C289" s="74">
        <v>4530.2169999999996</v>
      </c>
      <c r="D289" s="74">
        <v>4529.6660000000002</v>
      </c>
      <c r="E289" s="74">
        <v>4503.5050000000001</v>
      </c>
      <c r="F289" s="74">
        <v>4495.5349999999999</v>
      </c>
      <c r="G289" s="74">
        <v>4481.7569999999996</v>
      </c>
      <c r="H289" s="74">
        <v>4453.2709999999997</v>
      </c>
    </row>
    <row r="290" spans="1:8">
      <c r="A290" s="72">
        <v>46245.708333333336</v>
      </c>
      <c r="B290" s="73">
        <v>4593.42</v>
      </c>
      <c r="C290" s="74">
        <v>4508.5110000000004</v>
      </c>
      <c r="D290" s="74">
        <v>4512.7460000000001</v>
      </c>
      <c r="E290" s="74">
        <v>4500.9229999999998</v>
      </c>
      <c r="F290" s="74">
        <v>4495.0240000000003</v>
      </c>
      <c r="G290" s="74">
        <v>4483.1289999999999</v>
      </c>
      <c r="H290" s="74">
        <v>4456.5569999999998</v>
      </c>
    </row>
    <row r="291" spans="1:8">
      <c r="A291" s="72">
        <v>46245.75</v>
      </c>
      <c r="B291" s="73">
        <v>4601.2120000000004</v>
      </c>
      <c r="C291" s="74">
        <v>4500.7520000000004</v>
      </c>
      <c r="D291" s="74">
        <v>4507.1840000000002</v>
      </c>
      <c r="E291" s="74">
        <v>4500.1890000000003</v>
      </c>
      <c r="F291" s="74">
        <v>4495.1289999999999</v>
      </c>
      <c r="G291" s="74">
        <v>4484.165</v>
      </c>
      <c r="H291" s="74">
        <v>4458.7520000000004</v>
      </c>
    </row>
    <row r="292" spans="1:8">
      <c r="A292" s="72">
        <v>46245.791666666664</v>
      </c>
      <c r="B292" s="73">
        <v>4601.6099999999997</v>
      </c>
      <c r="C292" s="74">
        <v>4521.3440000000001</v>
      </c>
      <c r="D292" s="74">
        <v>4529.857</v>
      </c>
      <c r="E292" s="74">
        <v>4505.308</v>
      </c>
      <c r="F292" s="74">
        <v>4497.5249999999996</v>
      </c>
      <c r="G292" s="74">
        <v>4485.3909999999996</v>
      </c>
      <c r="H292" s="74">
        <v>4461.6719999999996</v>
      </c>
    </row>
    <row r="293" spans="1:8">
      <c r="A293" s="72">
        <v>46245.833333333336</v>
      </c>
      <c r="B293" s="73">
        <v>4601.7550000000001</v>
      </c>
      <c r="C293" s="74">
        <v>4528.0389999999998</v>
      </c>
      <c r="D293" s="74">
        <v>4537.2330000000002</v>
      </c>
      <c r="E293" s="74">
        <v>4507.0600000000004</v>
      </c>
      <c r="F293" s="74">
        <v>4498.53</v>
      </c>
      <c r="G293" s="74">
        <v>4486.3209999999999</v>
      </c>
      <c r="H293" s="74">
        <v>4463.66</v>
      </c>
    </row>
    <row r="294" spans="1:8">
      <c r="A294" s="72">
        <v>46245.875</v>
      </c>
      <c r="B294" s="73">
        <v>4777.29</v>
      </c>
      <c r="C294" s="74">
        <v>4514.8440000000001</v>
      </c>
      <c r="D294" s="74">
        <v>4510.9610000000002</v>
      </c>
      <c r="E294" s="74">
        <v>4501.9279999999999</v>
      </c>
      <c r="F294" s="74">
        <v>4496.9319999999998</v>
      </c>
      <c r="G294" s="74">
        <v>4487.424</v>
      </c>
      <c r="H294" s="74">
        <v>4466.2479999999996</v>
      </c>
    </row>
    <row r="295" spans="1:8">
      <c r="A295" s="72">
        <v>46245.916666666664</v>
      </c>
      <c r="B295" s="73">
        <v>4794.7780000000002</v>
      </c>
      <c r="C295" s="74">
        <v>4508.3900000000003</v>
      </c>
      <c r="D295" s="74">
        <v>4502.17</v>
      </c>
      <c r="E295" s="74">
        <v>4500.3249999999998</v>
      </c>
      <c r="F295" s="74">
        <v>4496.625</v>
      </c>
      <c r="G295" s="74">
        <v>4488.26</v>
      </c>
      <c r="H295" s="74">
        <v>4468.0429999999997</v>
      </c>
    </row>
    <row r="296" spans="1:8">
      <c r="A296" s="72">
        <v>46245.958333333336</v>
      </c>
      <c r="B296" s="73">
        <v>4792.8010000000004</v>
      </c>
      <c r="C296" s="74">
        <v>4522.2309999999998</v>
      </c>
      <c r="D296" s="74">
        <v>4526.66</v>
      </c>
      <c r="E296" s="74">
        <v>4509.3890000000001</v>
      </c>
      <c r="F296" s="74">
        <v>4500.9279999999999</v>
      </c>
      <c r="G296" s="74">
        <v>4489.2619999999997</v>
      </c>
      <c r="H296" s="74">
        <v>4470.3339999999998</v>
      </c>
    </row>
    <row r="297" spans="1:8">
      <c r="A297" s="72">
        <v>46246</v>
      </c>
      <c r="B297" s="73">
        <v>4792.6369999999997</v>
      </c>
      <c r="C297" s="74">
        <v>4526.7479999999996</v>
      </c>
      <c r="D297" s="74">
        <v>4534.625</v>
      </c>
      <c r="E297" s="74">
        <v>4512.3990000000003</v>
      </c>
      <c r="F297" s="74">
        <v>4502.5</v>
      </c>
      <c r="G297" s="74">
        <v>4490.0169999999998</v>
      </c>
      <c r="H297" s="74">
        <v>4471.9520000000002</v>
      </c>
    </row>
    <row r="298" spans="1:8">
      <c r="A298" s="72">
        <v>46246.041666666664</v>
      </c>
      <c r="B298" s="73">
        <v>4894.0290000000005</v>
      </c>
      <c r="C298" s="74">
        <v>4535.7709999999997</v>
      </c>
      <c r="D298" s="74">
        <v>4514.9979999999996</v>
      </c>
      <c r="E298" s="74">
        <v>4505.3530000000001</v>
      </c>
      <c r="F298" s="74">
        <v>4499.6809999999996</v>
      </c>
      <c r="G298" s="74">
        <v>4490.951</v>
      </c>
      <c r="H298" s="74">
        <v>4473.9769999999999</v>
      </c>
    </row>
    <row r="299" spans="1:8">
      <c r="A299" s="72">
        <v>46246.083333333336</v>
      </c>
      <c r="B299" s="73">
        <v>4904.1319999999996</v>
      </c>
      <c r="C299" s="74">
        <v>4533.7939999999999</v>
      </c>
      <c r="D299" s="74">
        <v>4507.8490000000002</v>
      </c>
      <c r="E299" s="74">
        <v>4503.067</v>
      </c>
      <c r="F299" s="74">
        <v>4498.9110000000001</v>
      </c>
      <c r="G299" s="74">
        <v>4491.6390000000001</v>
      </c>
      <c r="H299" s="74">
        <v>4475.4319999999998</v>
      </c>
    </row>
    <row r="300" spans="1:8">
      <c r="A300" s="72">
        <v>46246.125</v>
      </c>
      <c r="B300" s="73">
        <v>4879.2179999999998</v>
      </c>
      <c r="C300" s="74">
        <v>4543.259</v>
      </c>
      <c r="D300" s="74">
        <v>4531.3069999999998</v>
      </c>
      <c r="E300" s="74">
        <v>4514.0389999999998</v>
      </c>
      <c r="F300" s="74">
        <v>4504.3360000000002</v>
      </c>
      <c r="G300" s="74">
        <v>4492.53</v>
      </c>
      <c r="H300" s="74">
        <v>4477.2240000000002</v>
      </c>
    </row>
    <row r="301" spans="1:8">
      <c r="A301" s="72">
        <v>46246.166666666664</v>
      </c>
      <c r="B301" s="73">
        <v>4876.7439999999997</v>
      </c>
      <c r="C301" s="74">
        <v>4546.55</v>
      </c>
      <c r="D301" s="74">
        <v>4538.9549999999999</v>
      </c>
      <c r="E301" s="74">
        <v>4517.6480000000001</v>
      </c>
      <c r="F301" s="74">
        <v>4506.2299999999996</v>
      </c>
      <c r="G301" s="74">
        <v>4493.1629999999996</v>
      </c>
      <c r="H301" s="74">
        <v>4478.5309999999999</v>
      </c>
    </row>
    <row r="302" spans="1:8">
      <c r="A302" s="72">
        <v>46246.208333333336</v>
      </c>
      <c r="B302" s="73">
        <v>4868.2060000000001</v>
      </c>
      <c r="C302" s="74">
        <v>4581.1360000000004</v>
      </c>
      <c r="D302" s="74">
        <v>4519.317</v>
      </c>
      <c r="E302" s="74">
        <v>4505.8689999999997</v>
      </c>
      <c r="F302" s="74">
        <v>4500.92</v>
      </c>
      <c r="G302" s="74">
        <v>4494.0169999999998</v>
      </c>
      <c r="H302" s="74">
        <v>4480.12</v>
      </c>
    </row>
    <row r="303" spans="1:8">
      <c r="A303" s="72">
        <v>46246.25</v>
      </c>
      <c r="B303" s="73">
        <v>4867.3549999999996</v>
      </c>
      <c r="C303" s="74">
        <v>4582.33</v>
      </c>
      <c r="D303" s="74">
        <v>4511.009</v>
      </c>
      <c r="E303" s="74">
        <v>4501.9380000000001</v>
      </c>
      <c r="F303" s="74">
        <v>4499.277</v>
      </c>
      <c r="G303" s="74">
        <v>4494.598</v>
      </c>
      <c r="H303" s="74">
        <v>4481.2929999999997</v>
      </c>
    </row>
    <row r="304" spans="1:8">
      <c r="A304" s="72">
        <v>46246.291666666664</v>
      </c>
      <c r="B304" s="73">
        <v>4779.4269999999997</v>
      </c>
      <c r="C304" s="74">
        <v>4584.93</v>
      </c>
      <c r="D304" s="74">
        <v>4528.6509999999998</v>
      </c>
      <c r="E304" s="74">
        <v>4517.2969999999996</v>
      </c>
      <c r="F304" s="74">
        <v>4507.9669999999996</v>
      </c>
      <c r="G304" s="74">
        <v>4495.4229999999998</v>
      </c>
      <c r="H304" s="74">
        <v>4482.7070000000003</v>
      </c>
    </row>
    <row r="305" spans="1:8">
      <c r="A305" s="72">
        <v>46246.333333333336</v>
      </c>
      <c r="B305" s="73">
        <v>4770.6670000000004</v>
      </c>
      <c r="C305" s="74">
        <v>4586.625</v>
      </c>
      <c r="D305" s="74">
        <v>4534.4750000000004</v>
      </c>
      <c r="E305" s="74">
        <v>4522.3230000000003</v>
      </c>
      <c r="F305" s="74">
        <v>4510.8900000000003</v>
      </c>
      <c r="G305" s="74">
        <v>4495.96</v>
      </c>
      <c r="H305" s="74">
        <v>4483.7619999999997</v>
      </c>
    </row>
    <row r="306" spans="1:8">
      <c r="A306" s="72">
        <v>46246.375</v>
      </c>
      <c r="B306" s="73">
        <v>4703.5420000000004</v>
      </c>
      <c r="C306" s="74">
        <v>4633.2849999999999</v>
      </c>
      <c r="D306" s="74">
        <v>4532.1729999999998</v>
      </c>
      <c r="E306" s="74">
        <v>4510.5020000000004</v>
      </c>
      <c r="F306" s="74">
        <v>4504.3639999999996</v>
      </c>
      <c r="G306" s="74">
        <v>4496.799</v>
      </c>
      <c r="H306" s="74">
        <v>4485.0249999999996</v>
      </c>
    </row>
    <row r="307" spans="1:8">
      <c r="A307" s="72">
        <v>46246.416666666664</v>
      </c>
      <c r="B307" s="73">
        <v>4696.8530000000001</v>
      </c>
      <c r="C307" s="74">
        <v>4636.7529999999997</v>
      </c>
      <c r="D307" s="74">
        <v>4527.92</v>
      </c>
      <c r="E307" s="74">
        <v>4506.3519999999999</v>
      </c>
      <c r="F307" s="74">
        <v>4502.2299999999996</v>
      </c>
      <c r="G307" s="74">
        <v>4497.3090000000002</v>
      </c>
      <c r="H307" s="74">
        <v>4485.9750000000004</v>
      </c>
    </row>
    <row r="308" spans="1:8">
      <c r="A308" s="72">
        <v>46246.458333333336</v>
      </c>
      <c r="B308" s="73">
        <v>4626.9830000000002</v>
      </c>
      <c r="C308" s="74">
        <v>4632.8599999999997</v>
      </c>
      <c r="D308" s="74">
        <v>4541.7290000000003</v>
      </c>
      <c r="E308" s="74">
        <v>4523.107</v>
      </c>
      <c r="F308" s="74">
        <v>4512.4080000000004</v>
      </c>
      <c r="G308" s="74">
        <v>4498.1940000000004</v>
      </c>
      <c r="H308" s="74">
        <v>4487.1149999999998</v>
      </c>
    </row>
    <row r="309" spans="1:8">
      <c r="A309" s="72">
        <v>46246.5</v>
      </c>
      <c r="B309" s="73">
        <v>4620.0209999999997</v>
      </c>
      <c r="C309" s="74">
        <v>4633.4570000000003</v>
      </c>
      <c r="D309" s="74">
        <v>4546.4870000000001</v>
      </c>
      <c r="E309" s="74">
        <v>4528.5879999999997</v>
      </c>
      <c r="F309" s="74">
        <v>4515.7910000000002</v>
      </c>
      <c r="G309" s="74">
        <v>4498.6880000000001</v>
      </c>
      <c r="H309" s="74">
        <v>4487.9719999999998</v>
      </c>
    </row>
    <row r="310" spans="1:8">
      <c r="A310" s="72">
        <v>46246.541666666664</v>
      </c>
      <c r="B310" s="73">
        <v>4577.9290000000001</v>
      </c>
      <c r="C310" s="74">
        <v>4699.1880000000001</v>
      </c>
      <c r="D310" s="74">
        <v>4560.2529999999997</v>
      </c>
      <c r="E310" s="74">
        <v>4512.3019999999997</v>
      </c>
      <c r="F310" s="74">
        <v>4505.4549999999999</v>
      </c>
      <c r="G310" s="74">
        <v>4499.6080000000002</v>
      </c>
      <c r="H310" s="74">
        <v>4489.0140000000001</v>
      </c>
    </row>
    <row r="311" spans="1:8">
      <c r="A311" s="72">
        <v>46246.583333333336</v>
      </c>
      <c r="B311" s="73">
        <v>4573.7349999999997</v>
      </c>
      <c r="C311" s="74">
        <v>4704.875</v>
      </c>
      <c r="D311" s="74">
        <v>4558.0169999999998</v>
      </c>
      <c r="E311" s="74">
        <v>4506.2539999999999</v>
      </c>
      <c r="F311" s="74">
        <v>4501.9139999999998</v>
      </c>
      <c r="G311" s="74">
        <v>4500.0839999999998</v>
      </c>
      <c r="H311" s="74">
        <v>4489.7889999999998</v>
      </c>
    </row>
    <row r="312" spans="1:8">
      <c r="A312" s="72">
        <v>46246.625</v>
      </c>
      <c r="B312" s="73">
        <v>4542.884</v>
      </c>
      <c r="C312" s="74">
        <v>4685.6120000000001</v>
      </c>
      <c r="D312" s="74">
        <v>4564.2520000000004</v>
      </c>
      <c r="E312" s="74">
        <v>4524.8140000000003</v>
      </c>
      <c r="F312" s="74">
        <v>4515.451</v>
      </c>
      <c r="G312" s="74">
        <v>4500.9920000000002</v>
      </c>
      <c r="H312" s="74">
        <v>4490.7569999999996</v>
      </c>
    </row>
    <row r="313" spans="1:8">
      <c r="A313" s="72">
        <v>46246.666666666664</v>
      </c>
      <c r="B313" s="73">
        <v>4539.8100000000004</v>
      </c>
      <c r="C313" s="74">
        <v>4684.2629999999999</v>
      </c>
      <c r="D313" s="74">
        <v>4567.116</v>
      </c>
      <c r="E313" s="74">
        <v>4530.915</v>
      </c>
      <c r="F313" s="74">
        <v>4519.9170000000004</v>
      </c>
      <c r="G313" s="74">
        <v>4501.4369999999999</v>
      </c>
      <c r="H313" s="74">
        <v>4491.4620000000004</v>
      </c>
    </row>
    <row r="314" spans="1:8">
      <c r="A314" s="72">
        <v>46246.708333333336</v>
      </c>
      <c r="B314" s="73">
        <v>4523.7439999999997</v>
      </c>
      <c r="C314" s="74">
        <v>4723.433</v>
      </c>
      <c r="D314" s="74">
        <v>4593.924</v>
      </c>
      <c r="E314" s="74">
        <v>4519.71</v>
      </c>
      <c r="F314" s="74">
        <v>4510.2719999999999</v>
      </c>
      <c r="G314" s="74">
        <v>4502.3819999999996</v>
      </c>
      <c r="H314" s="74">
        <v>4492.3760000000002</v>
      </c>
    </row>
    <row r="315" spans="1:8">
      <c r="A315" s="72">
        <v>46246.75</v>
      </c>
      <c r="B315" s="73">
        <v>4522.143</v>
      </c>
      <c r="C315" s="74">
        <v>4726.8980000000001</v>
      </c>
      <c r="D315" s="74">
        <v>4594.5860000000002</v>
      </c>
      <c r="E315" s="74">
        <v>4514.7420000000002</v>
      </c>
      <c r="F315" s="74">
        <v>4506.7079999999996</v>
      </c>
      <c r="G315" s="74">
        <v>4502.8119999999999</v>
      </c>
      <c r="H315" s="74">
        <v>4493.0209999999997</v>
      </c>
    </row>
    <row r="316" spans="1:8">
      <c r="A316" s="72">
        <v>46246.791666666664</v>
      </c>
      <c r="B316" s="73">
        <v>4512.0190000000002</v>
      </c>
      <c r="C316" s="74">
        <v>4702.442</v>
      </c>
      <c r="D316" s="74">
        <v>4595.5230000000001</v>
      </c>
      <c r="E316" s="74">
        <v>4532.9380000000001</v>
      </c>
      <c r="F316" s="74">
        <v>4521.2700000000004</v>
      </c>
      <c r="G316" s="74">
        <v>4503.8540000000003</v>
      </c>
      <c r="H316" s="74">
        <v>4493.9009999999998</v>
      </c>
    </row>
    <row r="317" spans="1:8">
      <c r="A317" s="72">
        <v>46246.833333333336</v>
      </c>
      <c r="B317" s="73">
        <v>4511.01</v>
      </c>
      <c r="C317" s="74">
        <v>4700.3760000000002</v>
      </c>
      <c r="D317" s="74">
        <v>4597.2719999999999</v>
      </c>
      <c r="E317" s="74">
        <v>4538.9849999999997</v>
      </c>
      <c r="F317" s="74">
        <v>4526.076</v>
      </c>
      <c r="G317" s="74">
        <v>4504.2870000000003</v>
      </c>
      <c r="H317" s="74">
        <v>4494.4970000000003</v>
      </c>
    </row>
    <row r="318" spans="1:8">
      <c r="A318" s="72">
        <v>46246.875</v>
      </c>
      <c r="B318" s="73">
        <v>4506.2370000000001</v>
      </c>
      <c r="C318" s="74">
        <v>4723.2020000000002</v>
      </c>
      <c r="D318" s="74">
        <v>4642.3630000000003</v>
      </c>
      <c r="E318" s="74">
        <v>4528.5709999999999</v>
      </c>
      <c r="F318" s="74">
        <v>4513.4309999999996</v>
      </c>
      <c r="G318" s="74">
        <v>4505.4369999999999</v>
      </c>
      <c r="H318" s="74">
        <v>4495.3630000000003</v>
      </c>
    </row>
    <row r="319" spans="1:8">
      <c r="A319" s="72">
        <v>46246.916666666664</v>
      </c>
      <c r="B319" s="73">
        <v>4505.7619999999997</v>
      </c>
      <c r="C319" s="74">
        <v>4725.1679999999997</v>
      </c>
      <c r="D319" s="74">
        <v>4645.2849999999999</v>
      </c>
      <c r="E319" s="74">
        <v>4522.6099999999997</v>
      </c>
      <c r="F319" s="74">
        <v>4508.366</v>
      </c>
      <c r="G319" s="74">
        <v>4505.8720000000003</v>
      </c>
      <c r="H319" s="74">
        <v>4495.9170000000004</v>
      </c>
    </row>
    <row r="320" spans="1:8">
      <c r="A320" s="72">
        <v>46246.958333333336</v>
      </c>
      <c r="B320" s="73">
        <v>4502.9719999999998</v>
      </c>
      <c r="C320" s="74">
        <v>4683.4049999999997</v>
      </c>
      <c r="D320" s="74">
        <v>4634.7939999999999</v>
      </c>
      <c r="E320" s="74">
        <v>4538.3090000000002</v>
      </c>
      <c r="F320" s="74">
        <v>4524.3360000000002</v>
      </c>
      <c r="G320" s="74">
        <v>4507.0060000000003</v>
      </c>
      <c r="H320" s="74">
        <v>4496.7879999999996</v>
      </c>
    </row>
    <row r="321" spans="1:8">
      <c r="A321" s="72">
        <v>46247</v>
      </c>
      <c r="B321" s="73">
        <v>4502.6940000000004</v>
      </c>
      <c r="C321" s="74">
        <v>4679.4520000000002</v>
      </c>
      <c r="D321" s="74">
        <v>4634.7569999999996</v>
      </c>
      <c r="E321" s="74">
        <v>4543.7629999999999</v>
      </c>
      <c r="F321" s="74">
        <v>4529.66</v>
      </c>
      <c r="G321" s="74">
        <v>4507.3990000000003</v>
      </c>
      <c r="H321" s="74">
        <v>4497.3100000000004</v>
      </c>
    </row>
    <row r="322" spans="1:8">
      <c r="A322" s="72">
        <v>46247.041666666664</v>
      </c>
      <c r="B322" s="73">
        <v>4501.4790000000003</v>
      </c>
      <c r="C322" s="74">
        <v>4675.7259999999997</v>
      </c>
      <c r="D322" s="74">
        <v>4672.2920000000004</v>
      </c>
      <c r="E322" s="74">
        <v>4542.8190000000004</v>
      </c>
      <c r="F322" s="74">
        <v>4521.424</v>
      </c>
      <c r="G322" s="74">
        <v>4508.5609999999997</v>
      </c>
      <c r="H322" s="74">
        <v>4498.1970000000001</v>
      </c>
    </row>
    <row r="323" spans="1:8">
      <c r="A323" s="72">
        <v>46247.083333333336</v>
      </c>
      <c r="B323" s="73">
        <v>4501.3580000000002</v>
      </c>
      <c r="C323" s="74">
        <v>4675.201</v>
      </c>
      <c r="D323" s="74">
        <v>4675.2079999999996</v>
      </c>
      <c r="E323" s="74">
        <v>4539.0929999999998</v>
      </c>
      <c r="F323" s="74">
        <v>4517.2820000000002</v>
      </c>
      <c r="G323" s="74">
        <v>4508.92</v>
      </c>
      <c r="H323" s="74">
        <v>4498.6930000000002</v>
      </c>
    </row>
    <row r="324" spans="1:8">
      <c r="A324" s="72">
        <v>46247.125</v>
      </c>
      <c r="B324" s="73">
        <v>4500.6710000000003</v>
      </c>
      <c r="C324" s="74">
        <v>4640.3689999999997</v>
      </c>
      <c r="D324" s="74">
        <v>4660.125</v>
      </c>
      <c r="E324" s="74">
        <v>4552.3180000000002</v>
      </c>
      <c r="F324" s="74">
        <v>4532.9340000000002</v>
      </c>
      <c r="G324" s="74">
        <v>4510.2269999999999</v>
      </c>
      <c r="H324" s="74">
        <v>4499.6030000000001</v>
      </c>
    </row>
    <row r="325" spans="1:8">
      <c r="A325" s="72">
        <v>46247.166666666664</v>
      </c>
      <c r="B325" s="73">
        <v>4500.6030000000001</v>
      </c>
      <c r="C325" s="74">
        <v>4637.0290000000005</v>
      </c>
      <c r="D325" s="74">
        <v>4659.3100000000004</v>
      </c>
      <c r="E325" s="74">
        <v>4557.1859999999997</v>
      </c>
      <c r="F325" s="74">
        <v>4538.232</v>
      </c>
      <c r="G325" s="74">
        <v>4510.5810000000001</v>
      </c>
      <c r="H325" s="74">
        <v>4500.0770000000002</v>
      </c>
    </row>
    <row r="326" spans="1:8">
      <c r="A326" s="72">
        <v>46247.208333333336</v>
      </c>
      <c r="B326" s="73">
        <v>4500.3249999999998</v>
      </c>
      <c r="C326" s="74">
        <v>4632.0379999999996</v>
      </c>
      <c r="D326" s="74">
        <v>4699.2740000000003</v>
      </c>
      <c r="E326" s="74">
        <v>4564.25</v>
      </c>
      <c r="F326" s="74">
        <v>4530.9989999999998</v>
      </c>
      <c r="G326" s="74">
        <v>4512.1629999999996</v>
      </c>
      <c r="H326" s="74">
        <v>4501.0200000000004</v>
      </c>
    </row>
    <row r="327" spans="1:8">
      <c r="A327" s="72">
        <v>46247.25</v>
      </c>
      <c r="B327" s="73">
        <v>4500.2979999999998</v>
      </c>
      <c r="C327" s="74">
        <v>4631.4350000000004</v>
      </c>
      <c r="D327" s="74">
        <v>4702.6540000000005</v>
      </c>
      <c r="E327" s="74">
        <v>4560.9589999999998</v>
      </c>
      <c r="F327" s="74">
        <v>4525.9989999999998</v>
      </c>
      <c r="G327" s="74">
        <v>4512.5410000000002</v>
      </c>
      <c r="H327" s="74">
        <v>4501.4750000000004</v>
      </c>
    </row>
    <row r="328" spans="1:8">
      <c r="A328" s="72">
        <v>46247.291666666664</v>
      </c>
      <c r="B328" s="73">
        <v>4500.1409999999996</v>
      </c>
      <c r="C328" s="74">
        <v>4600.4970000000003</v>
      </c>
      <c r="D328" s="74">
        <v>4673.4880000000003</v>
      </c>
      <c r="E328" s="74">
        <v>4567.6909999999998</v>
      </c>
      <c r="F328" s="74">
        <v>4539.7299999999996</v>
      </c>
      <c r="G328" s="74">
        <v>4514.25</v>
      </c>
      <c r="H328" s="74">
        <v>4502.4639999999999</v>
      </c>
    </row>
    <row r="329" spans="1:8">
      <c r="A329" s="72">
        <v>46247.333333333336</v>
      </c>
      <c r="B329" s="73">
        <v>4500.125</v>
      </c>
      <c r="C329" s="74">
        <v>4597.4859999999999</v>
      </c>
      <c r="D329" s="74">
        <v>4670.9799999999996</v>
      </c>
      <c r="E329" s="74">
        <v>4571.1710000000003</v>
      </c>
      <c r="F329" s="74">
        <v>4544.6790000000001</v>
      </c>
      <c r="G329" s="74">
        <v>4514.5860000000002</v>
      </c>
      <c r="H329" s="74">
        <v>4502.9059999999999</v>
      </c>
    </row>
    <row r="330" spans="1:8">
      <c r="A330" s="72">
        <v>46247.375</v>
      </c>
      <c r="B330" s="73">
        <v>4500.0680000000002</v>
      </c>
      <c r="C330" s="74">
        <v>4587.7020000000002</v>
      </c>
      <c r="D330" s="74">
        <v>4687.6139999999996</v>
      </c>
      <c r="E330" s="74">
        <v>4585.2359999999999</v>
      </c>
      <c r="F330" s="74">
        <v>4544.402</v>
      </c>
      <c r="G330" s="74">
        <v>4516.4639999999999</v>
      </c>
      <c r="H330" s="74">
        <v>4503.951</v>
      </c>
    </row>
    <row r="331" spans="1:8">
      <c r="A331" s="72">
        <v>46247.416666666664</v>
      </c>
      <c r="B331" s="73">
        <v>4500.0619999999999</v>
      </c>
      <c r="C331" s="74">
        <v>4586.6750000000002</v>
      </c>
      <c r="D331" s="74">
        <v>4688.9650000000001</v>
      </c>
      <c r="E331" s="74">
        <v>4584.027</v>
      </c>
      <c r="F331" s="74">
        <v>4541.0969999999998</v>
      </c>
      <c r="G331" s="74">
        <v>4516.7529999999997</v>
      </c>
      <c r="H331" s="74">
        <v>4504.3789999999999</v>
      </c>
    </row>
    <row r="332" spans="1:8">
      <c r="A332" s="72">
        <v>46247.458333333336</v>
      </c>
      <c r="B332" s="73">
        <v>4500.0280000000002</v>
      </c>
      <c r="C332" s="74">
        <v>4566.1880000000001</v>
      </c>
      <c r="D332" s="74">
        <v>4661.1580000000004</v>
      </c>
      <c r="E332" s="74">
        <v>4587.0959999999995</v>
      </c>
      <c r="F332" s="74">
        <v>4552.9080000000004</v>
      </c>
      <c r="G332" s="74">
        <v>4518.95</v>
      </c>
      <c r="H332" s="74">
        <v>4505.482</v>
      </c>
    </row>
    <row r="333" spans="1:8">
      <c r="A333" s="72">
        <v>46247.5</v>
      </c>
      <c r="B333" s="73">
        <v>4500.0240000000003</v>
      </c>
      <c r="C333" s="74">
        <v>4564.192</v>
      </c>
      <c r="D333" s="74">
        <v>4658.6469999999999</v>
      </c>
      <c r="E333" s="74">
        <v>4589.7650000000003</v>
      </c>
      <c r="F333" s="74">
        <v>4557.433</v>
      </c>
      <c r="G333" s="74">
        <v>4519.2290000000003</v>
      </c>
      <c r="H333" s="74">
        <v>4505.8950000000004</v>
      </c>
    </row>
    <row r="334" spans="1:8">
      <c r="A334" s="72">
        <v>46247.541666666664</v>
      </c>
      <c r="B334" s="73">
        <v>4500.0129999999999</v>
      </c>
      <c r="C334" s="74">
        <v>4558.2839999999997</v>
      </c>
      <c r="D334" s="74">
        <v>4668.2330000000002</v>
      </c>
      <c r="E334" s="74">
        <v>4614.049</v>
      </c>
      <c r="F334" s="74">
        <v>4562.9849999999997</v>
      </c>
      <c r="G334" s="74">
        <v>4522.0320000000002</v>
      </c>
      <c r="H334" s="74">
        <v>4507.0640000000003</v>
      </c>
    </row>
    <row r="335" spans="1:8">
      <c r="A335" s="72">
        <v>46247.583333333336</v>
      </c>
      <c r="B335" s="73">
        <v>4500.0119999999997</v>
      </c>
      <c r="C335" s="74">
        <v>4557.66</v>
      </c>
      <c r="D335" s="74">
        <v>4668.9719999999998</v>
      </c>
      <c r="E335" s="74">
        <v>4613.9480000000003</v>
      </c>
      <c r="F335" s="74">
        <v>4559.7749999999996</v>
      </c>
      <c r="G335" s="74">
        <v>4522.375</v>
      </c>
      <c r="H335" s="74">
        <v>4507.4579999999996</v>
      </c>
    </row>
    <row r="336" spans="1:8">
      <c r="A336" s="72">
        <v>46247.625</v>
      </c>
      <c r="B336" s="73">
        <v>4500.0050000000001</v>
      </c>
      <c r="C336" s="74">
        <v>4542.8119999999999</v>
      </c>
      <c r="D336" s="74">
        <v>4635.0230000000001</v>
      </c>
      <c r="E336" s="74">
        <v>4607.6000000000004</v>
      </c>
      <c r="F336" s="74">
        <v>4566.1729999999998</v>
      </c>
      <c r="G336" s="74">
        <v>4525.6930000000002</v>
      </c>
      <c r="H336" s="74">
        <v>4508.7219999999998</v>
      </c>
    </row>
    <row r="337" spans="1:8">
      <c r="A337" s="72">
        <v>46247.666666666664</v>
      </c>
      <c r="B337" s="73">
        <v>4500.0039999999999</v>
      </c>
      <c r="C337" s="74">
        <v>4541.357</v>
      </c>
      <c r="D337" s="74">
        <v>4631.7849999999999</v>
      </c>
      <c r="E337" s="74">
        <v>4608.6530000000002</v>
      </c>
      <c r="F337" s="74">
        <v>4569.6559999999999</v>
      </c>
      <c r="G337" s="74">
        <v>4526.0410000000002</v>
      </c>
      <c r="H337" s="74">
        <v>4509.1000000000004</v>
      </c>
    </row>
    <row r="338" spans="1:8">
      <c r="A338" s="72">
        <v>46247.708333333336</v>
      </c>
      <c r="B338" s="73">
        <v>4500.0020000000004</v>
      </c>
      <c r="C338" s="74">
        <v>4535.8429999999998</v>
      </c>
      <c r="D338" s="74">
        <v>4626.5950000000003</v>
      </c>
      <c r="E338" s="74">
        <v>4630.46</v>
      </c>
      <c r="F338" s="74">
        <v>4580.0020000000004</v>
      </c>
      <c r="G338" s="74">
        <v>4529.8779999999997</v>
      </c>
      <c r="H338" s="74">
        <v>4510.4979999999996</v>
      </c>
    </row>
    <row r="339" spans="1:8">
      <c r="A339" s="72">
        <v>46247.75</v>
      </c>
      <c r="B339" s="73">
        <v>4500.0020000000004</v>
      </c>
      <c r="C339" s="74">
        <v>4535.2759999999998</v>
      </c>
      <c r="D339" s="74">
        <v>4625.9709999999995</v>
      </c>
      <c r="E339" s="74">
        <v>4631.1170000000002</v>
      </c>
      <c r="F339" s="74">
        <v>4578.4189999999999</v>
      </c>
      <c r="G339" s="74">
        <v>4530.2169999999996</v>
      </c>
      <c r="H339" s="74">
        <v>4510.8609999999999</v>
      </c>
    </row>
    <row r="340" spans="1:8">
      <c r="A340" s="72">
        <v>46247.791666666664</v>
      </c>
      <c r="B340" s="73">
        <v>4500.0010000000002</v>
      </c>
      <c r="C340" s="74">
        <v>4526.33</v>
      </c>
      <c r="D340" s="74">
        <v>4599.9759999999997</v>
      </c>
      <c r="E340" s="74">
        <v>4622.0339999999997</v>
      </c>
      <c r="F340" s="74">
        <v>4582.0389999999998</v>
      </c>
      <c r="G340" s="74">
        <v>4534.6149999999998</v>
      </c>
      <c r="H340" s="74">
        <v>4512.4269999999997</v>
      </c>
    </row>
    <row r="341" spans="1:8">
      <c r="A341" s="72">
        <v>46247.833333333336</v>
      </c>
      <c r="B341" s="73">
        <v>4500</v>
      </c>
      <c r="C341" s="74">
        <v>4525.4530000000004</v>
      </c>
      <c r="D341" s="74">
        <v>4597.4780000000001</v>
      </c>
      <c r="E341" s="74">
        <v>4622.45</v>
      </c>
      <c r="F341" s="74">
        <v>4584.8999999999996</v>
      </c>
      <c r="G341" s="74">
        <v>4534.9639999999999</v>
      </c>
      <c r="H341" s="74">
        <v>4512.7759999999998</v>
      </c>
    </row>
    <row r="342" spans="1:8">
      <c r="A342" s="72">
        <v>46247.875</v>
      </c>
      <c r="B342" s="73">
        <v>4500</v>
      </c>
      <c r="C342" s="74">
        <v>4522.4639999999999</v>
      </c>
      <c r="D342" s="74">
        <v>4593.165</v>
      </c>
      <c r="E342" s="74">
        <v>4650.07</v>
      </c>
      <c r="F342" s="74">
        <v>4602.7619999999997</v>
      </c>
      <c r="G342" s="74">
        <v>4540.1880000000001</v>
      </c>
      <c r="H342" s="74">
        <v>4514.55</v>
      </c>
    </row>
    <row r="343" spans="1:8">
      <c r="A343" s="72">
        <v>46247.916666666664</v>
      </c>
      <c r="B343" s="73">
        <v>4500</v>
      </c>
      <c r="C343" s="74">
        <v>4522.1549999999997</v>
      </c>
      <c r="D343" s="74">
        <v>4592.6610000000001</v>
      </c>
      <c r="E343" s="74">
        <v>4651.491</v>
      </c>
      <c r="F343" s="74">
        <v>4601.8180000000002</v>
      </c>
      <c r="G343" s="74">
        <v>4540.6390000000001</v>
      </c>
      <c r="H343" s="74">
        <v>4514.8829999999998</v>
      </c>
    </row>
    <row r="344" spans="1:8">
      <c r="A344" s="72">
        <v>46247.958333333336</v>
      </c>
      <c r="B344" s="73">
        <v>4500</v>
      </c>
      <c r="C344" s="74">
        <v>4516.2049999999999</v>
      </c>
      <c r="D344" s="74">
        <v>4570.5969999999998</v>
      </c>
      <c r="E344" s="74">
        <v>4632.6139999999996</v>
      </c>
      <c r="F344" s="74">
        <v>4597.47</v>
      </c>
      <c r="G344" s="74">
        <v>4546.6450000000004</v>
      </c>
      <c r="H344" s="74">
        <v>4516.933</v>
      </c>
    </row>
    <row r="345" spans="1:8">
      <c r="A345" s="72">
        <v>46248</v>
      </c>
      <c r="B345" s="73">
        <v>4500</v>
      </c>
      <c r="C345" s="74">
        <v>4515.62</v>
      </c>
      <c r="D345" s="74">
        <v>4568.4489999999996</v>
      </c>
      <c r="E345" s="74">
        <v>4631.6099999999997</v>
      </c>
      <c r="F345" s="74">
        <v>4598.9809999999998</v>
      </c>
      <c r="G345" s="74">
        <v>4547.1540000000005</v>
      </c>
      <c r="H345" s="74">
        <v>4517.2529999999997</v>
      </c>
    </row>
    <row r="346" spans="1:8">
      <c r="A346" s="72">
        <v>46248.041666666664</v>
      </c>
      <c r="B346" s="73">
        <v>4500</v>
      </c>
      <c r="C346" s="74">
        <v>4513.28</v>
      </c>
      <c r="D346" s="74">
        <v>4561.4160000000002</v>
      </c>
      <c r="E346" s="74">
        <v>4648.2389999999996</v>
      </c>
      <c r="F346" s="74">
        <v>4615.1909999999998</v>
      </c>
      <c r="G346" s="74">
        <v>4553.82</v>
      </c>
      <c r="H346" s="74">
        <v>4519.6670000000004</v>
      </c>
    </row>
    <row r="347" spans="1:8">
      <c r="A347" s="72">
        <v>46248.083333333336</v>
      </c>
      <c r="B347" s="73">
        <v>4500</v>
      </c>
      <c r="C347" s="74">
        <v>4513.0410000000002</v>
      </c>
      <c r="D347" s="74">
        <v>4560.6790000000001</v>
      </c>
      <c r="E347" s="74">
        <v>4649.1390000000001</v>
      </c>
      <c r="F347" s="74">
        <v>4615.0439999999999</v>
      </c>
      <c r="G347" s="74">
        <v>4554.3630000000003</v>
      </c>
      <c r="H347" s="74">
        <v>4519.9870000000001</v>
      </c>
    </row>
    <row r="348" spans="1:8">
      <c r="A348" s="72">
        <v>46248.125</v>
      </c>
      <c r="B348" s="73">
        <v>4500</v>
      </c>
      <c r="C348" s="74">
        <v>4509.6139999999996</v>
      </c>
      <c r="D348" s="74">
        <v>4546.2749999999996</v>
      </c>
      <c r="E348" s="74">
        <v>4630.7640000000001</v>
      </c>
      <c r="F348" s="74">
        <v>4608.692</v>
      </c>
      <c r="G348" s="74">
        <v>4561.4409999999998</v>
      </c>
      <c r="H348" s="74">
        <v>4522.8459999999995</v>
      </c>
    </row>
    <row r="349" spans="1:8">
      <c r="A349" s="72">
        <v>46248.166666666664</v>
      </c>
      <c r="B349" s="73">
        <v>4500</v>
      </c>
      <c r="C349" s="74">
        <v>4509.2780000000002</v>
      </c>
      <c r="D349" s="74">
        <v>4544.8710000000001</v>
      </c>
      <c r="E349" s="74">
        <v>4629.5829999999996</v>
      </c>
      <c r="F349" s="74">
        <v>4609.6790000000001</v>
      </c>
      <c r="G349" s="74">
        <v>4561.9960000000001</v>
      </c>
      <c r="H349" s="74">
        <v>4523.1750000000002</v>
      </c>
    </row>
    <row r="350" spans="1:8">
      <c r="A350" s="72">
        <v>46248.208333333336</v>
      </c>
      <c r="B350" s="73">
        <v>4500</v>
      </c>
      <c r="C350" s="74">
        <v>4508.0619999999999</v>
      </c>
      <c r="D350" s="74">
        <v>4540.7129999999997</v>
      </c>
      <c r="E350" s="74">
        <v>4647.183</v>
      </c>
      <c r="F350" s="74">
        <v>4631.2359999999999</v>
      </c>
      <c r="G350" s="74">
        <v>4569.4660000000003</v>
      </c>
      <c r="H350" s="74">
        <v>4526.5420000000004</v>
      </c>
    </row>
    <row r="351" spans="1:8">
      <c r="A351" s="72">
        <v>46248.25</v>
      </c>
      <c r="B351" s="73">
        <v>4500</v>
      </c>
      <c r="C351" s="74">
        <v>4507.9359999999997</v>
      </c>
      <c r="D351" s="74">
        <v>4540.2740000000003</v>
      </c>
      <c r="E351" s="74">
        <v>4648.3149999999996</v>
      </c>
      <c r="F351" s="74">
        <v>4631.683</v>
      </c>
      <c r="G351" s="74">
        <v>4570.09</v>
      </c>
      <c r="H351" s="74">
        <v>4526.8850000000002</v>
      </c>
    </row>
    <row r="352" spans="1:8">
      <c r="A352" s="72">
        <v>46248.291666666664</v>
      </c>
      <c r="B352" s="73">
        <v>4500</v>
      </c>
      <c r="C352" s="74">
        <v>4505.7550000000001</v>
      </c>
      <c r="D352" s="74">
        <v>4529.8950000000004</v>
      </c>
      <c r="E352" s="74">
        <v>4623.62</v>
      </c>
      <c r="F352" s="74">
        <v>4617.0410000000002</v>
      </c>
      <c r="G352" s="74">
        <v>4577.9189999999999</v>
      </c>
      <c r="H352" s="74">
        <v>4530.8209999999999</v>
      </c>
    </row>
    <row r="353" spans="1:8">
      <c r="A353" s="72">
        <v>46248.333333333336</v>
      </c>
      <c r="B353" s="73">
        <v>4500</v>
      </c>
      <c r="C353" s="74">
        <v>4505.54</v>
      </c>
      <c r="D353" s="74">
        <v>4528.8770000000004</v>
      </c>
      <c r="E353" s="74">
        <v>4621.567</v>
      </c>
      <c r="F353" s="74">
        <v>4616.7610000000004</v>
      </c>
      <c r="G353" s="74">
        <v>4578.5839999999998</v>
      </c>
      <c r="H353" s="74">
        <v>4531.1850000000004</v>
      </c>
    </row>
    <row r="354" spans="1:8">
      <c r="A354" s="72">
        <v>46248.375</v>
      </c>
      <c r="B354" s="73">
        <v>4500</v>
      </c>
      <c r="C354" s="74">
        <v>4504.6580000000004</v>
      </c>
      <c r="D354" s="74">
        <v>4525.0290000000005</v>
      </c>
      <c r="E354" s="74">
        <v>4627.3329999999996</v>
      </c>
      <c r="F354" s="74">
        <v>4630.72</v>
      </c>
      <c r="G354" s="74">
        <v>4586.5029999999997</v>
      </c>
      <c r="H354" s="74">
        <v>4535.75</v>
      </c>
    </row>
    <row r="355" spans="1:8">
      <c r="A355" s="72">
        <v>46248.416666666664</v>
      </c>
      <c r="B355" s="73">
        <v>4500</v>
      </c>
      <c r="C355" s="74">
        <v>4504.5680000000002</v>
      </c>
      <c r="D355" s="74">
        <v>4524.634</v>
      </c>
      <c r="E355" s="74">
        <v>4627.5680000000002</v>
      </c>
      <c r="F355" s="74">
        <v>4631.0640000000003</v>
      </c>
      <c r="G355" s="74">
        <v>4587.17</v>
      </c>
      <c r="H355" s="74">
        <v>4536.1490000000003</v>
      </c>
    </row>
    <row r="356" spans="1:8">
      <c r="A356" s="72">
        <v>46248.458333333336</v>
      </c>
      <c r="B356" s="73">
        <v>4500</v>
      </c>
      <c r="C356" s="74">
        <v>4503.3429999999998</v>
      </c>
      <c r="D356" s="74">
        <v>4518.3890000000001</v>
      </c>
      <c r="E356" s="74">
        <v>4606.9520000000002</v>
      </c>
      <c r="F356" s="74">
        <v>4616.7879999999996</v>
      </c>
      <c r="G356" s="74">
        <v>4594.6729999999998</v>
      </c>
      <c r="H356" s="74">
        <v>4541.3789999999999</v>
      </c>
    </row>
    <row r="357" spans="1:8">
      <c r="A357" s="72">
        <v>46248.5</v>
      </c>
      <c r="B357" s="73">
        <v>4500</v>
      </c>
      <c r="C357" s="74">
        <v>4503.2219999999998</v>
      </c>
      <c r="D357" s="74">
        <v>4517.777</v>
      </c>
      <c r="E357" s="74">
        <v>4605.1880000000001</v>
      </c>
      <c r="F357" s="74">
        <v>4616.3040000000001</v>
      </c>
      <c r="G357" s="74">
        <v>4595.2870000000003</v>
      </c>
      <c r="H357" s="74">
        <v>4541.8239999999996</v>
      </c>
    </row>
    <row r="358" spans="1:8">
      <c r="A358" s="72">
        <v>46248.541666666664</v>
      </c>
      <c r="B358" s="73">
        <v>4500</v>
      </c>
      <c r="C358" s="74">
        <v>4502.7730000000001</v>
      </c>
      <c r="D358" s="74">
        <v>4515.6949999999997</v>
      </c>
      <c r="E358" s="74">
        <v>4611.0889999999999</v>
      </c>
      <c r="F358" s="74">
        <v>4632.7219999999998</v>
      </c>
      <c r="G358" s="74">
        <v>4602.0690000000004</v>
      </c>
      <c r="H358" s="74">
        <v>4547.7020000000002</v>
      </c>
    </row>
    <row r="359" spans="1:8">
      <c r="A359" s="72">
        <v>46248.583333333336</v>
      </c>
      <c r="B359" s="73">
        <v>4500</v>
      </c>
      <c r="C359" s="74">
        <v>4502.7269999999999</v>
      </c>
      <c r="D359" s="74">
        <v>4515.4790000000003</v>
      </c>
      <c r="E359" s="74">
        <v>4611.4110000000001</v>
      </c>
      <c r="F359" s="74">
        <v>4633.4030000000002</v>
      </c>
      <c r="G359" s="74">
        <v>4602.6419999999998</v>
      </c>
      <c r="H359" s="74">
        <v>4548.1909999999998</v>
      </c>
    </row>
    <row r="360" spans="1:8">
      <c r="A360" s="72">
        <v>46248.625</v>
      </c>
      <c r="B360" s="73">
        <v>4500</v>
      </c>
      <c r="C360" s="74">
        <v>4501.9669999999996</v>
      </c>
      <c r="D360" s="74">
        <v>4511.3239999999996</v>
      </c>
      <c r="E360" s="74">
        <v>4589.4639999999999</v>
      </c>
      <c r="F360" s="74">
        <v>4613.2039999999997</v>
      </c>
      <c r="G360" s="74">
        <v>4608.7889999999998</v>
      </c>
      <c r="H360" s="74">
        <v>4554.6480000000001</v>
      </c>
    </row>
    <row r="361" spans="1:8">
      <c r="A361" s="72">
        <v>46248.666666666664</v>
      </c>
      <c r="B361" s="73">
        <v>4500</v>
      </c>
      <c r="C361" s="74">
        <v>4501.8919999999998</v>
      </c>
      <c r="D361" s="74">
        <v>4510.9160000000002</v>
      </c>
      <c r="E361" s="74">
        <v>4587.4530000000004</v>
      </c>
      <c r="F361" s="74">
        <v>4611.8410000000003</v>
      </c>
      <c r="G361" s="74">
        <v>4609.3119999999999</v>
      </c>
      <c r="H361" s="74">
        <v>4555.1809999999996</v>
      </c>
    </row>
    <row r="362" spans="1:8">
      <c r="A362" s="72">
        <v>46248.708333333336</v>
      </c>
      <c r="B362" s="73">
        <v>4500</v>
      </c>
      <c r="C362" s="74">
        <v>4501.58</v>
      </c>
      <c r="D362" s="74">
        <v>4509.2839999999997</v>
      </c>
      <c r="E362" s="74">
        <v>4586.1229999999996</v>
      </c>
      <c r="F362" s="74">
        <v>4619.1139999999996</v>
      </c>
      <c r="G362" s="74">
        <v>4614.5929999999998</v>
      </c>
      <c r="H362" s="74">
        <v>4562.1170000000002</v>
      </c>
    </row>
    <row r="363" spans="1:8">
      <c r="A363" s="72">
        <v>46248.75</v>
      </c>
      <c r="B363" s="73">
        <v>4500</v>
      </c>
      <c r="C363" s="74">
        <v>4501.5479999999998</v>
      </c>
      <c r="D363" s="74">
        <v>4509.1180000000004</v>
      </c>
      <c r="E363" s="74">
        <v>4585.8490000000002</v>
      </c>
      <c r="F363" s="74">
        <v>4619.2730000000001</v>
      </c>
      <c r="G363" s="74">
        <v>4615.0360000000001</v>
      </c>
      <c r="H363" s="74">
        <v>4562.6880000000001</v>
      </c>
    </row>
    <row r="364" spans="1:8">
      <c r="A364" s="72">
        <v>46248.791666666664</v>
      </c>
      <c r="B364" s="73">
        <v>4500</v>
      </c>
      <c r="C364" s="74">
        <v>4501.1270000000004</v>
      </c>
      <c r="D364" s="74">
        <v>4506.723</v>
      </c>
      <c r="E364" s="74">
        <v>4569.4210000000003</v>
      </c>
      <c r="F364" s="74">
        <v>4602.0600000000004</v>
      </c>
      <c r="G364" s="74">
        <v>4618.9830000000002</v>
      </c>
      <c r="H364" s="74">
        <v>4569.9780000000001</v>
      </c>
    </row>
    <row r="365" spans="1:8">
      <c r="A365" s="72">
        <v>46248.833333333336</v>
      </c>
      <c r="B365" s="73">
        <v>4500</v>
      </c>
      <c r="C365" s="74">
        <v>4501.085</v>
      </c>
      <c r="D365" s="74">
        <v>4506.4880000000003</v>
      </c>
      <c r="E365" s="74">
        <v>4567.9049999999997</v>
      </c>
      <c r="F365" s="74">
        <v>4600.8440000000001</v>
      </c>
      <c r="G365" s="74">
        <v>4619.29</v>
      </c>
      <c r="H365" s="74">
        <v>4570.5820000000003</v>
      </c>
    </row>
    <row r="366" spans="1:8">
      <c r="A366" s="72">
        <v>46248.875</v>
      </c>
      <c r="B366" s="73">
        <v>4500</v>
      </c>
      <c r="C366" s="74">
        <v>4500.9290000000001</v>
      </c>
      <c r="D366" s="74">
        <v>4505.6400000000003</v>
      </c>
      <c r="E366" s="74">
        <v>4567.7489999999998</v>
      </c>
      <c r="F366" s="74">
        <v>4609.384</v>
      </c>
      <c r="G366" s="74">
        <v>4621.6040000000003</v>
      </c>
      <c r="H366" s="74">
        <v>4578.0469999999996</v>
      </c>
    </row>
    <row r="367" spans="1:8">
      <c r="A367" s="72">
        <v>46248.916666666664</v>
      </c>
      <c r="B367" s="73">
        <v>4500.1570000000002</v>
      </c>
      <c r="C367" s="74">
        <v>4500.9179999999997</v>
      </c>
      <c r="D367" s="74">
        <v>4505.5529999999999</v>
      </c>
      <c r="E367" s="74">
        <v>4567.6270000000004</v>
      </c>
      <c r="F367" s="74">
        <v>4609.7420000000002</v>
      </c>
      <c r="G367" s="74">
        <v>4621.7700000000004</v>
      </c>
      <c r="H367" s="74">
        <v>4578.6689999999999</v>
      </c>
    </row>
    <row r="368" spans="1:8">
      <c r="A368" s="72">
        <v>46248.958333333336</v>
      </c>
      <c r="B368" s="73">
        <v>4500.2659999999996</v>
      </c>
      <c r="C368" s="74">
        <v>4500.6660000000002</v>
      </c>
      <c r="D368" s="74">
        <v>4504.0280000000002</v>
      </c>
      <c r="E368" s="74">
        <v>4552.7910000000002</v>
      </c>
      <c r="F368" s="74">
        <v>4590.1080000000002</v>
      </c>
      <c r="G368" s="74">
        <v>4622.8059999999996</v>
      </c>
      <c r="H368" s="74">
        <v>4586.0780000000004</v>
      </c>
    </row>
    <row r="369" spans="1:8">
      <c r="A369" s="72">
        <v>46249</v>
      </c>
      <c r="B369" s="73">
        <v>4500.2659999999996</v>
      </c>
      <c r="C369" s="74">
        <v>4500.6400000000003</v>
      </c>
      <c r="D369" s="74">
        <v>4503.8770000000004</v>
      </c>
      <c r="E369" s="74">
        <v>4551.3829999999998</v>
      </c>
      <c r="F369" s="74">
        <v>4588.4859999999999</v>
      </c>
      <c r="G369" s="74">
        <v>4622.8549999999996</v>
      </c>
      <c r="H369" s="74">
        <v>4586.6970000000001</v>
      </c>
    </row>
    <row r="370" spans="1:8">
      <c r="A370" s="72">
        <v>46249.041666666664</v>
      </c>
      <c r="B370" s="73">
        <v>4500.2659999999996</v>
      </c>
      <c r="C370" s="74">
        <v>4500.5339999999997</v>
      </c>
      <c r="D370" s="74">
        <v>4503.2610000000004</v>
      </c>
      <c r="E370" s="74">
        <v>4548.3540000000003</v>
      </c>
      <c r="F370" s="74">
        <v>4590.067</v>
      </c>
      <c r="G370" s="74">
        <v>4622.6310000000003</v>
      </c>
      <c r="H370" s="74">
        <v>4593.7979999999998</v>
      </c>
    </row>
    <row r="371" spans="1:8">
      <c r="A371" s="72">
        <v>46249.083333333336</v>
      </c>
      <c r="B371" s="73">
        <v>4502.9030000000002</v>
      </c>
      <c r="C371" s="74">
        <v>4500.6220000000003</v>
      </c>
      <c r="D371" s="74">
        <v>4503.2079999999996</v>
      </c>
      <c r="E371" s="74">
        <v>4547.9979999999996</v>
      </c>
      <c r="F371" s="74">
        <v>4589.9399999999996</v>
      </c>
      <c r="G371" s="74">
        <v>4622.5609999999997</v>
      </c>
      <c r="H371" s="74">
        <v>4594.393</v>
      </c>
    </row>
    <row r="372" spans="1:8">
      <c r="A372" s="72">
        <v>46249.125</v>
      </c>
      <c r="B372" s="73">
        <v>4504.7190000000001</v>
      </c>
      <c r="C372" s="74">
        <v>4500.549</v>
      </c>
      <c r="D372" s="74">
        <v>4502.357</v>
      </c>
      <c r="E372" s="74">
        <v>4537.7740000000003</v>
      </c>
      <c r="F372" s="74">
        <v>4574.6440000000002</v>
      </c>
      <c r="G372" s="74">
        <v>4620.8860000000004</v>
      </c>
      <c r="H372" s="74">
        <v>4600.9570000000003</v>
      </c>
    </row>
    <row r="373" spans="1:8">
      <c r="A373" s="72">
        <v>46249.166666666664</v>
      </c>
      <c r="B373" s="73">
        <v>4504.7190000000001</v>
      </c>
      <c r="C373" s="74">
        <v>4500.5349999999999</v>
      </c>
      <c r="D373" s="74">
        <v>4502.2730000000001</v>
      </c>
      <c r="E373" s="74">
        <v>4536.8029999999999</v>
      </c>
      <c r="F373" s="74">
        <v>4573.3689999999997</v>
      </c>
      <c r="G373" s="74">
        <v>4620.6719999999996</v>
      </c>
      <c r="H373" s="74">
        <v>4601.5060000000003</v>
      </c>
    </row>
    <row r="374" spans="1:8">
      <c r="A374" s="72">
        <v>46249.208333333336</v>
      </c>
      <c r="B374" s="73">
        <v>4504.7190000000001</v>
      </c>
      <c r="C374" s="74">
        <v>4500.482</v>
      </c>
      <c r="D374" s="74">
        <v>4501.9589999999998</v>
      </c>
      <c r="E374" s="74">
        <v>4535.2420000000002</v>
      </c>
      <c r="F374" s="74">
        <v>4576.2280000000001</v>
      </c>
      <c r="G374" s="74">
        <v>4617.4449999999997</v>
      </c>
      <c r="H374" s="74">
        <v>4607.3149999999996</v>
      </c>
    </row>
    <row r="375" spans="1:8">
      <c r="A375" s="72">
        <v>46249.25</v>
      </c>
      <c r="B375" s="73">
        <v>4520.0609999999997</v>
      </c>
      <c r="C375" s="74">
        <v>4501.0860000000002</v>
      </c>
      <c r="D375" s="74">
        <v>4501.9880000000003</v>
      </c>
      <c r="E375" s="74">
        <v>4535.0479999999998</v>
      </c>
      <c r="F375" s="74">
        <v>4576.2730000000001</v>
      </c>
      <c r="G375" s="74">
        <v>4617.0879999999997</v>
      </c>
      <c r="H375" s="74">
        <v>4607.7979999999998</v>
      </c>
    </row>
    <row r="376" spans="1:8">
      <c r="A376" s="72">
        <v>46249.291666666664</v>
      </c>
      <c r="B376" s="73">
        <v>4530.6260000000002</v>
      </c>
      <c r="C376" s="74">
        <v>4501.4210000000003</v>
      </c>
      <c r="D376" s="74">
        <v>4501.4979999999996</v>
      </c>
      <c r="E376" s="74">
        <v>4526.7979999999998</v>
      </c>
      <c r="F376" s="74">
        <v>4561.1170000000002</v>
      </c>
      <c r="G376" s="74">
        <v>4612.8559999999998</v>
      </c>
      <c r="H376" s="74">
        <v>4612.6289999999999</v>
      </c>
    </row>
    <row r="377" spans="1:8">
      <c r="A377" s="72">
        <v>46249.333333333336</v>
      </c>
      <c r="B377" s="73">
        <v>4530.625</v>
      </c>
      <c r="C377" s="74">
        <v>4501.4129999999996</v>
      </c>
      <c r="D377" s="74">
        <v>4501.4449999999997</v>
      </c>
      <c r="E377" s="74">
        <v>4526.0029999999997</v>
      </c>
      <c r="F377" s="74">
        <v>4559.768</v>
      </c>
      <c r="G377" s="74">
        <v>4612.4070000000002</v>
      </c>
      <c r="H377" s="74">
        <v>4613.0240000000003</v>
      </c>
    </row>
    <row r="378" spans="1:8">
      <c r="A378" s="72">
        <v>46249.375</v>
      </c>
      <c r="B378" s="73">
        <v>4530.625</v>
      </c>
      <c r="C378" s="74">
        <v>4501.3770000000004</v>
      </c>
      <c r="D378" s="74">
        <v>4501.2269999999999</v>
      </c>
      <c r="E378" s="74">
        <v>4523.692</v>
      </c>
      <c r="F378" s="74">
        <v>4558.6750000000002</v>
      </c>
      <c r="G378" s="74">
        <v>4607.3969999999999</v>
      </c>
      <c r="H378" s="74">
        <v>4616.6859999999997</v>
      </c>
    </row>
    <row r="379" spans="1:8">
      <c r="A379" s="72">
        <v>46249.416666666664</v>
      </c>
      <c r="B379" s="73">
        <v>4564.9979999999996</v>
      </c>
      <c r="C379" s="74">
        <v>4503.2539999999999</v>
      </c>
      <c r="D379" s="74">
        <v>4501.4269999999997</v>
      </c>
      <c r="E379" s="74">
        <v>4523.4539999999997</v>
      </c>
      <c r="F379" s="74">
        <v>4558.4340000000002</v>
      </c>
      <c r="G379" s="74">
        <v>4606.875</v>
      </c>
      <c r="H379" s="74">
        <v>4616.973</v>
      </c>
    </row>
    <row r="380" spans="1:8">
      <c r="A380" s="72">
        <v>46249.458333333336</v>
      </c>
      <c r="B380" s="73">
        <v>4588.6719999999996</v>
      </c>
      <c r="C380" s="74">
        <v>4504.5029999999997</v>
      </c>
      <c r="D380" s="74">
        <v>4501.2849999999999</v>
      </c>
      <c r="E380" s="74">
        <v>4518.1059999999998</v>
      </c>
      <c r="F380" s="74">
        <v>4547.3890000000001</v>
      </c>
      <c r="G380" s="74">
        <v>4601.1139999999996</v>
      </c>
      <c r="H380" s="74">
        <v>4619.3500000000004</v>
      </c>
    </row>
    <row r="381" spans="1:8">
      <c r="A381" s="72">
        <v>46249.5</v>
      </c>
      <c r="B381" s="73">
        <v>4588.6279999999997</v>
      </c>
      <c r="C381" s="74">
        <v>4504.4970000000003</v>
      </c>
      <c r="D381" s="74">
        <v>4501.2560000000003</v>
      </c>
      <c r="E381" s="74">
        <v>4517.59</v>
      </c>
      <c r="F381" s="74">
        <v>4546.4059999999999</v>
      </c>
      <c r="G381" s="74">
        <v>4600.5169999999998</v>
      </c>
      <c r="H381" s="74">
        <v>4619.5190000000002</v>
      </c>
    </row>
    <row r="382" spans="1:8">
      <c r="A382" s="72">
        <v>46249.541666666664</v>
      </c>
      <c r="B382" s="73">
        <v>4588.5969999999998</v>
      </c>
      <c r="C382" s="74">
        <v>4504.4780000000001</v>
      </c>
      <c r="D382" s="74">
        <v>4501.1459999999997</v>
      </c>
      <c r="E382" s="74">
        <v>4516.3590000000004</v>
      </c>
      <c r="F382" s="74">
        <v>4546.6189999999997</v>
      </c>
      <c r="G382" s="74">
        <v>4594.0200000000004</v>
      </c>
      <c r="H382" s="74">
        <v>4620.5630000000001</v>
      </c>
    </row>
    <row r="383" spans="1:8">
      <c r="A383" s="72">
        <v>46249.583333333336</v>
      </c>
      <c r="B383" s="73">
        <v>4609.7719999999999</v>
      </c>
      <c r="C383" s="74">
        <v>4508.7839999999997</v>
      </c>
      <c r="D383" s="74">
        <v>4501.808</v>
      </c>
      <c r="E383" s="74">
        <v>4516.2629999999999</v>
      </c>
      <c r="F383" s="74">
        <v>4546.5389999999998</v>
      </c>
      <c r="G383" s="74">
        <v>4593.3559999999998</v>
      </c>
      <c r="H383" s="74">
        <v>4620.6080000000002</v>
      </c>
    </row>
    <row r="384" spans="1:8">
      <c r="A384" s="72">
        <v>46249.625</v>
      </c>
      <c r="B384" s="73">
        <v>4624.357</v>
      </c>
      <c r="C384" s="74">
        <v>4511.7219999999998</v>
      </c>
      <c r="D384" s="74">
        <v>4502.0910000000003</v>
      </c>
      <c r="E384" s="74">
        <v>4512.2910000000002</v>
      </c>
      <c r="F384" s="74">
        <v>4536.625</v>
      </c>
      <c r="G384" s="74">
        <v>4586.6170000000002</v>
      </c>
      <c r="H384" s="74">
        <v>4620.3029999999999</v>
      </c>
    </row>
    <row r="385" spans="1:8">
      <c r="A385" s="72">
        <v>46249.666666666664</v>
      </c>
      <c r="B385" s="73">
        <v>4623.4319999999998</v>
      </c>
      <c r="C385" s="74">
        <v>4511.6850000000004</v>
      </c>
      <c r="D385" s="74">
        <v>4502.0690000000004</v>
      </c>
      <c r="E385" s="74">
        <v>4511.9009999999998</v>
      </c>
      <c r="F385" s="74">
        <v>4535.7110000000002</v>
      </c>
      <c r="G385" s="74">
        <v>4585.933</v>
      </c>
      <c r="H385" s="74">
        <v>4620.2219999999998</v>
      </c>
    </row>
    <row r="386" spans="1:8">
      <c r="A386" s="72">
        <v>46249.708333333336</v>
      </c>
      <c r="B386" s="73">
        <v>4622.7939999999999</v>
      </c>
      <c r="C386" s="74">
        <v>4511.6490000000003</v>
      </c>
      <c r="D386" s="74">
        <v>4501.9930000000004</v>
      </c>
      <c r="E386" s="74">
        <v>4510.6059999999998</v>
      </c>
      <c r="F386" s="74">
        <v>4534.1030000000001</v>
      </c>
      <c r="G386" s="74">
        <v>4579.1760000000004</v>
      </c>
      <c r="H386" s="74">
        <v>4618.5959999999995</v>
      </c>
    </row>
    <row r="387" spans="1:8">
      <c r="A387" s="72">
        <v>46249.75</v>
      </c>
      <c r="B387" s="73">
        <v>4629.2719999999999</v>
      </c>
      <c r="C387" s="74">
        <v>4520.6790000000001</v>
      </c>
      <c r="D387" s="74">
        <v>4503.6869999999999</v>
      </c>
      <c r="E387" s="74">
        <v>4510.5919999999996</v>
      </c>
      <c r="F387" s="74">
        <v>4533.915</v>
      </c>
      <c r="G387" s="74">
        <v>4578.4920000000002</v>
      </c>
      <c r="H387" s="74">
        <v>4618.3909999999996</v>
      </c>
    </row>
    <row r="388" spans="1:8">
      <c r="A388" s="72">
        <v>46249.791666666664</v>
      </c>
      <c r="B388" s="73">
        <v>4633.7340000000004</v>
      </c>
      <c r="C388" s="74">
        <v>4526.8850000000002</v>
      </c>
      <c r="D388" s="74">
        <v>4504.7610000000004</v>
      </c>
      <c r="E388" s="74">
        <v>4508.1890000000003</v>
      </c>
      <c r="F388" s="74">
        <v>4527.0600000000004</v>
      </c>
      <c r="G388" s="74">
        <v>4571.7709999999997</v>
      </c>
      <c r="H388" s="74">
        <v>4615.5420000000004</v>
      </c>
    </row>
    <row r="389" spans="1:8">
      <c r="A389" s="72">
        <v>46249.833333333336</v>
      </c>
      <c r="B389" s="73">
        <v>4626.0510000000004</v>
      </c>
      <c r="C389" s="74">
        <v>4526.585</v>
      </c>
      <c r="D389" s="74">
        <v>4504.7219999999998</v>
      </c>
      <c r="E389" s="74">
        <v>4507.9459999999999</v>
      </c>
      <c r="F389" s="74">
        <v>4526.4279999999999</v>
      </c>
      <c r="G389" s="74">
        <v>4571.0910000000003</v>
      </c>
      <c r="H389" s="74">
        <v>4615.2209999999995</v>
      </c>
    </row>
    <row r="390" spans="1:8">
      <c r="A390" s="72">
        <v>46249.875</v>
      </c>
      <c r="B390" s="73">
        <v>4620.76</v>
      </c>
      <c r="C390" s="74">
        <v>4526.375</v>
      </c>
      <c r="D390" s="74">
        <v>4504.665</v>
      </c>
      <c r="E390" s="74">
        <v>4507.26</v>
      </c>
      <c r="F390" s="74">
        <v>4525.8770000000004</v>
      </c>
      <c r="G390" s="74">
        <v>4564.4030000000002</v>
      </c>
      <c r="H390" s="74">
        <v>4611.3059999999996</v>
      </c>
    </row>
    <row r="391" spans="1:8">
      <c r="A391" s="72">
        <v>46249.916666666664</v>
      </c>
      <c r="B391" s="73">
        <v>4610.4350000000004</v>
      </c>
      <c r="C391" s="74">
        <v>4536.9260000000004</v>
      </c>
      <c r="D391" s="74">
        <v>4507.759</v>
      </c>
      <c r="E391" s="74">
        <v>4507.4780000000001</v>
      </c>
      <c r="F391" s="74">
        <v>4525.8599999999997</v>
      </c>
      <c r="G391" s="74">
        <v>4563.7299999999996</v>
      </c>
      <c r="H391" s="74">
        <v>4610.8850000000002</v>
      </c>
    </row>
    <row r="392" spans="1:8">
      <c r="A392" s="72">
        <v>46249.958333333336</v>
      </c>
      <c r="B392" s="73">
        <v>4603.3230000000003</v>
      </c>
      <c r="C392" s="74">
        <v>4544.1840000000002</v>
      </c>
      <c r="D392" s="74">
        <v>4509.8339999999998</v>
      </c>
      <c r="E392" s="74">
        <v>4505.9179999999997</v>
      </c>
      <c r="F392" s="74">
        <v>4520.1629999999996</v>
      </c>
      <c r="G392" s="74">
        <v>4557.3639999999996</v>
      </c>
      <c r="H392" s="74">
        <v>4606.0709999999999</v>
      </c>
    </row>
    <row r="393" spans="1:8">
      <c r="A393" s="72">
        <v>46250</v>
      </c>
      <c r="B393" s="73">
        <v>4586.0609999999997</v>
      </c>
      <c r="C393" s="74">
        <v>4543.3280000000004</v>
      </c>
      <c r="D393" s="74">
        <v>4509.7309999999998</v>
      </c>
      <c r="E393" s="74">
        <v>4505.741</v>
      </c>
      <c r="F393" s="74">
        <v>4519.6210000000001</v>
      </c>
      <c r="G393" s="74">
        <v>4556.7269999999999</v>
      </c>
      <c r="H393" s="74">
        <v>4605.5659999999998</v>
      </c>
    </row>
    <row r="394" spans="1:8">
      <c r="A394" s="72">
        <v>46250.041666666664</v>
      </c>
      <c r="B394" s="73">
        <v>4574.1710000000003</v>
      </c>
      <c r="C394" s="74">
        <v>4542.7349999999997</v>
      </c>
      <c r="D394" s="74">
        <v>4509.6400000000003</v>
      </c>
      <c r="E394" s="74">
        <v>4505.12</v>
      </c>
      <c r="F394" s="74">
        <v>4518.3620000000001</v>
      </c>
      <c r="G394" s="74">
        <v>4550.7920000000004</v>
      </c>
      <c r="H394" s="74">
        <v>4600.0259999999998</v>
      </c>
    </row>
    <row r="395" spans="1:8">
      <c r="A395" s="72">
        <v>46250.083333333336</v>
      </c>
      <c r="B395" s="73">
        <v>4559.9290000000001</v>
      </c>
      <c r="C395" s="74">
        <v>4557.9620000000004</v>
      </c>
      <c r="D395" s="74">
        <v>4515.7470000000003</v>
      </c>
      <c r="E395" s="74">
        <v>4505.7430000000004</v>
      </c>
      <c r="F395" s="74">
        <v>4518.4279999999999</v>
      </c>
      <c r="G395" s="74">
        <v>4550.201</v>
      </c>
      <c r="H395" s="74">
        <v>4599.4520000000002</v>
      </c>
    </row>
    <row r="396" spans="1:8">
      <c r="A396" s="72">
        <v>46250.125</v>
      </c>
      <c r="B396" s="73">
        <v>4550.12</v>
      </c>
      <c r="C396" s="74">
        <v>4568.4449999999997</v>
      </c>
      <c r="D396" s="74">
        <v>4519.9229999999998</v>
      </c>
      <c r="E396" s="74">
        <v>4505.1559999999999</v>
      </c>
      <c r="F396" s="74">
        <v>4514.7340000000004</v>
      </c>
      <c r="G396" s="74">
        <v>4544.6959999999999</v>
      </c>
      <c r="H396" s="74">
        <v>4593.3770000000004</v>
      </c>
    </row>
    <row r="397" spans="1:8">
      <c r="A397" s="72">
        <v>46250.166666666664</v>
      </c>
      <c r="B397" s="73">
        <v>4538.3320000000003</v>
      </c>
      <c r="C397" s="74">
        <v>4566.2569999999996</v>
      </c>
      <c r="D397" s="74">
        <v>4519.5829999999996</v>
      </c>
      <c r="E397" s="74">
        <v>4505.0320000000002</v>
      </c>
      <c r="F397" s="74">
        <v>4514.37</v>
      </c>
      <c r="G397" s="74">
        <v>4544.1499999999996</v>
      </c>
      <c r="H397" s="74">
        <v>4592.7539999999999</v>
      </c>
    </row>
    <row r="398" spans="1:8">
      <c r="A398" s="72">
        <v>46250.208333333336</v>
      </c>
      <c r="B398" s="73">
        <v>4530.2129999999997</v>
      </c>
      <c r="C398" s="74">
        <v>4564.7489999999998</v>
      </c>
      <c r="D398" s="74">
        <v>4519.34</v>
      </c>
      <c r="E398" s="74">
        <v>4504.6949999999997</v>
      </c>
      <c r="F398" s="74">
        <v>4513.8159999999998</v>
      </c>
      <c r="G398" s="74">
        <v>4539.0209999999997</v>
      </c>
      <c r="H398" s="74">
        <v>4586.3459999999995</v>
      </c>
    </row>
    <row r="399" spans="1:8">
      <c r="A399" s="72">
        <v>46250.25</v>
      </c>
      <c r="B399" s="73">
        <v>4522.7749999999996</v>
      </c>
      <c r="C399" s="74">
        <v>4573.7939999999999</v>
      </c>
      <c r="D399" s="74">
        <v>4526.6109999999999</v>
      </c>
      <c r="E399" s="74">
        <v>4505.8450000000003</v>
      </c>
      <c r="F399" s="74">
        <v>4514.1589999999997</v>
      </c>
      <c r="G399" s="74">
        <v>4538.5200000000004</v>
      </c>
      <c r="H399" s="74">
        <v>4585.6940000000004</v>
      </c>
    </row>
    <row r="400" spans="1:8">
      <c r="A400" s="72">
        <v>46250.291666666664</v>
      </c>
      <c r="B400" s="73">
        <v>4517.652</v>
      </c>
      <c r="C400" s="74">
        <v>4580.0219999999999</v>
      </c>
      <c r="D400" s="74">
        <v>4531.6009999999997</v>
      </c>
      <c r="E400" s="74">
        <v>4505.9399999999996</v>
      </c>
      <c r="F400" s="74">
        <v>4511.3940000000002</v>
      </c>
      <c r="G400" s="74">
        <v>4533.8819999999996</v>
      </c>
      <c r="H400" s="74">
        <v>4579.1319999999996</v>
      </c>
    </row>
    <row r="401" spans="1:8">
      <c r="A401" s="72">
        <v>46250.333333333336</v>
      </c>
      <c r="B401" s="73">
        <v>4512.8429999999998</v>
      </c>
      <c r="C401" s="74">
        <v>4575.5870000000004</v>
      </c>
      <c r="D401" s="74">
        <v>4530.7979999999998</v>
      </c>
      <c r="E401" s="74">
        <v>4505.8130000000001</v>
      </c>
      <c r="F401" s="74">
        <v>4511.0879999999997</v>
      </c>
      <c r="G401" s="74">
        <v>4533.4390000000003</v>
      </c>
      <c r="H401" s="74">
        <v>4578.4669999999996</v>
      </c>
    </row>
    <row r="402" spans="1:8">
      <c r="A402" s="72">
        <v>46250.375</v>
      </c>
      <c r="B402" s="73">
        <v>4509.53</v>
      </c>
      <c r="C402" s="74">
        <v>4572.5320000000002</v>
      </c>
      <c r="D402" s="74">
        <v>4530.2380000000003</v>
      </c>
      <c r="E402" s="74">
        <v>4505.509</v>
      </c>
      <c r="F402" s="74">
        <v>4510.2950000000001</v>
      </c>
      <c r="G402" s="74">
        <v>4529.3100000000004</v>
      </c>
      <c r="H402" s="74">
        <v>4571.8990000000003</v>
      </c>
    </row>
    <row r="403" spans="1:8">
      <c r="A403" s="72">
        <v>46250.416666666664</v>
      </c>
      <c r="B403" s="73">
        <v>4506.9040000000005</v>
      </c>
      <c r="C403" s="74">
        <v>4579.1180000000004</v>
      </c>
      <c r="D403" s="74">
        <v>4541.4210000000003</v>
      </c>
      <c r="E403" s="74">
        <v>4507.835</v>
      </c>
      <c r="F403" s="74">
        <v>4511.0969999999998</v>
      </c>
      <c r="G403" s="74">
        <v>4528.9319999999998</v>
      </c>
      <c r="H403" s="74">
        <v>4571.2359999999999</v>
      </c>
    </row>
    <row r="404" spans="1:8">
      <c r="A404" s="72">
        <v>46250.458333333336</v>
      </c>
      <c r="B404" s="73">
        <v>4505.0950000000003</v>
      </c>
      <c r="C404" s="74">
        <v>4583.652</v>
      </c>
      <c r="D404" s="74">
        <v>4549.1130000000003</v>
      </c>
      <c r="E404" s="74">
        <v>4509.0309999999999</v>
      </c>
      <c r="F404" s="74">
        <v>4509.7290000000003</v>
      </c>
      <c r="G404" s="74">
        <v>4525.2719999999999</v>
      </c>
      <c r="H404" s="74">
        <v>4564.7939999999999</v>
      </c>
    </row>
    <row r="405" spans="1:8">
      <c r="A405" s="72">
        <v>46250.5</v>
      </c>
      <c r="B405" s="73">
        <v>4503.5929999999998</v>
      </c>
      <c r="C405" s="74">
        <v>4577.8590000000004</v>
      </c>
      <c r="D405" s="74">
        <v>4547.5020000000004</v>
      </c>
      <c r="E405" s="74">
        <v>4508.8419999999996</v>
      </c>
      <c r="F405" s="74">
        <v>4509.4979999999996</v>
      </c>
      <c r="G405" s="74">
        <v>4524.96</v>
      </c>
      <c r="H405" s="74">
        <v>4564.1469999999999</v>
      </c>
    </row>
    <row r="406" spans="1:8">
      <c r="A406" s="72">
        <v>46250.541666666664</v>
      </c>
      <c r="B406" s="73">
        <v>4502.5590000000002</v>
      </c>
      <c r="C406" s="74">
        <v>4573.8689999999997</v>
      </c>
      <c r="D406" s="74">
        <v>4546.3900000000003</v>
      </c>
      <c r="E406" s="74">
        <v>4508.6030000000001</v>
      </c>
      <c r="F406" s="74">
        <v>4509.1009999999997</v>
      </c>
      <c r="G406" s="74">
        <v>4521.7030000000004</v>
      </c>
      <c r="H406" s="74">
        <v>4557.9489999999996</v>
      </c>
    </row>
    <row r="407" spans="1:8">
      <c r="A407" s="72">
        <v>46250.583333333336</v>
      </c>
      <c r="B407" s="73">
        <v>4501.8090000000002</v>
      </c>
      <c r="C407" s="74">
        <v>4573.6850000000004</v>
      </c>
      <c r="D407" s="74">
        <v>4555.09</v>
      </c>
      <c r="E407" s="74">
        <v>4511.665</v>
      </c>
      <c r="F407" s="74">
        <v>4510.3819999999996</v>
      </c>
      <c r="G407" s="74">
        <v>4521.4579999999996</v>
      </c>
      <c r="H407" s="74">
        <v>4557.3289999999997</v>
      </c>
    </row>
    <row r="408" spans="1:8">
      <c r="A408" s="72">
        <v>46250.625</v>
      </c>
      <c r="B408" s="73">
        <v>4501.2929999999997</v>
      </c>
      <c r="C408" s="74">
        <v>4573.558</v>
      </c>
      <c r="D408" s="74">
        <v>4561.0770000000002</v>
      </c>
      <c r="E408" s="74">
        <v>4513.5039999999999</v>
      </c>
      <c r="F408" s="74">
        <v>4509.7809999999999</v>
      </c>
      <c r="G408" s="74">
        <v>4518.6319999999996</v>
      </c>
      <c r="H408" s="74">
        <v>4551.4610000000002</v>
      </c>
    </row>
    <row r="409" spans="1:8">
      <c r="A409" s="72">
        <v>46250.666666666664</v>
      </c>
      <c r="B409" s="73">
        <v>4500.893</v>
      </c>
      <c r="C409" s="74">
        <v>4565.3590000000004</v>
      </c>
      <c r="D409" s="74">
        <v>4558.0379999999996</v>
      </c>
      <c r="E409" s="74">
        <v>4513.1490000000003</v>
      </c>
      <c r="F409" s="74">
        <v>4509.5330000000004</v>
      </c>
      <c r="G409" s="74">
        <v>4518.4679999999998</v>
      </c>
      <c r="H409" s="74">
        <v>4550.8779999999997</v>
      </c>
    </row>
    <row r="410" spans="1:8">
      <c r="A410" s="72">
        <v>46250.708333333336</v>
      </c>
      <c r="B410" s="73">
        <v>4500.6180000000004</v>
      </c>
      <c r="C410" s="74">
        <v>4559.7120000000004</v>
      </c>
      <c r="D410" s="74">
        <v>4555.9430000000002</v>
      </c>
      <c r="E410" s="74">
        <v>4512.817</v>
      </c>
      <c r="F410" s="74">
        <v>4509.0349999999999</v>
      </c>
      <c r="G410" s="74">
        <v>4516.0569999999998</v>
      </c>
      <c r="H410" s="74">
        <v>4545.3959999999997</v>
      </c>
    </row>
    <row r="411" spans="1:8">
      <c r="A411" s="72">
        <v>46250.75</v>
      </c>
      <c r="B411" s="73">
        <v>4500.43</v>
      </c>
      <c r="C411" s="74">
        <v>4557.7160000000003</v>
      </c>
      <c r="D411" s="74">
        <v>4565.7</v>
      </c>
      <c r="E411" s="74">
        <v>4518.0249999999996</v>
      </c>
      <c r="F411" s="74">
        <v>4511.4409999999998</v>
      </c>
      <c r="G411" s="74">
        <v>4515.9830000000002</v>
      </c>
      <c r="H411" s="74">
        <v>4544.857</v>
      </c>
    </row>
    <row r="412" spans="1:8">
      <c r="A412" s="72">
        <v>46250.791666666664</v>
      </c>
      <c r="B412" s="73">
        <v>4500.3</v>
      </c>
      <c r="C412" s="74">
        <v>4556.34</v>
      </c>
      <c r="D412" s="74">
        <v>4572.4170000000004</v>
      </c>
      <c r="E412" s="74">
        <v>4521.4579999999996</v>
      </c>
      <c r="F412" s="74">
        <v>4512.1689999999999</v>
      </c>
      <c r="G412" s="74">
        <v>4513.9489999999996</v>
      </c>
      <c r="H412" s="74">
        <v>4539.799</v>
      </c>
    </row>
    <row r="413" spans="1:8">
      <c r="A413" s="72">
        <v>46250.833333333336</v>
      </c>
      <c r="B413" s="73">
        <v>4500.2049999999999</v>
      </c>
      <c r="C413" s="74">
        <v>4549.6949999999997</v>
      </c>
      <c r="D413" s="74">
        <v>4568.3440000000001</v>
      </c>
      <c r="E413" s="74">
        <v>4520.8190000000004</v>
      </c>
      <c r="F413" s="74">
        <v>4511.8599999999997</v>
      </c>
      <c r="G413" s="74">
        <v>4513.9790000000003</v>
      </c>
      <c r="H413" s="74">
        <v>4539.3100000000004</v>
      </c>
    </row>
    <row r="414" spans="1:8">
      <c r="A414" s="72">
        <v>46250.875</v>
      </c>
      <c r="B414" s="73">
        <v>4500.1379999999999</v>
      </c>
      <c r="C414" s="74">
        <v>4545.1189999999997</v>
      </c>
      <c r="D414" s="74">
        <v>4565.5379999999996</v>
      </c>
      <c r="E414" s="74">
        <v>4520.335</v>
      </c>
      <c r="F414" s="74">
        <v>4511.5039999999999</v>
      </c>
      <c r="G414" s="74">
        <v>4512.2759999999998</v>
      </c>
      <c r="H414" s="74">
        <v>4534.701</v>
      </c>
    </row>
    <row r="415" spans="1:8">
      <c r="A415" s="72">
        <v>46250.916666666664</v>
      </c>
      <c r="B415" s="73">
        <v>4500.0950000000003</v>
      </c>
      <c r="C415" s="74">
        <v>4542.1030000000001</v>
      </c>
      <c r="D415" s="74">
        <v>4569.5879999999997</v>
      </c>
      <c r="E415" s="74">
        <v>4525.6120000000001</v>
      </c>
      <c r="F415" s="74">
        <v>4514.3940000000002</v>
      </c>
      <c r="G415" s="74">
        <v>4512.4229999999998</v>
      </c>
      <c r="H415" s="74">
        <v>4534.2669999999998</v>
      </c>
    </row>
    <row r="416" spans="1:8">
      <c r="A416" s="72">
        <v>46250.958333333336</v>
      </c>
      <c r="B416" s="73">
        <v>4500.0649999999996</v>
      </c>
      <c r="C416" s="74">
        <v>4540.0259999999998</v>
      </c>
      <c r="D416" s="74">
        <v>4572.375</v>
      </c>
      <c r="E416" s="74">
        <v>4529.1459999999997</v>
      </c>
      <c r="F416" s="74">
        <v>4515.6880000000001</v>
      </c>
      <c r="G416" s="74">
        <v>4511.0540000000001</v>
      </c>
      <c r="H416" s="74">
        <v>4530.1149999999998</v>
      </c>
    </row>
    <row r="417" spans="1:8">
      <c r="A417" s="72">
        <v>46251</v>
      </c>
      <c r="B417" s="73">
        <v>4500.0439999999999</v>
      </c>
      <c r="C417" s="74">
        <v>4534.38</v>
      </c>
      <c r="D417" s="74">
        <v>4566.3519999999999</v>
      </c>
      <c r="E417" s="74">
        <v>4527.9639999999999</v>
      </c>
      <c r="F417" s="74">
        <v>4515.183</v>
      </c>
      <c r="G417" s="74">
        <v>4511.3329999999996</v>
      </c>
      <c r="H417" s="74">
        <v>4529.7420000000002</v>
      </c>
    </row>
    <row r="418" spans="1:8">
      <c r="A418" s="72">
        <v>46251.041666666664</v>
      </c>
      <c r="B418" s="73">
        <v>4500.0290000000005</v>
      </c>
      <c r="C418" s="74">
        <v>4530.491</v>
      </c>
      <c r="D418" s="74">
        <v>4562.2020000000002</v>
      </c>
      <c r="E418" s="74">
        <v>4527.1170000000002</v>
      </c>
      <c r="F418" s="74">
        <v>4514.6679999999997</v>
      </c>
      <c r="G418" s="74">
        <v>4510.2809999999999</v>
      </c>
      <c r="H418" s="74">
        <v>4526.0389999999998</v>
      </c>
    </row>
    <row r="419" spans="1:8">
      <c r="A419" s="72">
        <v>46251.083333333336</v>
      </c>
      <c r="B419" s="73">
        <v>4500.0200000000004</v>
      </c>
      <c r="C419" s="74">
        <v>4528.107</v>
      </c>
      <c r="D419" s="74">
        <v>4564.5659999999998</v>
      </c>
      <c r="E419" s="74">
        <v>4534.7669999999998</v>
      </c>
      <c r="F419" s="74">
        <v>4519.3639999999996</v>
      </c>
      <c r="G419" s="74">
        <v>4510.7060000000001</v>
      </c>
      <c r="H419" s="74">
        <v>4525.7340000000004</v>
      </c>
    </row>
    <row r="420" spans="1:8">
      <c r="A420" s="72">
        <v>46251.125</v>
      </c>
      <c r="B420" s="73">
        <v>4500.0140000000001</v>
      </c>
      <c r="C420" s="74">
        <v>4526.4650000000001</v>
      </c>
      <c r="D420" s="74">
        <v>4566.1930000000002</v>
      </c>
      <c r="E420" s="74">
        <v>4539.9790000000003</v>
      </c>
      <c r="F420" s="74">
        <v>4522.1689999999999</v>
      </c>
      <c r="G420" s="74">
        <v>4509.9480000000003</v>
      </c>
      <c r="H420" s="74">
        <v>4522.4650000000001</v>
      </c>
    </row>
    <row r="421" spans="1:8">
      <c r="A421" s="72">
        <v>46251.166666666664</v>
      </c>
      <c r="B421" s="73">
        <v>4500.009</v>
      </c>
      <c r="C421" s="74">
        <v>4522.7690000000002</v>
      </c>
      <c r="D421" s="74">
        <v>4560.3530000000001</v>
      </c>
      <c r="E421" s="74">
        <v>4538.2619999999997</v>
      </c>
      <c r="F421" s="74">
        <v>4521.4080000000004</v>
      </c>
      <c r="G421" s="74">
        <v>4510.5510000000004</v>
      </c>
      <c r="H421" s="74">
        <v>4522.2340000000004</v>
      </c>
    </row>
    <row r="422" spans="1:8">
      <c r="A422" s="72">
        <v>46251.208333333336</v>
      </c>
      <c r="B422" s="73">
        <v>4500.0060000000003</v>
      </c>
      <c r="C422" s="74">
        <v>4520.2240000000002</v>
      </c>
      <c r="D422" s="74">
        <v>4556.3289999999997</v>
      </c>
      <c r="E422" s="74">
        <v>4537.0630000000001</v>
      </c>
      <c r="F422" s="74">
        <v>4520.8090000000002</v>
      </c>
      <c r="G422" s="74">
        <v>4510.0709999999999</v>
      </c>
      <c r="H422" s="74">
        <v>4519.3829999999998</v>
      </c>
    </row>
    <row r="423" spans="1:8">
      <c r="A423" s="72">
        <v>46251.25</v>
      </c>
      <c r="B423" s="73">
        <v>4500.0039999999999</v>
      </c>
      <c r="C423" s="74">
        <v>4518.3410000000003</v>
      </c>
      <c r="D423" s="74">
        <v>4555.0630000000001</v>
      </c>
      <c r="E423" s="74">
        <v>4543.0339999999997</v>
      </c>
      <c r="F423" s="74">
        <v>4525.3289999999997</v>
      </c>
      <c r="G423" s="74">
        <v>4510.8689999999997</v>
      </c>
      <c r="H423" s="74">
        <v>4519.2340000000004</v>
      </c>
    </row>
    <row r="424" spans="1:8">
      <c r="A424" s="72">
        <v>46251.291666666664</v>
      </c>
      <c r="B424" s="73">
        <v>4500.0029999999997</v>
      </c>
      <c r="C424" s="74">
        <v>4517.0450000000001</v>
      </c>
      <c r="D424" s="74">
        <v>4554.1909999999998</v>
      </c>
      <c r="E424" s="74">
        <v>4547.1099999999997</v>
      </c>
      <c r="F424" s="74">
        <v>4528.1270000000004</v>
      </c>
      <c r="G424" s="74">
        <v>4510.6679999999997</v>
      </c>
      <c r="H424" s="74">
        <v>4516.7820000000002</v>
      </c>
    </row>
    <row r="425" spans="1:8">
      <c r="A425" s="72">
        <v>46251.333333333336</v>
      </c>
      <c r="B425" s="73">
        <v>4500.0020000000004</v>
      </c>
      <c r="C425" s="74">
        <v>4514.4110000000001</v>
      </c>
      <c r="D425" s="74">
        <v>4547.7120000000004</v>
      </c>
      <c r="E425" s="74">
        <v>4544.3609999999999</v>
      </c>
      <c r="F425" s="74">
        <v>4526.8440000000001</v>
      </c>
      <c r="G425" s="74">
        <v>4511.6589999999997</v>
      </c>
      <c r="H425" s="74">
        <v>4516.7259999999997</v>
      </c>
    </row>
    <row r="426" spans="1:8">
      <c r="A426" s="72">
        <v>46251.375</v>
      </c>
      <c r="B426" s="73">
        <v>4500.0010000000002</v>
      </c>
      <c r="C426" s="74">
        <v>4512.5969999999998</v>
      </c>
      <c r="D426" s="74">
        <v>4543.25</v>
      </c>
      <c r="E426" s="74">
        <v>4542.4549999999999</v>
      </c>
      <c r="F426" s="74">
        <v>4525.8789999999999</v>
      </c>
      <c r="G426" s="74">
        <v>4511.7150000000001</v>
      </c>
      <c r="H426" s="74">
        <v>4514.6469999999999</v>
      </c>
    </row>
    <row r="427" spans="1:8">
      <c r="A427" s="72">
        <v>46251.416666666664</v>
      </c>
      <c r="B427" s="73">
        <v>4500.0010000000002</v>
      </c>
      <c r="C427" s="74">
        <v>4511.3680000000004</v>
      </c>
      <c r="D427" s="74">
        <v>4541.4269999999997</v>
      </c>
      <c r="E427" s="74">
        <v>4549.8019999999997</v>
      </c>
      <c r="F427" s="74">
        <v>4532.3249999999998</v>
      </c>
      <c r="G427" s="74">
        <v>4512.8900000000003</v>
      </c>
      <c r="H427" s="74">
        <v>4514.6970000000001</v>
      </c>
    </row>
    <row r="428" spans="1:8">
      <c r="A428" s="72">
        <v>46251.458333333336</v>
      </c>
      <c r="B428" s="73">
        <v>4500</v>
      </c>
      <c r="C428" s="74">
        <v>4510.5209999999997</v>
      </c>
      <c r="D428" s="74">
        <v>4540.17</v>
      </c>
      <c r="E428" s="74">
        <v>4554.8410000000003</v>
      </c>
      <c r="F428" s="74">
        <v>4536.5739999999996</v>
      </c>
      <c r="G428" s="74">
        <v>4513.1769999999997</v>
      </c>
      <c r="H428" s="74">
        <v>4512.97</v>
      </c>
    </row>
    <row r="429" spans="1:8">
      <c r="A429" s="72">
        <v>46251.5</v>
      </c>
      <c r="B429" s="73">
        <v>4500</v>
      </c>
      <c r="C429" s="74">
        <v>4508.942</v>
      </c>
      <c r="D429" s="74">
        <v>4535.2790000000005</v>
      </c>
      <c r="E429" s="74">
        <v>4551.6090000000004</v>
      </c>
      <c r="F429" s="74">
        <v>4534.8739999999998</v>
      </c>
      <c r="G429" s="74">
        <v>4514.567</v>
      </c>
      <c r="H429" s="74">
        <v>4513.1400000000003</v>
      </c>
    </row>
    <row r="430" spans="1:8">
      <c r="A430" s="72">
        <v>46251.541666666664</v>
      </c>
      <c r="B430" s="73">
        <v>4500</v>
      </c>
      <c r="C430" s="74">
        <v>4507.8559999999998</v>
      </c>
      <c r="D430" s="74">
        <v>4531.9110000000001</v>
      </c>
      <c r="E430" s="74">
        <v>4549.3770000000004</v>
      </c>
      <c r="F430" s="74">
        <v>4533.6660000000002</v>
      </c>
      <c r="G430" s="74">
        <v>4515.0879999999997</v>
      </c>
      <c r="H430" s="74">
        <v>4511.7460000000001</v>
      </c>
    </row>
    <row r="431" spans="1:8">
      <c r="A431" s="72">
        <v>46251.583333333336</v>
      </c>
      <c r="B431" s="73">
        <v>4500</v>
      </c>
      <c r="C431" s="74">
        <v>4507.0249999999996</v>
      </c>
      <c r="D431" s="74">
        <v>4529.6769999999997</v>
      </c>
      <c r="E431" s="74">
        <v>4553.5600000000004</v>
      </c>
      <c r="F431" s="74">
        <v>4538.6670000000004</v>
      </c>
      <c r="G431" s="74">
        <v>4516.6980000000003</v>
      </c>
      <c r="H431" s="74">
        <v>4512.05</v>
      </c>
    </row>
    <row r="432" spans="1:8">
      <c r="A432" s="72">
        <v>46251.625</v>
      </c>
      <c r="B432" s="73">
        <v>4500</v>
      </c>
      <c r="C432" s="74">
        <v>4506.4530000000004</v>
      </c>
      <c r="D432" s="74">
        <v>4528.1390000000001</v>
      </c>
      <c r="E432" s="74">
        <v>4556.4279999999999</v>
      </c>
      <c r="F432" s="74">
        <v>4541.973</v>
      </c>
      <c r="G432" s="74">
        <v>4517.4449999999997</v>
      </c>
      <c r="H432" s="74">
        <v>4510.9709999999995</v>
      </c>
    </row>
    <row r="433" spans="1:8">
      <c r="A433" s="72">
        <v>46251.666666666664</v>
      </c>
      <c r="B433" s="73">
        <v>4500</v>
      </c>
      <c r="C433" s="74">
        <v>4505.4120000000003</v>
      </c>
      <c r="D433" s="74">
        <v>4524.1310000000003</v>
      </c>
      <c r="E433" s="74">
        <v>4552.018</v>
      </c>
      <c r="F433" s="74">
        <v>4539.4030000000002</v>
      </c>
      <c r="G433" s="74">
        <v>4519.22</v>
      </c>
      <c r="H433" s="74">
        <v>4511.4279999999999</v>
      </c>
    </row>
    <row r="434" spans="1:8">
      <c r="A434" s="72">
        <v>46251.708333333336</v>
      </c>
      <c r="B434" s="73">
        <v>4500</v>
      </c>
      <c r="C434" s="74">
        <v>4504.6940000000004</v>
      </c>
      <c r="D434" s="74">
        <v>4521.3710000000001</v>
      </c>
      <c r="E434" s="74">
        <v>4548.9769999999999</v>
      </c>
      <c r="F434" s="74">
        <v>4537.5969999999998</v>
      </c>
      <c r="G434" s="74">
        <v>4520.1450000000004</v>
      </c>
      <c r="H434" s="74">
        <v>4510.6469999999999</v>
      </c>
    </row>
    <row r="435" spans="1:8">
      <c r="A435" s="72">
        <v>46251.75</v>
      </c>
      <c r="B435" s="73">
        <v>4500</v>
      </c>
      <c r="C435" s="74">
        <v>4504.1890000000003</v>
      </c>
      <c r="D435" s="74">
        <v>4519.6769999999997</v>
      </c>
      <c r="E435" s="74">
        <v>4553.2979999999998</v>
      </c>
      <c r="F435" s="74">
        <v>4543.8980000000001</v>
      </c>
      <c r="G435" s="74">
        <v>4522.0079999999998</v>
      </c>
      <c r="H435" s="74">
        <v>4511.2730000000001</v>
      </c>
    </row>
    <row r="436" spans="1:8">
      <c r="A436" s="72">
        <v>46251.791666666664</v>
      </c>
      <c r="B436" s="73">
        <v>4500</v>
      </c>
      <c r="C436" s="74">
        <v>4503.8410000000003</v>
      </c>
      <c r="D436" s="74">
        <v>4518.5110000000004</v>
      </c>
      <c r="E436" s="74">
        <v>4556.2669999999998</v>
      </c>
      <c r="F436" s="74">
        <v>4548.1559999999999</v>
      </c>
      <c r="G436" s="74">
        <v>4523.0460000000003</v>
      </c>
      <c r="H436" s="74">
        <v>4510.7780000000002</v>
      </c>
    </row>
    <row r="437" spans="1:8">
      <c r="A437" s="72">
        <v>46251.833333333336</v>
      </c>
      <c r="B437" s="73">
        <v>4500</v>
      </c>
      <c r="C437" s="74">
        <v>4503.2430000000004</v>
      </c>
      <c r="D437" s="74">
        <v>4515.9170000000004</v>
      </c>
      <c r="E437" s="74">
        <v>4551.9359999999997</v>
      </c>
      <c r="F437" s="74">
        <v>4545.2579999999998</v>
      </c>
      <c r="G437" s="74">
        <v>4525.0119999999997</v>
      </c>
      <c r="H437" s="74">
        <v>4511.5839999999998</v>
      </c>
    </row>
    <row r="438" spans="1:8">
      <c r="A438" s="72">
        <v>46251.875</v>
      </c>
      <c r="B438" s="73">
        <v>4500</v>
      </c>
      <c r="C438" s="74">
        <v>4502.8320000000003</v>
      </c>
      <c r="D438" s="74">
        <v>4514.1310000000003</v>
      </c>
      <c r="E438" s="74">
        <v>4548.95</v>
      </c>
      <c r="F438" s="74">
        <v>4543.2460000000001</v>
      </c>
      <c r="G438" s="74">
        <v>4526.1629999999996</v>
      </c>
      <c r="H438" s="74">
        <v>4511.3590000000004</v>
      </c>
    </row>
    <row r="439" spans="1:8">
      <c r="A439" s="72">
        <v>46251.916666666664</v>
      </c>
      <c r="B439" s="73">
        <v>4500</v>
      </c>
      <c r="C439" s="74">
        <v>4502.5119999999997</v>
      </c>
      <c r="D439" s="74">
        <v>4512.8119999999999</v>
      </c>
      <c r="E439" s="74">
        <v>4550.2700000000004</v>
      </c>
      <c r="F439" s="74">
        <v>4547.0810000000001</v>
      </c>
      <c r="G439" s="74">
        <v>4528.2150000000001</v>
      </c>
      <c r="H439" s="74">
        <v>4512.3540000000003</v>
      </c>
    </row>
    <row r="440" spans="1:8">
      <c r="A440" s="72">
        <v>46251.958333333336</v>
      </c>
      <c r="B440" s="73">
        <v>4500</v>
      </c>
      <c r="C440" s="74">
        <v>4502.2920000000004</v>
      </c>
      <c r="D440" s="74">
        <v>4511.9040000000005</v>
      </c>
      <c r="E440" s="74">
        <v>4551.1729999999998</v>
      </c>
      <c r="F440" s="74">
        <v>4549.6639999999998</v>
      </c>
      <c r="G440" s="74">
        <v>4529.4620000000004</v>
      </c>
      <c r="H440" s="74">
        <v>4512.3850000000002</v>
      </c>
    </row>
    <row r="441" spans="1:8">
      <c r="A441" s="72">
        <v>46252</v>
      </c>
      <c r="B441" s="73">
        <v>4500</v>
      </c>
      <c r="C441" s="74">
        <v>4501.9129999999996</v>
      </c>
      <c r="D441" s="74">
        <v>4510.0640000000003</v>
      </c>
      <c r="E441" s="74">
        <v>4546.1570000000002</v>
      </c>
      <c r="F441" s="74">
        <v>4545.82</v>
      </c>
      <c r="G441" s="74">
        <v>4531.5</v>
      </c>
      <c r="H441" s="74">
        <v>4513.5749999999998</v>
      </c>
    </row>
    <row r="442" spans="1:8">
      <c r="A442" s="72">
        <v>46252.041666666664</v>
      </c>
      <c r="B442" s="73">
        <v>4500</v>
      </c>
      <c r="C442" s="74">
        <v>4501.652</v>
      </c>
      <c r="D442" s="74">
        <v>4508.7969999999996</v>
      </c>
      <c r="E442" s="74">
        <v>4542.701</v>
      </c>
      <c r="F442" s="74">
        <v>4543.1570000000002</v>
      </c>
      <c r="G442" s="74">
        <v>4532.7690000000002</v>
      </c>
      <c r="H442" s="74">
        <v>4513.8459999999995</v>
      </c>
    </row>
    <row r="443" spans="1:8">
      <c r="A443" s="72">
        <v>46252.083333333336</v>
      </c>
      <c r="B443" s="73">
        <v>4500</v>
      </c>
      <c r="C443" s="74">
        <v>4501.4650000000001</v>
      </c>
      <c r="D443" s="74">
        <v>4507.9390000000003</v>
      </c>
      <c r="E443" s="74">
        <v>4543.7950000000001</v>
      </c>
      <c r="F443" s="74">
        <v>4547.4939999999997</v>
      </c>
      <c r="G443" s="74">
        <v>4534.6459999999997</v>
      </c>
      <c r="H443" s="74">
        <v>4515.2269999999999</v>
      </c>
    </row>
    <row r="444" spans="1:8">
      <c r="A444" s="72">
        <v>46252.125</v>
      </c>
      <c r="B444" s="73">
        <v>4500</v>
      </c>
      <c r="C444" s="74">
        <v>4501.335</v>
      </c>
      <c r="D444" s="74">
        <v>4507.3490000000002</v>
      </c>
      <c r="E444" s="74">
        <v>4544.5450000000001</v>
      </c>
      <c r="F444" s="74">
        <v>4550.4440000000004</v>
      </c>
      <c r="G444" s="74">
        <v>4535.8280000000004</v>
      </c>
      <c r="H444" s="74">
        <v>4515.7219999999998</v>
      </c>
    </row>
    <row r="445" spans="1:8">
      <c r="A445" s="72">
        <v>46252.166666666664</v>
      </c>
      <c r="B445" s="73">
        <v>4500</v>
      </c>
      <c r="C445" s="74">
        <v>4501.1229999999996</v>
      </c>
      <c r="D445" s="74">
        <v>4506.2470000000003</v>
      </c>
      <c r="E445" s="74">
        <v>4540.2939999999999</v>
      </c>
      <c r="F445" s="74">
        <v>4546.683</v>
      </c>
      <c r="G445" s="74">
        <v>4537.549</v>
      </c>
      <c r="H445" s="74">
        <v>4517.28</v>
      </c>
    </row>
    <row r="446" spans="1:8">
      <c r="A446" s="72">
        <v>46252.208333333336</v>
      </c>
      <c r="B446" s="73">
        <v>4500</v>
      </c>
      <c r="C446" s="74">
        <v>4500.9769999999999</v>
      </c>
      <c r="D446" s="74">
        <v>4505.4880000000003</v>
      </c>
      <c r="E446" s="74">
        <v>4537.3670000000002</v>
      </c>
      <c r="F446" s="74">
        <v>4544.0839999999998</v>
      </c>
      <c r="G446" s="74">
        <v>4538.643</v>
      </c>
      <c r="H446" s="74">
        <v>4517.9740000000002</v>
      </c>
    </row>
    <row r="447" spans="1:8">
      <c r="A447" s="72">
        <v>46252.25</v>
      </c>
      <c r="B447" s="73">
        <v>4500</v>
      </c>
      <c r="C447" s="74">
        <v>4500.8620000000001</v>
      </c>
      <c r="D447" s="74">
        <v>4504.9080000000004</v>
      </c>
      <c r="E447" s="74">
        <v>4536.79</v>
      </c>
      <c r="F447" s="74">
        <v>4545.9309999999996</v>
      </c>
      <c r="G447" s="74">
        <v>4540.2039999999997</v>
      </c>
      <c r="H447" s="74">
        <v>4519.683</v>
      </c>
    </row>
    <row r="448" spans="1:8">
      <c r="A448" s="72">
        <v>46252.291666666664</v>
      </c>
      <c r="B448" s="73">
        <v>4500</v>
      </c>
      <c r="C448" s="74">
        <v>4500.7839999999997</v>
      </c>
      <c r="D448" s="74">
        <v>4504.51</v>
      </c>
      <c r="E448" s="74">
        <v>4536.3909999999996</v>
      </c>
      <c r="F448" s="74">
        <v>4547.1790000000001</v>
      </c>
      <c r="G448" s="74">
        <v>4541.2049999999999</v>
      </c>
      <c r="H448" s="74">
        <v>4520.5450000000001</v>
      </c>
    </row>
    <row r="449" spans="1:8">
      <c r="A449" s="72">
        <v>46252.333333333336</v>
      </c>
      <c r="B449" s="73">
        <v>4500</v>
      </c>
      <c r="C449" s="74">
        <v>4500.652</v>
      </c>
      <c r="D449" s="74">
        <v>4503.7830000000004</v>
      </c>
      <c r="E449" s="74">
        <v>4532.1840000000002</v>
      </c>
      <c r="F449" s="74">
        <v>4542.8</v>
      </c>
      <c r="G449" s="74">
        <v>4542.527</v>
      </c>
      <c r="H449" s="74">
        <v>4522.3739999999998</v>
      </c>
    </row>
    <row r="450" spans="1:8">
      <c r="A450" s="72">
        <v>46252.375</v>
      </c>
      <c r="B450" s="73">
        <v>4500</v>
      </c>
      <c r="C450" s="74">
        <v>4500.5619999999999</v>
      </c>
      <c r="D450" s="74">
        <v>4503.2820000000002</v>
      </c>
      <c r="E450" s="74">
        <v>4529.2860000000001</v>
      </c>
      <c r="F450" s="74">
        <v>4539.777</v>
      </c>
      <c r="G450" s="74">
        <v>4543.3779999999997</v>
      </c>
      <c r="H450" s="74">
        <v>4523.3729999999996</v>
      </c>
    </row>
    <row r="451" spans="1:8">
      <c r="A451" s="72">
        <v>46252.416666666664</v>
      </c>
      <c r="B451" s="73">
        <v>4500</v>
      </c>
      <c r="C451" s="74">
        <v>4500.4960000000001</v>
      </c>
      <c r="D451" s="74">
        <v>4502.9290000000001</v>
      </c>
      <c r="E451" s="74">
        <v>4528.7579999999998</v>
      </c>
      <c r="F451" s="74">
        <v>4541.7420000000002</v>
      </c>
      <c r="G451" s="74">
        <v>4544.3109999999997</v>
      </c>
      <c r="H451" s="74">
        <v>4525.2820000000002</v>
      </c>
    </row>
    <row r="452" spans="1:8">
      <c r="A452" s="72">
        <v>46252.458333333336</v>
      </c>
      <c r="B452" s="73">
        <v>4500</v>
      </c>
      <c r="C452" s="74">
        <v>4500.45</v>
      </c>
      <c r="D452" s="74">
        <v>4502.6859999999997</v>
      </c>
      <c r="E452" s="74">
        <v>4528.3940000000002</v>
      </c>
      <c r="F452" s="74">
        <v>4543.0789999999997</v>
      </c>
      <c r="G452" s="74">
        <v>4544.9049999999997</v>
      </c>
      <c r="H452" s="74">
        <v>4526.3819999999996</v>
      </c>
    </row>
    <row r="453" spans="1:8">
      <c r="A453" s="72">
        <v>46252.5</v>
      </c>
      <c r="B453" s="73">
        <v>4500</v>
      </c>
      <c r="C453" s="74">
        <v>4500.3770000000004</v>
      </c>
      <c r="D453" s="74">
        <v>4502.268</v>
      </c>
      <c r="E453" s="74">
        <v>4525.22</v>
      </c>
      <c r="F453" s="74">
        <v>4539.2650000000003</v>
      </c>
      <c r="G453" s="74">
        <v>4545.4780000000001</v>
      </c>
      <c r="H453" s="74">
        <v>4528.3209999999999</v>
      </c>
    </row>
    <row r="454" spans="1:8">
      <c r="A454" s="72">
        <v>46252.541666666664</v>
      </c>
      <c r="B454" s="73">
        <v>4500</v>
      </c>
      <c r="C454" s="74">
        <v>4500.3280000000004</v>
      </c>
      <c r="D454" s="74">
        <v>4501.9809999999998</v>
      </c>
      <c r="E454" s="74">
        <v>4523.0349999999999</v>
      </c>
      <c r="F454" s="74">
        <v>4536.6360000000004</v>
      </c>
      <c r="G454" s="74">
        <v>4545.8329999999996</v>
      </c>
      <c r="H454" s="74">
        <v>4529.4790000000003</v>
      </c>
    </row>
    <row r="455" spans="1:8">
      <c r="A455" s="72">
        <v>46252.583333333336</v>
      </c>
      <c r="B455" s="73">
        <v>4500</v>
      </c>
      <c r="C455" s="74">
        <v>4500.2889999999998</v>
      </c>
      <c r="D455" s="74">
        <v>4501.7569999999996</v>
      </c>
      <c r="E455" s="74">
        <v>4521.9930000000004</v>
      </c>
      <c r="F455" s="74">
        <v>4536.8819999999996</v>
      </c>
      <c r="G455" s="74">
        <v>4546.0940000000001</v>
      </c>
      <c r="H455" s="74">
        <v>4531.3850000000002</v>
      </c>
    </row>
    <row r="456" spans="1:8">
      <c r="A456" s="72">
        <v>46252.625</v>
      </c>
      <c r="B456" s="73">
        <v>4500</v>
      </c>
      <c r="C456" s="74">
        <v>4500.2610000000004</v>
      </c>
      <c r="D456" s="74">
        <v>4501.6040000000003</v>
      </c>
      <c r="E456" s="74">
        <v>4521.2749999999996</v>
      </c>
      <c r="F456" s="74">
        <v>4537.0420000000004</v>
      </c>
      <c r="G456" s="74">
        <v>4546.2430000000004</v>
      </c>
      <c r="H456" s="74">
        <v>4532.5529999999999</v>
      </c>
    </row>
    <row r="457" spans="1:8">
      <c r="A457" s="72">
        <v>46252.666666666664</v>
      </c>
      <c r="B457" s="73">
        <v>4500</v>
      </c>
      <c r="C457" s="74">
        <v>4500.2169999999996</v>
      </c>
      <c r="D457" s="74">
        <v>4501.3389999999999</v>
      </c>
      <c r="E457" s="74">
        <v>4518.5230000000001</v>
      </c>
      <c r="F457" s="74">
        <v>4533.1040000000003</v>
      </c>
      <c r="G457" s="74">
        <v>4546.1909999999998</v>
      </c>
      <c r="H457" s="74">
        <v>4534.3649999999998</v>
      </c>
    </row>
    <row r="458" spans="1:8">
      <c r="A458" s="72">
        <v>46252.708333333336</v>
      </c>
      <c r="B458" s="73">
        <v>4500</v>
      </c>
      <c r="C458" s="74">
        <v>4500.1869999999999</v>
      </c>
      <c r="D458" s="74">
        <v>4501.1570000000002</v>
      </c>
      <c r="E458" s="74">
        <v>4516.6270000000004</v>
      </c>
      <c r="F458" s="74">
        <v>4530.3909999999996</v>
      </c>
      <c r="G458" s="74">
        <v>4546.1310000000003</v>
      </c>
      <c r="H458" s="74">
        <v>4535.4939999999997</v>
      </c>
    </row>
    <row r="459" spans="1:8">
      <c r="A459" s="72">
        <v>46252.75</v>
      </c>
      <c r="B459" s="73">
        <v>4500</v>
      </c>
      <c r="C459" s="74">
        <v>4500.1639999999998</v>
      </c>
      <c r="D459" s="74">
        <v>4501.0249999999996</v>
      </c>
      <c r="E459" s="74">
        <v>4515.8429999999998</v>
      </c>
      <c r="F459" s="74">
        <v>4530.76</v>
      </c>
      <c r="G459" s="74">
        <v>4545.683</v>
      </c>
      <c r="H459" s="74">
        <v>4537.1580000000004</v>
      </c>
    </row>
    <row r="460" spans="1:8">
      <c r="A460" s="72">
        <v>46252.791666666664</v>
      </c>
      <c r="B460" s="73">
        <v>4500</v>
      </c>
      <c r="C460" s="74">
        <v>4500.1490000000003</v>
      </c>
      <c r="D460" s="74">
        <v>4500.9350000000004</v>
      </c>
      <c r="E460" s="74">
        <v>4515.3019999999997</v>
      </c>
      <c r="F460" s="74">
        <v>4531.009</v>
      </c>
      <c r="G460" s="74">
        <v>4545.3530000000001</v>
      </c>
      <c r="H460" s="74">
        <v>4538.2070000000003</v>
      </c>
    </row>
    <row r="461" spans="1:8">
      <c r="A461" s="72">
        <v>46252.833333333336</v>
      </c>
      <c r="B461" s="73">
        <v>4500</v>
      </c>
      <c r="C461" s="74">
        <v>4500.125</v>
      </c>
      <c r="D461" s="74">
        <v>4500.7860000000001</v>
      </c>
      <c r="E461" s="74">
        <v>4513.3980000000001</v>
      </c>
      <c r="F461" s="74">
        <v>4527.8829999999998</v>
      </c>
      <c r="G461" s="74">
        <v>4544.5690000000004</v>
      </c>
      <c r="H461" s="74">
        <v>4539.6689999999999</v>
      </c>
    </row>
    <row r="462" spans="1:8">
      <c r="A462" s="72">
        <v>46252.875</v>
      </c>
      <c r="B462" s="73">
        <v>4500</v>
      </c>
      <c r="C462" s="74">
        <v>4500.1080000000002</v>
      </c>
      <c r="D462" s="74">
        <v>4500.6840000000002</v>
      </c>
      <c r="E462" s="74">
        <v>4512.0879999999997</v>
      </c>
      <c r="F462" s="74">
        <v>4525.7290000000003</v>
      </c>
      <c r="G462" s="74">
        <v>4544.0119999999997</v>
      </c>
      <c r="H462" s="74">
        <v>4540.5969999999998</v>
      </c>
    </row>
    <row r="463" spans="1:8">
      <c r="A463" s="72">
        <v>46252.916666666664</v>
      </c>
      <c r="B463" s="73">
        <v>4500</v>
      </c>
      <c r="C463" s="74">
        <v>4500.0950000000003</v>
      </c>
      <c r="D463" s="74">
        <v>4500.6040000000003</v>
      </c>
      <c r="E463" s="74">
        <v>4511.2929999999997</v>
      </c>
      <c r="F463" s="74">
        <v>4525.2380000000003</v>
      </c>
      <c r="G463" s="74">
        <v>4542.9809999999998</v>
      </c>
      <c r="H463" s="74">
        <v>4541.8029999999999</v>
      </c>
    </row>
    <row r="464" spans="1:8">
      <c r="A464" s="72">
        <v>46252.958333333336</v>
      </c>
      <c r="B464" s="73">
        <v>4500</v>
      </c>
      <c r="C464" s="74">
        <v>4500.0860000000002</v>
      </c>
      <c r="D464" s="74">
        <v>4500.549</v>
      </c>
      <c r="E464" s="74">
        <v>4510.7460000000001</v>
      </c>
      <c r="F464" s="74">
        <v>4524.8969999999999</v>
      </c>
      <c r="G464" s="74">
        <v>4542.2569999999996</v>
      </c>
      <c r="H464" s="74">
        <v>4542.5690000000004</v>
      </c>
    </row>
    <row r="465" spans="1:8">
      <c r="A465" s="72">
        <v>46253</v>
      </c>
      <c r="B465" s="73">
        <v>4500</v>
      </c>
      <c r="C465" s="74">
        <v>4500.0709999999999</v>
      </c>
      <c r="D465" s="74">
        <v>4500.4570000000003</v>
      </c>
      <c r="E465" s="74">
        <v>4509.2470000000003</v>
      </c>
      <c r="F465" s="74">
        <v>4521.9790000000003</v>
      </c>
      <c r="G465" s="74">
        <v>4541.0410000000002</v>
      </c>
      <c r="H465" s="74">
        <v>4543.4759999999997</v>
      </c>
    </row>
    <row r="466" spans="1:8">
      <c r="A466" s="72">
        <v>46253.041666666664</v>
      </c>
      <c r="B466" s="73">
        <v>4500</v>
      </c>
      <c r="C466" s="74">
        <v>4500.0609999999997</v>
      </c>
      <c r="D466" s="74">
        <v>4500.393</v>
      </c>
      <c r="E466" s="74">
        <v>4508.2139999999999</v>
      </c>
      <c r="F466" s="74">
        <v>4519.9690000000001</v>
      </c>
      <c r="G466" s="74">
        <v>4540.1909999999998</v>
      </c>
      <c r="H466" s="74">
        <v>4544.0479999999998</v>
      </c>
    </row>
    <row r="467" spans="1:8">
      <c r="A467" s="72">
        <v>46253.083333333336</v>
      </c>
      <c r="B467" s="73">
        <v>4500</v>
      </c>
      <c r="C467" s="74">
        <v>4500.0540000000001</v>
      </c>
      <c r="D467" s="74">
        <v>4500.3469999999998</v>
      </c>
      <c r="E467" s="74">
        <v>4507.665</v>
      </c>
      <c r="F467" s="74">
        <v>4519.6819999999998</v>
      </c>
      <c r="G467" s="74">
        <v>4538.7640000000001</v>
      </c>
      <c r="H467" s="74">
        <v>4544.6329999999998</v>
      </c>
    </row>
    <row r="468" spans="1:8">
      <c r="A468" s="72">
        <v>46253.125</v>
      </c>
      <c r="B468" s="73">
        <v>4500</v>
      </c>
      <c r="C468" s="74">
        <v>4500.049</v>
      </c>
      <c r="D468" s="74">
        <v>4500.3159999999998</v>
      </c>
      <c r="E468" s="74">
        <v>4507.2870000000003</v>
      </c>
      <c r="F468" s="74">
        <v>4519.482</v>
      </c>
      <c r="G468" s="74">
        <v>4537.7709999999997</v>
      </c>
      <c r="H468" s="74">
        <v>4544.9939999999997</v>
      </c>
    </row>
    <row r="469" spans="1:8">
      <c r="A469" s="72">
        <v>46253.166666666664</v>
      </c>
      <c r="B469" s="73">
        <v>4500</v>
      </c>
      <c r="C469" s="74">
        <v>4500.0410000000002</v>
      </c>
      <c r="D469" s="74">
        <v>4500.2650000000003</v>
      </c>
      <c r="E469" s="74">
        <v>4506.3119999999999</v>
      </c>
      <c r="F469" s="74">
        <v>4517.3230000000003</v>
      </c>
      <c r="G469" s="74">
        <v>4536.1970000000001</v>
      </c>
      <c r="H469" s="74">
        <v>4545.2489999999998</v>
      </c>
    </row>
    <row r="470" spans="1:8">
      <c r="A470" s="72">
        <v>46253.208333333336</v>
      </c>
      <c r="B470" s="73">
        <v>4500</v>
      </c>
      <c r="C470" s="74">
        <v>4500.0349999999999</v>
      </c>
      <c r="D470" s="74">
        <v>4500.2299999999996</v>
      </c>
      <c r="E470" s="74">
        <v>4505.6409999999996</v>
      </c>
      <c r="F470" s="74">
        <v>4515.8370000000004</v>
      </c>
      <c r="G470" s="74">
        <v>4535.1049999999996</v>
      </c>
      <c r="H470" s="74">
        <v>4545.3900000000003</v>
      </c>
    </row>
    <row r="471" spans="1:8">
      <c r="A471" s="72">
        <v>46253.25</v>
      </c>
      <c r="B471" s="73">
        <v>4500</v>
      </c>
      <c r="C471" s="74">
        <v>4500.0309999999999</v>
      </c>
      <c r="D471" s="74">
        <v>4500.2020000000002</v>
      </c>
      <c r="E471" s="74">
        <v>4505.1890000000003</v>
      </c>
      <c r="F471" s="74">
        <v>4515.2380000000003</v>
      </c>
      <c r="G471" s="74">
        <v>4533.4650000000001</v>
      </c>
      <c r="H471" s="74">
        <v>4545.3109999999997</v>
      </c>
    </row>
    <row r="472" spans="1:8">
      <c r="A472" s="72">
        <v>46253.291666666664</v>
      </c>
      <c r="B472" s="73">
        <v>4500</v>
      </c>
      <c r="C472" s="74">
        <v>4500.0280000000002</v>
      </c>
      <c r="D472" s="74">
        <v>4500.183</v>
      </c>
      <c r="E472" s="74">
        <v>4504.8789999999999</v>
      </c>
      <c r="F472" s="74">
        <v>4514.8249999999998</v>
      </c>
      <c r="G472" s="74">
        <v>4532.3289999999997</v>
      </c>
      <c r="H472" s="74">
        <v>4545.2290000000003</v>
      </c>
    </row>
    <row r="473" spans="1:8">
      <c r="A473" s="72">
        <v>46253.333333333336</v>
      </c>
      <c r="B473" s="73">
        <v>4500</v>
      </c>
      <c r="C473" s="74">
        <v>4500.0230000000001</v>
      </c>
      <c r="D473" s="74">
        <v>4500.152</v>
      </c>
      <c r="E473" s="74">
        <v>4504.1620000000003</v>
      </c>
      <c r="F473" s="74">
        <v>4512.9610000000002</v>
      </c>
      <c r="G473" s="74">
        <v>4530.6859999999997</v>
      </c>
      <c r="H473" s="74">
        <v>4544.8249999999998</v>
      </c>
    </row>
    <row r="474" spans="1:8">
      <c r="A474" s="72">
        <v>46253.375</v>
      </c>
      <c r="B474" s="73">
        <v>4500</v>
      </c>
      <c r="C474" s="74">
        <v>4500.0200000000004</v>
      </c>
      <c r="D474" s="74">
        <v>4500.13</v>
      </c>
      <c r="E474" s="74">
        <v>4503.6670000000004</v>
      </c>
      <c r="F474" s="74">
        <v>4511.6779999999999</v>
      </c>
      <c r="G474" s="74">
        <v>4529.55</v>
      </c>
      <c r="H474" s="74">
        <v>4544.5249999999996</v>
      </c>
    </row>
    <row r="475" spans="1:8">
      <c r="A475" s="72">
        <v>46253.416666666664</v>
      </c>
      <c r="B475" s="73">
        <v>4500</v>
      </c>
      <c r="C475" s="74">
        <v>4500.018</v>
      </c>
      <c r="D475" s="74">
        <v>4500.1149999999998</v>
      </c>
      <c r="E475" s="74">
        <v>4503.3729999999996</v>
      </c>
      <c r="F475" s="74">
        <v>4511.2879999999996</v>
      </c>
      <c r="G475" s="74">
        <v>4527.8969999999999</v>
      </c>
      <c r="H475" s="74">
        <v>4543.8239999999996</v>
      </c>
    </row>
    <row r="476" spans="1:8">
      <c r="A476" s="72">
        <v>46253.458333333336</v>
      </c>
      <c r="B476" s="73">
        <v>4500</v>
      </c>
      <c r="C476" s="74">
        <v>4500.0159999999996</v>
      </c>
      <c r="D476" s="74">
        <v>4500.1040000000003</v>
      </c>
      <c r="E476" s="74">
        <v>4503.1689999999999</v>
      </c>
      <c r="F476" s="74">
        <v>4511.0190000000002</v>
      </c>
      <c r="G476" s="74">
        <v>4526.7560000000003</v>
      </c>
      <c r="H476" s="74">
        <v>4543.3239999999996</v>
      </c>
    </row>
    <row r="477" spans="1:8">
      <c r="A477" s="72">
        <v>46253.5</v>
      </c>
      <c r="B477" s="73">
        <v>4500</v>
      </c>
      <c r="C477" s="74">
        <v>4500.0129999999999</v>
      </c>
      <c r="D477" s="74">
        <v>4500.0870000000004</v>
      </c>
      <c r="E477" s="74">
        <v>4502.723</v>
      </c>
      <c r="F477" s="74">
        <v>4509.7110000000002</v>
      </c>
      <c r="G477" s="74">
        <v>4525.1310000000003</v>
      </c>
      <c r="H477" s="74">
        <v>4542.3649999999998</v>
      </c>
    </row>
    <row r="478" spans="1:8">
      <c r="A478" s="72">
        <v>46253.541666666664</v>
      </c>
      <c r="B478" s="73">
        <v>4500</v>
      </c>
      <c r="C478" s="74">
        <v>4500.0110000000004</v>
      </c>
      <c r="D478" s="74">
        <v>4500.076</v>
      </c>
      <c r="E478" s="74">
        <v>4502.4170000000004</v>
      </c>
      <c r="F478" s="74">
        <v>4508.8119999999999</v>
      </c>
      <c r="G478" s="74">
        <v>4524.01</v>
      </c>
      <c r="H478" s="74">
        <v>4541.6890000000003</v>
      </c>
    </row>
    <row r="479" spans="1:8">
      <c r="A479" s="72">
        <v>46253.583333333336</v>
      </c>
      <c r="B479" s="73">
        <v>4500</v>
      </c>
      <c r="C479" s="74">
        <v>4500.01</v>
      </c>
      <c r="D479" s="74">
        <v>4500.067</v>
      </c>
      <c r="E479" s="74">
        <v>4502.1980000000003</v>
      </c>
      <c r="F479" s="74">
        <v>4508.357</v>
      </c>
      <c r="G479" s="74">
        <v>4522.4560000000001</v>
      </c>
      <c r="H479" s="74">
        <v>4540.5119999999997</v>
      </c>
    </row>
    <row r="480" spans="1:8">
      <c r="A480" s="72">
        <v>46253.625</v>
      </c>
      <c r="B480" s="73">
        <v>4500</v>
      </c>
      <c r="C480" s="74">
        <v>4500.009</v>
      </c>
      <c r="D480" s="74">
        <v>4500.0600000000004</v>
      </c>
      <c r="E480" s="74">
        <v>4502.0479999999998</v>
      </c>
      <c r="F480" s="74">
        <v>4508.0439999999999</v>
      </c>
      <c r="G480" s="74">
        <v>4521.384</v>
      </c>
      <c r="H480" s="74">
        <v>4539.6890000000003</v>
      </c>
    </row>
    <row r="481" spans="1:8">
      <c r="A481" s="72">
        <v>46253.666666666664</v>
      </c>
      <c r="B481" s="73">
        <v>4500</v>
      </c>
      <c r="C481" s="74">
        <v>4500.0069999999996</v>
      </c>
      <c r="D481" s="74">
        <v>4500.05</v>
      </c>
      <c r="E481" s="74">
        <v>4501.7359999999999</v>
      </c>
      <c r="F481" s="74">
        <v>4506.9799999999996</v>
      </c>
      <c r="G481" s="74">
        <v>4519.9350000000004</v>
      </c>
      <c r="H481" s="74">
        <v>4538.335</v>
      </c>
    </row>
    <row r="482" spans="1:8">
      <c r="A482" s="72">
        <v>46253.708333333336</v>
      </c>
      <c r="B482" s="73">
        <v>4500</v>
      </c>
      <c r="C482" s="74">
        <v>4500.0060000000003</v>
      </c>
      <c r="D482" s="74">
        <v>4500.0429999999997</v>
      </c>
      <c r="E482" s="74">
        <v>4501.5209999999997</v>
      </c>
      <c r="F482" s="74">
        <v>4506.2479999999996</v>
      </c>
      <c r="G482" s="74">
        <v>4518.9359999999997</v>
      </c>
      <c r="H482" s="74">
        <v>4537.3940000000002</v>
      </c>
    </row>
    <row r="483" spans="1:8">
      <c r="A483" s="72">
        <v>46253.75</v>
      </c>
      <c r="B483" s="73">
        <v>4500</v>
      </c>
      <c r="C483" s="74">
        <v>4500.0060000000003</v>
      </c>
      <c r="D483" s="74">
        <v>4500.0379999999996</v>
      </c>
      <c r="E483" s="74">
        <v>4501.384</v>
      </c>
      <c r="F483" s="74">
        <v>4505.9530000000004</v>
      </c>
      <c r="G483" s="74">
        <v>4517.5810000000001</v>
      </c>
      <c r="H483" s="74">
        <v>4535.9120000000003</v>
      </c>
    </row>
    <row r="484" spans="1:8">
      <c r="A484" s="72">
        <v>46253.791666666664</v>
      </c>
      <c r="B484" s="73">
        <v>4500</v>
      </c>
      <c r="C484" s="74">
        <v>4500.0050000000001</v>
      </c>
      <c r="D484" s="74">
        <v>4500.0339999999997</v>
      </c>
      <c r="E484" s="74">
        <v>4501.29</v>
      </c>
      <c r="F484" s="74">
        <v>4505.7489999999998</v>
      </c>
      <c r="G484" s="74">
        <v>4516.6469999999999</v>
      </c>
      <c r="H484" s="74">
        <v>4534.8829999999998</v>
      </c>
    </row>
    <row r="485" spans="1:8">
      <c r="A485" s="72">
        <v>46253.833333333336</v>
      </c>
      <c r="B485" s="73">
        <v>4500</v>
      </c>
      <c r="C485" s="74">
        <v>4500.0039999999999</v>
      </c>
      <c r="D485" s="74">
        <v>4500.0280000000002</v>
      </c>
      <c r="E485" s="74">
        <v>4501.1009999999997</v>
      </c>
      <c r="F485" s="74">
        <v>4505.0309999999999</v>
      </c>
      <c r="G485" s="74">
        <v>4515.3950000000004</v>
      </c>
      <c r="H485" s="74">
        <v>4533.32</v>
      </c>
    </row>
    <row r="486" spans="1:8">
      <c r="A486" s="72">
        <v>46253.875</v>
      </c>
      <c r="B486" s="73">
        <v>4500</v>
      </c>
      <c r="C486" s="74">
        <v>4500.0029999999997</v>
      </c>
      <c r="D486" s="74">
        <v>4500.0240000000003</v>
      </c>
      <c r="E486" s="74">
        <v>4500.9719999999998</v>
      </c>
      <c r="F486" s="74">
        <v>4504.5389999999998</v>
      </c>
      <c r="G486" s="74">
        <v>4514.5320000000002</v>
      </c>
      <c r="H486" s="74">
        <v>4532.2380000000003</v>
      </c>
    </row>
    <row r="487" spans="1:8">
      <c r="A487" s="72">
        <v>46253.916666666664</v>
      </c>
      <c r="B487" s="73">
        <v>4500</v>
      </c>
      <c r="C487" s="74">
        <v>4500.0029999999997</v>
      </c>
      <c r="D487" s="74">
        <v>4500.0219999999999</v>
      </c>
      <c r="E487" s="74">
        <v>4500.8760000000002</v>
      </c>
      <c r="F487" s="74">
        <v>4504.2579999999998</v>
      </c>
      <c r="G487" s="74">
        <v>4513.3940000000002</v>
      </c>
      <c r="H487" s="74">
        <v>4530.6369999999997</v>
      </c>
    </row>
    <row r="488" spans="1:8">
      <c r="A488" s="72">
        <v>46253.958333333336</v>
      </c>
      <c r="B488" s="73">
        <v>4500</v>
      </c>
      <c r="C488" s="74">
        <v>4500.0029999999997</v>
      </c>
      <c r="D488" s="74">
        <v>4500.0200000000004</v>
      </c>
      <c r="E488" s="74">
        <v>4500.8109999999997</v>
      </c>
      <c r="F488" s="74">
        <v>4504.0649999999996</v>
      </c>
      <c r="G488" s="74">
        <v>4512.6090000000004</v>
      </c>
      <c r="H488" s="74">
        <v>4529.53</v>
      </c>
    </row>
    <row r="489" spans="1:8">
      <c r="A489" s="72">
        <v>46254</v>
      </c>
      <c r="B489" s="73">
        <v>4500</v>
      </c>
      <c r="C489" s="74">
        <v>4500.0020000000004</v>
      </c>
      <c r="D489" s="74">
        <v>4500.0159999999996</v>
      </c>
      <c r="E489" s="74">
        <v>4500.6850000000004</v>
      </c>
      <c r="F489" s="74">
        <v>4503.5069999999996</v>
      </c>
      <c r="G489" s="74">
        <v>4511.5940000000001</v>
      </c>
      <c r="H489" s="74">
        <v>4527.9269999999997</v>
      </c>
    </row>
    <row r="490" spans="1:8">
      <c r="A490" s="72">
        <v>46254.041666666664</v>
      </c>
      <c r="B490" s="73">
        <v>4500</v>
      </c>
      <c r="C490" s="74">
        <v>4500.0020000000004</v>
      </c>
      <c r="D490" s="74">
        <v>4500.0140000000001</v>
      </c>
      <c r="E490" s="74">
        <v>4500.5959999999995</v>
      </c>
      <c r="F490" s="74">
        <v>4503.1220000000003</v>
      </c>
      <c r="G490" s="74">
        <v>4510.8950000000004</v>
      </c>
      <c r="H490" s="74">
        <v>4526.8190000000004</v>
      </c>
    </row>
    <row r="491" spans="1:8">
      <c r="A491" s="72">
        <v>46254.083333333336</v>
      </c>
      <c r="B491" s="73">
        <v>4500</v>
      </c>
      <c r="C491" s="74">
        <v>4500.0020000000004</v>
      </c>
      <c r="D491" s="74">
        <v>4500.0119999999997</v>
      </c>
      <c r="E491" s="74">
        <v>4500.5389999999998</v>
      </c>
      <c r="F491" s="74">
        <v>4502.9430000000002</v>
      </c>
      <c r="G491" s="74">
        <v>4509.9870000000001</v>
      </c>
      <c r="H491" s="74">
        <v>4525.2470000000003</v>
      </c>
    </row>
    <row r="492" spans="1:8">
      <c r="A492" s="72">
        <v>46254.125</v>
      </c>
      <c r="B492" s="73">
        <v>4500</v>
      </c>
      <c r="C492" s="74">
        <v>4500.0020000000004</v>
      </c>
      <c r="D492" s="74">
        <v>4500.0110000000004</v>
      </c>
      <c r="E492" s="74">
        <v>4500.4989999999998</v>
      </c>
      <c r="F492" s="74">
        <v>4502.8190000000004</v>
      </c>
      <c r="G492" s="74">
        <v>4509.3599999999997</v>
      </c>
      <c r="H492" s="74">
        <v>4524.1610000000001</v>
      </c>
    </row>
    <row r="493" spans="1:8">
      <c r="A493" s="72">
        <v>46254.166666666664</v>
      </c>
      <c r="B493" s="73">
        <v>4500</v>
      </c>
      <c r="C493" s="74">
        <v>4500.0020000000004</v>
      </c>
      <c r="D493" s="74">
        <v>4500.009</v>
      </c>
      <c r="E493" s="74">
        <v>4500.4229999999998</v>
      </c>
      <c r="F493" s="74">
        <v>4502.4539999999997</v>
      </c>
      <c r="G493" s="74">
        <v>4508.5540000000001</v>
      </c>
      <c r="H493" s="74">
        <v>4522.6469999999999</v>
      </c>
    </row>
    <row r="494" spans="1:8">
      <c r="A494" s="72">
        <v>46254.208333333336</v>
      </c>
      <c r="B494" s="73">
        <v>4500</v>
      </c>
      <c r="C494" s="74">
        <v>4500.0010000000002</v>
      </c>
      <c r="D494" s="74">
        <v>4500.0079999999998</v>
      </c>
      <c r="E494" s="74">
        <v>4500.3729999999996</v>
      </c>
      <c r="F494" s="74">
        <v>4502.2030000000004</v>
      </c>
      <c r="G494" s="74">
        <v>4507.9989999999998</v>
      </c>
      <c r="H494" s="74">
        <v>4521.6030000000001</v>
      </c>
    </row>
    <row r="495" spans="1:8">
      <c r="A495" s="72">
        <v>46254.25</v>
      </c>
      <c r="B495" s="73">
        <v>4500</v>
      </c>
      <c r="C495" s="74">
        <v>4500.0010000000002</v>
      </c>
      <c r="D495" s="74">
        <v>4500.0069999999996</v>
      </c>
      <c r="E495" s="74">
        <v>4500.3339999999998</v>
      </c>
      <c r="F495" s="74">
        <v>4502.05</v>
      </c>
      <c r="G495" s="74">
        <v>4507.29</v>
      </c>
      <c r="H495" s="74">
        <v>4520.1679999999997</v>
      </c>
    </row>
    <row r="496" spans="1:8">
      <c r="A496" s="72">
        <v>46254.291666666664</v>
      </c>
      <c r="B496" s="73">
        <v>4500</v>
      </c>
      <c r="C496" s="74">
        <v>4500.0010000000002</v>
      </c>
      <c r="D496" s="74">
        <v>4500.0060000000003</v>
      </c>
      <c r="E496" s="74">
        <v>4500.308</v>
      </c>
      <c r="F496" s="74">
        <v>4501.9440000000004</v>
      </c>
      <c r="G496" s="74">
        <v>4506.8019999999997</v>
      </c>
      <c r="H496" s="74">
        <v>4519.1790000000001</v>
      </c>
    </row>
    <row r="497" spans="1:8">
      <c r="A497" s="72">
        <v>46254.333333333336</v>
      </c>
      <c r="B497" s="73">
        <v>4500</v>
      </c>
      <c r="C497" s="74">
        <v>4500.0010000000002</v>
      </c>
      <c r="D497" s="74">
        <v>4500.0050000000001</v>
      </c>
      <c r="E497" s="74">
        <v>4500.2579999999998</v>
      </c>
      <c r="F497" s="74">
        <v>4501.67</v>
      </c>
      <c r="G497" s="74">
        <v>4506.1890000000003</v>
      </c>
      <c r="H497" s="74">
        <v>4517.8370000000004</v>
      </c>
    </row>
    <row r="498" spans="1:8">
      <c r="A498" s="72">
        <v>46254.375</v>
      </c>
      <c r="B498" s="73">
        <v>4500</v>
      </c>
      <c r="C498" s="74">
        <v>4500.0010000000002</v>
      </c>
      <c r="D498" s="74">
        <v>4500.0039999999999</v>
      </c>
      <c r="E498" s="74">
        <v>4500.2240000000002</v>
      </c>
      <c r="F498" s="74">
        <v>4501.4799999999996</v>
      </c>
      <c r="G498" s="74">
        <v>4505.7669999999998</v>
      </c>
      <c r="H498" s="74">
        <v>4516.9120000000003</v>
      </c>
    </row>
    <row r="499" spans="1:8">
      <c r="A499" s="72">
        <v>46254.416666666664</v>
      </c>
      <c r="B499" s="73">
        <v>4500</v>
      </c>
      <c r="C499" s="74">
        <v>4500.0010000000002</v>
      </c>
      <c r="D499" s="74">
        <v>4500.0039999999999</v>
      </c>
      <c r="E499" s="74">
        <v>4500.201</v>
      </c>
      <c r="F499" s="74">
        <v>4501.384</v>
      </c>
      <c r="G499" s="74">
        <v>4505.2340000000004</v>
      </c>
      <c r="H499" s="74">
        <v>4515.6719999999996</v>
      </c>
    </row>
    <row r="500" spans="1:8">
      <c r="A500" s="72">
        <v>46254.458333333336</v>
      </c>
      <c r="B500" s="73">
        <v>4500</v>
      </c>
      <c r="C500" s="74">
        <v>4500.0010000000002</v>
      </c>
      <c r="D500" s="74">
        <v>4500.0029999999997</v>
      </c>
      <c r="E500" s="74">
        <v>4500.1859999999997</v>
      </c>
      <c r="F500" s="74">
        <v>4501.317</v>
      </c>
      <c r="G500" s="74">
        <v>4504.8680000000004</v>
      </c>
      <c r="H500" s="74">
        <v>4514.8180000000002</v>
      </c>
    </row>
    <row r="501" spans="1:8">
      <c r="A501" s="72">
        <v>46254.5</v>
      </c>
      <c r="B501" s="73">
        <v>4500</v>
      </c>
      <c r="C501" s="74">
        <v>4500.0010000000002</v>
      </c>
      <c r="D501" s="74">
        <v>4500.0029999999997</v>
      </c>
      <c r="E501" s="74">
        <v>4500.1570000000002</v>
      </c>
      <c r="F501" s="74">
        <v>4501.1419999999998</v>
      </c>
      <c r="G501" s="74">
        <v>4504.4080000000004</v>
      </c>
      <c r="H501" s="74">
        <v>4513.6859999999997</v>
      </c>
    </row>
    <row r="502" spans="1:8">
      <c r="A502" s="72">
        <v>46254.541666666664</v>
      </c>
      <c r="B502" s="73">
        <v>4500</v>
      </c>
      <c r="C502" s="74">
        <v>4500</v>
      </c>
      <c r="D502" s="74">
        <v>4500.0020000000004</v>
      </c>
      <c r="E502" s="74">
        <v>4500.1379999999999</v>
      </c>
      <c r="F502" s="74">
        <v>4501.0209999999997</v>
      </c>
      <c r="G502" s="74">
        <v>4504.0910000000003</v>
      </c>
      <c r="H502" s="74">
        <v>4512.9049999999997</v>
      </c>
    </row>
    <row r="503" spans="1:8">
      <c r="A503" s="72">
        <v>46254.583333333336</v>
      </c>
      <c r="B503" s="73">
        <v>4500</v>
      </c>
      <c r="C503" s="74">
        <v>4500</v>
      </c>
      <c r="D503" s="74">
        <v>4500.0020000000004</v>
      </c>
      <c r="E503" s="74">
        <v>4500.1229999999996</v>
      </c>
      <c r="F503" s="74">
        <v>4500.9440000000004</v>
      </c>
      <c r="G503" s="74">
        <v>4503.6959999999999</v>
      </c>
      <c r="H503" s="74">
        <v>4511.8829999999998</v>
      </c>
    </row>
    <row r="504" spans="1:8">
      <c r="A504" s="72">
        <v>46254.625</v>
      </c>
      <c r="B504" s="73">
        <v>4500</v>
      </c>
      <c r="C504" s="74">
        <v>4500</v>
      </c>
      <c r="D504" s="74">
        <v>4500.0020000000004</v>
      </c>
      <c r="E504" s="74">
        <v>4500.1130000000003</v>
      </c>
      <c r="F504" s="74">
        <v>4500.8909999999996</v>
      </c>
      <c r="G504" s="74">
        <v>4503.4250000000002</v>
      </c>
      <c r="H504" s="74">
        <v>4511.1779999999999</v>
      </c>
    </row>
    <row r="505" spans="1:8">
      <c r="A505" s="72">
        <v>46254.666666666664</v>
      </c>
      <c r="B505" s="73">
        <v>4500</v>
      </c>
      <c r="C505" s="74">
        <v>4500</v>
      </c>
      <c r="D505" s="74">
        <v>4500.0010000000002</v>
      </c>
      <c r="E505" s="74">
        <v>4500.0940000000001</v>
      </c>
      <c r="F505" s="74">
        <v>4500.7629999999999</v>
      </c>
      <c r="G505" s="74">
        <v>4503.0910000000003</v>
      </c>
      <c r="H505" s="74">
        <v>4510.2619999999997</v>
      </c>
    </row>
    <row r="506" spans="1:8">
      <c r="A506" s="72">
        <v>46254.708333333336</v>
      </c>
      <c r="B506" s="73">
        <v>4500</v>
      </c>
      <c r="C506" s="74">
        <v>4500</v>
      </c>
      <c r="D506" s="74">
        <v>4500.0010000000002</v>
      </c>
      <c r="E506" s="74">
        <v>4500.0820000000003</v>
      </c>
      <c r="F506" s="74">
        <v>4500.6729999999998</v>
      </c>
      <c r="G506" s="74">
        <v>4502.8599999999997</v>
      </c>
      <c r="H506" s="74">
        <v>4509.63</v>
      </c>
    </row>
    <row r="507" spans="1:8">
      <c r="A507" s="72">
        <v>46254.75</v>
      </c>
      <c r="B507" s="73">
        <v>4500</v>
      </c>
      <c r="C507" s="74">
        <v>4500</v>
      </c>
      <c r="D507" s="74">
        <v>4500.0010000000002</v>
      </c>
      <c r="E507" s="74">
        <v>4500.0730000000003</v>
      </c>
      <c r="F507" s="74">
        <v>4500.625</v>
      </c>
      <c r="G507" s="74">
        <v>4502.5770000000002</v>
      </c>
      <c r="H507" s="74">
        <v>4508.8159999999998</v>
      </c>
    </row>
    <row r="508" spans="1:8">
      <c r="A508" s="72">
        <v>46254.791666666664</v>
      </c>
      <c r="B508" s="73">
        <v>4500</v>
      </c>
      <c r="C508" s="74">
        <v>4500</v>
      </c>
      <c r="D508" s="74">
        <v>4500.0010000000002</v>
      </c>
      <c r="E508" s="74">
        <v>4500.067</v>
      </c>
      <c r="F508" s="74">
        <v>4500.5929999999998</v>
      </c>
      <c r="G508" s="74">
        <v>4502.3810000000003</v>
      </c>
      <c r="H508" s="74">
        <v>4508.2560000000003</v>
      </c>
    </row>
    <row r="509" spans="1:8">
      <c r="A509" s="72">
        <v>46254.833333333336</v>
      </c>
      <c r="B509" s="73">
        <v>4500</v>
      </c>
      <c r="C509" s="74">
        <v>4500</v>
      </c>
      <c r="D509" s="74">
        <v>4500.0010000000002</v>
      </c>
      <c r="E509" s="74">
        <v>4500.0569999999998</v>
      </c>
      <c r="F509" s="74">
        <v>4500.5119999999997</v>
      </c>
      <c r="G509" s="74">
        <v>4502.1419999999998</v>
      </c>
      <c r="H509" s="74">
        <v>4507.5389999999998</v>
      </c>
    </row>
    <row r="510" spans="1:8">
      <c r="A510" s="72">
        <v>46254.875</v>
      </c>
      <c r="B510" s="73">
        <v>4500</v>
      </c>
      <c r="C510" s="74">
        <v>4500</v>
      </c>
      <c r="D510" s="74">
        <v>4500.0010000000002</v>
      </c>
      <c r="E510" s="74">
        <v>4500.049</v>
      </c>
      <c r="F510" s="74">
        <v>4500.4570000000003</v>
      </c>
      <c r="G510" s="74">
        <v>4501.9759999999997</v>
      </c>
      <c r="H510" s="74">
        <v>4507.0450000000001</v>
      </c>
    </row>
    <row r="511" spans="1:8">
      <c r="A511" s="72">
        <v>46254.916666666664</v>
      </c>
      <c r="B511" s="73">
        <v>4500</v>
      </c>
      <c r="C511" s="74">
        <v>4500</v>
      </c>
      <c r="D511" s="74">
        <v>4500.0010000000002</v>
      </c>
      <c r="E511" s="74">
        <v>4500.0439999999999</v>
      </c>
      <c r="F511" s="74">
        <v>4500.42</v>
      </c>
      <c r="G511" s="74">
        <v>4501.7740000000003</v>
      </c>
      <c r="H511" s="74">
        <v>4506.4170000000004</v>
      </c>
    </row>
    <row r="512" spans="1:8">
      <c r="A512" s="72">
        <v>46254.958333333336</v>
      </c>
      <c r="B512" s="73">
        <v>4500</v>
      </c>
      <c r="C512" s="74">
        <v>4500</v>
      </c>
      <c r="D512" s="74">
        <v>4500.0010000000002</v>
      </c>
      <c r="E512" s="74">
        <v>4500.0410000000002</v>
      </c>
      <c r="F512" s="74">
        <v>4500.3950000000004</v>
      </c>
      <c r="G512" s="74">
        <v>4501.634</v>
      </c>
      <c r="H512" s="74">
        <v>4505.9849999999997</v>
      </c>
    </row>
    <row r="513" spans="1:8">
      <c r="A513" s="72">
        <v>46255</v>
      </c>
      <c r="B513" s="73">
        <v>4500</v>
      </c>
      <c r="C513" s="74">
        <v>4500</v>
      </c>
      <c r="D513" s="74">
        <v>4500.0010000000002</v>
      </c>
      <c r="E513" s="74">
        <v>4500.0339999999997</v>
      </c>
      <c r="F513" s="74">
        <v>4500.3370000000004</v>
      </c>
      <c r="G513" s="74">
        <v>4501.4660000000003</v>
      </c>
      <c r="H513" s="74">
        <v>4505.4390000000003</v>
      </c>
    </row>
    <row r="514" spans="1:8">
      <c r="A514" s="72">
        <v>46255.041666666664</v>
      </c>
      <c r="B514" s="73">
        <v>4500</v>
      </c>
      <c r="C514" s="74">
        <v>4500</v>
      </c>
      <c r="D514" s="74">
        <v>4500.0010000000002</v>
      </c>
      <c r="E514" s="74">
        <v>4500.0290000000005</v>
      </c>
      <c r="F514" s="74">
        <v>4500.2960000000003</v>
      </c>
      <c r="G514" s="74">
        <v>4501.3500000000004</v>
      </c>
      <c r="H514" s="74">
        <v>4505.0640000000003</v>
      </c>
    </row>
    <row r="515" spans="1:8">
      <c r="A515" s="72">
        <v>46255.083333333336</v>
      </c>
      <c r="B515" s="73">
        <v>4500</v>
      </c>
      <c r="C515" s="74">
        <v>4500</v>
      </c>
      <c r="D515" s="74">
        <v>4500.0010000000002</v>
      </c>
      <c r="E515" s="74">
        <v>4500.0259999999998</v>
      </c>
      <c r="F515" s="74">
        <v>4500.2740000000003</v>
      </c>
      <c r="G515" s="74">
        <v>4501.2079999999996</v>
      </c>
      <c r="H515" s="74">
        <v>4504.5919999999996</v>
      </c>
    </row>
    <row r="516" spans="1:8">
      <c r="A516" s="72">
        <v>46255.125</v>
      </c>
      <c r="B516" s="73">
        <v>4500</v>
      </c>
      <c r="C516" s="74">
        <v>4500</v>
      </c>
      <c r="D516" s="74">
        <v>4500.0010000000002</v>
      </c>
      <c r="E516" s="74">
        <v>4500.0240000000003</v>
      </c>
      <c r="F516" s="74">
        <v>4500.259</v>
      </c>
      <c r="G516" s="74">
        <v>4501.1109999999999</v>
      </c>
      <c r="H516" s="74">
        <v>4504.268</v>
      </c>
    </row>
    <row r="517" spans="1:8">
      <c r="A517" s="72">
        <v>46255.166666666664</v>
      </c>
      <c r="B517" s="73">
        <v>4500</v>
      </c>
      <c r="C517" s="74">
        <v>4500</v>
      </c>
      <c r="D517" s="74">
        <v>4500.0010000000002</v>
      </c>
      <c r="E517" s="74">
        <v>4500.0209999999997</v>
      </c>
      <c r="F517" s="74">
        <v>4500.223</v>
      </c>
      <c r="G517" s="74">
        <v>4500.9939999999997</v>
      </c>
      <c r="H517" s="74">
        <v>4503.8620000000001</v>
      </c>
    </row>
    <row r="518" spans="1:8">
      <c r="A518" s="72">
        <v>46255.208333333336</v>
      </c>
      <c r="B518" s="73">
        <v>4500</v>
      </c>
      <c r="C518" s="74">
        <v>4500</v>
      </c>
      <c r="D518" s="74">
        <v>4500</v>
      </c>
      <c r="E518" s="74">
        <v>4500.0169999999998</v>
      </c>
      <c r="F518" s="74">
        <v>4500.1980000000003</v>
      </c>
      <c r="G518" s="74">
        <v>4500.9129999999996</v>
      </c>
      <c r="H518" s="74">
        <v>4503.5829999999996</v>
      </c>
    </row>
    <row r="519" spans="1:8">
      <c r="A519" s="72">
        <v>46255.25</v>
      </c>
      <c r="B519" s="73">
        <v>4500</v>
      </c>
      <c r="C519" s="74">
        <v>4500</v>
      </c>
      <c r="D519" s="74">
        <v>4500</v>
      </c>
      <c r="E519" s="74">
        <v>4500.0159999999996</v>
      </c>
      <c r="F519" s="74">
        <v>4500.1819999999998</v>
      </c>
      <c r="G519" s="74">
        <v>4500.8149999999996</v>
      </c>
      <c r="H519" s="74">
        <v>4503.2370000000001</v>
      </c>
    </row>
    <row r="520" spans="1:8">
      <c r="A520" s="72">
        <v>46255.291666666664</v>
      </c>
      <c r="B520" s="73">
        <v>4500</v>
      </c>
      <c r="C520" s="74">
        <v>4500</v>
      </c>
      <c r="D520" s="74">
        <v>4500</v>
      </c>
      <c r="E520" s="74">
        <v>4500.0140000000001</v>
      </c>
      <c r="F520" s="74">
        <v>4500.17</v>
      </c>
      <c r="G520" s="74">
        <v>4500.7479999999996</v>
      </c>
      <c r="H520" s="74">
        <v>4502.9979999999996</v>
      </c>
    </row>
    <row r="521" spans="1:8">
      <c r="A521" s="72">
        <v>46255.333333333336</v>
      </c>
      <c r="B521" s="73">
        <v>4500</v>
      </c>
      <c r="C521" s="74">
        <v>4500</v>
      </c>
      <c r="D521" s="74">
        <v>4500</v>
      </c>
      <c r="E521" s="74">
        <v>4500.0119999999997</v>
      </c>
      <c r="F521" s="74">
        <v>4500.1450000000004</v>
      </c>
      <c r="G521" s="74">
        <v>4500.6670000000004</v>
      </c>
      <c r="H521" s="74">
        <v>4502.7039999999997</v>
      </c>
    </row>
    <row r="522" spans="1:8">
      <c r="A522" s="72">
        <v>46255.375</v>
      </c>
      <c r="B522" s="73">
        <v>4500</v>
      </c>
      <c r="C522" s="74">
        <v>4500</v>
      </c>
      <c r="D522" s="74">
        <v>4500</v>
      </c>
      <c r="E522" s="74">
        <v>4500.01</v>
      </c>
      <c r="F522" s="74">
        <v>4500.1270000000004</v>
      </c>
      <c r="G522" s="74">
        <v>4500.6120000000001</v>
      </c>
      <c r="H522" s="74">
        <v>4502.5</v>
      </c>
    </row>
    <row r="523" spans="1:8">
      <c r="A523" s="72">
        <v>46255.416666666664</v>
      </c>
      <c r="B523" s="73">
        <v>4500</v>
      </c>
      <c r="C523" s="74">
        <v>4500</v>
      </c>
      <c r="D523" s="74">
        <v>4500</v>
      </c>
      <c r="E523" s="74">
        <v>4500.009</v>
      </c>
      <c r="F523" s="74">
        <v>4500.1180000000004</v>
      </c>
      <c r="G523" s="74">
        <v>4500.5460000000003</v>
      </c>
      <c r="H523" s="74">
        <v>4502.2520000000004</v>
      </c>
    </row>
    <row r="524" spans="1:8">
      <c r="A524" s="72">
        <v>46255.458333333336</v>
      </c>
      <c r="B524" s="73">
        <v>4500</v>
      </c>
      <c r="C524" s="74">
        <v>4500</v>
      </c>
      <c r="D524" s="74">
        <v>4500</v>
      </c>
      <c r="E524" s="74">
        <v>4500.009</v>
      </c>
      <c r="F524" s="74">
        <v>4500.1109999999999</v>
      </c>
      <c r="G524" s="74">
        <v>4500.5</v>
      </c>
      <c r="H524" s="74">
        <v>4502.08</v>
      </c>
    </row>
    <row r="525" spans="1:8">
      <c r="A525" s="72">
        <v>46255.5</v>
      </c>
      <c r="B525" s="73">
        <v>4500</v>
      </c>
      <c r="C525" s="74">
        <v>4500</v>
      </c>
      <c r="D525" s="74">
        <v>4500</v>
      </c>
      <c r="E525" s="74">
        <v>4500.0069999999996</v>
      </c>
      <c r="F525" s="74">
        <v>4500.0950000000003</v>
      </c>
      <c r="G525" s="74">
        <v>4500.4449999999997</v>
      </c>
      <c r="H525" s="74">
        <v>4501.87</v>
      </c>
    </row>
    <row r="526" spans="1:8">
      <c r="A526" s="72">
        <v>46255.541666666664</v>
      </c>
      <c r="B526" s="73">
        <v>4500</v>
      </c>
      <c r="C526" s="74">
        <v>4500</v>
      </c>
      <c r="D526" s="74">
        <v>4500</v>
      </c>
      <c r="E526" s="74">
        <v>4500.0060000000003</v>
      </c>
      <c r="F526" s="74">
        <v>4500.0839999999998</v>
      </c>
      <c r="G526" s="74">
        <v>4500.4070000000002</v>
      </c>
      <c r="H526" s="74">
        <v>4501.7250000000004</v>
      </c>
    </row>
    <row r="527" spans="1:8">
      <c r="A527" s="72">
        <v>46255.583333333336</v>
      </c>
      <c r="B527" s="73">
        <v>4500</v>
      </c>
      <c r="C527" s="74">
        <v>4500</v>
      </c>
      <c r="D527" s="74">
        <v>4500</v>
      </c>
      <c r="E527" s="74">
        <v>4500.0050000000001</v>
      </c>
      <c r="F527" s="74">
        <v>4500.0770000000002</v>
      </c>
      <c r="G527" s="74">
        <v>4500.3620000000001</v>
      </c>
      <c r="H527" s="74">
        <v>4501.5479999999998</v>
      </c>
    </row>
    <row r="528" spans="1:8">
      <c r="A528" s="72">
        <v>46255.625</v>
      </c>
      <c r="B528" s="73">
        <v>4500</v>
      </c>
      <c r="C528" s="74">
        <v>4500</v>
      </c>
      <c r="D528" s="74">
        <v>4500</v>
      </c>
      <c r="E528" s="74">
        <v>4500.0050000000001</v>
      </c>
      <c r="F528" s="74">
        <v>4500.0720000000001</v>
      </c>
      <c r="G528" s="74">
        <v>4500.3310000000001</v>
      </c>
      <c r="H528" s="74">
        <v>4501.4260000000004</v>
      </c>
    </row>
    <row r="529" spans="1:8">
      <c r="A529" s="72">
        <v>46255.666666666664</v>
      </c>
      <c r="B529" s="73">
        <v>4500</v>
      </c>
      <c r="C529" s="74">
        <v>4500</v>
      </c>
      <c r="D529" s="74">
        <v>4500</v>
      </c>
      <c r="E529" s="74">
        <v>4500.0039999999999</v>
      </c>
      <c r="F529" s="74">
        <v>4500.0609999999997</v>
      </c>
      <c r="G529" s="74">
        <v>4500.2950000000001</v>
      </c>
      <c r="H529" s="74">
        <v>4501.2780000000002</v>
      </c>
    </row>
    <row r="530" spans="1:8">
      <c r="A530" s="72">
        <v>46255.708333333336</v>
      </c>
      <c r="B530" s="73">
        <v>4500</v>
      </c>
      <c r="C530" s="74">
        <v>4500</v>
      </c>
      <c r="D530" s="74">
        <v>4500</v>
      </c>
      <c r="E530" s="74">
        <v>4500.0039999999999</v>
      </c>
      <c r="F530" s="74">
        <v>4500.0540000000001</v>
      </c>
      <c r="G530" s="74">
        <v>4500.2690000000002</v>
      </c>
      <c r="H530" s="74">
        <v>4501.1760000000004</v>
      </c>
    </row>
    <row r="531" spans="1:8">
      <c r="A531" s="72">
        <v>46255.75</v>
      </c>
      <c r="B531" s="73">
        <v>4500</v>
      </c>
      <c r="C531" s="74">
        <v>4500</v>
      </c>
      <c r="D531" s="74">
        <v>4500</v>
      </c>
      <c r="E531" s="74">
        <v>4500.0029999999997</v>
      </c>
      <c r="F531" s="74">
        <v>4500.049</v>
      </c>
      <c r="G531" s="74">
        <v>4500.24</v>
      </c>
      <c r="H531" s="74">
        <v>4501.0529999999999</v>
      </c>
    </row>
    <row r="532" spans="1:8">
      <c r="A532" s="72">
        <v>46255.791666666664</v>
      </c>
      <c r="B532" s="73">
        <v>4500</v>
      </c>
      <c r="C532" s="74">
        <v>4500</v>
      </c>
      <c r="D532" s="74">
        <v>4500</v>
      </c>
      <c r="E532" s="74">
        <v>4500.0029999999997</v>
      </c>
      <c r="F532" s="74">
        <v>4500.0469999999996</v>
      </c>
      <c r="G532" s="74">
        <v>4500.2179999999998</v>
      </c>
      <c r="H532" s="74">
        <v>4500.9679999999998</v>
      </c>
    </row>
    <row r="533" spans="1:8">
      <c r="A533" s="72">
        <v>46255.833333333336</v>
      </c>
      <c r="B533" s="73">
        <v>4500</v>
      </c>
      <c r="C533" s="74">
        <v>4500</v>
      </c>
      <c r="D533" s="74">
        <v>4500</v>
      </c>
      <c r="E533" s="74">
        <v>4500.0029999999997</v>
      </c>
      <c r="F533" s="74">
        <v>4500.04</v>
      </c>
      <c r="G533" s="74">
        <v>4500.1940000000004</v>
      </c>
      <c r="H533" s="74">
        <v>4500.8649999999998</v>
      </c>
    </row>
    <row r="534" spans="1:8">
      <c r="A534" s="72">
        <v>46255.875</v>
      </c>
      <c r="B534" s="73">
        <v>4500</v>
      </c>
      <c r="C534" s="74">
        <v>4500</v>
      </c>
      <c r="D534" s="74">
        <v>4500</v>
      </c>
      <c r="E534" s="74">
        <v>4500.0020000000004</v>
      </c>
      <c r="F534" s="74">
        <v>4500.0349999999999</v>
      </c>
      <c r="G534" s="74">
        <v>4500.1760000000004</v>
      </c>
      <c r="H534" s="74">
        <v>4500.7950000000001</v>
      </c>
    </row>
    <row r="535" spans="1:8">
      <c r="A535" s="72">
        <v>46255.916666666664</v>
      </c>
      <c r="B535" s="73">
        <v>4500</v>
      </c>
      <c r="C535" s="74">
        <v>4500</v>
      </c>
      <c r="D535" s="74">
        <v>4500</v>
      </c>
      <c r="E535" s="74">
        <v>4500.0020000000004</v>
      </c>
      <c r="F535" s="74">
        <v>4500.0320000000002</v>
      </c>
      <c r="G535" s="74">
        <v>4500.1570000000002</v>
      </c>
      <c r="H535" s="74">
        <v>4500.7089999999998</v>
      </c>
    </row>
    <row r="536" spans="1:8">
      <c r="A536" s="72">
        <v>46255.958333333336</v>
      </c>
      <c r="B536" s="73">
        <v>4500</v>
      </c>
      <c r="C536" s="74">
        <v>4500</v>
      </c>
      <c r="D536" s="74">
        <v>4500</v>
      </c>
      <c r="E536" s="74">
        <v>4500.0020000000004</v>
      </c>
      <c r="F536" s="74">
        <v>4500.03</v>
      </c>
      <c r="G536" s="74">
        <v>4500.143</v>
      </c>
      <c r="H536" s="74">
        <v>4500.652</v>
      </c>
    </row>
    <row r="537" spans="1:8">
      <c r="A537" s="72">
        <v>46256</v>
      </c>
      <c r="B537" s="73">
        <v>4500</v>
      </c>
      <c r="C537" s="74">
        <v>4500</v>
      </c>
      <c r="D537" s="74">
        <v>4500</v>
      </c>
      <c r="E537" s="74">
        <v>4500.0020000000004</v>
      </c>
      <c r="F537" s="74">
        <v>4500.0249999999996</v>
      </c>
      <c r="G537" s="74">
        <v>4500.1270000000004</v>
      </c>
      <c r="H537" s="74">
        <v>4500.5810000000001</v>
      </c>
    </row>
    <row r="538" spans="1:8">
      <c r="A538" s="72">
        <v>46256.041666666664</v>
      </c>
      <c r="B538" s="73">
        <v>4500</v>
      </c>
      <c r="C538" s="74">
        <v>4500</v>
      </c>
      <c r="D538" s="74">
        <v>4500</v>
      </c>
      <c r="E538" s="74">
        <v>4500.0010000000002</v>
      </c>
      <c r="F538" s="74">
        <v>4500.0219999999999</v>
      </c>
      <c r="G538" s="74">
        <v>4500.1149999999998</v>
      </c>
      <c r="H538" s="74">
        <v>4500.5330000000004</v>
      </c>
    </row>
    <row r="539" spans="1:8">
      <c r="A539" s="72">
        <v>46256.083333333336</v>
      </c>
      <c r="B539" s="73">
        <v>4500</v>
      </c>
      <c r="C539" s="74">
        <v>4500</v>
      </c>
      <c r="D539" s="74">
        <v>4500</v>
      </c>
      <c r="E539" s="74">
        <v>4500.0010000000002</v>
      </c>
      <c r="F539" s="74">
        <v>4500.0209999999997</v>
      </c>
      <c r="G539" s="74">
        <v>4500.1019999999999</v>
      </c>
      <c r="H539" s="74">
        <v>4500.4750000000004</v>
      </c>
    </row>
    <row r="540" spans="1:8">
      <c r="A540" s="72">
        <v>46256.125</v>
      </c>
      <c r="B540" s="73">
        <v>4500</v>
      </c>
      <c r="C540" s="74">
        <v>4500</v>
      </c>
      <c r="D540" s="74">
        <v>4500</v>
      </c>
      <c r="E540" s="74">
        <v>4500.0010000000002</v>
      </c>
      <c r="F540" s="74">
        <v>4500.0200000000004</v>
      </c>
      <c r="G540" s="74">
        <v>4500.0929999999998</v>
      </c>
      <c r="H540" s="74">
        <v>4500.4350000000004</v>
      </c>
    </row>
    <row r="541" spans="1:8">
      <c r="A541" s="72">
        <v>46256.166666666664</v>
      </c>
      <c r="B541" s="73">
        <v>4500</v>
      </c>
      <c r="C541" s="74">
        <v>4500</v>
      </c>
      <c r="D541" s="74">
        <v>4500</v>
      </c>
      <c r="E541" s="74">
        <v>4500.0010000000002</v>
      </c>
      <c r="F541" s="74">
        <v>4500.0169999999998</v>
      </c>
      <c r="G541" s="74">
        <v>4500.0829999999996</v>
      </c>
      <c r="H541" s="74">
        <v>4500.3869999999997</v>
      </c>
    </row>
    <row r="542" spans="1:8">
      <c r="A542" s="72">
        <v>46256.208333333336</v>
      </c>
      <c r="B542" s="73">
        <v>4500</v>
      </c>
      <c r="C542" s="74">
        <v>4500</v>
      </c>
      <c r="D542" s="74">
        <v>4500</v>
      </c>
      <c r="E542" s="74">
        <v>4500.0010000000002</v>
      </c>
      <c r="F542" s="74">
        <v>4500.0150000000003</v>
      </c>
      <c r="G542" s="74">
        <v>4500.0749999999998</v>
      </c>
      <c r="H542" s="74">
        <v>4500.3540000000003</v>
      </c>
    </row>
    <row r="543" spans="1:8">
      <c r="A543" s="72">
        <v>46256.25</v>
      </c>
      <c r="B543" s="73">
        <v>4500</v>
      </c>
      <c r="C543" s="74">
        <v>4500</v>
      </c>
      <c r="D543" s="74">
        <v>4500</v>
      </c>
      <c r="E543" s="74">
        <v>4500.0010000000002</v>
      </c>
      <c r="F543" s="74">
        <v>4500.0129999999999</v>
      </c>
      <c r="G543" s="74">
        <v>4500.0659999999998</v>
      </c>
      <c r="H543" s="74">
        <v>4500.3149999999996</v>
      </c>
    </row>
    <row r="544" spans="1:8">
      <c r="A544" s="72">
        <v>46256.291666666664</v>
      </c>
      <c r="B544" s="73">
        <v>4500</v>
      </c>
      <c r="C544" s="74">
        <v>4500</v>
      </c>
      <c r="D544" s="74">
        <v>4500</v>
      </c>
      <c r="E544" s="74">
        <v>4500.0010000000002</v>
      </c>
      <c r="F544" s="74">
        <v>4500.0119999999997</v>
      </c>
      <c r="G544" s="74">
        <v>4500.0600000000004</v>
      </c>
      <c r="H544" s="74">
        <v>4500.2889999999998</v>
      </c>
    </row>
    <row r="545" spans="1:8">
      <c r="A545" s="72">
        <v>46256.333333333336</v>
      </c>
      <c r="B545" s="73">
        <v>4500</v>
      </c>
      <c r="C545" s="74">
        <v>4500</v>
      </c>
      <c r="D545" s="74">
        <v>4500</v>
      </c>
      <c r="E545" s="74">
        <v>4500.0010000000002</v>
      </c>
      <c r="F545" s="74">
        <v>4500.0110000000004</v>
      </c>
      <c r="G545" s="74">
        <v>4500.0529999999999</v>
      </c>
      <c r="H545" s="74">
        <v>4500.2569999999996</v>
      </c>
    </row>
    <row r="546" spans="1:8">
      <c r="A546" s="72">
        <v>46256.375</v>
      </c>
      <c r="B546" s="73">
        <v>4500</v>
      </c>
      <c r="C546" s="74">
        <v>4500</v>
      </c>
      <c r="D546" s="74">
        <v>4500</v>
      </c>
      <c r="E546" s="74">
        <v>4500.0010000000002</v>
      </c>
      <c r="F546" s="74">
        <v>4500.009</v>
      </c>
      <c r="G546" s="74">
        <v>4500.049</v>
      </c>
      <c r="H546" s="74">
        <v>4500.2340000000004</v>
      </c>
    </row>
    <row r="547" spans="1:8">
      <c r="A547" s="72">
        <v>46256.416666666664</v>
      </c>
      <c r="B547" s="73">
        <v>4500</v>
      </c>
      <c r="C547" s="74">
        <v>4500</v>
      </c>
      <c r="D547" s="74">
        <v>4500</v>
      </c>
      <c r="E547" s="74">
        <v>4500.0010000000002</v>
      </c>
      <c r="F547" s="74">
        <v>4500.009</v>
      </c>
      <c r="G547" s="74">
        <v>4500.0429999999997</v>
      </c>
      <c r="H547" s="74">
        <v>4500.2079999999996</v>
      </c>
    </row>
    <row r="548" spans="1:8">
      <c r="A548" s="72">
        <v>46256.458333333336</v>
      </c>
      <c r="B548" s="73">
        <v>4500</v>
      </c>
      <c r="C548" s="74">
        <v>4500</v>
      </c>
      <c r="D548" s="74">
        <v>4500</v>
      </c>
      <c r="E548" s="74">
        <v>4500.0010000000002</v>
      </c>
      <c r="F548" s="74">
        <v>4500.0079999999998</v>
      </c>
      <c r="G548" s="74">
        <v>4500.0389999999998</v>
      </c>
      <c r="H548" s="74">
        <v>4500.1899999999996</v>
      </c>
    </row>
    <row r="549" spans="1:8">
      <c r="A549" s="72">
        <v>46256.5</v>
      </c>
      <c r="B549" s="73">
        <v>4500</v>
      </c>
      <c r="C549" s="74">
        <v>4500</v>
      </c>
      <c r="D549" s="74">
        <v>4500</v>
      </c>
      <c r="E549" s="74">
        <v>4500.0010000000002</v>
      </c>
      <c r="F549" s="74">
        <v>4500.0069999999996</v>
      </c>
      <c r="G549" s="74">
        <v>4500.0360000000001</v>
      </c>
      <c r="H549" s="74">
        <v>4500.1689999999999</v>
      </c>
    </row>
    <row r="550" spans="1:8">
      <c r="A550" s="72">
        <v>46256.541666666664</v>
      </c>
      <c r="B550" s="73">
        <v>4500</v>
      </c>
      <c r="C550" s="74">
        <v>4500</v>
      </c>
      <c r="D550" s="74">
        <v>4500</v>
      </c>
      <c r="E550" s="74">
        <v>4500</v>
      </c>
      <c r="F550" s="74">
        <v>4500.0060000000003</v>
      </c>
      <c r="G550" s="74">
        <v>4500.0320000000002</v>
      </c>
      <c r="H550" s="74">
        <v>4500.1530000000002</v>
      </c>
    </row>
    <row r="551" spans="1:8">
      <c r="A551" s="72">
        <v>46256.583333333336</v>
      </c>
      <c r="B551" s="73">
        <v>4500</v>
      </c>
      <c r="C551" s="74">
        <v>4500</v>
      </c>
      <c r="D551" s="74">
        <v>4500</v>
      </c>
      <c r="E551" s="74">
        <v>4500</v>
      </c>
      <c r="F551" s="74">
        <v>4500.0050000000001</v>
      </c>
      <c r="G551" s="74">
        <v>4500.0290000000005</v>
      </c>
      <c r="H551" s="74">
        <v>4500.1369999999997</v>
      </c>
    </row>
    <row r="552" spans="1:8">
      <c r="A552" s="72">
        <v>46256.625</v>
      </c>
      <c r="B552" s="73">
        <v>4500</v>
      </c>
      <c r="C552" s="74">
        <v>4500</v>
      </c>
      <c r="D552" s="74">
        <v>4500</v>
      </c>
      <c r="E552" s="74">
        <v>4500</v>
      </c>
      <c r="F552" s="74">
        <v>4500.0050000000001</v>
      </c>
      <c r="G552" s="74">
        <v>4500.0249999999996</v>
      </c>
      <c r="H552" s="74">
        <v>4500.1239999999998</v>
      </c>
    </row>
    <row r="553" spans="1:8">
      <c r="A553" s="72">
        <v>46256.666666666664</v>
      </c>
      <c r="B553" s="73">
        <v>4500</v>
      </c>
      <c r="C553" s="74">
        <v>4500</v>
      </c>
      <c r="D553" s="74">
        <v>4500</v>
      </c>
      <c r="E553" s="74">
        <v>4500</v>
      </c>
      <c r="F553" s="74">
        <v>4500.0039999999999</v>
      </c>
      <c r="G553" s="74">
        <v>4500.0230000000001</v>
      </c>
      <c r="H553" s="74">
        <v>4500.1109999999999</v>
      </c>
    </row>
    <row r="554" spans="1:8">
      <c r="A554" s="72">
        <v>46256.708333333336</v>
      </c>
      <c r="B554" s="73">
        <v>4500</v>
      </c>
      <c r="C554" s="74">
        <v>4500</v>
      </c>
      <c r="D554" s="74">
        <v>4500</v>
      </c>
      <c r="E554" s="74">
        <v>4500</v>
      </c>
      <c r="F554" s="74">
        <v>4500.0039999999999</v>
      </c>
      <c r="G554" s="74">
        <v>4500.0200000000004</v>
      </c>
      <c r="H554" s="74">
        <v>4500.1000000000004</v>
      </c>
    </row>
    <row r="555" spans="1:8">
      <c r="A555" s="72">
        <v>46256.75</v>
      </c>
      <c r="B555" s="73">
        <v>4500</v>
      </c>
      <c r="C555" s="74">
        <v>4500</v>
      </c>
      <c r="D555" s="74">
        <v>4500</v>
      </c>
      <c r="E555" s="74">
        <v>4500</v>
      </c>
      <c r="F555" s="74">
        <v>4500.0039999999999</v>
      </c>
      <c r="G555" s="74">
        <v>4500.018</v>
      </c>
      <c r="H555" s="74">
        <v>4500.0889999999999</v>
      </c>
    </row>
    <row r="556" spans="1:8">
      <c r="A556" s="72">
        <v>46256.791666666664</v>
      </c>
      <c r="B556" s="73">
        <v>4500</v>
      </c>
      <c r="C556" s="74">
        <v>4500</v>
      </c>
      <c r="D556" s="74">
        <v>4500</v>
      </c>
      <c r="E556" s="74">
        <v>4500</v>
      </c>
      <c r="F556" s="74">
        <v>4500.0039999999999</v>
      </c>
      <c r="G556" s="74">
        <v>4500.0159999999996</v>
      </c>
      <c r="H556" s="74">
        <v>4500.0810000000001</v>
      </c>
    </row>
    <row r="557" spans="1:8">
      <c r="A557" s="72">
        <v>46256.833333333336</v>
      </c>
      <c r="B557" s="73">
        <v>4500</v>
      </c>
      <c r="C557" s="74">
        <v>4500</v>
      </c>
      <c r="D557" s="74">
        <v>4500</v>
      </c>
      <c r="E557" s="74">
        <v>4500</v>
      </c>
      <c r="F557" s="74">
        <v>4500.0029999999997</v>
      </c>
      <c r="G557" s="74">
        <v>4500.0140000000001</v>
      </c>
      <c r="H557" s="74">
        <v>4500.0720000000001</v>
      </c>
    </row>
    <row r="558" spans="1:8">
      <c r="A558" s="72">
        <v>46256.875</v>
      </c>
      <c r="B558" s="73">
        <v>4500</v>
      </c>
      <c r="C558" s="74">
        <v>4500</v>
      </c>
      <c r="D558" s="74">
        <v>4500</v>
      </c>
      <c r="E558" s="74">
        <v>4500</v>
      </c>
      <c r="F558" s="74">
        <v>4500.0029999999997</v>
      </c>
      <c r="G558" s="74">
        <v>4500.0119999999997</v>
      </c>
      <c r="H558" s="74">
        <v>4500.0649999999996</v>
      </c>
    </row>
    <row r="559" spans="1:8">
      <c r="A559" s="72">
        <v>46256.916666666664</v>
      </c>
      <c r="B559" s="73">
        <v>4500</v>
      </c>
      <c r="C559" s="74">
        <v>4500</v>
      </c>
      <c r="D559" s="74">
        <v>4500</v>
      </c>
      <c r="E559" s="74">
        <v>4500</v>
      </c>
      <c r="F559" s="74">
        <v>4500.0020000000004</v>
      </c>
      <c r="G559" s="74">
        <v>4500.0110000000004</v>
      </c>
      <c r="H559" s="74">
        <v>4500.058</v>
      </c>
    </row>
    <row r="560" spans="1:8">
      <c r="A560" s="72">
        <v>46256.958333333336</v>
      </c>
      <c r="B560" s="73">
        <v>4500</v>
      </c>
      <c r="C560" s="74">
        <v>4500</v>
      </c>
      <c r="D560" s="74">
        <v>4500</v>
      </c>
      <c r="E560" s="74">
        <v>4500</v>
      </c>
      <c r="F560" s="74">
        <v>4500.0020000000004</v>
      </c>
      <c r="G560" s="74">
        <v>4500.01</v>
      </c>
      <c r="H560" s="74">
        <v>4500.0519999999997</v>
      </c>
    </row>
    <row r="561" spans="1:8">
      <c r="A561" s="72">
        <v>46257</v>
      </c>
      <c r="B561" s="73">
        <v>4500</v>
      </c>
      <c r="C561" s="74">
        <v>4500</v>
      </c>
      <c r="D561" s="74">
        <v>4500</v>
      </c>
      <c r="E561" s="74">
        <v>4500</v>
      </c>
      <c r="F561" s="74">
        <v>4500.0020000000004</v>
      </c>
      <c r="G561" s="74">
        <v>4500.009</v>
      </c>
      <c r="H561" s="74">
        <v>4500.0469999999996</v>
      </c>
    </row>
    <row r="562" spans="1:8">
      <c r="A562" s="72">
        <v>46257.041666666664</v>
      </c>
      <c r="B562" s="73">
        <v>4500</v>
      </c>
      <c r="C562" s="74">
        <v>4500</v>
      </c>
      <c r="D562" s="74">
        <v>4500</v>
      </c>
      <c r="E562" s="74">
        <v>4500</v>
      </c>
      <c r="F562" s="74">
        <v>4500.0020000000004</v>
      </c>
      <c r="G562" s="74">
        <v>4500.0079999999998</v>
      </c>
      <c r="H562" s="74">
        <v>4500.0420000000004</v>
      </c>
    </row>
    <row r="563" spans="1:8">
      <c r="A563" s="72">
        <v>46257.083333333336</v>
      </c>
      <c r="B563" s="73">
        <v>4500</v>
      </c>
      <c r="C563" s="74">
        <v>4500</v>
      </c>
      <c r="D563" s="74">
        <v>4500</v>
      </c>
      <c r="E563" s="74">
        <v>4500</v>
      </c>
      <c r="F563" s="74">
        <v>4500.0020000000004</v>
      </c>
      <c r="G563" s="74">
        <v>4500.0069999999996</v>
      </c>
      <c r="H563" s="74">
        <v>4500.0389999999998</v>
      </c>
    </row>
    <row r="564" spans="1:8">
      <c r="A564" s="72">
        <v>46257.125</v>
      </c>
      <c r="B564" s="73">
        <v>4494.5429999999997</v>
      </c>
      <c r="C564" s="74">
        <v>4499.7960000000003</v>
      </c>
      <c r="D564" s="74">
        <v>4499.9809999999998</v>
      </c>
      <c r="E564" s="74">
        <v>4500</v>
      </c>
      <c r="F564" s="74">
        <v>4500.0010000000002</v>
      </c>
      <c r="G564" s="74">
        <v>4500.0060000000003</v>
      </c>
      <c r="H564" s="74">
        <v>4500.0349999999999</v>
      </c>
    </row>
    <row r="565" spans="1:8">
      <c r="A565" s="72">
        <v>46257.166666666664</v>
      </c>
      <c r="B565" s="73">
        <v>4494.5429999999997</v>
      </c>
      <c r="C565" s="74">
        <v>4499.7960000000003</v>
      </c>
      <c r="D565" s="74">
        <v>4499.9809999999998</v>
      </c>
      <c r="E565" s="74">
        <v>4500</v>
      </c>
      <c r="F565" s="74">
        <v>4500.0010000000002</v>
      </c>
      <c r="G565" s="74">
        <v>4500.0050000000001</v>
      </c>
      <c r="H565" s="74">
        <v>4500.0309999999999</v>
      </c>
    </row>
    <row r="566" spans="1:8">
      <c r="A566" s="72">
        <v>46257.208333333336</v>
      </c>
      <c r="B566" s="73">
        <v>4494.5429999999997</v>
      </c>
      <c r="C566" s="74">
        <v>4499.7960000000003</v>
      </c>
      <c r="D566" s="74">
        <v>4499.9809999999998</v>
      </c>
      <c r="E566" s="74">
        <v>4500</v>
      </c>
      <c r="F566" s="74">
        <v>4500.0010000000002</v>
      </c>
      <c r="G566" s="74">
        <v>4500.0050000000001</v>
      </c>
      <c r="H566" s="74">
        <v>4500.0280000000002</v>
      </c>
    </row>
    <row r="567" spans="1:8">
      <c r="A567" s="72">
        <v>46257.25</v>
      </c>
      <c r="B567" s="73">
        <v>4494.5429999999997</v>
      </c>
      <c r="C567" s="74">
        <v>4499.7960000000003</v>
      </c>
      <c r="D567" s="74">
        <v>4499.9809999999998</v>
      </c>
      <c r="E567" s="74">
        <v>4500</v>
      </c>
      <c r="F567" s="74">
        <v>4500.0010000000002</v>
      </c>
      <c r="G567" s="74">
        <v>4500.0039999999999</v>
      </c>
      <c r="H567" s="74">
        <v>4500.0249999999996</v>
      </c>
    </row>
    <row r="568" spans="1:8">
      <c r="A568" s="72">
        <v>46257.291666666664</v>
      </c>
      <c r="B568" s="73">
        <v>4403.0990000000002</v>
      </c>
      <c r="C568" s="74">
        <v>4496.3729999999996</v>
      </c>
      <c r="D568" s="74">
        <v>4499.6509999999998</v>
      </c>
      <c r="E568" s="74">
        <v>4499.9849999999997</v>
      </c>
      <c r="F568" s="74">
        <v>4499.9979999999996</v>
      </c>
      <c r="G568" s="74">
        <v>4500.0039999999999</v>
      </c>
      <c r="H568" s="74">
        <v>4500.0219999999999</v>
      </c>
    </row>
    <row r="569" spans="1:8">
      <c r="A569" s="72">
        <v>46257.333333333336</v>
      </c>
      <c r="B569" s="73">
        <v>4403.0990000000002</v>
      </c>
      <c r="C569" s="74">
        <v>4496.3729999999996</v>
      </c>
      <c r="D569" s="74">
        <v>4499.6509999999998</v>
      </c>
      <c r="E569" s="74">
        <v>4499.9849999999997</v>
      </c>
      <c r="F569" s="74">
        <v>4499.9979999999996</v>
      </c>
      <c r="G569" s="74">
        <v>4500.0039999999999</v>
      </c>
      <c r="H569" s="74">
        <v>4500.0200000000004</v>
      </c>
    </row>
    <row r="570" spans="1:8">
      <c r="A570" s="72">
        <v>46257.375</v>
      </c>
      <c r="B570" s="73">
        <v>4403.0990000000002</v>
      </c>
      <c r="C570" s="74">
        <v>4496.3729999999996</v>
      </c>
      <c r="D570" s="74">
        <v>4499.6509999999998</v>
      </c>
      <c r="E570" s="74">
        <v>4499.9849999999997</v>
      </c>
      <c r="F570" s="74">
        <v>4499.9979999999996</v>
      </c>
      <c r="G570" s="74">
        <v>4500.0039999999999</v>
      </c>
      <c r="H570" s="74">
        <v>4500.0169999999998</v>
      </c>
    </row>
    <row r="571" spans="1:8">
      <c r="A571" s="72">
        <v>46257.416666666664</v>
      </c>
      <c r="B571" s="73">
        <v>4403.0990000000002</v>
      </c>
      <c r="C571" s="74">
        <v>4496.3729999999996</v>
      </c>
      <c r="D571" s="74">
        <v>4499.6509999999998</v>
      </c>
      <c r="E571" s="74">
        <v>4499.9849999999997</v>
      </c>
      <c r="F571" s="74">
        <v>4499.9979999999996</v>
      </c>
      <c r="G571" s="74">
        <v>4500.0029999999997</v>
      </c>
      <c r="H571" s="74">
        <v>4500.0150000000003</v>
      </c>
    </row>
    <row r="572" spans="1:8">
      <c r="A572" s="72">
        <v>46257.458333333336</v>
      </c>
      <c r="B572" s="73">
        <v>3871.1320000000001</v>
      </c>
      <c r="C572" s="74">
        <v>4475.2280000000001</v>
      </c>
      <c r="D572" s="74">
        <v>4497.5309999999999</v>
      </c>
      <c r="E572" s="74">
        <v>4499.8890000000001</v>
      </c>
      <c r="F572" s="74">
        <v>4499.9750000000004</v>
      </c>
      <c r="G572" s="74">
        <v>4500.0029999999997</v>
      </c>
      <c r="H572" s="74">
        <v>4500.0129999999999</v>
      </c>
    </row>
    <row r="573" spans="1:8">
      <c r="A573" s="72">
        <v>46257.5</v>
      </c>
      <c r="B573" s="73">
        <v>3871.1320000000001</v>
      </c>
      <c r="C573" s="74">
        <v>4475.2280000000001</v>
      </c>
      <c r="D573" s="74">
        <v>4497.5309999999999</v>
      </c>
      <c r="E573" s="74">
        <v>4499.8890000000001</v>
      </c>
      <c r="F573" s="74">
        <v>4499.9750000000004</v>
      </c>
      <c r="G573" s="74">
        <v>4500.0020000000004</v>
      </c>
      <c r="H573" s="74">
        <v>4500.0119999999997</v>
      </c>
    </row>
    <row r="574" spans="1:8">
      <c r="A574" s="72">
        <v>46257.541666666664</v>
      </c>
      <c r="B574" s="73">
        <v>3871.1320000000001</v>
      </c>
      <c r="C574" s="74">
        <v>4475.2280000000001</v>
      </c>
      <c r="D574" s="74">
        <v>4497.5309999999999</v>
      </c>
      <c r="E574" s="74">
        <v>4499.8890000000001</v>
      </c>
      <c r="F574" s="74">
        <v>4499.9750000000004</v>
      </c>
      <c r="G574" s="74">
        <v>4500.0020000000004</v>
      </c>
      <c r="H574" s="74">
        <v>4500.01</v>
      </c>
    </row>
    <row r="575" spans="1:8">
      <c r="A575" s="72">
        <v>46257.583333333336</v>
      </c>
      <c r="B575" s="73">
        <v>3871.1320000000001</v>
      </c>
      <c r="C575" s="74">
        <v>4475.2280000000001</v>
      </c>
      <c r="D575" s="74">
        <v>4497.5309999999999</v>
      </c>
      <c r="E575" s="74">
        <v>4499.8890000000001</v>
      </c>
      <c r="F575" s="74">
        <v>4499.9750000000004</v>
      </c>
      <c r="G575" s="74">
        <v>4500.0020000000004</v>
      </c>
      <c r="H575" s="74">
        <v>4500.009</v>
      </c>
    </row>
    <row r="576" spans="1:8">
      <c r="A576" s="72">
        <v>46257.625</v>
      </c>
      <c r="B576" s="73">
        <v>2678.989</v>
      </c>
      <c r="C576" s="74">
        <v>4410.0209999999997</v>
      </c>
      <c r="D576" s="74">
        <v>4489.8220000000001</v>
      </c>
      <c r="E576" s="74">
        <v>4499.4859999999999</v>
      </c>
      <c r="F576" s="74">
        <v>4499.875</v>
      </c>
      <c r="G576" s="74">
        <v>4500.0020000000004</v>
      </c>
      <c r="H576" s="74">
        <v>4500.0079999999998</v>
      </c>
    </row>
    <row r="577" spans="1:8">
      <c r="A577" s="72">
        <v>46257.666666666664</v>
      </c>
      <c r="B577" s="73">
        <v>2678.989</v>
      </c>
      <c r="C577" s="74">
        <v>4410.0209999999997</v>
      </c>
      <c r="D577" s="74">
        <v>4489.8220000000001</v>
      </c>
      <c r="E577" s="74">
        <v>4499.4859999999999</v>
      </c>
      <c r="F577" s="74">
        <v>4499.875</v>
      </c>
      <c r="G577" s="74">
        <v>4500.0020000000004</v>
      </c>
      <c r="H577" s="74">
        <v>4500.0069999999996</v>
      </c>
    </row>
    <row r="578" spans="1:8">
      <c r="A578" s="72">
        <v>46257.708333333336</v>
      </c>
      <c r="B578" s="73">
        <v>2678.989</v>
      </c>
      <c r="C578" s="74">
        <v>4410.0209999999997</v>
      </c>
      <c r="D578" s="74">
        <v>4489.8220000000001</v>
      </c>
      <c r="E578" s="74">
        <v>4499.4859999999999</v>
      </c>
      <c r="F578" s="74">
        <v>4499.875</v>
      </c>
      <c r="G578" s="74">
        <v>4500</v>
      </c>
      <c r="H578" s="74">
        <v>4500.0060000000003</v>
      </c>
    </row>
    <row r="579" spans="1:8">
      <c r="A579" s="72">
        <v>46257.75</v>
      </c>
      <c r="B579" s="73">
        <v>2678.989</v>
      </c>
      <c r="C579" s="74">
        <v>4410.0209999999997</v>
      </c>
      <c r="D579" s="74">
        <v>4489.8220000000001</v>
      </c>
      <c r="E579" s="74">
        <v>4499.4859999999999</v>
      </c>
      <c r="F579" s="74">
        <v>4499.875</v>
      </c>
      <c r="G579" s="74">
        <v>4500</v>
      </c>
      <c r="H579" s="74">
        <v>4500.0050000000001</v>
      </c>
    </row>
    <row r="580" spans="1:8">
      <c r="A580" s="72">
        <v>46257.791666666664</v>
      </c>
      <c r="B580" s="73">
        <v>1936.866</v>
      </c>
      <c r="C580" s="74">
        <v>4260.3710000000001</v>
      </c>
      <c r="D580" s="74">
        <v>4466.4669999999996</v>
      </c>
      <c r="E580" s="74">
        <v>4498.0339999999997</v>
      </c>
      <c r="F580" s="74">
        <v>4499.4930000000004</v>
      </c>
      <c r="G580" s="74">
        <v>4499.9979999999996</v>
      </c>
      <c r="H580" s="74">
        <v>4500.0050000000001</v>
      </c>
    </row>
    <row r="581" spans="1:8">
      <c r="A581" s="72">
        <v>46257.833333333336</v>
      </c>
      <c r="B581" s="73">
        <v>1936.866</v>
      </c>
      <c r="C581" s="74">
        <v>4260.3710000000001</v>
      </c>
      <c r="D581" s="74">
        <v>4466.4669999999996</v>
      </c>
      <c r="E581" s="74">
        <v>4498.0339999999997</v>
      </c>
      <c r="F581" s="74">
        <v>4499.4930000000004</v>
      </c>
      <c r="G581" s="74">
        <v>4499.9979999999996</v>
      </c>
      <c r="H581" s="74">
        <v>4500.0039999999999</v>
      </c>
    </row>
    <row r="582" spans="1:8">
      <c r="A582" s="72">
        <v>46257.875</v>
      </c>
      <c r="B582" s="73">
        <v>1936.866</v>
      </c>
      <c r="C582" s="74">
        <v>4260.3710000000001</v>
      </c>
      <c r="D582" s="74">
        <v>4466.4669999999996</v>
      </c>
      <c r="E582" s="74">
        <v>4498.0339999999997</v>
      </c>
      <c r="F582" s="74">
        <v>4499.4930000000004</v>
      </c>
      <c r="G582" s="74">
        <v>4499.9930000000004</v>
      </c>
      <c r="H582" s="74">
        <v>4500.0039999999999</v>
      </c>
    </row>
    <row r="583" spans="1:8">
      <c r="A583" s="72">
        <v>46257.916666666664</v>
      </c>
      <c r="B583" s="73">
        <v>1936.866</v>
      </c>
      <c r="C583" s="74">
        <v>4260.3710000000001</v>
      </c>
      <c r="D583" s="74">
        <v>4466.4669999999996</v>
      </c>
      <c r="E583" s="74">
        <v>4498.0339999999997</v>
      </c>
      <c r="F583" s="74">
        <v>4499.4930000000004</v>
      </c>
      <c r="G583" s="74">
        <v>4499.9930000000004</v>
      </c>
      <c r="H583" s="74">
        <v>4500.0039999999999</v>
      </c>
    </row>
    <row r="584" spans="1:8">
      <c r="A584" s="72">
        <v>46257.958333333336</v>
      </c>
      <c r="B584" s="73">
        <v>1606.8589999999999</v>
      </c>
      <c r="C584" s="74">
        <v>3943.201</v>
      </c>
      <c r="D584" s="74">
        <v>4407.0590000000002</v>
      </c>
      <c r="E584" s="74">
        <v>4493.7809999999999</v>
      </c>
      <c r="F584" s="74">
        <v>4498.3180000000002</v>
      </c>
      <c r="G584" s="74">
        <v>4499.982</v>
      </c>
      <c r="H584" s="74">
        <v>4500.0039999999999</v>
      </c>
    </row>
    <row r="585" spans="1:8">
      <c r="A585" s="72">
        <v>46258</v>
      </c>
      <c r="B585" s="73">
        <v>1606.8589999999999</v>
      </c>
      <c r="C585" s="74">
        <v>3943.201</v>
      </c>
      <c r="D585" s="74">
        <v>4407.0590000000002</v>
      </c>
      <c r="E585" s="74">
        <v>4493.7809999999999</v>
      </c>
      <c r="F585" s="74">
        <v>4498.3180000000002</v>
      </c>
      <c r="G585" s="74">
        <v>4499.982</v>
      </c>
      <c r="H585" s="74">
        <v>4500.0029999999997</v>
      </c>
    </row>
    <row r="586" spans="1:8">
      <c r="A586" s="72">
        <v>46258.041666666664</v>
      </c>
      <c r="B586" s="73">
        <v>1606.8589999999999</v>
      </c>
      <c r="C586" s="74">
        <v>3943.201</v>
      </c>
      <c r="D586" s="74">
        <v>4407.0590000000002</v>
      </c>
      <c r="E586" s="74">
        <v>4493.7809999999999</v>
      </c>
      <c r="F586" s="74">
        <v>4498.3180000000002</v>
      </c>
      <c r="G586" s="74">
        <v>4499.9579999999996</v>
      </c>
      <c r="H586" s="74">
        <v>4500.0029999999997</v>
      </c>
    </row>
    <row r="587" spans="1:8">
      <c r="A587" s="72">
        <v>46258.083333333336</v>
      </c>
      <c r="B587" s="73">
        <v>1606.8589999999999</v>
      </c>
      <c r="C587" s="74">
        <v>3943.201</v>
      </c>
      <c r="D587" s="74">
        <v>4407.0590000000002</v>
      </c>
      <c r="E587" s="74">
        <v>4493.7809999999999</v>
      </c>
      <c r="F587" s="74">
        <v>4498.3180000000002</v>
      </c>
      <c r="G587" s="74">
        <v>4499.9579999999996</v>
      </c>
      <c r="H587" s="74">
        <v>4500.0020000000004</v>
      </c>
    </row>
    <row r="588" spans="1:8">
      <c r="A588" s="72">
        <v>46258.125</v>
      </c>
      <c r="B588" s="73">
        <v>1482.271</v>
      </c>
      <c r="C588" s="74">
        <v>3557.4920000000002</v>
      </c>
      <c r="D588" s="74">
        <v>4297.5810000000001</v>
      </c>
      <c r="E588" s="74">
        <v>4483.5870000000004</v>
      </c>
      <c r="F588" s="74">
        <v>4495.2569999999996</v>
      </c>
      <c r="G588" s="74">
        <v>4499.9129999999996</v>
      </c>
      <c r="H588" s="74">
        <v>4500.0020000000004</v>
      </c>
    </row>
    <row r="589" spans="1:8">
      <c r="A589" s="72">
        <v>46258.166666666664</v>
      </c>
      <c r="B589" s="73">
        <v>1482.271</v>
      </c>
      <c r="C589" s="74">
        <v>3557.4920000000002</v>
      </c>
      <c r="D589" s="74">
        <v>4297.5810000000001</v>
      </c>
      <c r="E589" s="74">
        <v>4483.5870000000004</v>
      </c>
      <c r="F589" s="74">
        <v>4495.2569999999996</v>
      </c>
      <c r="G589" s="74">
        <v>4499.9129999999996</v>
      </c>
      <c r="H589" s="74">
        <v>4500.0020000000004</v>
      </c>
    </row>
    <row r="590" spans="1:8">
      <c r="A590" s="72">
        <v>46258.208333333336</v>
      </c>
      <c r="B590" s="73">
        <v>1482.271</v>
      </c>
      <c r="C590" s="74">
        <v>3557.4920000000002</v>
      </c>
      <c r="D590" s="74">
        <v>4297.5810000000001</v>
      </c>
      <c r="E590" s="74">
        <v>4483.5870000000004</v>
      </c>
      <c r="F590" s="74">
        <v>4495.2569999999996</v>
      </c>
      <c r="G590" s="74">
        <v>4499.8239999999996</v>
      </c>
      <c r="H590" s="74">
        <v>4500</v>
      </c>
    </row>
    <row r="591" spans="1:8">
      <c r="A591" s="72">
        <v>46258.25</v>
      </c>
      <c r="B591" s="73">
        <v>1482.271</v>
      </c>
      <c r="C591" s="74">
        <v>3557.4920000000002</v>
      </c>
      <c r="D591" s="74">
        <v>4297.5810000000001</v>
      </c>
      <c r="E591" s="74">
        <v>4483.5870000000004</v>
      </c>
      <c r="F591" s="74">
        <v>4495.2569999999996</v>
      </c>
      <c r="G591" s="74">
        <v>4499.8239999999996</v>
      </c>
      <c r="H591" s="74">
        <v>4500</v>
      </c>
    </row>
    <row r="592" spans="1:8">
      <c r="A592" s="72">
        <v>46258.291666666664</v>
      </c>
      <c r="B592" s="73">
        <v>1439.6120000000001</v>
      </c>
      <c r="C592" s="74">
        <v>2985.585</v>
      </c>
      <c r="D592" s="74">
        <v>4079.8049999999998</v>
      </c>
      <c r="E592" s="74">
        <v>4459.4449999999997</v>
      </c>
      <c r="F592" s="74">
        <v>4487.5919999999996</v>
      </c>
      <c r="G592" s="74">
        <v>4499.6610000000001</v>
      </c>
      <c r="H592" s="74">
        <v>4499.9979999999996</v>
      </c>
    </row>
    <row r="593" spans="1:8">
      <c r="A593" s="72">
        <v>46258.333333333336</v>
      </c>
      <c r="B593" s="73">
        <v>1439.6120000000001</v>
      </c>
      <c r="C593" s="74">
        <v>2985.585</v>
      </c>
      <c r="D593" s="74">
        <v>4079.8049999999998</v>
      </c>
      <c r="E593" s="74">
        <v>4459.4449999999997</v>
      </c>
      <c r="F593" s="74">
        <v>4487.5919999999996</v>
      </c>
      <c r="G593" s="74">
        <v>4499.6610000000001</v>
      </c>
      <c r="H593" s="74">
        <v>4499.9979999999996</v>
      </c>
    </row>
    <row r="594" spans="1:8">
      <c r="A594" s="72">
        <v>46258.375</v>
      </c>
      <c r="B594" s="73">
        <v>1439.6120000000001</v>
      </c>
      <c r="C594" s="74">
        <v>2985.585</v>
      </c>
      <c r="D594" s="74">
        <v>4079.8049999999998</v>
      </c>
      <c r="E594" s="74">
        <v>4459.4449999999997</v>
      </c>
      <c r="F594" s="74">
        <v>4487.5919999999996</v>
      </c>
      <c r="G594" s="74">
        <v>4499.3739999999998</v>
      </c>
      <c r="H594" s="74">
        <v>4499.9920000000002</v>
      </c>
    </row>
    <row r="595" spans="1:8">
      <c r="A595" s="72">
        <v>46258.416666666664</v>
      </c>
      <c r="B595" s="73">
        <v>1439.6120000000001</v>
      </c>
      <c r="C595" s="74">
        <v>2985.585</v>
      </c>
      <c r="D595" s="74">
        <v>4079.8049999999998</v>
      </c>
      <c r="E595" s="74">
        <v>4459.4449999999997</v>
      </c>
      <c r="F595" s="74">
        <v>4487.5919999999996</v>
      </c>
      <c r="G595" s="74">
        <v>4499.3739999999998</v>
      </c>
      <c r="H595" s="74">
        <v>4499.9920000000002</v>
      </c>
    </row>
    <row r="596" spans="1:8">
      <c r="A596" s="72">
        <v>46258.458333333336</v>
      </c>
      <c r="B596" s="73">
        <v>1425.9259999999999</v>
      </c>
      <c r="C596" s="74">
        <v>2550.0219999999999</v>
      </c>
      <c r="D596" s="74">
        <v>3807.451</v>
      </c>
      <c r="E596" s="74">
        <v>4417.076</v>
      </c>
      <c r="F596" s="74">
        <v>4472.7039999999997</v>
      </c>
      <c r="G596" s="74">
        <v>4498.8869999999997</v>
      </c>
      <c r="H596" s="74">
        <v>4499.982</v>
      </c>
    </row>
    <row r="597" spans="1:8">
      <c r="A597" s="72">
        <v>46258.5</v>
      </c>
      <c r="B597" s="73">
        <v>1425.9259999999999</v>
      </c>
      <c r="C597" s="74">
        <v>2550.0219999999999</v>
      </c>
      <c r="D597" s="74">
        <v>3807.451</v>
      </c>
      <c r="E597" s="74">
        <v>4417.076</v>
      </c>
      <c r="F597" s="74">
        <v>4472.7039999999997</v>
      </c>
      <c r="G597" s="74">
        <v>4498.8869999999997</v>
      </c>
      <c r="H597" s="74">
        <v>4499.982</v>
      </c>
    </row>
    <row r="598" spans="1:8">
      <c r="A598" s="72">
        <v>46258.541666666664</v>
      </c>
      <c r="B598" s="73">
        <v>1425.9259999999999</v>
      </c>
      <c r="C598" s="74">
        <v>2550.0219999999999</v>
      </c>
      <c r="D598" s="74">
        <v>3807.451</v>
      </c>
      <c r="E598" s="74">
        <v>4417.076</v>
      </c>
      <c r="F598" s="74">
        <v>4472.7039999999997</v>
      </c>
      <c r="G598" s="74">
        <v>4498.0879999999997</v>
      </c>
      <c r="H598" s="74">
        <v>4499.96</v>
      </c>
    </row>
    <row r="599" spans="1:8">
      <c r="A599" s="72">
        <v>46258.583333333336</v>
      </c>
      <c r="B599" s="73">
        <v>1425.9259999999999</v>
      </c>
      <c r="C599" s="74">
        <v>2550.0219999999999</v>
      </c>
      <c r="D599" s="74">
        <v>3807.451</v>
      </c>
      <c r="E599" s="74">
        <v>4417.076</v>
      </c>
      <c r="F599" s="74">
        <v>4472.7039999999997</v>
      </c>
      <c r="G599" s="74">
        <v>4498.0879999999997</v>
      </c>
      <c r="H599" s="74">
        <v>4499.96</v>
      </c>
    </row>
    <row r="600" spans="1:8">
      <c r="A600" s="72">
        <v>46258.625</v>
      </c>
      <c r="B600" s="73">
        <v>1421.7349999999999</v>
      </c>
      <c r="C600" s="74">
        <v>2155.1489999999999</v>
      </c>
      <c r="D600" s="74">
        <v>3383.415</v>
      </c>
      <c r="E600" s="74">
        <v>4332.5829999999996</v>
      </c>
      <c r="F600" s="74">
        <v>4440.9480000000003</v>
      </c>
      <c r="G600" s="74">
        <v>4496.8069999999998</v>
      </c>
      <c r="H600" s="74">
        <v>4499.9189999999999</v>
      </c>
    </row>
    <row r="601" spans="1:8">
      <c r="A601" s="72">
        <v>46258.666666666664</v>
      </c>
      <c r="B601" s="73">
        <v>1421.7349999999999</v>
      </c>
      <c r="C601" s="74">
        <v>2155.1489999999999</v>
      </c>
      <c r="D601" s="74">
        <v>3383.415</v>
      </c>
      <c r="E601" s="74">
        <v>4332.5829999999996</v>
      </c>
      <c r="F601" s="74">
        <v>4440.9480000000003</v>
      </c>
      <c r="G601" s="74">
        <v>4496.8069999999998</v>
      </c>
      <c r="H601" s="74">
        <v>4499.9189999999999</v>
      </c>
    </row>
    <row r="602" spans="1:8">
      <c r="A602" s="72">
        <v>46258.708333333336</v>
      </c>
      <c r="B602" s="73">
        <v>1421.7349999999999</v>
      </c>
      <c r="C602" s="74">
        <v>2155.1489999999999</v>
      </c>
      <c r="D602" s="74">
        <v>3383.415</v>
      </c>
      <c r="E602" s="74">
        <v>4332.5829999999996</v>
      </c>
      <c r="F602" s="74">
        <v>4440.9480000000003</v>
      </c>
      <c r="G602" s="74">
        <v>4494.8040000000001</v>
      </c>
      <c r="H602" s="74">
        <v>4499.8419999999996</v>
      </c>
    </row>
    <row r="603" spans="1:8">
      <c r="A603" s="72">
        <v>46258.75</v>
      </c>
      <c r="B603" s="73">
        <v>1421.7349999999999</v>
      </c>
      <c r="C603" s="74">
        <v>2155.1489999999999</v>
      </c>
      <c r="D603" s="74">
        <v>3383.415</v>
      </c>
      <c r="E603" s="74">
        <v>4332.5829999999996</v>
      </c>
      <c r="F603" s="74">
        <v>4440.9480000000003</v>
      </c>
      <c r="G603" s="74">
        <v>4494.8040000000001</v>
      </c>
      <c r="H603" s="74">
        <v>4499.8419999999996</v>
      </c>
    </row>
    <row r="604" spans="1:8">
      <c r="A604" s="72">
        <v>46258.791666666664</v>
      </c>
      <c r="B604" s="73">
        <v>1420.4949999999999</v>
      </c>
      <c r="C604" s="74">
        <v>1904.5640000000001</v>
      </c>
      <c r="D604" s="74">
        <v>2996.8389999999999</v>
      </c>
      <c r="E604" s="74">
        <v>4217.4489999999996</v>
      </c>
      <c r="F604" s="74">
        <v>4392.3230000000003</v>
      </c>
      <c r="G604" s="74">
        <v>4491.7790000000005</v>
      </c>
      <c r="H604" s="74">
        <v>4499.7030000000004</v>
      </c>
    </row>
    <row r="605" spans="1:8">
      <c r="A605" s="72">
        <v>46258.833333333336</v>
      </c>
      <c r="B605" s="73">
        <v>1420.4949999999999</v>
      </c>
      <c r="C605" s="74">
        <v>1904.5640000000001</v>
      </c>
      <c r="D605" s="74">
        <v>2996.8389999999999</v>
      </c>
      <c r="E605" s="74">
        <v>4217.4489999999996</v>
      </c>
      <c r="F605" s="74">
        <v>4392.3230000000003</v>
      </c>
      <c r="G605" s="74">
        <v>4491.7790000000005</v>
      </c>
      <c r="H605" s="74">
        <v>4499.7030000000004</v>
      </c>
    </row>
    <row r="606" spans="1:8">
      <c r="A606" s="72">
        <v>46258.875</v>
      </c>
      <c r="B606" s="73">
        <v>1420.4949999999999</v>
      </c>
      <c r="C606" s="74">
        <v>1904.5640000000001</v>
      </c>
      <c r="D606" s="74">
        <v>2996.8389999999999</v>
      </c>
      <c r="E606" s="74">
        <v>4217.4489999999996</v>
      </c>
      <c r="F606" s="74">
        <v>4392.3230000000003</v>
      </c>
      <c r="G606" s="74">
        <v>4487.3590000000004</v>
      </c>
      <c r="H606" s="74">
        <v>4499.4610000000002</v>
      </c>
    </row>
    <row r="607" spans="1:8">
      <c r="A607" s="72">
        <v>46258.916666666664</v>
      </c>
      <c r="B607" s="73">
        <v>1420.4949999999999</v>
      </c>
      <c r="C607" s="74">
        <v>1904.5640000000001</v>
      </c>
      <c r="D607" s="74">
        <v>2996.8389999999999</v>
      </c>
      <c r="E607" s="74">
        <v>4217.4489999999996</v>
      </c>
      <c r="F607" s="74">
        <v>4392.3230000000003</v>
      </c>
      <c r="G607" s="74">
        <v>4487.3590000000004</v>
      </c>
      <c r="H607" s="74">
        <v>4499.4610000000002</v>
      </c>
    </row>
    <row r="608" spans="1:8">
      <c r="A608" s="72">
        <v>46258.958333333336</v>
      </c>
      <c r="B608" s="73">
        <v>1420.1389999999999</v>
      </c>
      <c r="C608" s="74">
        <v>1715.614</v>
      </c>
      <c r="D608" s="74">
        <v>2543.7510000000002</v>
      </c>
      <c r="E608" s="74">
        <v>4022.076</v>
      </c>
      <c r="F608" s="74">
        <v>4302.4679999999998</v>
      </c>
      <c r="G608" s="74">
        <v>4481.0240000000003</v>
      </c>
      <c r="H608" s="74">
        <v>4499.0559999999996</v>
      </c>
    </row>
    <row r="609" spans="1:8">
      <c r="A609" s="72">
        <v>46259</v>
      </c>
      <c r="B609" s="73">
        <v>1420.1389999999999</v>
      </c>
      <c r="C609" s="74">
        <v>1715.614</v>
      </c>
      <c r="D609" s="74">
        <v>2543.7510000000002</v>
      </c>
      <c r="E609" s="74">
        <v>4022.076</v>
      </c>
      <c r="F609" s="74">
        <v>4302.4679999999998</v>
      </c>
      <c r="G609" s="74">
        <v>4481.0240000000003</v>
      </c>
      <c r="H609" s="74">
        <v>4499.0559999999996</v>
      </c>
    </row>
    <row r="610" spans="1:8">
      <c r="A610" s="72">
        <v>46259.041666666664</v>
      </c>
      <c r="B610" s="73">
        <v>1420.1389999999999</v>
      </c>
      <c r="C610" s="74">
        <v>1715.614</v>
      </c>
      <c r="D610" s="74">
        <v>2543.7510000000002</v>
      </c>
      <c r="E610" s="74">
        <v>4022.076</v>
      </c>
      <c r="F610" s="74">
        <v>4302.4679999999998</v>
      </c>
      <c r="G610" s="74">
        <v>4472.0450000000001</v>
      </c>
      <c r="H610" s="74">
        <v>4498.393</v>
      </c>
    </row>
    <row r="611" spans="1:8">
      <c r="A611" s="72">
        <v>46259.083333333336</v>
      </c>
      <c r="B611" s="73">
        <v>1420.1389999999999</v>
      </c>
      <c r="C611" s="74">
        <v>1715.614</v>
      </c>
      <c r="D611" s="74">
        <v>2543.7510000000002</v>
      </c>
      <c r="E611" s="74">
        <v>4022.076</v>
      </c>
      <c r="F611" s="74">
        <v>4302.4679999999998</v>
      </c>
      <c r="G611" s="74">
        <v>4472.0450000000001</v>
      </c>
      <c r="H611" s="74">
        <v>4498.393</v>
      </c>
    </row>
    <row r="612" spans="1:8">
      <c r="A612" s="72">
        <v>46259.125</v>
      </c>
      <c r="B612" s="73">
        <v>1420.038</v>
      </c>
      <c r="C612" s="74">
        <v>1605.2729999999999</v>
      </c>
      <c r="D612" s="74">
        <v>2218.8440000000001</v>
      </c>
      <c r="E612" s="74">
        <v>3806.42</v>
      </c>
      <c r="F612" s="74">
        <v>4189.6530000000002</v>
      </c>
      <c r="G612" s="74">
        <v>4459.6809999999996</v>
      </c>
      <c r="H612" s="74">
        <v>4497.3379999999997</v>
      </c>
    </row>
    <row r="613" spans="1:8">
      <c r="A613" s="72">
        <v>46259.166666666664</v>
      </c>
      <c r="B613" s="73">
        <v>1420.038</v>
      </c>
      <c r="C613" s="74">
        <v>1605.2729999999999</v>
      </c>
      <c r="D613" s="74">
        <v>2218.8440000000001</v>
      </c>
      <c r="E613" s="74">
        <v>3806.42</v>
      </c>
      <c r="F613" s="74">
        <v>4189.6530000000002</v>
      </c>
      <c r="G613" s="74">
        <v>4459.6809999999996</v>
      </c>
      <c r="H613" s="74">
        <v>4497.3379999999997</v>
      </c>
    </row>
    <row r="614" spans="1:8">
      <c r="A614" s="72">
        <v>46259.208333333336</v>
      </c>
      <c r="B614" s="73">
        <v>1420.038</v>
      </c>
      <c r="C614" s="74">
        <v>1605.2729999999999</v>
      </c>
      <c r="D614" s="74">
        <v>2218.8440000000001</v>
      </c>
      <c r="E614" s="74">
        <v>3806.42</v>
      </c>
      <c r="F614" s="74">
        <v>4189.6530000000002</v>
      </c>
      <c r="G614" s="74">
        <v>4443.2359999999999</v>
      </c>
      <c r="H614" s="74">
        <v>4495.7060000000001</v>
      </c>
    </row>
    <row r="615" spans="1:8">
      <c r="A615" s="72">
        <v>46259.25</v>
      </c>
      <c r="B615" s="73">
        <v>1420.038</v>
      </c>
      <c r="C615" s="74">
        <v>1605.2729999999999</v>
      </c>
      <c r="D615" s="74">
        <v>2218.8440000000001</v>
      </c>
      <c r="E615" s="74">
        <v>3806.42</v>
      </c>
      <c r="F615" s="74">
        <v>4189.6530000000002</v>
      </c>
      <c r="G615" s="74">
        <v>4443.2359999999999</v>
      </c>
      <c r="H615" s="74">
        <v>4495.7060000000001</v>
      </c>
    </row>
    <row r="616" spans="1:8">
      <c r="A616" s="72">
        <v>46259.291666666664</v>
      </c>
      <c r="B616" s="73">
        <v>1420.01</v>
      </c>
      <c r="C616" s="74">
        <v>1528.973</v>
      </c>
      <c r="D616" s="74">
        <v>1936.2570000000001</v>
      </c>
      <c r="E616" s="74">
        <v>3495.288</v>
      </c>
      <c r="F616" s="74">
        <v>4008.0590000000002</v>
      </c>
      <c r="G616" s="74">
        <v>4421.8370000000004</v>
      </c>
      <c r="H616" s="74">
        <v>4493.2470000000003</v>
      </c>
    </row>
    <row r="617" spans="1:8">
      <c r="A617" s="72">
        <v>46259.333333333336</v>
      </c>
      <c r="B617" s="73">
        <v>1420.01</v>
      </c>
      <c r="C617" s="74">
        <v>1528.973</v>
      </c>
      <c r="D617" s="74">
        <v>1936.2570000000001</v>
      </c>
      <c r="E617" s="74">
        <v>3495.288</v>
      </c>
      <c r="F617" s="74">
        <v>4008.0590000000002</v>
      </c>
      <c r="G617" s="74">
        <v>4421.8370000000004</v>
      </c>
      <c r="H617" s="74">
        <v>4493.2470000000003</v>
      </c>
    </row>
    <row r="618" spans="1:8">
      <c r="A618" s="72">
        <v>46259.375</v>
      </c>
      <c r="B618" s="73">
        <v>1420.01</v>
      </c>
      <c r="C618" s="74">
        <v>1528.973</v>
      </c>
      <c r="D618" s="74">
        <v>1936.2570000000001</v>
      </c>
      <c r="E618" s="74">
        <v>3495.288</v>
      </c>
      <c r="F618" s="74">
        <v>4008.0590000000002</v>
      </c>
      <c r="G618" s="74">
        <v>4394.0280000000002</v>
      </c>
      <c r="H618" s="74">
        <v>4489.63</v>
      </c>
    </row>
    <row r="619" spans="1:8">
      <c r="A619" s="72">
        <v>46259.416666666664</v>
      </c>
      <c r="B619" s="73">
        <v>1420.01</v>
      </c>
      <c r="C619" s="74">
        <v>1528.973</v>
      </c>
      <c r="D619" s="74">
        <v>1936.2570000000001</v>
      </c>
      <c r="E619" s="74">
        <v>3495.288</v>
      </c>
      <c r="F619" s="74">
        <v>4008.0590000000002</v>
      </c>
      <c r="G619" s="74">
        <v>4394.0280000000002</v>
      </c>
      <c r="H619" s="74">
        <v>4489.63</v>
      </c>
    </row>
    <row r="620" spans="1:8">
      <c r="A620" s="72">
        <v>46259.458333333336</v>
      </c>
      <c r="B620" s="73">
        <v>1420.0029999999999</v>
      </c>
      <c r="C620" s="74">
        <v>1486.3019999999999</v>
      </c>
      <c r="D620" s="74">
        <v>1759.2180000000001</v>
      </c>
      <c r="E620" s="74">
        <v>3207.1179999999999</v>
      </c>
      <c r="F620" s="74">
        <v>3815.143</v>
      </c>
      <c r="G620" s="74">
        <v>4358.6719999999996</v>
      </c>
      <c r="H620" s="74">
        <v>4484.4290000000001</v>
      </c>
    </row>
    <row r="621" spans="1:8">
      <c r="A621" s="72">
        <v>46259.5</v>
      </c>
      <c r="B621" s="73">
        <v>1420.0029999999999</v>
      </c>
      <c r="C621" s="74">
        <v>1486.3019999999999</v>
      </c>
      <c r="D621" s="74">
        <v>1759.2180000000001</v>
      </c>
      <c r="E621" s="74">
        <v>3207.1179999999999</v>
      </c>
      <c r="F621" s="74">
        <v>3815.143</v>
      </c>
      <c r="G621" s="74">
        <v>4358.6719999999996</v>
      </c>
      <c r="H621" s="74">
        <v>4484.4290000000001</v>
      </c>
    </row>
    <row r="622" spans="1:8">
      <c r="A622" s="72">
        <v>46259.541666666664</v>
      </c>
      <c r="B622" s="73">
        <v>1420.0029999999999</v>
      </c>
      <c r="C622" s="74">
        <v>1486.3019999999999</v>
      </c>
      <c r="D622" s="74">
        <v>1759.2180000000001</v>
      </c>
      <c r="E622" s="74">
        <v>3207.1179999999999</v>
      </c>
      <c r="F622" s="74">
        <v>3815.143</v>
      </c>
      <c r="G622" s="74">
        <v>4315.2629999999999</v>
      </c>
      <c r="H622" s="74">
        <v>4477.1099999999997</v>
      </c>
    </row>
    <row r="623" spans="1:8">
      <c r="A623" s="72">
        <v>46259.583333333336</v>
      </c>
      <c r="B623" s="73">
        <v>1420.0029999999999</v>
      </c>
      <c r="C623" s="74">
        <v>1486.3019999999999</v>
      </c>
      <c r="D623" s="74">
        <v>1759.2180000000001</v>
      </c>
      <c r="E623" s="74">
        <v>3207.1179999999999</v>
      </c>
      <c r="F623" s="74">
        <v>3815.143</v>
      </c>
      <c r="G623" s="74">
        <v>4315.2629999999999</v>
      </c>
      <c r="H623" s="74">
        <v>4477.1099999999997</v>
      </c>
    </row>
    <row r="624" spans="1:8">
      <c r="A624" s="72">
        <v>46259.625</v>
      </c>
      <c r="B624" s="73">
        <v>1420.001</v>
      </c>
      <c r="C624" s="74">
        <v>1458.1420000000001</v>
      </c>
      <c r="D624" s="74">
        <v>1626.7449999999999</v>
      </c>
      <c r="E624" s="74">
        <v>2854.3359999999998</v>
      </c>
      <c r="F624" s="74">
        <v>3544.1320000000001</v>
      </c>
      <c r="G624" s="74">
        <v>4263.3620000000001</v>
      </c>
      <c r="H624" s="74">
        <v>4467.04</v>
      </c>
    </row>
    <row r="625" spans="1:8">
      <c r="A625" s="72">
        <v>46259.666666666664</v>
      </c>
      <c r="B625" s="73">
        <v>1420.001</v>
      </c>
      <c r="C625" s="74">
        <v>1458.1420000000001</v>
      </c>
      <c r="D625" s="74">
        <v>1626.7449999999999</v>
      </c>
      <c r="E625" s="74">
        <v>2854.3359999999998</v>
      </c>
      <c r="F625" s="74">
        <v>3544.1320000000001</v>
      </c>
      <c r="G625" s="74">
        <v>4263.3620000000001</v>
      </c>
      <c r="H625" s="74">
        <v>4467.04</v>
      </c>
    </row>
    <row r="626" spans="1:8">
      <c r="A626" s="72">
        <v>46259.708333333336</v>
      </c>
      <c r="B626" s="73">
        <v>1420.001</v>
      </c>
      <c r="C626" s="74">
        <v>1458.1420000000001</v>
      </c>
      <c r="D626" s="74">
        <v>1626.7449999999999</v>
      </c>
      <c r="E626" s="74">
        <v>2854.3359999999998</v>
      </c>
      <c r="F626" s="74">
        <v>3544.1320000000001</v>
      </c>
      <c r="G626" s="74">
        <v>4201.1009999999997</v>
      </c>
      <c r="H626" s="74">
        <v>4453.49</v>
      </c>
    </row>
    <row r="627" spans="1:8">
      <c r="A627" s="72">
        <v>46259.75</v>
      </c>
      <c r="B627" s="73">
        <v>1420.001</v>
      </c>
      <c r="C627" s="74">
        <v>1458.1420000000001</v>
      </c>
      <c r="D627" s="74">
        <v>1626.7449999999999</v>
      </c>
      <c r="E627" s="74">
        <v>2854.3359999999998</v>
      </c>
      <c r="F627" s="74">
        <v>3544.1320000000001</v>
      </c>
      <c r="G627" s="74">
        <v>4201.1009999999997</v>
      </c>
      <c r="H627" s="74">
        <v>4453.49</v>
      </c>
    </row>
    <row r="628" spans="1:8">
      <c r="A628" s="72">
        <v>46259.791666666664</v>
      </c>
      <c r="B628" s="73">
        <v>1420</v>
      </c>
      <c r="C628" s="74">
        <v>1442.779</v>
      </c>
      <c r="D628" s="74">
        <v>1549.56</v>
      </c>
      <c r="E628" s="74">
        <v>2570.9940000000001</v>
      </c>
      <c r="F628" s="74">
        <v>3293.6550000000002</v>
      </c>
      <c r="G628" s="74">
        <v>4127.5290000000005</v>
      </c>
      <c r="H628" s="74">
        <v>4435.62</v>
      </c>
    </row>
    <row r="629" spans="1:8">
      <c r="A629" s="72">
        <v>46259.833333333336</v>
      </c>
      <c r="B629" s="73">
        <v>1420</v>
      </c>
      <c r="C629" s="74">
        <v>1442.779</v>
      </c>
      <c r="D629" s="74">
        <v>1549.56</v>
      </c>
      <c r="E629" s="74">
        <v>2570.9940000000001</v>
      </c>
      <c r="F629" s="74">
        <v>3293.6550000000002</v>
      </c>
      <c r="G629" s="74">
        <v>4127.5290000000005</v>
      </c>
      <c r="H629" s="74">
        <v>4435.62</v>
      </c>
    </row>
    <row r="630" spans="1:8">
      <c r="A630" s="72">
        <v>46259.875</v>
      </c>
      <c r="B630" s="73">
        <v>1420</v>
      </c>
      <c r="C630" s="74">
        <v>1442.779</v>
      </c>
      <c r="D630" s="74">
        <v>1549.56</v>
      </c>
      <c r="E630" s="74">
        <v>2570.9940000000001</v>
      </c>
      <c r="F630" s="74">
        <v>3293.6550000000002</v>
      </c>
      <c r="G630" s="74">
        <v>4043.3330000000001</v>
      </c>
      <c r="H630" s="74">
        <v>4412.4849999999997</v>
      </c>
    </row>
    <row r="631" spans="1:8">
      <c r="A631" s="72">
        <v>46259.916666666664</v>
      </c>
      <c r="B631" s="73">
        <v>1420</v>
      </c>
      <c r="C631" s="74">
        <v>1442.779</v>
      </c>
      <c r="D631" s="74">
        <v>1549.56</v>
      </c>
      <c r="E631" s="74">
        <v>2570.9940000000001</v>
      </c>
      <c r="F631" s="74">
        <v>3293.6550000000002</v>
      </c>
      <c r="G631" s="74">
        <v>4043.3330000000001</v>
      </c>
      <c r="H631" s="74">
        <v>4412.4849999999997</v>
      </c>
    </row>
    <row r="632" spans="1:8">
      <c r="A632" s="72">
        <v>46259.958333333336</v>
      </c>
      <c r="B632" s="73">
        <v>1420</v>
      </c>
      <c r="C632" s="74">
        <v>1432.9179999999999</v>
      </c>
      <c r="D632" s="74">
        <v>1496.2270000000001</v>
      </c>
      <c r="E632" s="74">
        <v>2274.6190000000001</v>
      </c>
      <c r="F632" s="74">
        <v>2985.3029999999999</v>
      </c>
      <c r="G632" s="74">
        <v>3949.933</v>
      </c>
      <c r="H632" s="74">
        <v>4383.1030000000001</v>
      </c>
    </row>
    <row r="633" spans="1:8">
      <c r="A633" s="72">
        <v>46260</v>
      </c>
      <c r="B633" s="73">
        <v>1420</v>
      </c>
      <c r="C633" s="74">
        <v>1432.9179999999999</v>
      </c>
      <c r="D633" s="74">
        <v>1496.2270000000001</v>
      </c>
      <c r="E633" s="74">
        <v>2274.6190000000001</v>
      </c>
      <c r="F633" s="74">
        <v>2985.3029999999999</v>
      </c>
      <c r="G633" s="74">
        <v>3949.933</v>
      </c>
      <c r="H633" s="74">
        <v>4383.1030000000001</v>
      </c>
    </row>
    <row r="634" spans="1:8">
      <c r="A634" s="72">
        <v>46260.041666666664</v>
      </c>
      <c r="B634" s="73">
        <v>1420</v>
      </c>
      <c r="C634" s="74">
        <v>1432.9179999999999</v>
      </c>
      <c r="D634" s="74">
        <v>1496.2270000000001</v>
      </c>
      <c r="E634" s="74">
        <v>2274.6190000000001</v>
      </c>
      <c r="F634" s="74">
        <v>2985.3029999999999</v>
      </c>
      <c r="G634" s="74">
        <v>3845.875</v>
      </c>
      <c r="H634" s="74">
        <v>4346.5370000000003</v>
      </c>
    </row>
    <row r="635" spans="1:8">
      <c r="A635" s="72">
        <v>46260.083333333336</v>
      </c>
      <c r="B635" s="73">
        <v>1420</v>
      </c>
      <c r="C635" s="74">
        <v>1432.9179999999999</v>
      </c>
      <c r="D635" s="74">
        <v>1496.2270000000001</v>
      </c>
      <c r="E635" s="74">
        <v>2274.6190000000001</v>
      </c>
      <c r="F635" s="74">
        <v>2985.3029999999999</v>
      </c>
      <c r="G635" s="74">
        <v>3845.875</v>
      </c>
      <c r="H635" s="74">
        <v>4346.5370000000003</v>
      </c>
    </row>
    <row r="636" spans="1:8">
      <c r="A636" s="72">
        <v>46260.125</v>
      </c>
      <c r="B636" s="73">
        <v>1420</v>
      </c>
      <c r="C636" s="74">
        <v>1427.6210000000001</v>
      </c>
      <c r="D636" s="74">
        <v>1466.4</v>
      </c>
      <c r="E636" s="74">
        <v>2061.4079999999999</v>
      </c>
      <c r="F636" s="74">
        <v>2730.7809999999999</v>
      </c>
      <c r="G636" s="74">
        <v>3731.0479999999998</v>
      </c>
      <c r="H636" s="74">
        <v>4301.8850000000002</v>
      </c>
    </row>
    <row r="637" spans="1:8">
      <c r="A637" s="72">
        <v>46260.166666666664</v>
      </c>
      <c r="B637" s="73">
        <v>1420</v>
      </c>
      <c r="C637" s="74">
        <v>1427.6210000000001</v>
      </c>
      <c r="D637" s="74">
        <v>1466.4</v>
      </c>
      <c r="E637" s="74">
        <v>2061.4079999999999</v>
      </c>
      <c r="F637" s="74">
        <v>2730.7809999999999</v>
      </c>
      <c r="G637" s="74">
        <v>3731.0479999999998</v>
      </c>
      <c r="H637" s="74">
        <v>4301.8850000000002</v>
      </c>
    </row>
    <row r="638" spans="1:8">
      <c r="A638" s="72">
        <v>46260.208333333336</v>
      </c>
      <c r="B638" s="73">
        <v>1420</v>
      </c>
      <c r="C638" s="74">
        <v>1427.6210000000001</v>
      </c>
      <c r="D638" s="74">
        <v>1466.4</v>
      </c>
      <c r="E638" s="74">
        <v>2061.4079999999999</v>
      </c>
      <c r="F638" s="74">
        <v>2730.7809999999999</v>
      </c>
      <c r="G638" s="74">
        <v>3607.7020000000002</v>
      </c>
      <c r="H638" s="74">
        <v>4248.2709999999997</v>
      </c>
    </row>
    <row r="639" spans="1:8">
      <c r="A639" s="72">
        <v>46260.25</v>
      </c>
      <c r="B639" s="73">
        <v>1420</v>
      </c>
      <c r="C639" s="74">
        <v>1427.6210000000001</v>
      </c>
      <c r="D639" s="74">
        <v>1466.4</v>
      </c>
      <c r="E639" s="74">
        <v>2061.4079999999999</v>
      </c>
      <c r="F639" s="74">
        <v>2730.7809999999999</v>
      </c>
      <c r="G639" s="74">
        <v>3607.7020000000002</v>
      </c>
      <c r="H639" s="74">
        <v>4248.2709999999997</v>
      </c>
    </row>
    <row r="640" spans="1:8">
      <c r="A640" s="72">
        <v>46260.291666666664</v>
      </c>
      <c r="B640" s="73">
        <v>1420</v>
      </c>
      <c r="C640" s="74">
        <v>1424.28</v>
      </c>
      <c r="D640" s="74">
        <v>1446.7049999999999</v>
      </c>
      <c r="E640" s="74">
        <v>1866.3389999999999</v>
      </c>
      <c r="F640" s="74">
        <v>2453.2089999999998</v>
      </c>
      <c r="G640" s="74">
        <v>3479.61</v>
      </c>
      <c r="H640" s="74">
        <v>4184.9579999999996</v>
      </c>
    </row>
    <row r="641" spans="1:8">
      <c r="A641" s="72">
        <v>46260.333333333336</v>
      </c>
      <c r="B641" s="73">
        <v>1420</v>
      </c>
      <c r="C641" s="74">
        <v>1424.28</v>
      </c>
      <c r="D641" s="74">
        <v>1446.7049999999999</v>
      </c>
      <c r="E641" s="74">
        <v>1866.3389999999999</v>
      </c>
      <c r="F641" s="74">
        <v>2453.2089999999998</v>
      </c>
      <c r="G641" s="74">
        <v>3479.61</v>
      </c>
      <c r="H641" s="74">
        <v>4184.9579999999996</v>
      </c>
    </row>
    <row r="642" spans="1:8">
      <c r="A642" s="72">
        <v>46260.375</v>
      </c>
      <c r="B642" s="73">
        <v>1420</v>
      </c>
      <c r="C642" s="74">
        <v>1424.28</v>
      </c>
      <c r="D642" s="74">
        <v>1446.7049999999999</v>
      </c>
      <c r="E642" s="74">
        <v>1866.3389999999999</v>
      </c>
      <c r="F642" s="74">
        <v>2453.2089999999998</v>
      </c>
      <c r="G642" s="74">
        <v>3346.1439999999998</v>
      </c>
      <c r="H642" s="74">
        <v>4111.5420000000004</v>
      </c>
    </row>
    <row r="643" spans="1:8">
      <c r="A643" s="72">
        <v>46260.416666666664</v>
      </c>
      <c r="B643" s="73">
        <v>1420</v>
      </c>
      <c r="C643" s="74">
        <v>1424.28</v>
      </c>
      <c r="D643" s="74">
        <v>1446.7049999999999</v>
      </c>
      <c r="E643" s="74">
        <v>1866.3389999999999</v>
      </c>
      <c r="F643" s="74">
        <v>2453.2089999999998</v>
      </c>
      <c r="G643" s="74">
        <v>3346.1439999999998</v>
      </c>
      <c r="H643" s="74">
        <v>4111.5420000000004</v>
      </c>
    </row>
  </sheetData>
  <phoneticPr fontId="3" type="noConversion"/>
  <conditionalFormatting sqref="F1:H28 F30:H1048576">
    <cfRule type="cellIs" dxfId="2" priority="5" operator="greaterThan">
      <formula>10000</formula>
    </cfRule>
  </conditionalFormatting>
  <conditionalFormatting sqref="F1:H1048576">
    <cfRule type="cellIs" dxfId="1" priority="3" operator="greaterThan">
      <formula>10000</formula>
    </cfRule>
  </conditionalFormatting>
  <conditionalFormatting sqref="E1:E1048576">
    <cfRule type="cellIs" dxfId="0" priority="1" operator="greaterThan">
      <formula>10000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workbookViewId="0">
      <selection activeCell="A2" sqref="A2:D47"/>
    </sheetView>
  </sheetViews>
  <sheetFormatPr defaultRowHeight="13.5"/>
  <cols>
    <col min="1" max="4" width="8.875" style="29"/>
  </cols>
  <sheetData>
    <row r="1" spans="1:4">
      <c r="A1" s="50" t="s">
        <v>41</v>
      </c>
      <c r="B1" s="50" t="s">
        <v>42</v>
      </c>
      <c r="C1" s="50" t="s">
        <v>43</v>
      </c>
      <c r="D1" s="50" t="s">
        <v>44</v>
      </c>
    </row>
    <row r="2" spans="1:4" ht="40.5">
      <c r="A2" s="51">
        <v>1</v>
      </c>
      <c r="B2" s="52" t="s">
        <v>45</v>
      </c>
      <c r="C2" s="51">
        <v>1</v>
      </c>
      <c r="D2" s="52" t="s">
        <v>46</v>
      </c>
    </row>
    <row r="3" spans="1:4" ht="40.5">
      <c r="A3" s="53">
        <v>2</v>
      </c>
      <c r="B3" s="54" t="s">
        <v>47</v>
      </c>
      <c r="C3" s="53">
        <v>1</v>
      </c>
      <c r="D3" s="54" t="s">
        <v>46</v>
      </c>
    </row>
    <row r="4" spans="1:4">
      <c r="A4" s="53">
        <v>3</v>
      </c>
      <c r="B4" s="54" t="s">
        <v>25</v>
      </c>
      <c r="C4" s="53">
        <v>295</v>
      </c>
      <c r="D4" s="54" t="s">
        <v>48</v>
      </c>
    </row>
    <row r="5" spans="1:4">
      <c r="A5" s="53">
        <v>4</v>
      </c>
      <c r="B5" s="54" t="s">
        <v>26</v>
      </c>
      <c r="C5" s="53">
        <v>250.86</v>
      </c>
      <c r="D5" s="54" t="s">
        <v>48</v>
      </c>
    </row>
    <row r="6" spans="1:4">
      <c r="A6" s="53">
        <v>5</v>
      </c>
      <c r="B6" s="54" t="s">
        <v>27</v>
      </c>
      <c r="C6" s="53">
        <v>316.20999999999998</v>
      </c>
      <c r="D6" s="54" t="s">
        <v>48</v>
      </c>
    </row>
    <row r="7" spans="1:4">
      <c r="A7" s="53">
        <v>6</v>
      </c>
      <c r="B7" s="54" t="s">
        <v>28</v>
      </c>
      <c r="C7" s="53">
        <v>524.19000000000005</v>
      </c>
      <c r="D7" s="54" t="s">
        <v>48</v>
      </c>
    </row>
    <row r="8" spans="1:4">
      <c r="A8" s="53">
        <v>7</v>
      </c>
      <c r="B8" s="54" t="s">
        <v>29</v>
      </c>
      <c r="C8" s="53">
        <v>234.34</v>
      </c>
      <c r="D8" s="54" t="s">
        <v>48</v>
      </c>
    </row>
    <row r="9" spans="1:4" ht="40.5">
      <c r="A9" s="53">
        <v>8</v>
      </c>
      <c r="B9" s="54" t="s">
        <v>25</v>
      </c>
      <c r="C9" s="53">
        <v>0</v>
      </c>
      <c r="D9" s="54" t="s">
        <v>49</v>
      </c>
    </row>
    <row r="10" spans="1:4" ht="40.5">
      <c r="A10" s="53">
        <v>9</v>
      </c>
      <c r="B10" s="54" t="s">
        <v>26</v>
      </c>
      <c r="C10" s="53">
        <v>1</v>
      </c>
      <c r="D10" s="54" t="s">
        <v>49</v>
      </c>
    </row>
    <row r="11" spans="1:4" ht="40.5">
      <c r="A11" s="53">
        <v>10</v>
      </c>
      <c r="B11" s="54" t="s">
        <v>27</v>
      </c>
      <c r="C11" s="53">
        <v>1</v>
      </c>
      <c r="D11" s="54" t="s">
        <v>49</v>
      </c>
    </row>
    <row r="12" spans="1:4" ht="40.5">
      <c r="A12" s="53">
        <v>11</v>
      </c>
      <c r="B12" s="54" t="s">
        <v>28</v>
      </c>
      <c r="C12" s="53">
        <v>1</v>
      </c>
      <c r="D12" s="54" t="s">
        <v>49</v>
      </c>
    </row>
    <row r="13" spans="1:4" ht="40.5">
      <c r="A13" s="53">
        <v>12</v>
      </c>
      <c r="B13" s="54" t="s">
        <v>29</v>
      </c>
      <c r="C13" s="53">
        <v>1</v>
      </c>
      <c r="D13" s="54" t="s">
        <v>49</v>
      </c>
    </row>
    <row r="14" spans="1:4" ht="27">
      <c r="A14" s="53">
        <v>13</v>
      </c>
      <c r="B14" s="54" t="s">
        <v>25</v>
      </c>
      <c r="C14" s="53">
        <v>335</v>
      </c>
      <c r="D14" s="54" t="s">
        <v>50</v>
      </c>
    </row>
    <row r="15" spans="1:4" ht="27">
      <c r="A15" s="53">
        <v>14</v>
      </c>
      <c r="B15" s="54" t="s">
        <v>26</v>
      </c>
      <c r="C15" s="53">
        <v>275</v>
      </c>
      <c r="D15" s="54" t="s">
        <v>50</v>
      </c>
    </row>
    <row r="16" spans="1:4" ht="27">
      <c r="A16" s="53">
        <v>15</v>
      </c>
      <c r="B16" s="54" t="s">
        <v>27</v>
      </c>
      <c r="C16" s="53">
        <v>323</v>
      </c>
      <c r="D16" s="54" t="s">
        <v>51</v>
      </c>
    </row>
    <row r="17" spans="1:4" ht="27">
      <c r="A17" s="53">
        <v>16</v>
      </c>
      <c r="B17" s="54" t="s">
        <v>28</v>
      </c>
      <c r="C17" s="53">
        <v>546.84</v>
      </c>
      <c r="D17" s="54" t="s">
        <v>51</v>
      </c>
    </row>
    <row r="18" spans="1:4" ht="27">
      <c r="A18" s="53">
        <v>17</v>
      </c>
      <c r="B18" s="54" t="s">
        <v>29</v>
      </c>
      <c r="C18" s="53">
        <v>285.43</v>
      </c>
      <c r="D18" s="54" t="s">
        <v>51</v>
      </c>
    </row>
    <row r="19" spans="1:4" ht="67.5">
      <c r="A19" s="53">
        <v>18</v>
      </c>
      <c r="B19" s="54" t="s">
        <v>25</v>
      </c>
      <c r="C19" s="53">
        <v>1</v>
      </c>
      <c r="D19" s="54" t="s">
        <v>52</v>
      </c>
    </row>
    <row r="20" spans="1:4" ht="54">
      <c r="A20" s="53">
        <v>19</v>
      </c>
      <c r="B20" s="54" t="s">
        <v>26</v>
      </c>
      <c r="C20" s="53">
        <v>1</v>
      </c>
      <c r="D20" s="54" t="s">
        <v>53</v>
      </c>
    </row>
    <row r="21" spans="1:4" ht="54">
      <c r="A21" s="53">
        <v>20</v>
      </c>
      <c r="B21" s="54" t="s">
        <v>27</v>
      </c>
      <c r="C21" s="53">
        <v>1</v>
      </c>
      <c r="D21" s="54" t="s">
        <v>53</v>
      </c>
    </row>
    <row r="22" spans="1:4" ht="54">
      <c r="A22" s="53">
        <v>21</v>
      </c>
      <c r="B22" s="54" t="s">
        <v>28</v>
      </c>
      <c r="C22" s="53">
        <v>1</v>
      </c>
      <c r="D22" s="54" t="s">
        <v>53</v>
      </c>
    </row>
    <row r="23" spans="1:4" ht="54">
      <c r="A23" s="53">
        <v>22</v>
      </c>
      <c r="B23" s="54" t="s">
        <v>29</v>
      </c>
      <c r="C23" s="53">
        <v>1</v>
      </c>
      <c r="D23" s="54" t="s">
        <v>53</v>
      </c>
    </row>
    <row r="24" spans="1:4" ht="40.5">
      <c r="A24" s="53">
        <v>23</v>
      </c>
      <c r="B24" s="54" t="s">
        <v>26</v>
      </c>
      <c r="C24" s="53">
        <v>4500</v>
      </c>
      <c r="D24" s="54" t="s">
        <v>54</v>
      </c>
    </row>
    <row r="25" spans="1:4">
      <c r="A25" s="53">
        <v>24</v>
      </c>
      <c r="B25" s="54" t="s">
        <v>27</v>
      </c>
      <c r="C25" s="53">
        <v>300</v>
      </c>
      <c r="D25" s="54" t="s">
        <v>55</v>
      </c>
    </row>
    <row r="26" spans="1:4">
      <c r="A26" s="53">
        <v>25</v>
      </c>
      <c r="B26" s="54" t="s">
        <v>28</v>
      </c>
      <c r="C26" s="53">
        <v>300</v>
      </c>
      <c r="D26" s="54" t="s">
        <v>55</v>
      </c>
    </row>
    <row r="27" spans="1:4">
      <c r="A27" s="53">
        <v>26</v>
      </c>
      <c r="B27" s="54" t="s">
        <v>29</v>
      </c>
      <c r="C27" s="53">
        <v>100</v>
      </c>
      <c r="D27" s="54" t="s">
        <v>55</v>
      </c>
    </row>
    <row r="28" spans="1:4" ht="54">
      <c r="A28" s="53">
        <v>27</v>
      </c>
      <c r="B28" s="54" t="s">
        <v>29</v>
      </c>
      <c r="C28" s="53">
        <v>275</v>
      </c>
      <c r="D28" s="54" t="s">
        <v>56</v>
      </c>
    </row>
    <row r="29" spans="1:4" ht="81">
      <c r="A29" s="53">
        <v>28</v>
      </c>
      <c r="B29" s="54" t="s">
        <v>25</v>
      </c>
      <c r="C29" s="53">
        <v>26</v>
      </c>
      <c r="D29" s="54" t="s">
        <v>57</v>
      </c>
    </row>
    <row r="30" spans="1:4" ht="40.5">
      <c r="A30" s="53">
        <v>29</v>
      </c>
      <c r="B30" s="54" t="s">
        <v>26</v>
      </c>
      <c r="C30" s="53">
        <v>254</v>
      </c>
      <c r="D30" s="54" t="s">
        <v>58</v>
      </c>
    </row>
    <row r="31" spans="1:4">
      <c r="A31" s="53">
        <v>30</v>
      </c>
      <c r="B31" s="54" t="s">
        <v>26</v>
      </c>
      <c r="C31" s="53">
        <v>4500</v>
      </c>
      <c r="D31" s="54" t="s">
        <v>59</v>
      </c>
    </row>
    <row r="32" spans="1:4">
      <c r="A32" s="53">
        <v>31</v>
      </c>
      <c r="B32" s="54" t="s">
        <v>26</v>
      </c>
      <c r="C32" s="53">
        <v>300</v>
      </c>
      <c r="D32" s="54" t="s">
        <v>60</v>
      </c>
    </row>
    <row r="33" spans="1:4" ht="40.5">
      <c r="A33" s="53">
        <v>32</v>
      </c>
      <c r="B33" s="54" t="s">
        <v>27</v>
      </c>
      <c r="C33" s="53">
        <v>1000</v>
      </c>
      <c r="D33" s="54" t="s">
        <v>61</v>
      </c>
    </row>
    <row r="34" spans="1:4">
      <c r="A34" s="53">
        <v>33</v>
      </c>
      <c r="B34" s="54" t="s">
        <v>27</v>
      </c>
      <c r="C34" s="53">
        <v>0</v>
      </c>
      <c r="D34" s="54" t="s">
        <v>60</v>
      </c>
    </row>
    <row r="35" spans="1:4" ht="40.5">
      <c r="A35" s="53">
        <v>34</v>
      </c>
      <c r="B35" s="54" t="s">
        <v>28</v>
      </c>
      <c r="C35" s="53">
        <v>1000</v>
      </c>
      <c r="D35" s="54" t="s">
        <v>61</v>
      </c>
    </row>
    <row r="36" spans="1:4">
      <c r="A36" s="53">
        <v>35</v>
      </c>
      <c r="B36" s="54" t="s">
        <v>28</v>
      </c>
      <c r="C36" s="53">
        <v>0</v>
      </c>
      <c r="D36" s="54" t="s">
        <v>60</v>
      </c>
    </row>
    <row r="37" spans="1:4" ht="40.5">
      <c r="A37" s="53">
        <v>36</v>
      </c>
      <c r="B37" s="54" t="s">
        <v>29</v>
      </c>
      <c r="C37" s="53">
        <v>2000</v>
      </c>
      <c r="D37" s="54" t="s">
        <v>62</v>
      </c>
    </row>
    <row r="38" spans="1:4">
      <c r="A38" s="53">
        <v>37</v>
      </c>
      <c r="B38" s="54" t="s">
        <v>29</v>
      </c>
      <c r="C38" s="53">
        <v>0</v>
      </c>
      <c r="D38" s="54" t="s">
        <v>60</v>
      </c>
    </row>
    <row r="39" spans="1:4" ht="67.5">
      <c r="A39" s="53">
        <v>38</v>
      </c>
      <c r="B39" s="54" t="s">
        <v>17</v>
      </c>
      <c r="C39" s="53">
        <v>4500</v>
      </c>
      <c r="D39" s="54" t="s">
        <v>63</v>
      </c>
    </row>
    <row r="40" spans="1:4" ht="67.5">
      <c r="A40" s="53">
        <v>39</v>
      </c>
      <c r="B40" s="54" t="s">
        <v>17</v>
      </c>
      <c r="C40" s="53">
        <v>4500</v>
      </c>
      <c r="D40" s="54" t="s">
        <v>64</v>
      </c>
    </row>
    <row r="41" spans="1:4" ht="67.5">
      <c r="A41" s="53">
        <v>40</v>
      </c>
      <c r="B41" s="54" t="s">
        <v>26</v>
      </c>
      <c r="C41" s="53">
        <v>200</v>
      </c>
      <c r="D41" s="54" t="s">
        <v>65</v>
      </c>
    </row>
    <row r="42" spans="1:4" ht="40.5">
      <c r="A42" s="53">
        <v>41</v>
      </c>
      <c r="B42" s="54" t="s">
        <v>27</v>
      </c>
      <c r="C42" s="53">
        <v>321.5</v>
      </c>
      <c r="D42" s="54" t="s">
        <v>66</v>
      </c>
    </row>
    <row r="43" spans="1:4" ht="40.5">
      <c r="A43" s="53">
        <v>42</v>
      </c>
      <c r="B43" s="54" t="s">
        <v>28</v>
      </c>
      <c r="C43" s="53">
        <v>542.04</v>
      </c>
      <c r="D43" s="54" t="s">
        <v>67</v>
      </c>
    </row>
    <row r="44" spans="1:4" ht="54">
      <c r="A44" s="53">
        <v>43</v>
      </c>
      <c r="B44" s="54" t="s">
        <v>17</v>
      </c>
      <c r="C44" s="53">
        <v>12000</v>
      </c>
      <c r="D44" s="54" t="s">
        <v>68</v>
      </c>
    </row>
    <row r="45" spans="1:4" ht="67.5">
      <c r="A45" s="53">
        <v>44</v>
      </c>
      <c r="B45" s="54" t="s">
        <v>26</v>
      </c>
      <c r="C45" s="53">
        <v>4500</v>
      </c>
      <c r="D45" s="54" t="s">
        <v>69</v>
      </c>
    </row>
    <row r="46" spans="1:4" ht="135">
      <c r="A46" s="53">
        <v>45</v>
      </c>
      <c r="B46" s="54" t="s">
        <v>17</v>
      </c>
      <c r="C46" s="53">
        <v>200</v>
      </c>
      <c r="D46" s="54" t="s">
        <v>70</v>
      </c>
    </row>
    <row r="47" spans="1:4" ht="54">
      <c r="A47" s="53">
        <v>46</v>
      </c>
      <c r="B47" s="54" t="s">
        <v>71</v>
      </c>
      <c r="C47" s="53">
        <v>1</v>
      </c>
      <c r="D47" s="54" t="s">
        <v>72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特征值</vt:lpstr>
      <vt:lpstr>三门峡</vt:lpstr>
      <vt:lpstr>小浪底</vt:lpstr>
      <vt:lpstr>陆浑</vt:lpstr>
      <vt:lpstr>故县</vt:lpstr>
      <vt:lpstr>河口村</vt:lpstr>
      <vt:lpstr>花园口以上洪水</vt:lpstr>
      <vt:lpstr>下游</vt:lpstr>
      <vt:lpstr>参数</vt:lpstr>
    </vt:vector>
  </TitlesOfParts>
  <Company>china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wangpeng</cp:lastModifiedBy>
  <dcterms:created xsi:type="dcterms:W3CDTF">2020-06-10T09:24:22Z</dcterms:created>
  <dcterms:modified xsi:type="dcterms:W3CDTF">2026-06-22T01:36:30Z</dcterms:modified>
</cp:coreProperties>
</file>